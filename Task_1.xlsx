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9c6d7df24ac428/Desktop/GALI SHIVAKRISHNA_EXCEL/"/>
    </mc:Choice>
  </mc:AlternateContent>
  <xr:revisionPtr revIDLastSave="0" documentId="13_ncr:1_{ACC9512F-B828-4215-9A88-260A12501EDB}" xr6:coauthVersionLast="47" xr6:coauthVersionMax="47" xr10:uidLastSave="{00000000-0000-0000-0000-000000000000}"/>
  <bookViews>
    <workbookView xWindow="-108" yWindow="-108" windowWidth="23256" windowHeight="12456" xr2:uid="{24D21AEB-7969-4B09-8788-404E6B3C2955}"/>
  </bookViews>
  <sheets>
    <sheet name="GALI SHIVAKRISHNA_EXCEL" sheetId="1" r:id="rId1"/>
    <sheet name="TASK-1" sheetId="2" r:id="rId2"/>
    <sheet name="PIVOT TABLE ANALYSIS" sheetId="3" r:id="rId3"/>
    <sheet name="Sheet1" sheetId="4" r:id="rId4"/>
  </sheets>
  <definedNames>
    <definedName name="_xlnm._FilterDatabase" localSheetId="0" hidden="1">'GALI SHIVAKRISHNA_EXCEL'!$F$1:$F$1471</definedName>
  </definedNames>
  <calcPr calcId="191029" calcCompleted="0"/>
  <pivotCaches>
    <pivotCache cacheId="0" r:id="rId5"/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471" i="1" l="1"/>
  <c r="AO147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2" i="1"/>
  <c r="H44" i="2"/>
  <c r="H41" i="2"/>
  <c r="AU15" i="1"/>
  <c r="AU12" i="1"/>
  <c r="AU7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2" i="1"/>
  <c r="Y146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4" i="1"/>
  <c r="Y1465" i="1"/>
  <c r="Y1466" i="1"/>
  <c r="Y1467" i="1"/>
  <c r="Y1468" i="1"/>
  <c r="Y1469" i="1"/>
  <c r="Y1470" i="1"/>
  <c r="Y1471" i="1"/>
  <c r="Y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2" i="1"/>
  <c r="AN1443" i="1" l="1"/>
  <c r="B8" i="2" l="1"/>
</calcChain>
</file>

<file path=xl/sharedStrings.xml><?xml version="1.0" encoding="utf-8"?>
<sst xmlns="http://schemas.openxmlformats.org/spreadsheetml/2006/main" count="13372" uniqueCount="107">
  <si>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</si>
  <si>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</si>
  <si>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</si>
  <si>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</si>
  <si>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</si>
  <si>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</si>
  <si>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</si>
  <si>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</si>
  <si>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</si>
  <si>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</si>
  <si>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</si>
  <si>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</si>
  <si>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</si>
  <si>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</si>
  <si>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</si>
  <si>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</si>
  <si>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</si>
  <si>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</si>
  <si>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</si>
  <si>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</si>
  <si>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</si>
  <si>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</si>
  <si>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</si>
  <si>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</si>
  <si>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</si>
  <si>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</si>
  <si>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</si>
  <si>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</si>
  <si>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</si>
  <si>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</si>
  <si>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</si>
  <si>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</si>
  <si>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</si>
  <si>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</si>
  <si>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</si>
  <si>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</si>
  <si>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</si>
  <si>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</si>
  <si>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</si>
  <si>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</si>
  <si>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</si>
  <si>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</si>
  <si>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</si>
  <si>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</si>
  <si>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</si>
  <si>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</si>
  <si>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</si>
  <si>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</si>
  <si>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</si>
  <si>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</si>
  <si>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</si>
  <si>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</si>
  <si>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</si>
  <si>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</si>
  <si>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</si>
  <si>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</si>
  <si>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</si>
  <si>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</si>
  <si>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</si>
  <si>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</si>
  <si>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</si>
  <si>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</si>
  <si>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DATA CLEANING &amp; PREPROCESSING</t>
  </si>
  <si>
    <t>1. Remove duplicate records using EmployeeNumber</t>
  </si>
  <si>
    <t xml:space="preserve">A:-No Duplicates Found in EmployeeNumber </t>
  </si>
  <si>
    <t>Row Labels</t>
  </si>
  <si>
    <t>Grand Total</t>
  </si>
  <si>
    <t>Count of EmployeeNumber</t>
  </si>
  <si>
    <t>2. Identify missing values</t>
  </si>
  <si>
    <t>A:-No Missing values found in Department,job role, monthley income,years at company</t>
  </si>
  <si>
    <t>Attrition_Clean</t>
  </si>
  <si>
    <t>OverTime_Clean</t>
  </si>
  <si>
    <t>3. Standardize Attrition &amp; OverTime to “Yes/No”</t>
  </si>
  <si>
    <t>A:-=IF(LOWER(C2)="yes","Yes","No")</t>
  </si>
  <si>
    <t>4. Ensure numeric columns</t>
  </si>
  <si>
    <t>Columns:</t>
  </si>
  <si>
    <t>Steps:</t>
  </si>
  <si>
    <t>1. Select column</t>
  </si>
  <si>
    <r>
      <t xml:space="preserve">2. Home → Number Format → </t>
    </r>
    <r>
      <rPr>
        <b/>
        <sz val="11"/>
        <color theme="1"/>
        <rFont val="Aptos Narrow"/>
        <family val="2"/>
        <scheme val="minor"/>
      </rPr>
      <t>Number</t>
    </r>
  </si>
  <si>
    <t>Experience_Bucket</t>
  </si>
  <si>
    <t>5. Create Experience_Bucket</t>
  </si>
  <si>
    <t>A:-=IF(D2&lt;=5,"0–5",
 IF(D2&lt;=15,"6–15","&gt;15"))</t>
  </si>
  <si>
    <t>🔹 ATTRITION ANALYSIS</t>
  </si>
  <si>
    <t>6. Overall Attrition Rate (%)</t>
  </si>
  <si>
    <t>"=COUNTIF(B1:B1471,"Yes")/COUNTA(B1:B1471)*100</t>
  </si>
  <si>
    <t xml:space="preserve">6. Overall Attrition Rate </t>
  </si>
  <si>
    <t>Count of Attrition</t>
  </si>
  <si>
    <t>7. Attrition Rate by Department</t>
  </si>
  <si>
    <t>8. JobRole with Highest Attrition</t>
  </si>
  <si>
    <t>9. Average MonthlyIncome (Attrition Yes vs No)</t>
  </si>
  <si>
    <t>For Attrition = Yes:</t>
  </si>
  <si>
    <t>For Attrition = No:</t>
  </si>
  <si>
    <t>10. Department vs Attrition</t>
  </si>
  <si>
    <t>Column Labels</t>
  </si>
  <si>
    <t>11. JobLevel vs Average MonthlyIncome</t>
  </si>
  <si>
    <t>Average of MonthlyIncome</t>
  </si>
  <si>
    <t>12. Income below Department Average</t>
  </si>
  <si>
    <t>Income_vs_Department_Avg</t>
  </si>
  <si>
    <t>% OT Emp</t>
  </si>
  <si>
    <t>14. Attrition: Overtime vs Non-Overtime</t>
  </si>
  <si>
    <t>15. Department with Lowest JobSatisfaction</t>
  </si>
  <si>
    <t>Average of JobSatisfaction</t>
  </si>
  <si>
    <t>Low Salary Hike</t>
  </si>
  <si>
    <t>Tenure_Risk</t>
  </si>
  <si>
    <t>VISUALIZATION &amp; FORMATTING</t>
  </si>
  <si>
    <t>19. Bar Chart: Attrition Count by Department</t>
  </si>
  <si>
    <t>20. Column Chart: Avg MonthlyIncome by JobLevel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</si>
</sst>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20" fillId="0" borderId="0" xfId="0" applyFont="1" applyAlignment="1">
      <alignment vertical="center"/>
    </xf>
    <xf numFmtId="0" fontId="16" fillId="0" borderId="0" xfId="0" applyFont="1"/>
    <xf numFmtId="0" fontId="19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22" fillId="0" borderId="0" xfId="0" applyFont="1"/>
    <xf numFmtId="0" fontId="22" fillId="0" borderId="0" xfId="0" pivotButton="1" applyFont="1"/>
    <xf numFmtId="0" fontId="22" fillId="0" borderId="0" xfId="0" applyFont="1" applyAlignment="1">
      <alignment horizontal="left"/>
    </xf>
    <xf numFmtId="10" fontId="22" fillId="0" borderId="0" xfId="0" applyNumberFormat="1" applyFont="1"/>
    <xf numFmtId="0" fontId="2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0" fontId="24" fillId="0" borderId="0" xfId="0" applyFont="1"/>
    <xf numFmtId="0" fontId="16" fillId="0" borderId="0" xfId="0" applyFont="1" applyAlignment="1">
      <alignment horizontal="center" wrapText="1"/>
    </xf>
    <xf numFmtId="10" fontId="0" fillId="0" borderId="0" xfId="0" applyNumberFormat="1"/>
    <xf numFmtId="0" fontId="19" fillId="0" borderId="0" xfId="0" applyFont="1" applyAlignment="1">
      <alignment vertical="center"/>
    </xf>
    <xf numFmtId="0" fontId="21" fillId="34" borderId="0" xfId="0" applyFont="1" applyFill="1"/>
    <xf numFmtId="0" fontId="0" fillId="34" borderId="0" xfId="0" applyFill="1"/>
    <xf numFmtId="0" fontId="18" fillId="0" borderId="0" xfId="0" applyFont="1" applyAlignment="1">
      <alignment vertical="center"/>
    </xf>
    <xf numFmtId="1" fontId="16" fillId="34" borderId="0" xfId="0" applyNumberFormat="1" applyFont="1" applyFill="1" applyAlignment="1">
      <alignment horizontal="left" inden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0"/>
    </dxf>
    <dxf>
      <alignment wrapText="0"/>
    </dxf>
    <dxf>
      <alignment horizontal="center"/>
    </dxf>
    <dxf>
      <alignment horizontal="center"/>
    </dxf>
    <dxf>
      <alignment wrapText="1"/>
    </dxf>
    <dxf>
      <alignment wrapText="1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[Task_1.xlsx]Sheet1!PivotTable1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Sheet1!$B$6:$B$9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C-4D67-B013-E1BCA82112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990894543"/>
        <c:axId val="1990896463"/>
      </c:barChart>
      <c:catAx>
        <c:axId val="199089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96463"/>
        <c:crosses val="autoZero"/>
        <c:auto val="1"/>
        <c:lblAlgn val="ctr"/>
        <c:lblOffset val="100"/>
        <c:noMultiLvlLbl val="0"/>
      </c:catAx>
      <c:valAx>
        <c:axId val="199089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9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[Task_1.xlsx]Sheet1!PivotTable2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Sheet1!$B$35:$B$40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Sheet1!$C$35:$C$40</c:f>
              <c:numCache>
                <c:formatCode>0</c:formatCode>
                <c:ptCount val="5"/>
                <c:pt idx="0">
                  <c:v>2786.9152854511972</c:v>
                </c:pt>
                <c:pt idx="1">
                  <c:v>5502.2771535580523</c:v>
                </c:pt>
                <c:pt idx="2">
                  <c:v>9817.2522935779816</c:v>
                </c:pt>
                <c:pt idx="3">
                  <c:v>15503.783018867925</c:v>
                </c:pt>
                <c:pt idx="4">
                  <c:v>19191.82608695652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7-434F-8053-7BD2DB348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9451407"/>
        <c:axId val="489451887"/>
      </c:barChart>
      <c:catAx>
        <c:axId val="4894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51887"/>
        <c:crosses val="autoZero"/>
        <c:auto val="1"/>
        <c:lblAlgn val="ctr"/>
        <c:lblOffset val="100"/>
        <c:noMultiLvlLbl val="0"/>
      </c:catAx>
      <c:valAx>
        <c:axId val="48945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57150</xdr:rowOff>
    </xdr:from>
    <xdr:to>
      <xdr:col>12</xdr:col>
      <xdr:colOff>251460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2E4A2-6A9D-F1E7-D9CC-9AEE931B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281940</xdr:colOff>
      <xdr:row>31</xdr:row>
      <xdr:rowOff>49530</xdr:rowOff>
    </xdr:from>
    <xdr:to>
      <xdr:col>12</xdr:col>
      <xdr:colOff>411480</xdr:colOff>
      <xdr:row>47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FDED73-58BC-1CDA-4DD9-0D22D9BBD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GALI%20SHIVAKRISHNA_EXCEL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Shivakrishna" refreshedDate="46011.592565162035" createdVersion="8" refreshedVersion="8" minRefreshableVersion="3" recordCount="1470" xr:uid="{0FB4CC44-1FC6-405B-A07F-9BADCB7937D2}">
  <cacheSource type="worksheet">
    <worksheetSource ref="A1:AL1471" sheet="GALI SHIVAKRISHNA_EXCEL" r:id="rId2"/>
  </cacheSource>
  <cacheFields count="38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_Clea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OverTime_Clean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/>
    </cacheField>
    <cacheField name="Experience_Bucket" numFmtId="0">
      <sharedItems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Shivakrishna" refreshedDate="46012.448355671295" createdVersion="8" refreshedVersion="8" minRefreshableVersion="3" recordCount="1470" xr:uid="{121AC238-552E-4252-9347-4271DB5010F1}">
  <cacheSource type="worksheet">
    <worksheetSource ref="A1:AL1471" sheet="GALI SHIVAKRISHNA_EXCEL"/>
  </cacheSource>
  <cacheFields count="38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_Clea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OverTime_Clean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/>
    </cacheField>
    <cacheField name="Experience_Bucket" numFmtId="0">
      <sharedItems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Shivakrishna" refreshedDate="46012.592940509261" createdVersion="8" refreshedVersion="8" minRefreshableVersion="3" recordCount="1470" xr:uid="{560215F8-6DAD-43C2-A573-5CC646C0A900}">
  <cacheSource type="worksheet">
    <worksheetSource ref="A1:AN1471" sheet="GALI SHIVAKRISHNA_EXCEL"/>
  </cacheSource>
  <cacheFields count="40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_Clea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OverTime_Clean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/>
    </cacheField>
    <cacheField name="Experience_Bucket" numFmtId="0">
      <sharedItems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_vs_Department_Avg" numFmtId="0">
      <sharedItems/>
    </cacheField>
    <cacheField name="% OT Emp" numFmtId="0">
      <sharedItems containsString="0" containsBlank="1" containsNumber="1" minValue="0" maxValue="29.0076335877862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Shivakrishna" refreshedDate="46012.772005324077" createdVersion="8" refreshedVersion="8" minRefreshableVersion="3" recordCount="1470" xr:uid="{E8B355B0-D653-431E-9F83-0042AB4F5598}">
  <cacheSource type="worksheet">
    <worksheetSource ref="A1:AP1471" sheet="GALI SHIVAKRISHNA_EXCEL"/>
  </cacheSource>
  <cacheFields count="42">
    <cacheField name="Age" numFmtId="1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_Clea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OverTime_Clean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1">
      <sharedItems containsSemiMixedTypes="0" containsString="0" containsNumber="1" containsInteger="1" minValue="0" maxValue="40"/>
    </cacheField>
    <cacheField name="Experience_Bucket" numFmtId="0">
      <sharedItems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1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_vs_Department_Avg" numFmtId="0">
      <sharedItems/>
    </cacheField>
    <cacheField name="% OT Emp" numFmtId="0">
      <sharedItems containsString="0" containsBlank="1" containsNumber="1" minValue="0" maxValue="29.007633587786259"/>
    </cacheField>
    <cacheField name="Low Salary Hike" numFmtId="0">
      <sharedItems/>
    </cacheField>
    <cacheField name="Tenure_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s v="Yes"/>
    <n v="11"/>
    <n v="3"/>
    <n v="1"/>
    <n v="80"/>
    <n v="0"/>
    <n v="8"/>
    <s v="6-15"/>
    <n v="0"/>
    <n v="1"/>
    <n v="6"/>
    <n v="4"/>
    <n v="0"/>
    <n v="5"/>
  </r>
  <r>
    <n v="49"/>
    <x v="1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s v="No"/>
    <n v="23"/>
    <n v="4"/>
    <n v="4"/>
    <n v="80"/>
    <n v="1"/>
    <n v="10"/>
    <s v="6-15"/>
    <n v="3"/>
    <n v="3"/>
    <n v="10"/>
    <n v="7"/>
    <n v="1"/>
    <n v="7"/>
  </r>
  <r>
    <n v="37"/>
    <x v="0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s v="Yes"/>
    <n v="15"/>
    <n v="3"/>
    <n v="2"/>
    <n v="80"/>
    <n v="0"/>
    <n v="7"/>
    <s v="6-15"/>
    <n v="3"/>
    <n v="3"/>
    <n v="0"/>
    <n v="0"/>
    <n v="0"/>
    <n v="0"/>
  </r>
  <r>
    <n v="33"/>
    <x v="1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s v="Yes"/>
    <n v="11"/>
    <n v="3"/>
    <n v="3"/>
    <n v="80"/>
    <n v="0"/>
    <n v="8"/>
    <s v="6-15"/>
    <n v="3"/>
    <n v="3"/>
    <n v="8"/>
    <n v="7"/>
    <n v="3"/>
    <n v="0"/>
  </r>
  <r>
    <n v="27"/>
    <x v="1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s v="No"/>
    <n v="12"/>
    <n v="3"/>
    <n v="4"/>
    <n v="80"/>
    <n v="1"/>
    <n v="6"/>
    <s v="6-15"/>
    <n v="3"/>
    <n v="3"/>
    <n v="2"/>
    <n v="2"/>
    <n v="2"/>
    <n v="2"/>
  </r>
  <r>
    <n v="32"/>
    <x v="1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s v="No"/>
    <n v="13"/>
    <n v="3"/>
    <n v="3"/>
    <n v="80"/>
    <n v="0"/>
    <n v="8"/>
    <s v="6-15"/>
    <n v="2"/>
    <n v="2"/>
    <n v="7"/>
    <n v="7"/>
    <n v="3"/>
    <n v="6"/>
  </r>
  <r>
    <n v="59"/>
    <x v="1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s v="Yes"/>
    <n v="20"/>
    <n v="4"/>
    <n v="1"/>
    <n v="80"/>
    <n v="3"/>
    <n v="12"/>
    <s v="6-15"/>
    <n v="3"/>
    <n v="2"/>
    <n v="1"/>
    <n v="0"/>
    <n v="0"/>
    <n v="0"/>
  </r>
  <r>
    <n v="30"/>
    <x v="1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s v="No"/>
    <n v="22"/>
    <n v="4"/>
    <n v="2"/>
    <n v="80"/>
    <n v="1"/>
    <n v="1"/>
    <s v="0-5"/>
    <n v="2"/>
    <n v="3"/>
    <n v="1"/>
    <n v="0"/>
    <n v="0"/>
    <n v="0"/>
  </r>
  <r>
    <n v="38"/>
    <x v="1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s v="No"/>
    <n v="21"/>
    <n v="4"/>
    <n v="2"/>
    <n v="80"/>
    <n v="0"/>
    <n v="10"/>
    <s v="6-15"/>
    <n v="2"/>
    <n v="3"/>
    <n v="9"/>
    <n v="7"/>
    <n v="1"/>
    <n v="8"/>
  </r>
  <r>
    <n v="36"/>
    <x v="1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s v="No"/>
    <n v="13"/>
    <n v="3"/>
    <n v="2"/>
    <n v="80"/>
    <n v="2"/>
    <n v="17"/>
    <s v="&gt;15"/>
    <n v="3"/>
    <n v="2"/>
    <n v="7"/>
    <n v="7"/>
    <n v="7"/>
    <n v="7"/>
  </r>
  <r>
    <n v="35"/>
    <x v="1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s v="No"/>
    <n v="13"/>
    <n v="3"/>
    <n v="3"/>
    <n v="80"/>
    <n v="1"/>
    <n v="6"/>
    <s v="6-15"/>
    <n v="5"/>
    <n v="3"/>
    <n v="5"/>
    <n v="4"/>
    <n v="0"/>
    <n v="3"/>
  </r>
  <r>
    <n v="29"/>
    <x v="1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s v="Yes"/>
    <n v="12"/>
    <n v="3"/>
    <n v="4"/>
    <n v="80"/>
    <n v="0"/>
    <n v="10"/>
    <s v="6-15"/>
    <n v="3"/>
    <n v="3"/>
    <n v="9"/>
    <n v="5"/>
    <n v="0"/>
    <n v="8"/>
  </r>
  <r>
    <n v="31"/>
    <x v="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s v="No"/>
    <n v="17"/>
    <n v="3"/>
    <n v="4"/>
    <n v="80"/>
    <n v="1"/>
    <n v="5"/>
    <s v="0-5"/>
    <n v="1"/>
    <n v="2"/>
    <n v="5"/>
    <n v="2"/>
    <n v="4"/>
    <n v="3"/>
  </r>
  <r>
    <n v="34"/>
    <x v="1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s v="No"/>
    <n v="11"/>
    <n v="3"/>
    <n v="3"/>
    <n v="80"/>
    <n v="1"/>
    <n v="3"/>
    <s v="0-5"/>
    <n v="2"/>
    <n v="3"/>
    <n v="2"/>
    <n v="2"/>
    <n v="1"/>
    <n v="2"/>
  </r>
  <r>
    <n v="28"/>
    <x v="0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s v="Yes"/>
    <n v="14"/>
    <n v="3"/>
    <n v="2"/>
    <n v="80"/>
    <n v="0"/>
    <n v="6"/>
    <s v="6-15"/>
    <n v="4"/>
    <n v="3"/>
    <n v="4"/>
    <n v="2"/>
    <n v="0"/>
    <n v="3"/>
  </r>
  <r>
    <n v="29"/>
    <x v="1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s v="No"/>
    <n v="11"/>
    <n v="3"/>
    <n v="3"/>
    <n v="80"/>
    <n v="1"/>
    <n v="10"/>
    <s v="6-15"/>
    <n v="1"/>
    <n v="3"/>
    <n v="10"/>
    <n v="9"/>
    <n v="8"/>
    <n v="8"/>
  </r>
  <r>
    <n v="32"/>
    <x v="1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s v="Yes"/>
    <n v="12"/>
    <n v="3"/>
    <n v="4"/>
    <n v="80"/>
    <n v="2"/>
    <n v="7"/>
    <s v="6-15"/>
    <n v="5"/>
    <n v="2"/>
    <n v="6"/>
    <n v="2"/>
    <n v="0"/>
    <n v="5"/>
  </r>
  <r>
    <n v="22"/>
    <x v="1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s v="Yes"/>
    <n v="13"/>
    <n v="3"/>
    <n v="2"/>
    <n v="80"/>
    <n v="2"/>
    <n v="1"/>
    <s v="0-5"/>
    <n v="2"/>
    <n v="2"/>
    <n v="1"/>
    <n v="0"/>
    <n v="0"/>
    <n v="0"/>
  </r>
  <r>
    <n v="53"/>
    <x v="1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s v="No"/>
    <n v="16"/>
    <n v="3"/>
    <n v="3"/>
    <n v="80"/>
    <n v="0"/>
    <n v="31"/>
    <s v="&gt;15"/>
    <n v="3"/>
    <n v="3"/>
    <n v="25"/>
    <n v="8"/>
    <n v="3"/>
    <n v="7"/>
  </r>
  <r>
    <n v="38"/>
    <x v="1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s v="Yes"/>
    <n v="11"/>
    <n v="3"/>
    <n v="3"/>
    <n v="80"/>
    <n v="0"/>
    <n v="6"/>
    <s v="6-15"/>
    <n v="3"/>
    <n v="3"/>
    <n v="3"/>
    <n v="2"/>
    <n v="1"/>
    <n v="2"/>
  </r>
  <r>
    <n v="24"/>
    <x v="1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s v="No"/>
    <n v="18"/>
    <n v="3"/>
    <n v="4"/>
    <n v="80"/>
    <n v="1"/>
    <n v="5"/>
    <s v="0-5"/>
    <n v="5"/>
    <n v="2"/>
    <n v="4"/>
    <n v="2"/>
    <n v="1"/>
    <n v="3"/>
  </r>
  <r>
    <n v="36"/>
    <x v="0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s v="No"/>
    <n v="23"/>
    <n v="4"/>
    <n v="2"/>
    <n v="80"/>
    <n v="0"/>
    <n v="10"/>
    <s v="6-15"/>
    <n v="4"/>
    <n v="3"/>
    <n v="5"/>
    <n v="3"/>
    <n v="0"/>
    <n v="3"/>
  </r>
  <r>
    <n v="34"/>
    <x v="1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s v="No"/>
    <n v="11"/>
    <n v="3"/>
    <n v="3"/>
    <n v="80"/>
    <n v="0"/>
    <n v="13"/>
    <s v="6-15"/>
    <n v="4"/>
    <n v="3"/>
    <n v="12"/>
    <n v="6"/>
    <n v="2"/>
    <n v="11"/>
  </r>
  <r>
    <n v="21"/>
    <x v="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s v="No"/>
    <n v="14"/>
    <n v="3"/>
    <n v="4"/>
    <n v="80"/>
    <n v="0"/>
    <n v="0"/>
    <s v="0-5"/>
    <n v="6"/>
    <n v="3"/>
    <n v="0"/>
    <n v="0"/>
    <n v="0"/>
    <n v="0"/>
  </r>
  <r>
    <n v="34"/>
    <x v="0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s v="No"/>
    <n v="11"/>
    <n v="3"/>
    <n v="3"/>
    <n v="80"/>
    <n v="0"/>
    <n v="8"/>
    <s v="6-15"/>
    <n v="2"/>
    <n v="3"/>
    <n v="4"/>
    <n v="2"/>
    <n v="1"/>
    <n v="3"/>
  </r>
  <r>
    <n v="53"/>
    <x v="1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s v="No"/>
    <n v="11"/>
    <n v="3"/>
    <n v="4"/>
    <n v="80"/>
    <n v="1"/>
    <n v="26"/>
    <s v="&gt;15"/>
    <n v="3"/>
    <n v="2"/>
    <n v="14"/>
    <n v="13"/>
    <n v="4"/>
    <n v="8"/>
  </r>
  <r>
    <n v="32"/>
    <x v="0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s v="Yes"/>
    <n v="22"/>
    <n v="4"/>
    <n v="2"/>
    <n v="80"/>
    <n v="0"/>
    <n v="10"/>
    <s v="6-15"/>
    <n v="5"/>
    <n v="3"/>
    <n v="10"/>
    <n v="2"/>
    <n v="6"/>
    <n v="7"/>
  </r>
  <r>
    <n v="42"/>
    <x v="1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s v="No"/>
    <n v="11"/>
    <n v="3"/>
    <n v="4"/>
    <n v="80"/>
    <n v="1"/>
    <n v="10"/>
    <s v="6-15"/>
    <n v="2"/>
    <n v="3"/>
    <n v="9"/>
    <n v="7"/>
    <n v="4"/>
    <n v="2"/>
  </r>
  <r>
    <n v="44"/>
    <x v="1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s v="No"/>
    <n v="14"/>
    <n v="3"/>
    <n v="4"/>
    <n v="80"/>
    <n v="1"/>
    <n v="24"/>
    <s v="&gt;15"/>
    <n v="4"/>
    <n v="3"/>
    <n v="22"/>
    <n v="6"/>
    <n v="5"/>
    <n v="17"/>
  </r>
  <r>
    <n v="46"/>
    <x v="1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s v="No"/>
    <n v="12"/>
    <n v="3"/>
    <n v="4"/>
    <n v="80"/>
    <n v="0"/>
    <n v="22"/>
    <s v="&gt;15"/>
    <n v="2"/>
    <n v="2"/>
    <n v="2"/>
    <n v="2"/>
    <n v="2"/>
    <n v="1"/>
  </r>
  <r>
    <n v="33"/>
    <x v="1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s v="No"/>
    <n v="11"/>
    <n v="3"/>
    <n v="4"/>
    <n v="80"/>
    <n v="0"/>
    <n v="7"/>
    <s v="6-15"/>
    <n v="3"/>
    <n v="3"/>
    <n v="1"/>
    <n v="1"/>
    <n v="0"/>
    <n v="0"/>
  </r>
  <r>
    <n v="44"/>
    <x v="1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s v="Yes"/>
    <n v="13"/>
    <n v="3"/>
    <n v="4"/>
    <n v="80"/>
    <n v="0"/>
    <n v="9"/>
    <s v="6-15"/>
    <n v="5"/>
    <n v="4"/>
    <n v="4"/>
    <n v="2"/>
    <n v="1"/>
    <n v="3"/>
  </r>
  <r>
    <n v="30"/>
    <x v="1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s v="No"/>
    <n v="13"/>
    <n v="3"/>
    <n v="1"/>
    <n v="80"/>
    <n v="0"/>
    <n v="10"/>
    <s v="6-15"/>
    <n v="5"/>
    <n v="3"/>
    <n v="10"/>
    <n v="0"/>
    <n v="1"/>
    <n v="8"/>
  </r>
  <r>
    <n v="39"/>
    <x v="0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s v="No"/>
    <n v="14"/>
    <n v="3"/>
    <n v="3"/>
    <n v="80"/>
    <n v="1"/>
    <n v="19"/>
    <s v="&gt;15"/>
    <n v="6"/>
    <n v="4"/>
    <n v="1"/>
    <n v="0"/>
    <n v="0"/>
    <n v="0"/>
  </r>
  <r>
    <n v="24"/>
    <x v="0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s v="Yes"/>
    <n v="16"/>
    <n v="3"/>
    <n v="1"/>
    <n v="80"/>
    <n v="1"/>
    <n v="6"/>
    <s v="6-15"/>
    <n v="2"/>
    <n v="2"/>
    <n v="2"/>
    <n v="0"/>
    <n v="2"/>
    <n v="0"/>
  </r>
  <r>
    <n v="43"/>
    <x v="1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s v="No"/>
    <n v="12"/>
    <n v="3"/>
    <n v="4"/>
    <n v="80"/>
    <n v="2"/>
    <n v="6"/>
    <s v="6-15"/>
    <n v="3"/>
    <n v="2"/>
    <n v="5"/>
    <n v="3"/>
    <n v="1"/>
    <n v="4"/>
  </r>
  <r>
    <n v="50"/>
    <x v="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s v="Yes"/>
    <n v="14"/>
    <n v="3"/>
    <n v="3"/>
    <n v="80"/>
    <n v="0"/>
    <n v="3"/>
    <s v="0-5"/>
    <n v="2"/>
    <n v="3"/>
    <n v="3"/>
    <n v="2"/>
    <n v="0"/>
    <n v="2"/>
  </r>
  <r>
    <n v="35"/>
    <x v="1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s v="No"/>
    <n v="13"/>
    <n v="3"/>
    <n v="1"/>
    <n v="80"/>
    <n v="0"/>
    <n v="2"/>
    <s v="0-5"/>
    <n v="3"/>
    <n v="3"/>
    <n v="2"/>
    <n v="2"/>
    <n v="2"/>
    <n v="2"/>
  </r>
  <r>
    <n v="36"/>
    <x v="1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s v="Yes"/>
    <n v="14"/>
    <n v="3"/>
    <n v="4"/>
    <n v="80"/>
    <n v="1"/>
    <n v="6"/>
    <s v="6-15"/>
    <n v="3"/>
    <n v="4"/>
    <n v="1"/>
    <n v="1"/>
    <n v="0"/>
    <n v="0"/>
  </r>
  <r>
    <n v="33"/>
    <x v="1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s v="No"/>
    <n v="19"/>
    <n v="3"/>
    <n v="1"/>
    <n v="80"/>
    <n v="2"/>
    <n v="10"/>
    <s v="6-15"/>
    <n v="3"/>
    <n v="3"/>
    <n v="5"/>
    <n v="3"/>
    <n v="1"/>
    <n v="3"/>
  </r>
  <r>
    <n v="35"/>
    <x v="1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s v="No"/>
    <n v="12"/>
    <n v="3"/>
    <n v="3"/>
    <n v="80"/>
    <n v="1"/>
    <n v="1"/>
    <s v="0-5"/>
    <n v="3"/>
    <n v="3"/>
    <n v="1"/>
    <n v="0"/>
    <n v="0"/>
    <n v="0"/>
  </r>
  <r>
    <n v="27"/>
    <x v="1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s v="No"/>
    <n v="13"/>
    <n v="3"/>
    <n v="4"/>
    <n v="80"/>
    <n v="1"/>
    <n v="1"/>
    <s v="0-5"/>
    <n v="6"/>
    <n v="3"/>
    <n v="1"/>
    <n v="0"/>
    <n v="0"/>
    <n v="0"/>
  </r>
  <r>
    <n v="26"/>
    <x v="0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s v="No"/>
    <n v="12"/>
    <n v="3"/>
    <n v="3"/>
    <n v="80"/>
    <n v="0"/>
    <n v="1"/>
    <s v="0-5"/>
    <n v="2"/>
    <n v="2"/>
    <n v="1"/>
    <n v="0"/>
    <n v="0"/>
    <n v="1"/>
  </r>
  <r>
    <n v="27"/>
    <x v="1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s v="No"/>
    <n v="15"/>
    <n v="3"/>
    <n v="4"/>
    <n v="80"/>
    <n v="0"/>
    <n v="9"/>
    <s v="6-15"/>
    <n v="0"/>
    <n v="3"/>
    <n v="9"/>
    <n v="8"/>
    <n v="1"/>
    <n v="7"/>
  </r>
  <r>
    <n v="30"/>
    <x v="1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s v="No"/>
    <n v="23"/>
    <n v="4"/>
    <n v="4"/>
    <n v="80"/>
    <n v="0"/>
    <n v="12"/>
    <s v="6-15"/>
    <n v="2"/>
    <n v="3"/>
    <n v="12"/>
    <n v="8"/>
    <n v="3"/>
    <n v="7"/>
  </r>
  <r>
    <n v="41"/>
    <x v="0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s v="No"/>
    <n v="12"/>
    <n v="3"/>
    <n v="4"/>
    <n v="80"/>
    <n v="0"/>
    <n v="23"/>
    <s v="&gt;15"/>
    <n v="0"/>
    <n v="3"/>
    <n v="22"/>
    <n v="15"/>
    <n v="15"/>
    <n v="8"/>
  </r>
  <r>
    <n v="34"/>
    <x v="1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s v="No"/>
    <n v="20"/>
    <n v="4"/>
    <n v="3"/>
    <n v="80"/>
    <n v="0"/>
    <n v="10"/>
    <s v="6-15"/>
    <n v="2"/>
    <n v="3"/>
    <n v="9"/>
    <n v="5"/>
    <n v="8"/>
    <n v="7"/>
  </r>
  <r>
    <n v="37"/>
    <x v="1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s v="No"/>
    <n v="21"/>
    <n v="4"/>
    <n v="1"/>
    <n v="80"/>
    <n v="0"/>
    <n v="8"/>
    <s v="6-15"/>
    <n v="1"/>
    <n v="3"/>
    <n v="1"/>
    <n v="0"/>
    <n v="0"/>
    <n v="0"/>
  </r>
  <r>
    <n v="46"/>
    <x v="1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s v="Yes"/>
    <n v="21"/>
    <n v="4"/>
    <n v="3"/>
    <n v="80"/>
    <n v="0"/>
    <n v="14"/>
    <s v="6-15"/>
    <n v="4"/>
    <n v="3"/>
    <n v="9"/>
    <n v="6"/>
    <n v="0"/>
    <n v="8"/>
  </r>
  <r>
    <n v="35"/>
    <x v="1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s v="No"/>
    <n v="19"/>
    <n v="3"/>
    <n v="4"/>
    <n v="80"/>
    <n v="0"/>
    <n v="1"/>
    <s v="0-5"/>
    <n v="2"/>
    <n v="3"/>
    <n v="1"/>
    <n v="0"/>
    <n v="0"/>
    <n v="1"/>
  </r>
  <r>
    <n v="48"/>
    <x v="0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s v="Yes"/>
    <n v="13"/>
    <n v="3"/>
    <n v="4"/>
    <n v="80"/>
    <n v="0"/>
    <n v="23"/>
    <s v="&gt;15"/>
    <n v="2"/>
    <n v="3"/>
    <n v="1"/>
    <n v="0"/>
    <n v="0"/>
    <n v="0"/>
  </r>
  <r>
    <n v="28"/>
    <x v="0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s v="Yes"/>
    <n v="13"/>
    <n v="3"/>
    <n v="3"/>
    <n v="80"/>
    <n v="0"/>
    <n v="2"/>
    <s v="0-5"/>
    <n v="3"/>
    <n v="2"/>
    <n v="2"/>
    <n v="2"/>
    <n v="2"/>
    <n v="2"/>
  </r>
  <r>
    <n v="44"/>
    <x v="1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s v="Yes"/>
    <n v="21"/>
    <n v="4"/>
    <n v="3"/>
    <n v="80"/>
    <n v="1"/>
    <n v="9"/>
    <s v="6-15"/>
    <n v="2"/>
    <n v="2"/>
    <n v="4"/>
    <n v="3"/>
    <n v="1"/>
    <n v="3"/>
  </r>
  <r>
    <n v="35"/>
    <x v="1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s v="Yes"/>
    <n v="13"/>
    <n v="3"/>
    <n v="3"/>
    <n v="80"/>
    <n v="1"/>
    <n v="10"/>
    <s v="6-15"/>
    <n v="3"/>
    <n v="3"/>
    <n v="4"/>
    <n v="0"/>
    <n v="2"/>
    <n v="3"/>
  </r>
  <r>
    <n v="26"/>
    <x v="1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s v="Yes"/>
    <n v="19"/>
    <n v="3"/>
    <n v="3"/>
    <n v="80"/>
    <n v="1"/>
    <n v="5"/>
    <s v="0-5"/>
    <n v="2"/>
    <n v="2"/>
    <n v="2"/>
    <n v="2"/>
    <n v="0"/>
    <n v="0"/>
  </r>
  <r>
    <n v="33"/>
    <x v="1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s v="Yes"/>
    <n v="12"/>
    <n v="3"/>
    <n v="3"/>
    <n v="80"/>
    <n v="0"/>
    <n v="15"/>
    <s v="6-15"/>
    <n v="1"/>
    <n v="3"/>
    <n v="15"/>
    <n v="14"/>
    <n v="8"/>
    <n v="12"/>
  </r>
  <r>
    <n v="35"/>
    <x v="1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s v="No"/>
    <n v="22"/>
    <n v="4"/>
    <n v="4"/>
    <n v="80"/>
    <n v="1"/>
    <n v="9"/>
    <s v="6-15"/>
    <n v="3"/>
    <n v="2"/>
    <n v="9"/>
    <n v="8"/>
    <n v="1"/>
    <n v="8"/>
  </r>
  <r>
    <n v="35"/>
    <x v="1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s v="Yes"/>
    <n v="15"/>
    <n v="3"/>
    <n v="3"/>
    <n v="80"/>
    <n v="1"/>
    <n v="4"/>
    <s v="0-5"/>
    <n v="3"/>
    <n v="3"/>
    <n v="2"/>
    <n v="2"/>
    <n v="2"/>
    <n v="2"/>
  </r>
  <r>
    <n v="31"/>
    <x v="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s v="No"/>
    <n v="22"/>
    <n v="4"/>
    <n v="4"/>
    <n v="80"/>
    <n v="1"/>
    <n v="10"/>
    <s v="6-15"/>
    <n v="3"/>
    <n v="2"/>
    <n v="7"/>
    <n v="7"/>
    <n v="1"/>
    <n v="7"/>
  </r>
  <r>
    <n v="37"/>
    <x v="1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s v="No"/>
    <n v="18"/>
    <n v="3"/>
    <n v="3"/>
    <n v="80"/>
    <n v="1"/>
    <n v="7"/>
    <s v="6-15"/>
    <n v="2"/>
    <n v="4"/>
    <n v="7"/>
    <n v="5"/>
    <n v="0"/>
    <n v="7"/>
  </r>
  <r>
    <n v="32"/>
    <x v="1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s v="Yes"/>
    <n v="22"/>
    <n v="4"/>
    <n v="2"/>
    <n v="80"/>
    <n v="1"/>
    <n v="9"/>
    <s v="6-15"/>
    <n v="3"/>
    <n v="3"/>
    <n v="9"/>
    <n v="8"/>
    <n v="7"/>
    <n v="8"/>
  </r>
  <r>
    <n v="38"/>
    <x v="1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s v="No"/>
    <n v="11"/>
    <n v="3"/>
    <n v="4"/>
    <n v="80"/>
    <n v="0"/>
    <n v="10"/>
    <s v="6-15"/>
    <n v="2"/>
    <n v="3"/>
    <n v="10"/>
    <n v="3"/>
    <n v="9"/>
    <n v="9"/>
  </r>
  <r>
    <n v="50"/>
    <x v="1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s v="Yes"/>
    <n v="12"/>
    <n v="3"/>
    <n v="4"/>
    <n v="80"/>
    <n v="1"/>
    <n v="29"/>
    <s v="&gt;15"/>
    <n v="2"/>
    <n v="2"/>
    <n v="27"/>
    <n v="3"/>
    <n v="13"/>
    <n v="8"/>
  </r>
  <r>
    <n v="59"/>
    <x v="1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s v="No"/>
    <n v="11"/>
    <n v="3"/>
    <n v="4"/>
    <n v="80"/>
    <n v="0"/>
    <n v="28"/>
    <s v="&gt;15"/>
    <n v="3"/>
    <n v="2"/>
    <n v="21"/>
    <n v="16"/>
    <n v="7"/>
    <n v="9"/>
  </r>
  <r>
    <n v="36"/>
    <x v="1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s v="No"/>
    <n v="13"/>
    <n v="3"/>
    <n v="2"/>
    <n v="80"/>
    <n v="3"/>
    <n v="17"/>
    <s v="&gt;15"/>
    <n v="2"/>
    <n v="3"/>
    <n v="17"/>
    <n v="14"/>
    <n v="12"/>
    <n v="8"/>
  </r>
  <r>
    <n v="55"/>
    <x v="1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s v="Yes"/>
    <n v="14"/>
    <n v="3"/>
    <n v="3"/>
    <n v="80"/>
    <n v="3"/>
    <n v="21"/>
    <s v="&gt;15"/>
    <n v="2"/>
    <n v="3"/>
    <n v="5"/>
    <n v="0"/>
    <n v="0"/>
    <n v="2"/>
  </r>
  <r>
    <n v="36"/>
    <x v="1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s v="No"/>
    <n v="13"/>
    <n v="3"/>
    <n v="3"/>
    <n v="80"/>
    <n v="0"/>
    <n v="6"/>
    <s v="6-15"/>
    <n v="3"/>
    <n v="3"/>
    <n v="6"/>
    <n v="5"/>
    <n v="0"/>
    <n v="3"/>
  </r>
  <r>
    <n v="45"/>
    <x v="1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s v="No"/>
    <n v="17"/>
    <n v="3"/>
    <n v="3"/>
    <n v="80"/>
    <n v="1"/>
    <n v="25"/>
    <s v="&gt;15"/>
    <n v="2"/>
    <n v="3"/>
    <n v="1"/>
    <n v="0"/>
    <n v="0"/>
    <n v="0"/>
  </r>
  <r>
    <n v="35"/>
    <x v="1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s v="No"/>
    <n v="13"/>
    <n v="3"/>
    <n v="4"/>
    <n v="80"/>
    <n v="1"/>
    <n v="5"/>
    <s v="0-5"/>
    <n v="2"/>
    <n v="2"/>
    <n v="3"/>
    <n v="2"/>
    <n v="1"/>
    <n v="2"/>
  </r>
  <r>
    <n v="36"/>
    <x v="0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s v="Yes"/>
    <n v="17"/>
    <n v="3"/>
    <n v="1"/>
    <n v="80"/>
    <n v="1"/>
    <n v="2"/>
    <s v="0-5"/>
    <n v="0"/>
    <n v="2"/>
    <n v="1"/>
    <n v="0"/>
    <n v="0"/>
    <n v="0"/>
  </r>
  <r>
    <n v="59"/>
    <x v="1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s v="No"/>
    <n v="11"/>
    <n v="3"/>
    <n v="4"/>
    <n v="80"/>
    <n v="0"/>
    <n v="20"/>
    <s v="&gt;15"/>
    <n v="2"/>
    <n v="2"/>
    <n v="4"/>
    <n v="3"/>
    <n v="1"/>
    <n v="3"/>
  </r>
  <r>
    <n v="29"/>
    <x v="1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s v="No"/>
    <n v="23"/>
    <n v="4"/>
    <n v="4"/>
    <n v="80"/>
    <n v="1"/>
    <n v="6"/>
    <s v="6-15"/>
    <n v="3"/>
    <n v="3"/>
    <n v="5"/>
    <n v="4"/>
    <n v="0"/>
    <n v="4"/>
  </r>
  <r>
    <n v="31"/>
    <x v="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s v="No"/>
    <n v="17"/>
    <n v="3"/>
    <n v="2"/>
    <n v="80"/>
    <n v="0"/>
    <n v="1"/>
    <s v="0-5"/>
    <n v="4"/>
    <n v="3"/>
    <n v="1"/>
    <n v="1"/>
    <n v="1"/>
    <n v="0"/>
  </r>
  <r>
    <n v="32"/>
    <x v="1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s v="No"/>
    <n v="17"/>
    <n v="3"/>
    <n v="2"/>
    <n v="80"/>
    <n v="2"/>
    <n v="10"/>
    <s v="6-15"/>
    <n v="3"/>
    <n v="3"/>
    <n v="10"/>
    <n v="4"/>
    <n v="0"/>
    <n v="9"/>
  </r>
  <r>
    <n v="36"/>
    <x v="1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s v="No"/>
    <n v="12"/>
    <n v="3"/>
    <n v="2"/>
    <n v="80"/>
    <n v="0"/>
    <n v="5"/>
    <s v="0-5"/>
    <n v="3"/>
    <n v="3"/>
    <n v="1"/>
    <n v="0"/>
    <n v="0"/>
    <n v="0"/>
  </r>
  <r>
    <n v="31"/>
    <x v="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s v="No"/>
    <n v="23"/>
    <n v="4"/>
    <n v="4"/>
    <n v="80"/>
    <n v="0"/>
    <n v="11"/>
    <s v="6-15"/>
    <n v="2"/>
    <n v="3"/>
    <n v="11"/>
    <n v="7"/>
    <n v="1"/>
    <n v="8"/>
  </r>
  <r>
    <n v="35"/>
    <x v="1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s v="No"/>
    <n v="14"/>
    <n v="3"/>
    <n v="2"/>
    <n v="80"/>
    <n v="0"/>
    <n v="16"/>
    <s v="&gt;15"/>
    <n v="2"/>
    <n v="3"/>
    <n v="15"/>
    <n v="13"/>
    <n v="2"/>
    <n v="8"/>
  </r>
  <r>
    <n v="45"/>
    <x v="1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s v="Yes"/>
    <n v="14"/>
    <n v="3"/>
    <n v="2"/>
    <n v="80"/>
    <n v="0"/>
    <n v="17"/>
    <s v="&gt;15"/>
    <n v="3"/>
    <n v="4"/>
    <n v="0"/>
    <n v="0"/>
    <n v="0"/>
    <n v="0"/>
  </r>
  <r>
    <n v="37"/>
    <x v="1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s v="No"/>
    <n v="13"/>
    <n v="3"/>
    <n v="1"/>
    <n v="80"/>
    <n v="0"/>
    <n v="16"/>
    <s v="&gt;15"/>
    <n v="3"/>
    <n v="4"/>
    <n v="5"/>
    <n v="2"/>
    <n v="0"/>
    <n v="2"/>
  </r>
  <r>
    <n v="46"/>
    <x v="1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s v="Yes"/>
    <n v="22"/>
    <n v="4"/>
    <n v="4"/>
    <n v="80"/>
    <n v="1"/>
    <n v="16"/>
    <s v="&gt;15"/>
    <n v="2"/>
    <n v="3"/>
    <n v="4"/>
    <n v="2"/>
    <n v="0"/>
    <n v="2"/>
  </r>
  <r>
    <n v="30"/>
    <x v="1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s v="Yes"/>
    <n v="12"/>
    <n v="3"/>
    <n v="3"/>
    <n v="80"/>
    <n v="2"/>
    <n v="10"/>
    <s v="6-15"/>
    <n v="1"/>
    <n v="2"/>
    <n v="10"/>
    <n v="8"/>
    <n v="3"/>
    <n v="0"/>
  </r>
  <r>
    <n v="35"/>
    <x v="1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s v="No"/>
    <n v="18"/>
    <n v="3"/>
    <n v="1"/>
    <n v="80"/>
    <n v="0"/>
    <n v="6"/>
    <s v="6-15"/>
    <n v="3"/>
    <n v="3"/>
    <n v="6"/>
    <n v="4"/>
    <n v="0"/>
    <n v="4"/>
  </r>
  <r>
    <n v="55"/>
    <x v="1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s v="No"/>
    <n v="14"/>
    <n v="3"/>
    <n v="4"/>
    <n v="80"/>
    <n v="1"/>
    <n v="24"/>
    <s v="&gt;15"/>
    <n v="4"/>
    <n v="3"/>
    <n v="1"/>
    <n v="0"/>
    <n v="1"/>
    <n v="0"/>
  </r>
  <r>
    <n v="38"/>
    <x v="1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s v="Yes"/>
    <n v="12"/>
    <n v="3"/>
    <n v="4"/>
    <n v="80"/>
    <n v="3"/>
    <n v="17"/>
    <s v="&gt;15"/>
    <n v="3"/>
    <n v="3"/>
    <n v="13"/>
    <n v="11"/>
    <n v="1"/>
    <n v="9"/>
  </r>
  <r>
    <n v="34"/>
    <x v="1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s v="No"/>
    <n v="15"/>
    <n v="3"/>
    <n v="3"/>
    <n v="80"/>
    <n v="0"/>
    <n v="5"/>
    <s v="0-5"/>
    <n v="2"/>
    <n v="3"/>
    <n v="5"/>
    <n v="2"/>
    <n v="1"/>
    <n v="3"/>
  </r>
  <r>
    <n v="56"/>
    <x v="1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s v="No"/>
    <n v="11"/>
    <n v="3"/>
    <n v="1"/>
    <n v="80"/>
    <n v="0"/>
    <n v="37"/>
    <s v="&gt;15"/>
    <n v="3"/>
    <n v="2"/>
    <n v="6"/>
    <n v="4"/>
    <n v="0"/>
    <n v="2"/>
  </r>
  <r>
    <n v="23"/>
    <x v="1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s v="No"/>
    <n v="13"/>
    <n v="3"/>
    <n v="3"/>
    <n v="80"/>
    <n v="1"/>
    <n v="3"/>
    <s v="0-5"/>
    <n v="3"/>
    <n v="3"/>
    <n v="0"/>
    <n v="0"/>
    <n v="0"/>
    <n v="0"/>
  </r>
  <r>
    <n v="51"/>
    <x v="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s v="No"/>
    <n v="23"/>
    <n v="4"/>
    <n v="2"/>
    <n v="80"/>
    <n v="2"/>
    <n v="10"/>
    <s v="6-15"/>
    <n v="4"/>
    <n v="3"/>
    <n v="4"/>
    <n v="2"/>
    <n v="0"/>
    <n v="3"/>
  </r>
  <r>
    <n v="30"/>
    <x v="1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s v="No"/>
    <n v="19"/>
    <n v="3"/>
    <n v="1"/>
    <n v="80"/>
    <n v="3"/>
    <n v="11"/>
    <s v="6-15"/>
    <n v="3"/>
    <n v="3"/>
    <n v="11"/>
    <n v="10"/>
    <n v="10"/>
    <n v="8"/>
  </r>
  <r>
    <n v="46"/>
    <x v="0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s v="No"/>
    <n v="16"/>
    <n v="3"/>
    <n v="4"/>
    <n v="80"/>
    <n v="0"/>
    <n v="9"/>
    <s v="6-15"/>
    <n v="3"/>
    <n v="3"/>
    <n v="9"/>
    <n v="8"/>
    <n v="4"/>
    <n v="7"/>
  </r>
  <r>
    <n v="40"/>
    <x v="1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s v="No"/>
    <n v="22"/>
    <n v="4"/>
    <n v="4"/>
    <n v="80"/>
    <n v="1"/>
    <n v="22"/>
    <s v="&gt;15"/>
    <n v="3"/>
    <n v="2"/>
    <n v="22"/>
    <n v="3"/>
    <n v="11"/>
    <n v="11"/>
  </r>
  <r>
    <n v="51"/>
    <x v="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s v="Yes"/>
    <n v="22"/>
    <n v="4"/>
    <n v="4"/>
    <n v="80"/>
    <n v="0"/>
    <n v="11"/>
    <s v="6-15"/>
    <n v="2"/>
    <n v="1"/>
    <n v="10"/>
    <n v="7"/>
    <n v="1"/>
    <n v="0"/>
  </r>
  <r>
    <n v="30"/>
    <x v="1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s v="Yes"/>
    <n v="12"/>
    <n v="3"/>
    <n v="2"/>
    <n v="80"/>
    <n v="3"/>
    <n v="11"/>
    <s v="6-15"/>
    <n v="4"/>
    <n v="2"/>
    <n v="11"/>
    <n v="8"/>
    <n v="2"/>
    <n v="7"/>
  </r>
  <r>
    <n v="46"/>
    <x v="1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s v="Yes"/>
    <n v="13"/>
    <n v="3"/>
    <n v="3"/>
    <n v="80"/>
    <n v="1"/>
    <n v="21"/>
    <s v="&gt;15"/>
    <n v="5"/>
    <n v="2"/>
    <n v="10"/>
    <n v="9"/>
    <n v="9"/>
    <n v="5"/>
  </r>
  <r>
    <n v="32"/>
    <x v="1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s v="No"/>
    <n v="16"/>
    <n v="3"/>
    <n v="1"/>
    <n v="80"/>
    <n v="0"/>
    <n v="12"/>
    <s v="6-15"/>
    <n v="0"/>
    <n v="3"/>
    <n v="11"/>
    <n v="8"/>
    <n v="5"/>
    <n v="7"/>
  </r>
  <r>
    <n v="54"/>
    <x v="1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s v="No"/>
    <n v="12"/>
    <n v="3"/>
    <n v="1"/>
    <n v="80"/>
    <n v="1"/>
    <n v="16"/>
    <s v="&gt;15"/>
    <n v="5"/>
    <n v="1"/>
    <n v="4"/>
    <n v="3"/>
    <n v="0"/>
    <n v="3"/>
  </r>
  <r>
    <n v="24"/>
    <x v="1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s v="No"/>
    <n v="21"/>
    <n v="4"/>
    <n v="1"/>
    <n v="80"/>
    <n v="1"/>
    <n v="4"/>
    <s v="0-5"/>
    <n v="2"/>
    <n v="2"/>
    <n v="3"/>
    <n v="2"/>
    <n v="0"/>
    <n v="2"/>
  </r>
  <r>
    <n v="28"/>
    <x v="1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s v="No"/>
    <n v="15"/>
    <n v="3"/>
    <n v="2"/>
    <n v="80"/>
    <n v="0"/>
    <n v="5"/>
    <s v="0-5"/>
    <n v="3"/>
    <n v="4"/>
    <n v="5"/>
    <n v="4"/>
    <n v="0"/>
    <n v="4"/>
  </r>
  <r>
    <n v="58"/>
    <x v="1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s v="No"/>
    <n v="13"/>
    <n v="3"/>
    <n v="3"/>
    <n v="80"/>
    <n v="0"/>
    <n v="38"/>
    <s v="&gt;15"/>
    <n v="1"/>
    <n v="2"/>
    <n v="37"/>
    <n v="10"/>
    <n v="1"/>
    <n v="8"/>
  </r>
  <r>
    <n v="44"/>
    <x v="1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s v="No"/>
    <n v="12"/>
    <n v="3"/>
    <n v="3"/>
    <n v="80"/>
    <n v="1"/>
    <n v="17"/>
    <s v="&gt;15"/>
    <n v="3"/>
    <n v="4"/>
    <n v="3"/>
    <n v="2"/>
    <n v="1"/>
    <n v="2"/>
  </r>
  <r>
    <n v="37"/>
    <x v="0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s v="Yes"/>
    <n v="22"/>
    <n v="4"/>
    <n v="4"/>
    <n v="80"/>
    <n v="0"/>
    <n v="7"/>
    <s v="6-15"/>
    <n v="3"/>
    <n v="3"/>
    <n v="3"/>
    <n v="2"/>
    <n v="0"/>
    <n v="2"/>
  </r>
  <r>
    <n v="32"/>
    <x v="1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s v="No"/>
    <n v="13"/>
    <n v="3"/>
    <n v="4"/>
    <n v="80"/>
    <n v="0"/>
    <n v="1"/>
    <s v="0-5"/>
    <n v="2"/>
    <n v="3"/>
    <n v="1"/>
    <n v="0"/>
    <n v="0"/>
    <n v="0"/>
  </r>
  <r>
    <n v="20"/>
    <x v="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s v="Yes"/>
    <n v="18"/>
    <n v="3"/>
    <n v="2"/>
    <n v="80"/>
    <n v="0"/>
    <n v="1"/>
    <s v="0-5"/>
    <n v="5"/>
    <n v="3"/>
    <n v="1"/>
    <n v="0"/>
    <n v="1"/>
    <n v="0"/>
  </r>
  <r>
    <n v="34"/>
    <x v="1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s v="No"/>
    <n v="14"/>
    <n v="3"/>
    <n v="3"/>
    <n v="80"/>
    <n v="0"/>
    <n v="16"/>
    <s v="&gt;15"/>
    <n v="3"/>
    <n v="3"/>
    <n v="16"/>
    <n v="13"/>
    <n v="2"/>
    <n v="10"/>
  </r>
  <r>
    <n v="37"/>
    <x v="1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s v="No"/>
    <n v="14"/>
    <n v="3"/>
    <n v="4"/>
    <n v="80"/>
    <n v="1"/>
    <n v="17"/>
    <s v="&gt;15"/>
    <n v="2"/>
    <n v="4"/>
    <n v="1"/>
    <n v="0"/>
    <n v="0"/>
    <n v="0"/>
  </r>
  <r>
    <n v="59"/>
    <x v="1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s v="No"/>
    <n v="21"/>
    <n v="4"/>
    <n v="4"/>
    <n v="80"/>
    <n v="1"/>
    <n v="30"/>
    <s v="&gt;15"/>
    <n v="3"/>
    <n v="3"/>
    <n v="3"/>
    <n v="2"/>
    <n v="2"/>
    <n v="2"/>
  </r>
  <r>
    <n v="50"/>
    <x v="1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s v="Yes"/>
    <n v="19"/>
    <n v="3"/>
    <n v="1"/>
    <n v="80"/>
    <n v="0"/>
    <n v="28"/>
    <s v="&gt;15"/>
    <n v="1"/>
    <n v="2"/>
    <n v="8"/>
    <n v="3"/>
    <n v="0"/>
    <n v="7"/>
  </r>
  <r>
    <n v="25"/>
    <x v="0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s v="Yes"/>
    <n v="11"/>
    <n v="3"/>
    <n v="4"/>
    <n v="80"/>
    <n v="0"/>
    <n v="6"/>
    <s v="6-15"/>
    <n v="1"/>
    <n v="3"/>
    <n v="6"/>
    <n v="4"/>
    <n v="0"/>
    <n v="3"/>
  </r>
  <r>
    <n v="25"/>
    <x v="1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s v="No"/>
    <n v="11"/>
    <n v="3"/>
    <n v="3"/>
    <n v="80"/>
    <n v="2"/>
    <n v="2"/>
    <s v="0-5"/>
    <n v="2"/>
    <n v="3"/>
    <n v="2"/>
    <n v="2"/>
    <n v="2"/>
    <n v="1"/>
  </r>
  <r>
    <n v="22"/>
    <x v="1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s v="No"/>
    <n v="15"/>
    <n v="3"/>
    <n v="3"/>
    <n v="80"/>
    <n v="0"/>
    <n v="1"/>
    <s v="0-5"/>
    <n v="5"/>
    <n v="3"/>
    <n v="0"/>
    <n v="0"/>
    <n v="0"/>
    <n v="0"/>
  </r>
  <r>
    <n v="51"/>
    <x v="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s v="No"/>
    <n v="20"/>
    <n v="4"/>
    <n v="3"/>
    <n v="80"/>
    <n v="0"/>
    <n v="23"/>
    <s v="&gt;15"/>
    <n v="1"/>
    <n v="2"/>
    <n v="13"/>
    <n v="12"/>
    <n v="12"/>
    <n v="8"/>
  </r>
  <r>
    <n v="34"/>
    <x v="0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s v="Yes"/>
    <n v="24"/>
    <n v="4"/>
    <n v="4"/>
    <n v="80"/>
    <n v="0"/>
    <n v="9"/>
    <s v="6-15"/>
    <n v="3"/>
    <n v="3"/>
    <n v="9"/>
    <n v="7"/>
    <n v="0"/>
    <n v="6"/>
  </r>
  <r>
    <n v="54"/>
    <x v="1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s v="Yes"/>
    <n v="12"/>
    <n v="3"/>
    <n v="3"/>
    <n v="80"/>
    <n v="0"/>
    <n v="23"/>
    <s v="&gt;15"/>
    <n v="3"/>
    <n v="3"/>
    <n v="5"/>
    <n v="3"/>
    <n v="4"/>
    <n v="4"/>
  </r>
  <r>
    <n v="24"/>
    <x v="1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s v="No"/>
    <n v="12"/>
    <n v="3"/>
    <n v="3"/>
    <n v="80"/>
    <n v="1"/>
    <n v="6"/>
    <s v="6-15"/>
    <n v="2"/>
    <n v="3"/>
    <n v="5"/>
    <n v="3"/>
    <n v="1"/>
    <n v="2"/>
  </r>
  <r>
    <n v="34"/>
    <x v="1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s v="No"/>
    <n v="15"/>
    <n v="3"/>
    <n v="3"/>
    <n v="80"/>
    <n v="1"/>
    <n v="12"/>
    <s v="6-15"/>
    <n v="3"/>
    <n v="3"/>
    <n v="1"/>
    <n v="0"/>
    <n v="0"/>
    <n v="0"/>
  </r>
  <r>
    <n v="37"/>
    <x v="1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s v="No"/>
    <n v="12"/>
    <n v="3"/>
    <n v="1"/>
    <n v="80"/>
    <n v="0"/>
    <n v="12"/>
    <s v="6-15"/>
    <n v="3"/>
    <n v="3"/>
    <n v="5"/>
    <n v="3"/>
    <n v="1"/>
    <n v="3"/>
  </r>
  <r>
    <n v="34"/>
    <x v="1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s v="No"/>
    <n v="12"/>
    <n v="3"/>
    <n v="4"/>
    <n v="80"/>
    <n v="0"/>
    <n v="14"/>
    <s v="6-15"/>
    <n v="6"/>
    <n v="3"/>
    <n v="11"/>
    <n v="10"/>
    <n v="5"/>
    <n v="8"/>
  </r>
  <r>
    <n v="36"/>
    <x v="1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s v="No"/>
    <n v="14"/>
    <n v="3"/>
    <n v="3"/>
    <n v="80"/>
    <n v="1"/>
    <n v="10"/>
    <s v="6-15"/>
    <n v="6"/>
    <n v="3"/>
    <n v="9"/>
    <n v="7"/>
    <n v="2"/>
    <n v="8"/>
  </r>
  <r>
    <n v="36"/>
    <x v="1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s v="No"/>
    <n v="22"/>
    <n v="4"/>
    <n v="1"/>
    <n v="80"/>
    <n v="1"/>
    <n v="7"/>
    <s v="6-15"/>
    <n v="2"/>
    <n v="3"/>
    <n v="1"/>
    <n v="0"/>
    <n v="0"/>
    <n v="0"/>
  </r>
  <r>
    <n v="43"/>
    <x v="1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s v="Yes"/>
    <n v="12"/>
    <n v="3"/>
    <n v="4"/>
    <n v="80"/>
    <n v="2"/>
    <n v="25"/>
    <s v="&gt;15"/>
    <n v="3"/>
    <n v="4"/>
    <n v="25"/>
    <n v="12"/>
    <n v="4"/>
    <n v="12"/>
  </r>
  <r>
    <n v="30"/>
    <x v="1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s v="No"/>
    <n v="25"/>
    <n v="4"/>
    <n v="3"/>
    <n v="80"/>
    <n v="3"/>
    <n v="10"/>
    <s v="6-15"/>
    <n v="2"/>
    <n v="2"/>
    <n v="10"/>
    <n v="7"/>
    <n v="0"/>
    <n v="9"/>
  </r>
  <r>
    <n v="33"/>
    <x v="1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s v="No"/>
    <n v="13"/>
    <n v="3"/>
    <n v="1"/>
    <n v="80"/>
    <n v="1"/>
    <n v="8"/>
    <s v="6-15"/>
    <n v="2"/>
    <n v="4"/>
    <n v="7"/>
    <n v="7"/>
    <n v="0"/>
    <n v="7"/>
  </r>
  <r>
    <n v="56"/>
    <x v="0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s v="Yes"/>
    <n v="18"/>
    <n v="3"/>
    <n v="1"/>
    <n v="80"/>
    <n v="3"/>
    <n v="7"/>
    <s v="6-15"/>
    <n v="2"/>
    <n v="3"/>
    <n v="5"/>
    <n v="4"/>
    <n v="4"/>
    <n v="3"/>
  </r>
  <r>
    <n v="51"/>
    <x v="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s v="No"/>
    <n v="13"/>
    <n v="3"/>
    <n v="3"/>
    <n v="80"/>
    <n v="0"/>
    <n v="23"/>
    <s v="&gt;15"/>
    <n v="5"/>
    <n v="3"/>
    <n v="20"/>
    <n v="18"/>
    <n v="15"/>
    <n v="15"/>
  </r>
  <r>
    <n v="31"/>
    <x v="0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s v="Yes"/>
    <n v="18"/>
    <n v="3"/>
    <n v="2"/>
    <n v="80"/>
    <n v="0"/>
    <n v="12"/>
    <s v="6-15"/>
    <n v="3"/>
    <n v="2"/>
    <n v="7"/>
    <n v="7"/>
    <n v="7"/>
    <n v="7"/>
  </r>
  <r>
    <n v="26"/>
    <x v="1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s v="No"/>
    <n v="19"/>
    <n v="3"/>
    <n v="3"/>
    <n v="80"/>
    <n v="0"/>
    <n v="5"/>
    <s v="0-5"/>
    <n v="3"/>
    <n v="2"/>
    <n v="5"/>
    <n v="4"/>
    <n v="4"/>
    <n v="3"/>
  </r>
  <r>
    <n v="58"/>
    <x v="0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s v="No"/>
    <n v="12"/>
    <n v="3"/>
    <n v="4"/>
    <n v="80"/>
    <n v="1"/>
    <n v="40"/>
    <s v="&gt;15"/>
    <n v="3"/>
    <n v="2"/>
    <n v="40"/>
    <n v="10"/>
    <n v="15"/>
    <n v="6"/>
  </r>
  <r>
    <n v="19"/>
    <x v="0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s v="Yes"/>
    <n v="19"/>
    <n v="3"/>
    <n v="4"/>
    <n v="80"/>
    <n v="0"/>
    <n v="0"/>
    <s v="0-5"/>
    <n v="2"/>
    <n v="2"/>
    <n v="0"/>
    <n v="0"/>
    <n v="0"/>
    <n v="0"/>
  </r>
  <r>
    <n v="22"/>
    <x v="1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s v="No"/>
    <n v="14"/>
    <n v="3"/>
    <n v="3"/>
    <n v="80"/>
    <n v="1"/>
    <n v="3"/>
    <s v="0-5"/>
    <n v="2"/>
    <n v="3"/>
    <n v="2"/>
    <n v="1"/>
    <n v="2"/>
    <n v="1"/>
  </r>
  <r>
    <n v="49"/>
    <x v="1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s v="No"/>
    <n v="14"/>
    <n v="3"/>
    <n v="3"/>
    <n v="80"/>
    <n v="0"/>
    <n v="16"/>
    <s v="&gt;15"/>
    <n v="2"/>
    <n v="2"/>
    <n v="15"/>
    <n v="11"/>
    <n v="5"/>
    <n v="11"/>
  </r>
  <r>
    <n v="43"/>
    <x v="1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s v="No"/>
    <n v="12"/>
    <n v="3"/>
    <n v="4"/>
    <n v="80"/>
    <n v="0"/>
    <n v="18"/>
    <s v="&gt;15"/>
    <n v="2"/>
    <n v="3"/>
    <n v="3"/>
    <n v="2"/>
    <n v="1"/>
    <n v="2"/>
  </r>
  <r>
    <n v="50"/>
    <x v="1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s v="No"/>
    <n v="11"/>
    <n v="3"/>
    <n v="4"/>
    <n v="80"/>
    <n v="0"/>
    <n v="16"/>
    <s v="&gt;15"/>
    <n v="3"/>
    <n v="3"/>
    <n v="2"/>
    <n v="2"/>
    <n v="2"/>
    <n v="1"/>
  </r>
  <r>
    <n v="31"/>
    <x v="0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s v="Yes"/>
    <n v="11"/>
    <n v="3"/>
    <n v="3"/>
    <n v="80"/>
    <n v="1"/>
    <n v="4"/>
    <s v="0-5"/>
    <n v="2"/>
    <n v="3"/>
    <n v="2"/>
    <n v="2"/>
    <n v="2"/>
    <n v="2"/>
  </r>
  <r>
    <n v="41"/>
    <x v="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s v="Yes"/>
    <n v="13"/>
    <n v="3"/>
    <n v="3"/>
    <n v="80"/>
    <n v="1"/>
    <n v="12"/>
    <s v="6-15"/>
    <n v="2"/>
    <n v="3"/>
    <n v="9"/>
    <n v="7"/>
    <n v="0"/>
    <n v="7"/>
  </r>
  <r>
    <n v="26"/>
    <x v="1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s v="No"/>
    <n v="23"/>
    <n v="4"/>
    <n v="4"/>
    <n v="80"/>
    <n v="1"/>
    <n v="8"/>
    <s v="6-15"/>
    <n v="3"/>
    <n v="3"/>
    <n v="8"/>
    <n v="7"/>
    <n v="5"/>
    <n v="7"/>
  </r>
  <r>
    <n v="36"/>
    <x v="1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s v="No"/>
    <n v="20"/>
    <n v="4"/>
    <n v="4"/>
    <n v="80"/>
    <n v="2"/>
    <n v="7"/>
    <s v="6-15"/>
    <n v="0"/>
    <n v="3"/>
    <n v="3"/>
    <n v="2"/>
    <n v="0"/>
    <n v="1"/>
  </r>
  <r>
    <n v="51"/>
    <x v="0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s v="No"/>
    <n v="15"/>
    <n v="3"/>
    <n v="4"/>
    <n v="80"/>
    <n v="0"/>
    <n v="18"/>
    <s v="&gt;15"/>
    <n v="2"/>
    <n v="3"/>
    <n v="4"/>
    <n v="2"/>
    <n v="0"/>
    <n v="3"/>
  </r>
  <r>
    <n v="39"/>
    <x v="1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s v="No"/>
    <n v="14"/>
    <n v="3"/>
    <n v="3"/>
    <n v="80"/>
    <n v="1"/>
    <n v="17"/>
    <s v="&gt;15"/>
    <n v="1"/>
    <n v="4"/>
    <n v="15"/>
    <n v="11"/>
    <n v="5"/>
    <n v="9"/>
  </r>
  <r>
    <n v="25"/>
    <x v="1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s v="No"/>
    <n v="18"/>
    <n v="3"/>
    <n v="4"/>
    <n v="80"/>
    <n v="0"/>
    <n v="6"/>
    <s v="6-15"/>
    <n v="3"/>
    <n v="3"/>
    <n v="2"/>
    <n v="2"/>
    <n v="2"/>
    <n v="2"/>
  </r>
  <r>
    <n v="30"/>
    <x v="1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s v="Yes"/>
    <n v="19"/>
    <n v="3"/>
    <n v="4"/>
    <n v="80"/>
    <n v="0"/>
    <n v="12"/>
    <s v="6-15"/>
    <n v="2"/>
    <n v="1"/>
    <n v="11"/>
    <n v="9"/>
    <n v="4"/>
    <n v="7"/>
  </r>
  <r>
    <n v="32"/>
    <x v="0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s v="No"/>
    <n v="22"/>
    <n v="4"/>
    <n v="1"/>
    <n v="80"/>
    <n v="0"/>
    <n v="10"/>
    <s v="6-15"/>
    <n v="2"/>
    <n v="4"/>
    <n v="5"/>
    <n v="4"/>
    <n v="0"/>
    <n v="4"/>
  </r>
  <r>
    <n v="45"/>
    <x v="1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s v="No"/>
    <n v="13"/>
    <n v="3"/>
    <n v="2"/>
    <n v="80"/>
    <n v="0"/>
    <n v="9"/>
    <s v="6-15"/>
    <n v="2"/>
    <n v="2"/>
    <n v="6"/>
    <n v="5"/>
    <n v="0"/>
    <n v="3"/>
  </r>
  <r>
    <n v="38"/>
    <x v="1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s v="Yes"/>
    <n v="20"/>
    <n v="4"/>
    <n v="2"/>
    <n v="80"/>
    <n v="0"/>
    <n v="19"/>
    <s v="&gt;15"/>
    <n v="2"/>
    <n v="3"/>
    <n v="3"/>
    <n v="2"/>
    <n v="2"/>
    <n v="2"/>
  </r>
  <r>
    <n v="30"/>
    <x v="1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s v="No"/>
    <n v="14"/>
    <n v="3"/>
    <n v="3"/>
    <n v="80"/>
    <n v="0"/>
    <n v="5"/>
    <s v="0-5"/>
    <n v="4"/>
    <n v="2"/>
    <n v="5"/>
    <n v="4"/>
    <n v="0"/>
    <n v="4"/>
  </r>
  <r>
    <n v="32"/>
    <x v="1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s v="No"/>
    <n v="17"/>
    <n v="3"/>
    <n v="4"/>
    <n v="80"/>
    <n v="3"/>
    <n v="9"/>
    <s v="6-15"/>
    <n v="2"/>
    <n v="4"/>
    <n v="8"/>
    <n v="7"/>
    <n v="0"/>
    <n v="7"/>
  </r>
  <r>
    <n v="30"/>
    <x v="1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s v="No"/>
    <n v="14"/>
    <n v="3"/>
    <n v="4"/>
    <n v="80"/>
    <n v="1"/>
    <n v="8"/>
    <s v="6-15"/>
    <n v="3"/>
    <n v="3"/>
    <n v="3"/>
    <n v="2"/>
    <n v="2"/>
    <n v="2"/>
  </r>
  <r>
    <n v="30"/>
    <x v="1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s v="No"/>
    <n v="13"/>
    <n v="3"/>
    <n v="4"/>
    <n v="80"/>
    <n v="0"/>
    <n v="6"/>
    <s v="6-15"/>
    <n v="3"/>
    <n v="3"/>
    <n v="5"/>
    <n v="3"/>
    <n v="1"/>
    <n v="2"/>
  </r>
  <r>
    <n v="41"/>
    <x v="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s v="No"/>
    <n v="13"/>
    <n v="3"/>
    <n v="2"/>
    <n v="80"/>
    <n v="1"/>
    <n v="21"/>
    <s v="&gt;15"/>
    <n v="2"/>
    <n v="2"/>
    <n v="7"/>
    <n v="6"/>
    <n v="7"/>
    <n v="7"/>
  </r>
  <r>
    <n v="41"/>
    <x v="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s v="No"/>
    <n v="21"/>
    <n v="4"/>
    <n v="4"/>
    <n v="80"/>
    <n v="1"/>
    <n v="7"/>
    <s v="6-15"/>
    <n v="2"/>
    <n v="3"/>
    <n v="5"/>
    <n v="0"/>
    <n v="1"/>
    <n v="4"/>
  </r>
  <r>
    <n v="19"/>
    <x v="1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s v="No"/>
    <n v="14"/>
    <n v="3"/>
    <n v="4"/>
    <n v="80"/>
    <n v="0"/>
    <n v="1"/>
    <s v="0-5"/>
    <n v="3"/>
    <n v="3"/>
    <n v="1"/>
    <n v="0"/>
    <n v="0"/>
    <n v="0"/>
  </r>
  <r>
    <n v="40"/>
    <x v="1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s v="No"/>
    <n v="11"/>
    <n v="3"/>
    <n v="1"/>
    <n v="80"/>
    <n v="1"/>
    <n v="20"/>
    <s v="&gt;15"/>
    <n v="2"/>
    <n v="3"/>
    <n v="20"/>
    <n v="7"/>
    <n v="2"/>
    <n v="13"/>
  </r>
  <r>
    <n v="35"/>
    <x v="1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s v="No"/>
    <n v="13"/>
    <n v="3"/>
    <n v="1"/>
    <n v="80"/>
    <n v="2"/>
    <n v="10"/>
    <s v="6-15"/>
    <n v="3"/>
    <n v="3"/>
    <n v="10"/>
    <n v="8"/>
    <n v="0"/>
    <n v="6"/>
  </r>
  <r>
    <n v="53"/>
    <x v="1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s v="Yes"/>
    <n v="20"/>
    <n v="4"/>
    <n v="4"/>
    <n v="80"/>
    <n v="1"/>
    <n v="13"/>
    <s v="6-15"/>
    <n v="3"/>
    <n v="1"/>
    <n v="7"/>
    <n v="7"/>
    <n v="4"/>
    <n v="5"/>
  </r>
  <r>
    <n v="45"/>
    <x v="1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s v="No"/>
    <n v="18"/>
    <n v="3"/>
    <n v="3"/>
    <n v="80"/>
    <n v="1"/>
    <n v="20"/>
    <s v="&gt;15"/>
    <n v="2"/>
    <n v="1"/>
    <n v="17"/>
    <n v="9"/>
    <n v="0"/>
    <n v="15"/>
  </r>
  <r>
    <n v="32"/>
    <x v="1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s v="No"/>
    <n v="14"/>
    <n v="3"/>
    <n v="4"/>
    <n v="80"/>
    <n v="0"/>
    <n v="9"/>
    <s v="6-15"/>
    <n v="2"/>
    <n v="3"/>
    <n v="9"/>
    <n v="8"/>
    <n v="3"/>
    <n v="7"/>
  </r>
  <r>
    <n v="29"/>
    <x v="1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s v="No"/>
    <n v="13"/>
    <n v="3"/>
    <n v="1"/>
    <n v="80"/>
    <n v="1"/>
    <n v="10"/>
    <s v="6-15"/>
    <n v="1"/>
    <n v="3"/>
    <n v="10"/>
    <n v="7"/>
    <n v="0"/>
    <n v="9"/>
  </r>
  <r>
    <n v="51"/>
    <x v="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s v="No"/>
    <n v="17"/>
    <n v="3"/>
    <n v="3"/>
    <n v="80"/>
    <n v="0"/>
    <n v="10"/>
    <s v="6-15"/>
    <n v="2"/>
    <n v="3"/>
    <n v="1"/>
    <n v="0"/>
    <n v="0"/>
    <n v="0"/>
  </r>
  <r>
    <n v="58"/>
    <x v="1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s v="Yes"/>
    <n v="20"/>
    <n v="4"/>
    <n v="2"/>
    <n v="80"/>
    <n v="1"/>
    <n v="9"/>
    <s v="6-15"/>
    <n v="3"/>
    <n v="2"/>
    <n v="1"/>
    <n v="0"/>
    <n v="0"/>
    <n v="0"/>
  </r>
  <r>
    <n v="40"/>
    <x v="1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s v="No"/>
    <n v="11"/>
    <n v="3"/>
    <n v="1"/>
    <n v="80"/>
    <n v="1"/>
    <n v="15"/>
    <s v="6-15"/>
    <n v="2"/>
    <n v="2"/>
    <n v="12"/>
    <n v="11"/>
    <n v="2"/>
    <n v="11"/>
  </r>
  <r>
    <n v="34"/>
    <x v="1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s v="No"/>
    <n v="18"/>
    <n v="3"/>
    <n v="4"/>
    <n v="80"/>
    <n v="1"/>
    <n v="6"/>
    <s v="6-15"/>
    <n v="3"/>
    <n v="3"/>
    <n v="4"/>
    <n v="3"/>
    <n v="1"/>
    <n v="2"/>
  </r>
  <r>
    <n v="22"/>
    <x v="1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s v="No"/>
    <n v="24"/>
    <n v="4"/>
    <n v="1"/>
    <n v="80"/>
    <n v="2"/>
    <n v="2"/>
    <s v="0-5"/>
    <n v="6"/>
    <n v="3"/>
    <n v="2"/>
    <n v="2"/>
    <n v="2"/>
    <n v="2"/>
  </r>
  <r>
    <n v="27"/>
    <x v="1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s v="No"/>
    <n v="18"/>
    <n v="3"/>
    <n v="4"/>
    <n v="80"/>
    <n v="1"/>
    <n v="6"/>
    <s v="6-15"/>
    <n v="1"/>
    <n v="1"/>
    <n v="2"/>
    <n v="2"/>
    <n v="2"/>
    <n v="2"/>
  </r>
  <r>
    <n v="28"/>
    <x v="1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s v="No"/>
    <n v="11"/>
    <n v="3"/>
    <n v="3"/>
    <n v="80"/>
    <n v="1"/>
    <n v="5"/>
    <s v="0-5"/>
    <n v="2"/>
    <n v="1"/>
    <n v="5"/>
    <n v="2"/>
    <n v="0"/>
    <n v="2"/>
  </r>
  <r>
    <n v="57"/>
    <x v="1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s v="Yes"/>
    <n v="16"/>
    <n v="3"/>
    <n v="2"/>
    <n v="80"/>
    <n v="1"/>
    <n v="12"/>
    <s v="6-15"/>
    <n v="2"/>
    <n v="1"/>
    <n v="5"/>
    <n v="3"/>
    <n v="1"/>
    <n v="4"/>
  </r>
  <r>
    <n v="27"/>
    <x v="1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s v="Yes"/>
    <n v="15"/>
    <n v="3"/>
    <n v="4"/>
    <n v="80"/>
    <n v="1"/>
    <n v="1"/>
    <s v="0-5"/>
    <n v="2"/>
    <n v="2"/>
    <n v="1"/>
    <n v="1"/>
    <n v="0"/>
    <n v="1"/>
  </r>
  <r>
    <n v="50"/>
    <x v="1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s v="No"/>
    <n v="15"/>
    <n v="3"/>
    <n v="2"/>
    <n v="80"/>
    <n v="0"/>
    <n v="21"/>
    <s v="&gt;15"/>
    <n v="5"/>
    <n v="3"/>
    <n v="5"/>
    <n v="4"/>
    <n v="4"/>
    <n v="4"/>
  </r>
  <r>
    <n v="41"/>
    <x v="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s v="No"/>
    <n v="12"/>
    <n v="3"/>
    <n v="1"/>
    <n v="80"/>
    <n v="1"/>
    <n v="13"/>
    <s v="6-15"/>
    <n v="2"/>
    <n v="3"/>
    <n v="9"/>
    <n v="8"/>
    <n v="1"/>
    <n v="8"/>
  </r>
  <r>
    <n v="30"/>
    <x v="1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s v="No"/>
    <n v="12"/>
    <n v="3"/>
    <n v="3"/>
    <n v="80"/>
    <n v="1"/>
    <n v="12"/>
    <s v="6-15"/>
    <n v="2"/>
    <n v="3"/>
    <n v="10"/>
    <n v="9"/>
    <n v="7"/>
    <n v="4"/>
  </r>
  <r>
    <n v="38"/>
    <x v="1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s v="No"/>
    <n v="22"/>
    <n v="4"/>
    <n v="3"/>
    <n v="80"/>
    <n v="0"/>
    <n v="12"/>
    <s v="6-15"/>
    <n v="2"/>
    <n v="4"/>
    <n v="8"/>
    <n v="3"/>
    <n v="0"/>
    <n v="7"/>
  </r>
  <r>
    <n v="32"/>
    <x v="1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s v="No"/>
    <n v="20"/>
    <n v="4"/>
    <n v="1"/>
    <n v="80"/>
    <n v="0"/>
    <n v="8"/>
    <s v="6-15"/>
    <n v="2"/>
    <n v="3"/>
    <n v="5"/>
    <n v="4"/>
    <n v="1"/>
    <n v="4"/>
  </r>
  <r>
    <n v="27"/>
    <x v="1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s v="Yes"/>
    <n v="16"/>
    <n v="3"/>
    <n v="4"/>
    <n v="80"/>
    <n v="1"/>
    <n v="6"/>
    <s v="6-15"/>
    <n v="3"/>
    <n v="2"/>
    <n v="5"/>
    <n v="2"/>
    <n v="1"/>
    <n v="1"/>
  </r>
  <r>
    <n v="19"/>
    <x v="0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s v="No"/>
    <n v="21"/>
    <n v="4"/>
    <n v="1"/>
    <n v="80"/>
    <n v="0"/>
    <n v="1"/>
    <s v="0-5"/>
    <n v="5"/>
    <n v="4"/>
    <n v="0"/>
    <n v="0"/>
    <n v="0"/>
    <n v="0"/>
  </r>
  <r>
    <n v="36"/>
    <x v="1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s v="No"/>
    <n v="12"/>
    <n v="3"/>
    <n v="3"/>
    <n v="80"/>
    <n v="0"/>
    <n v="13"/>
    <s v="6-15"/>
    <n v="3"/>
    <n v="2"/>
    <n v="8"/>
    <n v="7"/>
    <n v="7"/>
    <n v="2"/>
  </r>
  <r>
    <n v="30"/>
    <x v="1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s v="No"/>
    <n v="11"/>
    <n v="3"/>
    <n v="3"/>
    <n v="80"/>
    <n v="2"/>
    <n v="12"/>
    <s v="6-15"/>
    <n v="4"/>
    <n v="3"/>
    <n v="12"/>
    <n v="9"/>
    <n v="6"/>
    <n v="10"/>
  </r>
  <r>
    <n v="45"/>
    <x v="1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s v="Yes"/>
    <n v="11"/>
    <n v="3"/>
    <n v="1"/>
    <n v="80"/>
    <n v="1"/>
    <n v="9"/>
    <s v="6-15"/>
    <n v="3"/>
    <n v="4"/>
    <n v="5"/>
    <n v="4"/>
    <n v="0"/>
    <n v="3"/>
  </r>
  <r>
    <n v="56"/>
    <x v="1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s v="Yes"/>
    <n v="18"/>
    <n v="3"/>
    <n v="3"/>
    <n v="80"/>
    <n v="1"/>
    <n v="19"/>
    <s v="&gt;15"/>
    <n v="3"/>
    <n v="3"/>
    <n v="2"/>
    <n v="2"/>
    <n v="2"/>
    <n v="2"/>
  </r>
  <r>
    <n v="33"/>
    <x v="1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s v="No"/>
    <n v="14"/>
    <n v="3"/>
    <n v="1"/>
    <n v="80"/>
    <n v="0"/>
    <n v="4"/>
    <s v="0-5"/>
    <n v="2"/>
    <n v="4"/>
    <n v="3"/>
    <n v="1"/>
    <n v="0"/>
    <n v="2"/>
  </r>
  <r>
    <n v="19"/>
    <x v="0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s v="No"/>
    <n v="22"/>
    <n v="4"/>
    <n v="3"/>
    <n v="80"/>
    <n v="0"/>
    <n v="1"/>
    <s v="0-5"/>
    <n v="3"/>
    <n v="2"/>
    <n v="1"/>
    <n v="0"/>
    <n v="1"/>
    <n v="0"/>
  </r>
  <r>
    <n v="46"/>
    <x v="1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s v="No"/>
    <n v="25"/>
    <n v="4"/>
    <n v="3"/>
    <n v="80"/>
    <n v="3"/>
    <n v="24"/>
    <s v="&gt;15"/>
    <n v="2"/>
    <n v="3"/>
    <n v="24"/>
    <n v="13"/>
    <n v="15"/>
    <n v="7"/>
  </r>
  <r>
    <n v="38"/>
    <x v="1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s v="No"/>
    <n v="12"/>
    <n v="3"/>
    <n v="3"/>
    <n v="80"/>
    <n v="0"/>
    <n v="2"/>
    <s v="0-5"/>
    <n v="3"/>
    <n v="3"/>
    <n v="2"/>
    <n v="2"/>
    <n v="2"/>
    <n v="1"/>
  </r>
  <r>
    <n v="31"/>
    <x v="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s v="Yes"/>
    <n v="23"/>
    <n v="4"/>
    <n v="3"/>
    <n v="80"/>
    <n v="1"/>
    <n v="7"/>
    <s v="6-15"/>
    <n v="0"/>
    <n v="3"/>
    <n v="4"/>
    <n v="2"/>
    <n v="0"/>
    <n v="2"/>
  </r>
  <r>
    <n v="34"/>
    <x v="1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s v="No"/>
    <n v="15"/>
    <n v="3"/>
    <n v="4"/>
    <n v="80"/>
    <n v="0"/>
    <n v="9"/>
    <s v="6-15"/>
    <n v="3"/>
    <n v="3"/>
    <n v="3"/>
    <n v="2"/>
    <n v="1"/>
    <n v="2"/>
  </r>
  <r>
    <n v="41"/>
    <x v="0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s v="Yes"/>
    <n v="22"/>
    <n v="4"/>
    <n v="4"/>
    <n v="80"/>
    <n v="0"/>
    <n v="4"/>
    <s v="0-5"/>
    <n v="5"/>
    <n v="2"/>
    <n v="4"/>
    <n v="3"/>
    <n v="0"/>
    <n v="2"/>
  </r>
  <r>
    <n v="50"/>
    <x v="1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s v="No"/>
    <n v="15"/>
    <n v="3"/>
    <n v="4"/>
    <n v="80"/>
    <n v="1"/>
    <n v="5"/>
    <s v="0-5"/>
    <n v="2"/>
    <n v="2"/>
    <n v="3"/>
    <n v="2"/>
    <n v="0"/>
    <n v="2"/>
  </r>
  <r>
    <n v="53"/>
    <x v="1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s v="No"/>
    <n v="11"/>
    <n v="3"/>
    <n v="3"/>
    <n v="80"/>
    <n v="2"/>
    <n v="5"/>
    <s v="0-5"/>
    <n v="3"/>
    <n v="3"/>
    <n v="4"/>
    <n v="2"/>
    <n v="1"/>
    <n v="3"/>
  </r>
  <r>
    <n v="33"/>
    <x v="1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s v="No"/>
    <n v="13"/>
    <n v="3"/>
    <n v="4"/>
    <n v="80"/>
    <n v="1"/>
    <n v="8"/>
    <s v="6-15"/>
    <n v="5"/>
    <n v="3"/>
    <n v="8"/>
    <n v="7"/>
    <n v="1"/>
    <n v="6"/>
  </r>
  <r>
    <n v="40"/>
    <x v="1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s v="No"/>
    <n v="14"/>
    <n v="3"/>
    <n v="2"/>
    <n v="80"/>
    <n v="1"/>
    <n v="21"/>
    <s v="&gt;15"/>
    <n v="2"/>
    <n v="3"/>
    <n v="20"/>
    <n v="8"/>
    <n v="9"/>
    <n v="9"/>
  </r>
  <r>
    <n v="55"/>
    <x v="1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s v="No"/>
    <n v="11"/>
    <n v="3"/>
    <n v="4"/>
    <n v="80"/>
    <n v="0"/>
    <n v="36"/>
    <s v="&gt;15"/>
    <n v="3"/>
    <n v="3"/>
    <n v="24"/>
    <n v="15"/>
    <n v="2"/>
    <n v="15"/>
  </r>
  <r>
    <n v="34"/>
    <x v="1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s v="No"/>
    <n v="17"/>
    <n v="3"/>
    <n v="3"/>
    <n v="80"/>
    <n v="0"/>
    <n v="10"/>
    <s v="6-15"/>
    <n v="2"/>
    <n v="2"/>
    <n v="10"/>
    <n v="9"/>
    <n v="1"/>
    <n v="9"/>
  </r>
  <r>
    <n v="51"/>
    <x v="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s v="No"/>
    <n v="18"/>
    <n v="3"/>
    <n v="3"/>
    <n v="80"/>
    <n v="0"/>
    <n v="21"/>
    <s v="&gt;15"/>
    <n v="6"/>
    <n v="3"/>
    <n v="7"/>
    <n v="7"/>
    <n v="1"/>
    <n v="0"/>
  </r>
  <r>
    <n v="52"/>
    <x v="1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s v="No"/>
    <n v="14"/>
    <n v="3"/>
    <n v="1"/>
    <n v="80"/>
    <n v="1"/>
    <n v="34"/>
    <s v="&gt;15"/>
    <n v="5"/>
    <n v="3"/>
    <n v="33"/>
    <n v="18"/>
    <n v="11"/>
    <n v="9"/>
  </r>
  <r>
    <n v="27"/>
    <x v="1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s v="No"/>
    <n v="16"/>
    <n v="3"/>
    <n v="4"/>
    <n v="80"/>
    <n v="0"/>
    <n v="7"/>
    <s v="6-15"/>
    <n v="2"/>
    <n v="2"/>
    <n v="7"/>
    <n v="7"/>
    <n v="0"/>
    <n v="3"/>
  </r>
  <r>
    <n v="35"/>
    <x v="0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s v="Yes"/>
    <n v="13"/>
    <n v="3"/>
    <n v="1"/>
    <n v="80"/>
    <n v="0"/>
    <n v="8"/>
    <s v="6-15"/>
    <n v="1"/>
    <n v="3"/>
    <n v="1"/>
    <n v="0"/>
    <n v="0"/>
    <n v="1"/>
  </r>
  <r>
    <n v="43"/>
    <x v="1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s v="No"/>
    <n v="14"/>
    <n v="3"/>
    <n v="4"/>
    <n v="80"/>
    <n v="3"/>
    <n v="7"/>
    <s v="6-15"/>
    <n v="3"/>
    <n v="4"/>
    <n v="5"/>
    <n v="4"/>
    <n v="2"/>
    <n v="2"/>
  </r>
  <r>
    <n v="45"/>
    <x v="1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s v="No"/>
    <n v="23"/>
    <n v="4"/>
    <n v="4"/>
    <n v="80"/>
    <n v="1"/>
    <n v="22"/>
    <s v="&gt;15"/>
    <n v="1"/>
    <n v="3"/>
    <n v="20"/>
    <n v="8"/>
    <n v="11"/>
    <n v="8"/>
  </r>
  <r>
    <n v="37"/>
    <x v="1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s v="Yes"/>
    <n v="12"/>
    <n v="3"/>
    <n v="1"/>
    <n v="80"/>
    <n v="1"/>
    <n v="8"/>
    <s v="6-15"/>
    <n v="3"/>
    <n v="2"/>
    <n v="8"/>
    <n v="7"/>
    <n v="1"/>
    <n v="7"/>
  </r>
  <r>
    <n v="35"/>
    <x v="1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s v="No"/>
    <n v="11"/>
    <n v="3"/>
    <n v="4"/>
    <n v="80"/>
    <n v="0"/>
    <n v="10"/>
    <s v="6-15"/>
    <n v="5"/>
    <n v="3"/>
    <n v="6"/>
    <n v="2"/>
    <n v="1"/>
    <n v="2"/>
  </r>
  <r>
    <n v="42"/>
    <x v="1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s v="No"/>
    <n v="16"/>
    <n v="3"/>
    <n v="2"/>
    <n v="80"/>
    <n v="1"/>
    <n v="11"/>
    <s v="6-15"/>
    <n v="5"/>
    <n v="3"/>
    <n v="5"/>
    <n v="3"/>
    <n v="0"/>
    <n v="2"/>
  </r>
  <r>
    <n v="38"/>
    <x v="1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s v="No"/>
    <n v="14"/>
    <n v="3"/>
    <n v="2"/>
    <n v="80"/>
    <n v="0"/>
    <n v="14"/>
    <s v="6-15"/>
    <n v="3"/>
    <n v="3"/>
    <n v="1"/>
    <n v="0"/>
    <n v="0"/>
    <n v="0"/>
  </r>
  <r>
    <n v="38"/>
    <x v="1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s v="No"/>
    <n v="18"/>
    <n v="3"/>
    <n v="1"/>
    <n v="80"/>
    <n v="1"/>
    <n v="9"/>
    <s v="6-15"/>
    <n v="3"/>
    <n v="1"/>
    <n v="7"/>
    <n v="7"/>
    <n v="1"/>
    <n v="7"/>
  </r>
  <r>
    <n v="27"/>
    <x v="1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s v="No"/>
    <n v="19"/>
    <n v="3"/>
    <n v="3"/>
    <n v="80"/>
    <n v="1"/>
    <n v="6"/>
    <s v="6-15"/>
    <n v="1"/>
    <n v="3"/>
    <n v="2"/>
    <n v="2"/>
    <n v="2"/>
    <n v="0"/>
  </r>
  <r>
    <n v="49"/>
    <x v="1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s v="Yes"/>
    <n v="15"/>
    <n v="3"/>
    <n v="1"/>
    <n v="80"/>
    <n v="2"/>
    <n v="7"/>
    <s v="6-15"/>
    <n v="0"/>
    <n v="3"/>
    <n v="7"/>
    <n v="7"/>
    <n v="1"/>
    <n v="7"/>
  </r>
  <r>
    <n v="34"/>
    <x v="1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s v="Yes"/>
    <n v="17"/>
    <n v="3"/>
    <n v="4"/>
    <n v="80"/>
    <n v="1"/>
    <n v="5"/>
    <s v="0-5"/>
    <n v="4"/>
    <n v="4"/>
    <n v="5"/>
    <n v="3"/>
    <n v="2"/>
    <n v="0"/>
  </r>
  <r>
    <n v="40"/>
    <x v="1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s v="Yes"/>
    <n v="15"/>
    <n v="3"/>
    <n v="3"/>
    <n v="80"/>
    <n v="1"/>
    <n v="15"/>
    <s v="6-15"/>
    <n v="2"/>
    <n v="4"/>
    <n v="7"/>
    <n v="2"/>
    <n v="3"/>
    <n v="7"/>
  </r>
  <r>
    <n v="38"/>
    <x v="0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s v="Yes"/>
    <n v="19"/>
    <n v="3"/>
    <n v="2"/>
    <n v="80"/>
    <n v="0"/>
    <n v="17"/>
    <s v="&gt;15"/>
    <n v="2"/>
    <n v="3"/>
    <n v="1"/>
    <n v="0"/>
    <n v="0"/>
    <n v="0"/>
  </r>
  <r>
    <n v="29"/>
    <x v="0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s v="No"/>
    <n v="22"/>
    <n v="4"/>
    <n v="4"/>
    <n v="80"/>
    <n v="3"/>
    <n v="10"/>
    <s v="6-15"/>
    <n v="3"/>
    <n v="2"/>
    <n v="10"/>
    <n v="4"/>
    <n v="1"/>
    <n v="9"/>
  </r>
  <r>
    <n v="22"/>
    <x v="1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s v="Yes"/>
    <n v="16"/>
    <n v="3"/>
    <n v="1"/>
    <n v="80"/>
    <n v="1"/>
    <n v="4"/>
    <s v="0-5"/>
    <n v="2"/>
    <n v="2"/>
    <n v="4"/>
    <n v="2"/>
    <n v="2"/>
    <n v="2"/>
  </r>
  <r>
    <n v="36"/>
    <x v="1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s v="No"/>
    <n v="13"/>
    <n v="3"/>
    <n v="1"/>
    <n v="80"/>
    <n v="0"/>
    <n v="8"/>
    <s v="6-15"/>
    <n v="2"/>
    <n v="3"/>
    <n v="8"/>
    <n v="1"/>
    <n v="1"/>
    <n v="7"/>
  </r>
  <r>
    <n v="40"/>
    <x v="1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s v="No"/>
    <n v="14"/>
    <n v="3"/>
    <n v="4"/>
    <n v="80"/>
    <n v="1"/>
    <n v="5"/>
    <s v="0-5"/>
    <n v="5"/>
    <n v="1"/>
    <n v="3"/>
    <n v="2"/>
    <n v="0"/>
    <n v="2"/>
  </r>
  <r>
    <n v="46"/>
    <x v="1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s v="No"/>
    <n v="16"/>
    <n v="3"/>
    <n v="3"/>
    <n v="80"/>
    <n v="1"/>
    <n v="17"/>
    <s v="&gt;15"/>
    <n v="3"/>
    <n v="3"/>
    <n v="4"/>
    <n v="2"/>
    <n v="0"/>
    <n v="3"/>
  </r>
  <r>
    <n v="32"/>
    <x v="0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s v="No"/>
    <n v="11"/>
    <n v="3"/>
    <n v="3"/>
    <n v="80"/>
    <n v="0"/>
    <n v="14"/>
    <s v="6-15"/>
    <n v="2"/>
    <n v="2"/>
    <n v="14"/>
    <n v="8"/>
    <n v="9"/>
    <n v="8"/>
  </r>
  <r>
    <n v="30"/>
    <x v="1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s v="No"/>
    <n v="22"/>
    <n v="4"/>
    <n v="3"/>
    <n v="80"/>
    <n v="0"/>
    <n v="12"/>
    <s v="6-15"/>
    <n v="2"/>
    <n v="3"/>
    <n v="11"/>
    <n v="8"/>
    <n v="5"/>
    <n v="8"/>
  </r>
  <r>
    <n v="27"/>
    <x v="1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s v="No"/>
    <n v="14"/>
    <n v="3"/>
    <n v="4"/>
    <n v="80"/>
    <n v="0"/>
    <n v="7"/>
    <s v="6-15"/>
    <n v="2"/>
    <n v="3"/>
    <n v="7"/>
    <n v="7"/>
    <n v="0"/>
    <n v="7"/>
  </r>
  <r>
    <n v="51"/>
    <x v="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s v="No"/>
    <n v="16"/>
    <n v="3"/>
    <n v="4"/>
    <n v="80"/>
    <n v="2"/>
    <n v="16"/>
    <s v="&gt;15"/>
    <n v="5"/>
    <n v="1"/>
    <n v="10"/>
    <n v="9"/>
    <n v="4"/>
    <n v="7"/>
  </r>
  <r>
    <n v="30"/>
    <x v="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s v="Yes"/>
    <n v="11"/>
    <n v="3"/>
    <n v="3"/>
    <n v="80"/>
    <n v="0"/>
    <n v="8"/>
    <s v="6-15"/>
    <n v="5"/>
    <n v="3"/>
    <n v="5"/>
    <n v="2"/>
    <n v="0"/>
    <n v="4"/>
  </r>
  <r>
    <n v="41"/>
    <x v="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s v="Yes"/>
    <n v="18"/>
    <n v="3"/>
    <n v="3"/>
    <n v="80"/>
    <n v="0"/>
    <n v="16"/>
    <s v="&gt;15"/>
    <n v="3"/>
    <n v="3"/>
    <n v="1"/>
    <n v="0"/>
    <n v="0"/>
    <n v="0"/>
  </r>
  <r>
    <n v="30"/>
    <x v="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s v="No"/>
    <n v="15"/>
    <n v="3"/>
    <n v="3"/>
    <n v="80"/>
    <n v="0"/>
    <n v="9"/>
    <s v="6-15"/>
    <n v="5"/>
    <n v="2"/>
    <n v="6"/>
    <n v="3"/>
    <n v="0"/>
    <n v="1"/>
  </r>
  <r>
    <n v="29"/>
    <x v="0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s v="No"/>
    <n v="14"/>
    <n v="3"/>
    <n v="4"/>
    <n v="80"/>
    <n v="0"/>
    <n v="7"/>
    <s v="6-15"/>
    <n v="1"/>
    <n v="2"/>
    <n v="6"/>
    <n v="2"/>
    <n v="1"/>
    <n v="5"/>
  </r>
  <r>
    <n v="45"/>
    <x v="1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s v="No"/>
    <n v="12"/>
    <n v="3"/>
    <n v="4"/>
    <n v="80"/>
    <n v="0"/>
    <n v="23"/>
    <s v="&gt;15"/>
    <n v="2"/>
    <n v="3"/>
    <n v="19"/>
    <n v="7"/>
    <n v="12"/>
    <n v="8"/>
  </r>
  <r>
    <n v="54"/>
    <x v="1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s v="No"/>
    <n v="14"/>
    <n v="3"/>
    <n v="4"/>
    <n v="80"/>
    <n v="1"/>
    <n v="16"/>
    <s v="&gt;15"/>
    <n v="4"/>
    <n v="3"/>
    <n v="6"/>
    <n v="2"/>
    <n v="0"/>
    <n v="5"/>
  </r>
  <r>
    <n v="36"/>
    <x v="1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s v="No"/>
    <n v="16"/>
    <n v="3"/>
    <n v="4"/>
    <n v="80"/>
    <n v="0"/>
    <n v="16"/>
    <s v="&gt;15"/>
    <n v="3"/>
    <n v="4"/>
    <n v="13"/>
    <n v="11"/>
    <n v="3"/>
    <n v="7"/>
  </r>
  <r>
    <n v="33"/>
    <x v="1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s v="No"/>
    <n v="21"/>
    <n v="4"/>
    <n v="4"/>
    <n v="80"/>
    <n v="0"/>
    <n v="7"/>
    <s v="6-15"/>
    <n v="3"/>
    <n v="3"/>
    <n v="3"/>
    <n v="2"/>
    <n v="1"/>
    <n v="1"/>
  </r>
  <r>
    <n v="37"/>
    <x v="1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s v="Yes"/>
    <n v="14"/>
    <n v="3"/>
    <n v="3"/>
    <n v="80"/>
    <n v="3"/>
    <n v="10"/>
    <s v="6-15"/>
    <n v="1"/>
    <n v="3"/>
    <n v="10"/>
    <n v="8"/>
    <n v="0"/>
    <n v="7"/>
  </r>
  <r>
    <n v="38"/>
    <x v="1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s v="No"/>
    <n v="12"/>
    <n v="3"/>
    <n v="3"/>
    <n v="80"/>
    <n v="2"/>
    <n v="17"/>
    <s v="&gt;15"/>
    <n v="6"/>
    <n v="2"/>
    <n v="16"/>
    <n v="10"/>
    <n v="5"/>
    <n v="13"/>
  </r>
  <r>
    <n v="31"/>
    <x v="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s v="No"/>
    <n v="12"/>
    <n v="3"/>
    <n v="4"/>
    <n v="80"/>
    <n v="1"/>
    <n v="6"/>
    <s v="6-15"/>
    <n v="2"/>
    <n v="3"/>
    <n v="5"/>
    <n v="4"/>
    <n v="1"/>
    <n v="4"/>
  </r>
  <r>
    <n v="59"/>
    <x v="1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s v="No"/>
    <n v="17"/>
    <n v="3"/>
    <n v="1"/>
    <n v="80"/>
    <n v="1"/>
    <n v="7"/>
    <s v="6-15"/>
    <n v="6"/>
    <n v="3"/>
    <n v="1"/>
    <n v="0"/>
    <n v="0"/>
    <n v="0"/>
  </r>
  <r>
    <n v="37"/>
    <x v="1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s v="No"/>
    <n v="17"/>
    <n v="3"/>
    <n v="3"/>
    <n v="80"/>
    <n v="1"/>
    <n v="13"/>
    <s v="6-15"/>
    <n v="2"/>
    <n v="3"/>
    <n v="9"/>
    <n v="8"/>
    <n v="5"/>
    <n v="8"/>
  </r>
  <r>
    <n v="29"/>
    <x v="1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s v="No"/>
    <n v="14"/>
    <n v="3"/>
    <n v="4"/>
    <n v="80"/>
    <n v="1"/>
    <n v="11"/>
    <s v="6-15"/>
    <n v="5"/>
    <n v="3"/>
    <n v="11"/>
    <n v="10"/>
    <n v="4"/>
    <n v="1"/>
  </r>
  <r>
    <n v="35"/>
    <x v="1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s v="No"/>
    <n v="14"/>
    <n v="3"/>
    <n v="1"/>
    <n v="80"/>
    <n v="0"/>
    <n v="10"/>
    <s v="6-15"/>
    <n v="3"/>
    <n v="4"/>
    <n v="10"/>
    <n v="7"/>
    <n v="0"/>
    <n v="8"/>
  </r>
  <r>
    <n v="29"/>
    <x v="0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s v="Yes"/>
    <n v="13"/>
    <n v="3"/>
    <n v="3"/>
    <n v="80"/>
    <n v="0"/>
    <n v="4"/>
    <s v="0-5"/>
    <n v="3"/>
    <n v="2"/>
    <n v="4"/>
    <n v="3"/>
    <n v="0"/>
    <n v="1"/>
  </r>
  <r>
    <n v="52"/>
    <x v="1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s v="No"/>
    <n v="15"/>
    <n v="3"/>
    <n v="2"/>
    <n v="80"/>
    <n v="0"/>
    <n v="6"/>
    <s v="6-15"/>
    <n v="3"/>
    <n v="2"/>
    <n v="2"/>
    <n v="2"/>
    <n v="2"/>
    <n v="2"/>
  </r>
  <r>
    <n v="42"/>
    <x v="1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s v="No"/>
    <n v="11"/>
    <n v="3"/>
    <n v="4"/>
    <n v="80"/>
    <n v="0"/>
    <n v="22"/>
    <s v="&gt;15"/>
    <n v="3"/>
    <n v="3"/>
    <n v="22"/>
    <n v="17"/>
    <n v="11"/>
    <n v="15"/>
  </r>
  <r>
    <n v="59"/>
    <x v="1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s v="No"/>
    <n v="17"/>
    <n v="3"/>
    <n v="4"/>
    <n v="80"/>
    <n v="0"/>
    <n v="7"/>
    <s v="6-15"/>
    <n v="2"/>
    <n v="2"/>
    <n v="2"/>
    <n v="2"/>
    <n v="2"/>
    <n v="2"/>
  </r>
  <r>
    <n v="50"/>
    <x v="1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s v="No"/>
    <n v="11"/>
    <n v="3"/>
    <n v="3"/>
    <n v="80"/>
    <n v="1"/>
    <n v="32"/>
    <s v="&gt;15"/>
    <n v="3"/>
    <n v="2"/>
    <n v="7"/>
    <n v="0"/>
    <n v="0"/>
    <n v="6"/>
  </r>
  <r>
    <n v="33"/>
    <x v="0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s v="Yes"/>
    <n v="13"/>
    <n v="3"/>
    <n v="3"/>
    <n v="80"/>
    <n v="1"/>
    <n v="8"/>
    <s v="6-15"/>
    <n v="2"/>
    <n v="1"/>
    <n v="5"/>
    <n v="4"/>
    <n v="0"/>
    <n v="4"/>
  </r>
  <r>
    <n v="43"/>
    <x v="1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s v="Yes"/>
    <n v="22"/>
    <n v="4"/>
    <n v="3"/>
    <n v="80"/>
    <n v="1"/>
    <n v="22"/>
    <s v="&gt;15"/>
    <n v="3"/>
    <n v="3"/>
    <n v="17"/>
    <n v="13"/>
    <n v="1"/>
    <n v="9"/>
  </r>
  <r>
    <n v="33"/>
    <x v="0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s v="No"/>
    <n v="20"/>
    <n v="4"/>
    <n v="1"/>
    <n v="80"/>
    <n v="0"/>
    <n v="13"/>
    <s v="6-15"/>
    <n v="3"/>
    <n v="4"/>
    <n v="9"/>
    <n v="7"/>
    <n v="1"/>
    <n v="7"/>
  </r>
  <r>
    <n v="52"/>
    <x v="1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s v="Yes"/>
    <n v="18"/>
    <n v="3"/>
    <n v="4"/>
    <n v="80"/>
    <n v="0"/>
    <n v="33"/>
    <s v="&gt;15"/>
    <n v="2"/>
    <n v="4"/>
    <n v="33"/>
    <n v="7"/>
    <n v="15"/>
    <n v="12"/>
  </r>
  <r>
    <n v="32"/>
    <x v="1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s v="No"/>
    <n v="11"/>
    <n v="3"/>
    <n v="1"/>
    <n v="80"/>
    <n v="1"/>
    <n v="6"/>
    <s v="6-15"/>
    <n v="5"/>
    <n v="3"/>
    <n v="4"/>
    <n v="3"/>
    <n v="1"/>
    <n v="2"/>
  </r>
  <r>
    <n v="32"/>
    <x v="0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s v="Yes"/>
    <n v="14"/>
    <n v="3"/>
    <n v="4"/>
    <n v="80"/>
    <n v="0"/>
    <n v="4"/>
    <s v="0-5"/>
    <n v="2"/>
    <n v="1"/>
    <n v="3"/>
    <n v="2"/>
    <n v="1"/>
    <n v="2"/>
  </r>
  <r>
    <n v="39"/>
    <x v="1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s v="No"/>
    <n v="14"/>
    <n v="3"/>
    <n v="3"/>
    <n v="80"/>
    <n v="3"/>
    <n v="7"/>
    <s v="6-15"/>
    <n v="1"/>
    <n v="3"/>
    <n v="3"/>
    <n v="2"/>
    <n v="1"/>
    <n v="2"/>
  </r>
  <r>
    <n v="32"/>
    <x v="1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s v="No"/>
    <n v="18"/>
    <n v="3"/>
    <n v="1"/>
    <n v="80"/>
    <n v="0"/>
    <n v="4"/>
    <s v="0-5"/>
    <n v="2"/>
    <n v="3"/>
    <n v="3"/>
    <n v="2"/>
    <n v="2"/>
    <n v="2"/>
  </r>
  <r>
    <n v="41"/>
    <x v="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s v="No"/>
    <n v="16"/>
    <n v="3"/>
    <n v="1"/>
    <n v="80"/>
    <n v="2"/>
    <n v="17"/>
    <s v="&gt;15"/>
    <n v="2"/>
    <n v="2"/>
    <n v="1"/>
    <n v="0"/>
    <n v="0"/>
    <n v="0"/>
  </r>
  <r>
    <n v="40"/>
    <x v="1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s v="No"/>
    <n v="17"/>
    <n v="3"/>
    <n v="1"/>
    <n v="80"/>
    <n v="2"/>
    <n v="9"/>
    <s v="6-15"/>
    <n v="3"/>
    <n v="3"/>
    <n v="9"/>
    <n v="8"/>
    <n v="4"/>
    <n v="7"/>
  </r>
  <r>
    <n v="45"/>
    <x v="1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s v="No"/>
    <n v="11"/>
    <n v="3"/>
    <n v="3"/>
    <n v="80"/>
    <n v="1"/>
    <n v="25"/>
    <s v="&gt;15"/>
    <n v="2"/>
    <n v="3"/>
    <n v="24"/>
    <n v="0"/>
    <n v="1"/>
    <n v="7"/>
  </r>
  <r>
    <n v="31"/>
    <x v="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s v="No"/>
    <n v="12"/>
    <n v="3"/>
    <n v="1"/>
    <n v="80"/>
    <n v="1"/>
    <n v="9"/>
    <s v="6-15"/>
    <n v="3"/>
    <n v="3"/>
    <n v="2"/>
    <n v="2"/>
    <n v="2"/>
    <n v="2"/>
  </r>
  <r>
    <n v="33"/>
    <x v="1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s v="No"/>
    <n v="13"/>
    <n v="3"/>
    <n v="3"/>
    <n v="80"/>
    <n v="1"/>
    <n v="2"/>
    <s v="0-5"/>
    <n v="2"/>
    <n v="2"/>
    <n v="2"/>
    <n v="2"/>
    <n v="0"/>
    <n v="2"/>
  </r>
  <r>
    <n v="34"/>
    <x v="1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s v="No"/>
    <n v="13"/>
    <n v="3"/>
    <n v="2"/>
    <n v="80"/>
    <n v="1"/>
    <n v="13"/>
    <s v="6-15"/>
    <n v="3"/>
    <n v="3"/>
    <n v="11"/>
    <n v="9"/>
    <n v="5"/>
    <n v="9"/>
  </r>
  <r>
    <n v="37"/>
    <x v="1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s v="No"/>
    <n v="14"/>
    <n v="3"/>
    <n v="1"/>
    <n v="80"/>
    <n v="1"/>
    <n v="17"/>
    <s v="&gt;15"/>
    <n v="2"/>
    <n v="2"/>
    <n v="3"/>
    <n v="1"/>
    <n v="0"/>
    <n v="2"/>
  </r>
  <r>
    <n v="45"/>
    <x v="1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s v="No"/>
    <n v="17"/>
    <n v="3"/>
    <n v="4"/>
    <n v="80"/>
    <n v="1"/>
    <n v="9"/>
    <s v="6-15"/>
    <n v="1"/>
    <n v="3"/>
    <n v="3"/>
    <n v="2"/>
    <n v="0"/>
    <n v="2"/>
  </r>
  <r>
    <n v="37"/>
    <x v="0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s v="No"/>
    <n v="11"/>
    <n v="3"/>
    <n v="2"/>
    <n v="80"/>
    <n v="2"/>
    <n v="17"/>
    <s v="&gt;15"/>
    <n v="5"/>
    <n v="3"/>
    <n v="1"/>
    <n v="0"/>
    <n v="0"/>
    <n v="0"/>
  </r>
  <r>
    <n v="39"/>
    <x v="1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s v="No"/>
    <n v="25"/>
    <n v="4"/>
    <n v="4"/>
    <n v="80"/>
    <n v="0"/>
    <n v="20"/>
    <s v="&gt;15"/>
    <n v="1"/>
    <n v="3"/>
    <n v="19"/>
    <n v="6"/>
    <n v="11"/>
    <n v="8"/>
  </r>
  <r>
    <n v="29"/>
    <x v="1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s v="No"/>
    <n v="19"/>
    <n v="3"/>
    <n v="1"/>
    <n v="80"/>
    <n v="0"/>
    <n v="6"/>
    <s v="6-15"/>
    <n v="1"/>
    <n v="3"/>
    <n v="6"/>
    <n v="5"/>
    <n v="1"/>
    <n v="5"/>
  </r>
  <r>
    <n v="42"/>
    <x v="1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s v="Yes"/>
    <n v="13"/>
    <n v="3"/>
    <n v="3"/>
    <n v="80"/>
    <n v="0"/>
    <n v="10"/>
    <s v="6-15"/>
    <n v="1"/>
    <n v="3"/>
    <n v="3"/>
    <n v="2"/>
    <n v="0"/>
    <n v="2"/>
  </r>
  <r>
    <n v="29"/>
    <x v="1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s v="No"/>
    <n v="14"/>
    <n v="3"/>
    <n v="4"/>
    <n v="80"/>
    <n v="1"/>
    <n v="10"/>
    <s v="6-15"/>
    <n v="2"/>
    <n v="3"/>
    <n v="3"/>
    <n v="2"/>
    <n v="0"/>
    <n v="2"/>
  </r>
  <r>
    <n v="25"/>
    <x v="1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s v="No"/>
    <n v="12"/>
    <n v="3"/>
    <n v="4"/>
    <n v="80"/>
    <n v="2"/>
    <n v="5"/>
    <s v="0-5"/>
    <n v="3"/>
    <n v="3"/>
    <n v="4"/>
    <n v="2"/>
    <n v="1"/>
    <n v="2"/>
  </r>
  <r>
    <n v="42"/>
    <x v="1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s v="Yes"/>
    <n v="11"/>
    <n v="3"/>
    <n v="3"/>
    <n v="80"/>
    <n v="1"/>
    <n v="10"/>
    <s v="6-15"/>
    <n v="4"/>
    <n v="3"/>
    <n v="9"/>
    <n v="6"/>
    <n v="7"/>
    <n v="8"/>
  </r>
  <r>
    <n v="40"/>
    <x v="1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s v="No"/>
    <n v="19"/>
    <n v="3"/>
    <n v="4"/>
    <n v="80"/>
    <n v="1"/>
    <n v="22"/>
    <s v="&gt;15"/>
    <n v="5"/>
    <n v="3"/>
    <n v="21"/>
    <n v="7"/>
    <n v="3"/>
    <n v="9"/>
  </r>
  <r>
    <n v="51"/>
    <x v="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s v="No"/>
    <n v="11"/>
    <n v="3"/>
    <n v="2"/>
    <n v="80"/>
    <n v="0"/>
    <n v="1"/>
    <s v="0-5"/>
    <n v="0"/>
    <n v="2"/>
    <n v="1"/>
    <n v="0"/>
    <n v="0"/>
    <n v="0"/>
  </r>
  <r>
    <n v="31"/>
    <x v="0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s v="No"/>
    <n v="11"/>
    <n v="3"/>
    <n v="2"/>
    <n v="80"/>
    <n v="0"/>
    <n v="6"/>
    <s v="6-15"/>
    <n v="2"/>
    <n v="4"/>
    <n v="5"/>
    <n v="4"/>
    <n v="1"/>
    <n v="4"/>
  </r>
  <r>
    <n v="32"/>
    <x v="1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s v="No"/>
    <n v="20"/>
    <n v="4"/>
    <n v="3"/>
    <n v="80"/>
    <n v="0"/>
    <n v="5"/>
    <s v="0-5"/>
    <n v="3"/>
    <n v="1"/>
    <n v="5"/>
    <n v="1"/>
    <n v="0"/>
    <n v="3"/>
  </r>
  <r>
    <n v="38"/>
    <x v="1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s v="No"/>
    <n v="18"/>
    <n v="3"/>
    <n v="4"/>
    <n v="80"/>
    <n v="1"/>
    <n v="13"/>
    <s v="6-15"/>
    <n v="0"/>
    <n v="3"/>
    <n v="8"/>
    <n v="7"/>
    <n v="7"/>
    <n v="5"/>
  </r>
  <r>
    <n v="32"/>
    <x v="1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s v="No"/>
    <n v="13"/>
    <n v="3"/>
    <n v="4"/>
    <n v="80"/>
    <n v="0"/>
    <n v="9"/>
    <s v="6-15"/>
    <n v="5"/>
    <n v="3"/>
    <n v="6"/>
    <n v="2"/>
    <n v="0"/>
    <n v="4"/>
  </r>
  <r>
    <n v="46"/>
    <x v="1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s v="Yes"/>
    <n v="12"/>
    <n v="3"/>
    <n v="2"/>
    <n v="80"/>
    <n v="1"/>
    <n v="28"/>
    <s v="&gt;15"/>
    <n v="2"/>
    <n v="2"/>
    <n v="7"/>
    <n v="7"/>
    <n v="7"/>
    <n v="7"/>
  </r>
  <r>
    <n v="28"/>
    <x v="0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s v="No"/>
    <n v="11"/>
    <n v="3"/>
    <n v="3"/>
    <n v="80"/>
    <n v="0"/>
    <n v="5"/>
    <s v="0-5"/>
    <n v="5"/>
    <n v="1"/>
    <n v="0"/>
    <n v="0"/>
    <n v="0"/>
    <n v="0"/>
  </r>
  <r>
    <n v="29"/>
    <x v="1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s v="No"/>
    <n v="19"/>
    <n v="3"/>
    <n v="2"/>
    <n v="80"/>
    <n v="2"/>
    <n v="10"/>
    <s v="6-15"/>
    <n v="2"/>
    <n v="3"/>
    <n v="0"/>
    <n v="0"/>
    <n v="0"/>
    <n v="0"/>
  </r>
  <r>
    <n v="31"/>
    <x v="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s v="No"/>
    <n v="21"/>
    <n v="4"/>
    <n v="2"/>
    <n v="80"/>
    <n v="1"/>
    <n v="10"/>
    <s v="6-15"/>
    <n v="2"/>
    <n v="3"/>
    <n v="9"/>
    <n v="0"/>
    <n v="7"/>
    <n v="8"/>
  </r>
  <r>
    <n v="25"/>
    <x v="1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s v="No"/>
    <n v="12"/>
    <n v="3"/>
    <n v="4"/>
    <n v="80"/>
    <n v="2"/>
    <n v="6"/>
    <s v="6-15"/>
    <n v="2"/>
    <n v="3"/>
    <n v="6"/>
    <n v="3"/>
    <n v="1"/>
    <n v="5"/>
  </r>
  <r>
    <n v="45"/>
    <x v="1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s v="Yes"/>
    <n v="14"/>
    <n v="3"/>
    <n v="2"/>
    <n v="80"/>
    <n v="0"/>
    <n v="21"/>
    <s v="&gt;15"/>
    <n v="2"/>
    <n v="3"/>
    <n v="20"/>
    <n v="7"/>
    <n v="4"/>
    <n v="10"/>
  </r>
  <r>
    <n v="36"/>
    <x v="1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s v="No"/>
    <n v="11"/>
    <n v="3"/>
    <n v="3"/>
    <n v="80"/>
    <n v="1"/>
    <n v="16"/>
    <s v="&gt;15"/>
    <n v="4"/>
    <n v="3"/>
    <n v="15"/>
    <n v="13"/>
    <n v="10"/>
    <n v="11"/>
  </r>
  <r>
    <n v="55"/>
    <x v="1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s v="Yes"/>
    <n v="14"/>
    <n v="3"/>
    <n v="3"/>
    <n v="80"/>
    <n v="0"/>
    <n v="37"/>
    <s v="&gt;15"/>
    <n v="2"/>
    <n v="3"/>
    <n v="36"/>
    <n v="10"/>
    <n v="4"/>
    <n v="13"/>
  </r>
  <r>
    <n v="47"/>
    <x v="0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s v="Yes"/>
    <n v="12"/>
    <n v="3"/>
    <n v="4"/>
    <n v="80"/>
    <n v="1"/>
    <n v="10"/>
    <s v="6-15"/>
    <n v="2"/>
    <n v="2"/>
    <n v="10"/>
    <n v="7"/>
    <n v="9"/>
    <n v="9"/>
  </r>
  <r>
    <n v="28"/>
    <x v="1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s v="No"/>
    <n v="23"/>
    <n v="4"/>
    <n v="4"/>
    <n v="80"/>
    <n v="1"/>
    <n v="5"/>
    <s v="0-5"/>
    <n v="3"/>
    <n v="2"/>
    <n v="5"/>
    <n v="2"/>
    <n v="0"/>
    <n v="4"/>
  </r>
  <r>
    <n v="37"/>
    <x v="1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s v="No"/>
    <n v="14"/>
    <n v="3"/>
    <n v="2"/>
    <n v="80"/>
    <n v="1"/>
    <n v="7"/>
    <s v="6-15"/>
    <n v="5"/>
    <n v="4"/>
    <n v="5"/>
    <n v="4"/>
    <n v="0"/>
    <n v="1"/>
  </r>
  <r>
    <n v="21"/>
    <x v="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s v="No"/>
    <n v="17"/>
    <n v="3"/>
    <n v="1"/>
    <n v="80"/>
    <n v="0"/>
    <n v="3"/>
    <s v="0-5"/>
    <n v="4"/>
    <n v="4"/>
    <n v="3"/>
    <n v="2"/>
    <n v="1"/>
    <n v="0"/>
  </r>
  <r>
    <n v="37"/>
    <x v="1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s v="Yes"/>
    <n v="18"/>
    <n v="3"/>
    <n v="1"/>
    <n v="80"/>
    <n v="2"/>
    <n v="15"/>
    <s v="6-15"/>
    <n v="2"/>
    <n v="3"/>
    <n v="5"/>
    <n v="2"/>
    <n v="0"/>
    <n v="2"/>
  </r>
  <r>
    <n v="35"/>
    <x v="1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s v="No"/>
    <n v="18"/>
    <n v="3"/>
    <n v="2"/>
    <n v="80"/>
    <n v="1"/>
    <n v="10"/>
    <s v="6-15"/>
    <n v="6"/>
    <n v="2"/>
    <n v="7"/>
    <n v="7"/>
    <n v="6"/>
    <n v="2"/>
  </r>
  <r>
    <n v="38"/>
    <x v="1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s v="Yes"/>
    <n v="24"/>
    <n v="4"/>
    <n v="3"/>
    <n v="80"/>
    <n v="1"/>
    <n v="8"/>
    <s v="6-15"/>
    <n v="3"/>
    <n v="3"/>
    <n v="8"/>
    <n v="0"/>
    <n v="7"/>
    <n v="7"/>
  </r>
  <r>
    <n v="26"/>
    <x v="1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s v="No"/>
    <n v="20"/>
    <n v="4"/>
    <n v="1"/>
    <n v="80"/>
    <n v="1"/>
    <n v="6"/>
    <s v="6-15"/>
    <n v="6"/>
    <n v="1"/>
    <n v="6"/>
    <n v="5"/>
    <n v="1"/>
    <n v="4"/>
  </r>
  <r>
    <n v="50"/>
    <x v="1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s v="No"/>
    <n v="14"/>
    <n v="3"/>
    <n v="1"/>
    <n v="80"/>
    <n v="2"/>
    <n v="28"/>
    <s v="&gt;15"/>
    <n v="4"/>
    <n v="2"/>
    <n v="10"/>
    <n v="4"/>
    <n v="1"/>
    <n v="6"/>
  </r>
  <r>
    <n v="53"/>
    <x v="1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s v="Yes"/>
    <n v="16"/>
    <n v="3"/>
    <n v="4"/>
    <n v="80"/>
    <n v="3"/>
    <n v="21"/>
    <s v="&gt;15"/>
    <n v="5"/>
    <n v="2"/>
    <n v="5"/>
    <n v="3"/>
    <n v="1"/>
    <n v="3"/>
  </r>
  <r>
    <n v="42"/>
    <x v="1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s v="No"/>
    <n v="25"/>
    <n v="4"/>
    <n v="3"/>
    <n v="80"/>
    <n v="0"/>
    <n v="20"/>
    <s v="&gt;15"/>
    <n v="3"/>
    <n v="3"/>
    <n v="20"/>
    <n v="16"/>
    <n v="11"/>
    <n v="6"/>
  </r>
  <r>
    <n v="29"/>
    <x v="1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s v="No"/>
    <n v="18"/>
    <n v="3"/>
    <n v="1"/>
    <n v="80"/>
    <n v="0"/>
    <n v="10"/>
    <s v="6-15"/>
    <n v="3"/>
    <n v="2"/>
    <n v="10"/>
    <n v="7"/>
    <n v="0"/>
    <n v="9"/>
  </r>
  <r>
    <n v="55"/>
    <x v="1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s v="Yes"/>
    <n v="19"/>
    <n v="3"/>
    <n v="4"/>
    <n v="80"/>
    <n v="1"/>
    <n v="12"/>
    <s v="6-15"/>
    <n v="4"/>
    <n v="3"/>
    <n v="10"/>
    <n v="7"/>
    <n v="0"/>
    <n v="8"/>
  </r>
  <r>
    <n v="26"/>
    <x v="1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s v="Yes"/>
    <n v="13"/>
    <n v="3"/>
    <n v="3"/>
    <n v="80"/>
    <n v="1"/>
    <n v="5"/>
    <s v="0-5"/>
    <n v="3"/>
    <n v="3"/>
    <n v="5"/>
    <n v="3"/>
    <n v="3"/>
    <n v="3"/>
  </r>
  <r>
    <n v="37"/>
    <x v="1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s v="No"/>
    <n v="12"/>
    <n v="3"/>
    <n v="2"/>
    <n v="80"/>
    <n v="0"/>
    <n v="17"/>
    <s v="&gt;15"/>
    <n v="3"/>
    <n v="3"/>
    <n v="17"/>
    <n v="12"/>
    <n v="5"/>
    <n v="7"/>
  </r>
  <r>
    <n v="44"/>
    <x v="0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s v="Yes"/>
    <n v="22"/>
    <n v="4"/>
    <n v="4"/>
    <n v="80"/>
    <n v="1"/>
    <n v="19"/>
    <s v="&gt;15"/>
    <n v="0"/>
    <n v="1"/>
    <n v="1"/>
    <n v="0"/>
    <n v="0"/>
    <n v="0"/>
  </r>
  <r>
    <n v="38"/>
    <x v="1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s v="No"/>
    <n v="14"/>
    <n v="3"/>
    <n v="2"/>
    <n v="80"/>
    <n v="1"/>
    <n v="10"/>
    <s v="6-15"/>
    <n v="2"/>
    <n v="3"/>
    <n v="2"/>
    <n v="2"/>
    <n v="1"/>
    <n v="2"/>
  </r>
  <r>
    <n v="26"/>
    <x v="0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s v="Yes"/>
    <n v="13"/>
    <n v="3"/>
    <n v="4"/>
    <n v="80"/>
    <n v="1"/>
    <n v="5"/>
    <s v="0-5"/>
    <n v="2"/>
    <n v="3"/>
    <n v="3"/>
    <n v="2"/>
    <n v="0"/>
    <n v="2"/>
  </r>
  <r>
    <n v="28"/>
    <x v="1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s v="No"/>
    <n v="21"/>
    <n v="4"/>
    <n v="4"/>
    <n v="80"/>
    <n v="0"/>
    <n v="5"/>
    <s v="0-5"/>
    <n v="3"/>
    <n v="3"/>
    <n v="5"/>
    <n v="3"/>
    <n v="0"/>
    <n v="2"/>
  </r>
  <r>
    <n v="49"/>
    <x v="1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s v="Yes"/>
    <n v="11"/>
    <n v="3"/>
    <n v="4"/>
    <n v="80"/>
    <n v="0"/>
    <n v="22"/>
    <s v="&gt;15"/>
    <n v="4"/>
    <n v="3"/>
    <n v="3"/>
    <n v="2"/>
    <n v="1"/>
    <n v="2"/>
  </r>
  <r>
    <n v="36"/>
    <x v="1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s v="No"/>
    <n v="12"/>
    <n v="3"/>
    <n v="4"/>
    <n v="80"/>
    <n v="0"/>
    <n v="10"/>
    <s v="6-15"/>
    <n v="2"/>
    <n v="3"/>
    <n v="8"/>
    <n v="0"/>
    <n v="7"/>
    <n v="7"/>
  </r>
  <r>
    <n v="31"/>
    <x v="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s v="No"/>
    <n v="11"/>
    <n v="3"/>
    <n v="3"/>
    <n v="80"/>
    <n v="1"/>
    <n v="2"/>
    <s v="0-5"/>
    <n v="5"/>
    <n v="2"/>
    <n v="2"/>
    <n v="2"/>
    <n v="2"/>
    <n v="2"/>
  </r>
  <r>
    <n v="26"/>
    <x v="0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s v="Yes"/>
    <n v="12"/>
    <n v="3"/>
    <n v="2"/>
    <n v="80"/>
    <n v="0"/>
    <n v="8"/>
    <s v="6-15"/>
    <n v="0"/>
    <n v="3"/>
    <n v="8"/>
    <n v="7"/>
    <n v="7"/>
    <n v="4"/>
  </r>
  <r>
    <n v="37"/>
    <x v="1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s v="Yes"/>
    <n v="12"/>
    <n v="3"/>
    <n v="3"/>
    <n v="80"/>
    <n v="3"/>
    <n v="4"/>
    <s v="0-5"/>
    <n v="3"/>
    <n v="2"/>
    <n v="4"/>
    <n v="2"/>
    <n v="1"/>
    <n v="2"/>
  </r>
  <r>
    <n v="42"/>
    <x v="1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s v="No"/>
    <n v="14"/>
    <n v="3"/>
    <n v="4"/>
    <n v="80"/>
    <n v="1"/>
    <n v="23"/>
    <s v="&gt;15"/>
    <n v="2"/>
    <n v="4"/>
    <n v="20"/>
    <n v="4"/>
    <n v="4"/>
    <n v="8"/>
  </r>
  <r>
    <n v="18"/>
    <x v="0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s v="No"/>
    <n v="13"/>
    <n v="3"/>
    <n v="3"/>
    <n v="80"/>
    <n v="0"/>
    <n v="0"/>
    <s v="0-5"/>
    <n v="2"/>
    <n v="3"/>
    <n v="0"/>
    <n v="0"/>
    <n v="0"/>
    <n v="0"/>
  </r>
  <r>
    <n v="35"/>
    <x v="1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s v="No"/>
    <n v="15"/>
    <n v="3"/>
    <n v="3"/>
    <n v="80"/>
    <n v="2"/>
    <n v="12"/>
    <s v="6-15"/>
    <n v="3"/>
    <n v="2"/>
    <n v="11"/>
    <n v="9"/>
    <n v="6"/>
    <n v="9"/>
  </r>
  <r>
    <n v="36"/>
    <x v="1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s v="No"/>
    <n v="18"/>
    <n v="3"/>
    <n v="4"/>
    <n v="80"/>
    <n v="2"/>
    <n v="4"/>
    <s v="0-5"/>
    <n v="2"/>
    <n v="3"/>
    <n v="1"/>
    <n v="0"/>
    <n v="0"/>
    <n v="0"/>
  </r>
  <r>
    <n v="51"/>
    <x v="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s v="No"/>
    <n v="18"/>
    <n v="3"/>
    <n v="4"/>
    <n v="80"/>
    <n v="1"/>
    <n v="13"/>
    <s v="6-15"/>
    <n v="3"/>
    <n v="3"/>
    <n v="4"/>
    <n v="1"/>
    <n v="1"/>
    <n v="2"/>
  </r>
  <r>
    <n v="41"/>
    <x v="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s v="No"/>
    <n v="19"/>
    <n v="3"/>
    <n v="2"/>
    <n v="80"/>
    <n v="0"/>
    <n v="22"/>
    <s v="&gt;15"/>
    <n v="2"/>
    <n v="3"/>
    <n v="22"/>
    <n v="10"/>
    <n v="0"/>
    <n v="4"/>
  </r>
  <r>
    <n v="18"/>
    <x v="1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s v="No"/>
    <n v="12"/>
    <n v="3"/>
    <n v="1"/>
    <n v="80"/>
    <n v="0"/>
    <n v="0"/>
    <s v="0-5"/>
    <n v="2"/>
    <n v="3"/>
    <n v="0"/>
    <n v="0"/>
    <n v="0"/>
    <n v="0"/>
  </r>
  <r>
    <n v="28"/>
    <x v="1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s v="No"/>
    <n v="19"/>
    <n v="3"/>
    <n v="3"/>
    <n v="80"/>
    <n v="0"/>
    <n v="9"/>
    <s v="6-15"/>
    <n v="2"/>
    <n v="3"/>
    <n v="8"/>
    <n v="3"/>
    <n v="0"/>
    <n v="7"/>
  </r>
  <r>
    <n v="31"/>
    <x v="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s v="No"/>
    <n v="11"/>
    <n v="3"/>
    <n v="2"/>
    <n v="80"/>
    <n v="1"/>
    <n v="10"/>
    <s v="6-15"/>
    <n v="3"/>
    <n v="2"/>
    <n v="8"/>
    <n v="7"/>
    <n v="7"/>
    <n v="7"/>
  </r>
  <r>
    <n v="39"/>
    <x v="1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s v="No"/>
    <n v="17"/>
    <n v="3"/>
    <n v="1"/>
    <n v="80"/>
    <n v="3"/>
    <n v="19"/>
    <s v="&gt;15"/>
    <n v="5"/>
    <n v="2"/>
    <n v="18"/>
    <n v="10"/>
    <n v="3"/>
    <n v="7"/>
  </r>
  <r>
    <n v="36"/>
    <x v="1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s v="No"/>
    <n v="15"/>
    <n v="3"/>
    <n v="3"/>
    <n v="80"/>
    <n v="1"/>
    <n v="11"/>
    <s v="6-15"/>
    <n v="3"/>
    <n v="3"/>
    <n v="9"/>
    <n v="8"/>
    <n v="0"/>
    <n v="8"/>
  </r>
  <r>
    <n v="32"/>
    <x v="1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s v="No"/>
    <n v="14"/>
    <n v="3"/>
    <n v="3"/>
    <n v="80"/>
    <n v="1"/>
    <n v="13"/>
    <s v="6-15"/>
    <n v="3"/>
    <n v="2"/>
    <n v="13"/>
    <n v="8"/>
    <n v="4"/>
    <n v="8"/>
  </r>
  <r>
    <n v="38"/>
    <x v="1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s v="No"/>
    <n v="17"/>
    <n v="3"/>
    <n v="3"/>
    <n v="80"/>
    <n v="1"/>
    <n v="19"/>
    <s v="&gt;15"/>
    <n v="2"/>
    <n v="3"/>
    <n v="10"/>
    <n v="8"/>
    <n v="0"/>
    <n v="1"/>
  </r>
  <r>
    <n v="58"/>
    <x v="1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s v="Yes"/>
    <n v="13"/>
    <n v="3"/>
    <n v="4"/>
    <n v="80"/>
    <n v="1"/>
    <n v="12"/>
    <s v="6-15"/>
    <n v="2"/>
    <n v="3"/>
    <n v="5"/>
    <n v="3"/>
    <n v="1"/>
    <n v="2"/>
  </r>
  <r>
    <n v="31"/>
    <x v="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s v="Yes"/>
    <n v="12"/>
    <n v="3"/>
    <n v="3"/>
    <n v="80"/>
    <n v="1"/>
    <n v="6"/>
    <s v="6-15"/>
    <n v="4"/>
    <n v="3"/>
    <n v="5"/>
    <n v="2"/>
    <n v="0"/>
    <n v="3"/>
  </r>
  <r>
    <n v="31"/>
    <x v="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s v="No"/>
    <n v="12"/>
    <n v="3"/>
    <n v="4"/>
    <n v="80"/>
    <n v="0"/>
    <n v="9"/>
    <s v="6-15"/>
    <n v="1"/>
    <n v="3"/>
    <n v="2"/>
    <n v="2"/>
    <n v="1"/>
    <n v="0"/>
  </r>
  <r>
    <n v="45"/>
    <x v="1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s v="No"/>
    <n v="18"/>
    <n v="3"/>
    <n v="1"/>
    <n v="80"/>
    <n v="1"/>
    <n v="24"/>
    <s v="&gt;15"/>
    <n v="2"/>
    <n v="3"/>
    <n v="24"/>
    <n v="9"/>
    <n v="9"/>
    <n v="11"/>
  </r>
  <r>
    <n v="31"/>
    <x v="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s v="Yes"/>
    <n v="18"/>
    <n v="3"/>
    <n v="2"/>
    <n v="80"/>
    <n v="1"/>
    <n v="3"/>
    <s v="0-5"/>
    <n v="2"/>
    <n v="1"/>
    <n v="2"/>
    <n v="2"/>
    <n v="2"/>
    <n v="2"/>
  </r>
  <r>
    <n v="33"/>
    <x v="1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s v="No"/>
    <n v="11"/>
    <n v="3"/>
    <n v="2"/>
    <n v="80"/>
    <n v="2"/>
    <n v="12"/>
    <s v="6-15"/>
    <n v="2"/>
    <n v="3"/>
    <n v="10"/>
    <n v="6"/>
    <n v="8"/>
    <n v="8"/>
  </r>
  <r>
    <n v="39"/>
    <x v="1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s v="Yes"/>
    <n v="14"/>
    <n v="3"/>
    <n v="4"/>
    <n v="80"/>
    <n v="0"/>
    <n v="21"/>
    <s v="&gt;15"/>
    <n v="3"/>
    <n v="3"/>
    <n v="21"/>
    <n v="9"/>
    <n v="11"/>
    <n v="10"/>
  </r>
  <r>
    <n v="43"/>
    <x v="1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s v="No"/>
    <n v="19"/>
    <n v="3"/>
    <n v="1"/>
    <n v="80"/>
    <n v="0"/>
    <n v="9"/>
    <s v="6-15"/>
    <n v="5"/>
    <n v="3"/>
    <n v="8"/>
    <n v="7"/>
    <n v="1"/>
    <n v="7"/>
  </r>
  <r>
    <n v="49"/>
    <x v="1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s v="Yes"/>
    <n v="12"/>
    <n v="3"/>
    <n v="4"/>
    <n v="80"/>
    <n v="0"/>
    <n v="25"/>
    <s v="&gt;15"/>
    <n v="2"/>
    <n v="3"/>
    <n v="7"/>
    <n v="1"/>
    <n v="0"/>
    <n v="7"/>
  </r>
  <r>
    <n v="52"/>
    <x v="0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s v="No"/>
    <n v="15"/>
    <n v="3"/>
    <n v="1"/>
    <n v="80"/>
    <n v="0"/>
    <n v="11"/>
    <s v="6-15"/>
    <n v="3"/>
    <n v="2"/>
    <n v="8"/>
    <n v="2"/>
    <n v="7"/>
    <n v="7"/>
  </r>
  <r>
    <n v="27"/>
    <x v="1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s v="Yes"/>
    <n v="12"/>
    <n v="3"/>
    <n v="2"/>
    <n v="80"/>
    <n v="0"/>
    <n v="4"/>
    <s v="0-5"/>
    <n v="2"/>
    <n v="2"/>
    <n v="4"/>
    <n v="3"/>
    <n v="1"/>
    <n v="2"/>
  </r>
  <r>
    <n v="32"/>
    <x v="1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s v="Yes"/>
    <n v="11"/>
    <n v="3"/>
    <n v="4"/>
    <n v="80"/>
    <n v="0"/>
    <n v="13"/>
    <s v="6-15"/>
    <n v="2"/>
    <n v="3"/>
    <n v="13"/>
    <n v="12"/>
    <n v="11"/>
    <n v="9"/>
  </r>
  <r>
    <n v="27"/>
    <x v="1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s v="Yes"/>
    <n v="11"/>
    <n v="3"/>
    <n v="1"/>
    <n v="80"/>
    <n v="0"/>
    <n v="5"/>
    <s v="0-5"/>
    <n v="3"/>
    <n v="3"/>
    <n v="5"/>
    <n v="4"/>
    <n v="0"/>
    <n v="4"/>
  </r>
  <r>
    <n v="31"/>
    <x v="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s v="No"/>
    <n v="12"/>
    <n v="3"/>
    <n v="4"/>
    <n v="80"/>
    <n v="3"/>
    <n v="13"/>
    <s v="6-15"/>
    <n v="3"/>
    <n v="3"/>
    <n v="7"/>
    <n v="7"/>
    <n v="1"/>
    <n v="7"/>
  </r>
  <r>
    <n v="32"/>
    <x v="1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s v="No"/>
    <n v="16"/>
    <n v="3"/>
    <n v="3"/>
    <n v="80"/>
    <n v="0"/>
    <n v="10"/>
    <s v="6-15"/>
    <n v="0"/>
    <n v="2"/>
    <n v="7"/>
    <n v="7"/>
    <n v="0"/>
    <n v="7"/>
  </r>
  <r>
    <n v="28"/>
    <x v="0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s v="Yes"/>
    <n v="13"/>
    <n v="3"/>
    <n v="4"/>
    <n v="80"/>
    <n v="0"/>
    <n v="5"/>
    <s v="0-5"/>
    <n v="4"/>
    <n v="2"/>
    <n v="3"/>
    <n v="2"/>
    <n v="2"/>
    <n v="2"/>
  </r>
  <r>
    <n v="30"/>
    <x v="1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s v="No"/>
    <n v="13"/>
    <n v="3"/>
    <n v="4"/>
    <n v="80"/>
    <n v="2"/>
    <n v="11"/>
    <s v="6-15"/>
    <n v="2"/>
    <n v="3"/>
    <n v="10"/>
    <n v="8"/>
    <n v="1"/>
    <n v="9"/>
  </r>
  <r>
    <n v="31"/>
    <x v="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s v="No"/>
    <n v="24"/>
    <n v="4"/>
    <n v="1"/>
    <n v="80"/>
    <n v="1"/>
    <n v="10"/>
    <s v="6-15"/>
    <n v="2"/>
    <n v="3"/>
    <n v="10"/>
    <n v="9"/>
    <n v="8"/>
    <n v="9"/>
  </r>
  <r>
    <n v="39"/>
    <x v="1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s v="No"/>
    <n v="15"/>
    <n v="3"/>
    <n v="1"/>
    <n v="80"/>
    <n v="1"/>
    <n v="21"/>
    <s v="&gt;15"/>
    <n v="2"/>
    <n v="3"/>
    <n v="21"/>
    <n v="9"/>
    <n v="13"/>
    <n v="3"/>
  </r>
  <r>
    <n v="39"/>
    <x v="0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s v="Yes"/>
    <n v="18"/>
    <n v="3"/>
    <n v="1"/>
    <n v="80"/>
    <n v="0"/>
    <n v="12"/>
    <s v="6-15"/>
    <n v="3"/>
    <n v="2"/>
    <n v="1"/>
    <n v="0"/>
    <n v="0"/>
    <n v="0"/>
  </r>
  <r>
    <n v="33"/>
    <x v="1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s v="No"/>
    <n v="14"/>
    <n v="3"/>
    <n v="3"/>
    <n v="80"/>
    <n v="0"/>
    <n v="9"/>
    <s v="6-15"/>
    <n v="6"/>
    <n v="2"/>
    <n v="7"/>
    <n v="7"/>
    <n v="0"/>
    <n v="1"/>
  </r>
  <r>
    <n v="47"/>
    <x v="1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s v="No"/>
    <n v="11"/>
    <n v="3"/>
    <n v="2"/>
    <n v="80"/>
    <n v="1"/>
    <n v="21"/>
    <s v="&gt;15"/>
    <n v="2"/>
    <n v="3"/>
    <n v="3"/>
    <n v="2"/>
    <n v="1"/>
    <n v="1"/>
  </r>
  <r>
    <n v="43"/>
    <x v="1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s v="No"/>
    <n v="11"/>
    <n v="3"/>
    <n v="2"/>
    <n v="80"/>
    <n v="1"/>
    <n v="9"/>
    <s v="6-15"/>
    <n v="3"/>
    <n v="4"/>
    <n v="9"/>
    <n v="7"/>
    <n v="0"/>
    <n v="0"/>
  </r>
  <r>
    <n v="27"/>
    <x v="1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s v="Yes"/>
    <n v="13"/>
    <n v="3"/>
    <n v="4"/>
    <n v="80"/>
    <n v="1"/>
    <n v="6"/>
    <s v="6-15"/>
    <n v="0"/>
    <n v="3"/>
    <n v="5"/>
    <n v="4"/>
    <n v="1"/>
    <n v="4"/>
  </r>
  <r>
    <n v="54"/>
    <x v="1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s v="No"/>
    <n v="12"/>
    <n v="3"/>
    <n v="4"/>
    <n v="80"/>
    <n v="0"/>
    <n v="20"/>
    <s v="&gt;15"/>
    <n v="4"/>
    <n v="2"/>
    <n v="4"/>
    <n v="3"/>
    <n v="0"/>
    <n v="3"/>
  </r>
  <r>
    <n v="43"/>
    <x v="1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s v="No"/>
    <n v="16"/>
    <n v="3"/>
    <n v="1"/>
    <n v="80"/>
    <n v="1"/>
    <n v="10"/>
    <s v="6-15"/>
    <n v="1"/>
    <n v="2"/>
    <n v="1"/>
    <n v="0"/>
    <n v="0"/>
    <n v="0"/>
  </r>
  <r>
    <n v="45"/>
    <x v="1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s v="No"/>
    <n v="14"/>
    <n v="3"/>
    <n v="1"/>
    <n v="80"/>
    <n v="2"/>
    <n v="12"/>
    <s v="6-15"/>
    <n v="3"/>
    <n v="3"/>
    <n v="10"/>
    <n v="9"/>
    <n v="9"/>
    <n v="8"/>
  </r>
  <r>
    <n v="40"/>
    <x v="1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s v="Yes"/>
    <n v="22"/>
    <n v="4"/>
    <n v="3"/>
    <n v="80"/>
    <n v="3"/>
    <n v="6"/>
    <s v="6-15"/>
    <n v="2"/>
    <n v="2"/>
    <n v="4"/>
    <n v="3"/>
    <n v="0"/>
    <n v="2"/>
  </r>
  <r>
    <n v="29"/>
    <x v="0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s v="Yes"/>
    <n v="11"/>
    <n v="3"/>
    <n v="4"/>
    <n v="80"/>
    <n v="0"/>
    <n v="7"/>
    <s v="6-15"/>
    <n v="4"/>
    <n v="2"/>
    <n v="7"/>
    <n v="7"/>
    <n v="0"/>
    <n v="7"/>
  </r>
  <r>
    <n v="29"/>
    <x v="1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s v="No"/>
    <n v="17"/>
    <n v="3"/>
    <n v="3"/>
    <n v="80"/>
    <n v="0"/>
    <n v="4"/>
    <s v="0-5"/>
    <n v="2"/>
    <n v="3"/>
    <n v="3"/>
    <n v="2"/>
    <n v="2"/>
    <n v="2"/>
  </r>
  <r>
    <n v="30"/>
    <x v="1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s v="No"/>
    <n v="13"/>
    <n v="3"/>
    <n v="3"/>
    <n v="80"/>
    <n v="3"/>
    <n v="10"/>
    <s v="6-15"/>
    <n v="2"/>
    <n v="3"/>
    <n v="10"/>
    <n v="9"/>
    <n v="1"/>
    <n v="2"/>
  </r>
  <r>
    <n v="27"/>
    <x v="1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s v="No"/>
    <n v="18"/>
    <n v="3"/>
    <n v="1"/>
    <n v="80"/>
    <n v="1"/>
    <n v="8"/>
    <s v="6-15"/>
    <n v="3"/>
    <n v="3"/>
    <n v="8"/>
    <n v="7"/>
    <n v="0"/>
    <n v="7"/>
  </r>
  <r>
    <n v="37"/>
    <x v="1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s v="No"/>
    <n v="16"/>
    <n v="3"/>
    <n v="3"/>
    <n v="80"/>
    <n v="2"/>
    <n v="8"/>
    <s v="6-15"/>
    <n v="2"/>
    <n v="2"/>
    <n v="6"/>
    <n v="2"/>
    <n v="0"/>
    <n v="4"/>
  </r>
  <r>
    <n v="38"/>
    <x v="1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s v="Yes"/>
    <n v="14"/>
    <n v="3"/>
    <n v="2"/>
    <n v="80"/>
    <n v="1"/>
    <n v="12"/>
    <s v="6-15"/>
    <n v="3"/>
    <n v="3"/>
    <n v="11"/>
    <n v="10"/>
    <n v="2"/>
    <n v="9"/>
  </r>
  <r>
    <n v="31"/>
    <x v="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s v="Yes"/>
    <n v="14"/>
    <n v="3"/>
    <n v="3"/>
    <n v="80"/>
    <n v="0"/>
    <n v="11"/>
    <s v="6-15"/>
    <n v="2"/>
    <n v="2"/>
    <n v="11"/>
    <n v="9"/>
    <n v="4"/>
    <n v="10"/>
  </r>
  <r>
    <n v="29"/>
    <x v="1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s v="Yes"/>
    <n v="14"/>
    <n v="3"/>
    <n v="1"/>
    <n v="80"/>
    <n v="2"/>
    <n v="7"/>
    <s v="6-15"/>
    <n v="2"/>
    <n v="3"/>
    <n v="7"/>
    <n v="7"/>
    <n v="1"/>
    <n v="7"/>
  </r>
  <r>
    <n v="35"/>
    <x v="1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s v="No"/>
    <n v="13"/>
    <n v="3"/>
    <n v="4"/>
    <n v="80"/>
    <n v="0"/>
    <n v="17"/>
    <s v="&gt;15"/>
    <n v="5"/>
    <n v="3"/>
    <n v="16"/>
    <n v="6"/>
    <n v="0"/>
    <n v="13"/>
  </r>
  <r>
    <n v="23"/>
    <x v="1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s v="No"/>
    <n v="12"/>
    <n v="3"/>
    <n v="3"/>
    <n v="80"/>
    <n v="2"/>
    <n v="4"/>
    <s v="0-5"/>
    <n v="2"/>
    <n v="2"/>
    <n v="4"/>
    <n v="2"/>
    <n v="0"/>
    <n v="2"/>
  </r>
  <r>
    <n v="41"/>
    <x v="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s v="Yes"/>
    <n v="15"/>
    <n v="3"/>
    <n v="4"/>
    <n v="80"/>
    <n v="0"/>
    <n v="8"/>
    <s v="6-15"/>
    <n v="3"/>
    <n v="3"/>
    <n v="5"/>
    <n v="4"/>
    <n v="1"/>
    <n v="2"/>
  </r>
  <r>
    <n v="47"/>
    <x v="1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s v="No"/>
    <n v="19"/>
    <n v="3"/>
    <n v="1"/>
    <n v="80"/>
    <n v="0"/>
    <n v="5"/>
    <s v="0-5"/>
    <n v="3"/>
    <n v="3"/>
    <n v="0"/>
    <n v="0"/>
    <n v="0"/>
    <n v="0"/>
  </r>
  <r>
    <n v="42"/>
    <x v="1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s v="No"/>
    <n v="14"/>
    <n v="3"/>
    <n v="2"/>
    <n v="80"/>
    <n v="0"/>
    <n v="16"/>
    <s v="&gt;15"/>
    <n v="2"/>
    <n v="3"/>
    <n v="1"/>
    <n v="0"/>
    <n v="0"/>
    <n v="0"/>
  </r>
  <r>
    <n v="29"/>
    <x v="1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s v="No"/>
    <n v="14"/>
    <n v="3"/>
    <n v="1"/>
    <n v="80"/>
    <n v="1"/>
    <n v="4"/>
    <s v="0-5"/>
    <n v="3"/>
    <n v="2"/>
    <n v="4"/>
    <n v="3"/>
    <n v="0"/>
    <n v="2"/>
  </r>
  <r>
    <n v="42"/>
    <x v="1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s v="Yes"/>
    <n v="11"/>
    <n v="3"/>
    <n v="3"/>
    <n v="80"/>
    <n v="1"/>
    <n v="4"/>
    <s v="0-5"/>
    <n v="5"/>
    <n v="3"/>
    <n v="3"/>
    <n v="2"/>
    <n v="1"/>
    <n v="0"/>
  </r>
  <r>
    <n v="32"/>
    <x v="1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s v="No"/>
    <n v="13"/>
    <n v="3"/>
    <n v="3"/>
    <n v="80"/>
    <n v="1"/>
    <n v="8"/>
    <s v="6-15"/>
    <n v="4"/>
    <n v="3"/>
    <n v="8"/>
    <n v="0"/>
    <n v="0"/>
    <n v="7"/>
  </r>
  <r>
    <n v="48"/>
    <x v="1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s v="No"/>
    <n v="21"/>
    <n v="4"/>
    <n v="2"/>
    <n v="80"/>
    <n v="1"/>
    <n v="15"/>
    <s v="6-15"/>
    <n v="3"/>
    <n v="1"/>
    <n v="0"/>
    <n v="0"/>
    <n v="0"/>
    <n v="0"/>
  </r>
  <r>
    <n v="37"/>
    <x v="1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s v="Yes"/>
    <n v="13"/>
    <n v="3"/>
    <n v="1"/>
    <n v="80"/>
    <n v="2"/>
    <n v="13"/>
    <s v="6-15"/>
    <n v="2"/>
    <n v="3"/>
    <n v="7"/>
    <n v="7"/>
    <n v="6"/>
    <n v="7"/>
  </r>
  <r>
    <n v="30"/>
    <x v="1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s v="Yes"/>
    <n v="12"/>
    <n v="3"/>
    <n v="2"/>
    <n v="80"/>
    <n v="1"/>
    <n v="4"/>
    <s v="0-5"/>
    <n v="2"/>
    <n v="4"/>
    <n v="2"/>
    <n v="2"/>
    <n v="2"/>
    <n v="2"/>
  </r>
  <r>
    <n v="26"/>
    <x v="1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s v="No"/>
    <n v="17"/>
    <n v="3"/>
    <n v="2"/>
    <n v="80"/>
    <n v="1"/>
    <n v="8"/>
    <s v="6-15"/>
    <n v="3"/>
    <n v="3"/>
    <n v="8"/>
    <n v="7"/>
    <n v="7"/>
    <n v="7"/>
  </r>
  <r>
    <n v="42"/>
    <x v="1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s v="No"/>
    <n v="23"/>
    <n v="4"/>
    <n v="2"/>
    <n v="80"/>
    <n v="0"/>
    <n v="14"/>
    <s v="6-15"/>
    <n v="6"/>
    <n v="3"/>
    <n v="1"/>
    <n v="0"/>
    <n v="0"/>
    <n v="0"/>
  </r>
  <r>
    <n v="21"/>
    <x v="0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s v="Yes"/>
    <n v="11"/>
    <n v="3"/>
    <n v="3"/>
    <n v="80"/>
    <n v="0"/>
    <n v="3"/>
    <s v="0-5"/>
    <n v="3"/>
    <n v="3"/>
    <n v="3"/>
    <n v="2"/>
    <n v="1"/>
    <n v="2"/>
  </r>
  <r>
    <n v="36"/>
    <x v="1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s v="No"/>
    <n v="15"/>
    <n v="3"/>
    <n v="2"/>
    <n v="80"/>
    <n v="0"/>
    <n v="7"/>
    <s v="6-15"/>
    <n v="6"/>
    <n v="3"/>
    <n v="1"/>
    <n v="0"/>
    <n v="0"/>
    <n v="0"/>
  </r>
  <r>
    <n v="36"/>
    <x v="1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s v="No"/>
    <n v="11"/>
    <n v="3"/>
    <n v="1"/>
    <n v="80"/>
    <n v="1"/>
    <n v="16"/>
    <s v="&gt;15"/>
    <n v="2"/>
    <n v="3"/>
    <n v="13"/>
    <n v="9"/>
    <n v="1"/>
    <n v="12"/>
  </r>
  <r>
    <n v="57"/>
    <x v="1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s v="No"/>
    <n v="11"/>
    <n v="3"/>
    <n v="3"/>
    <n v="80"/>
    <n v="0"/>
    <n v="15"/>
    <s v="6-15"/>
    <n v="2"/>
    <n v="3"/>
    <n v="3"/>
    <n v="2"/>
    <n v="1"/>
    <n v="2"/>
  </r>
  <r>
    <n v="40"/>
    <x v="1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s v="Yes"/>
    <n v="13"/>
    <n v="3"/>
    <n v="3"/>
    <n v="80"/>
    <n v="1"/>
    <n v="10"/>
    <s v="6-15"/>
    <n v="3"/>
    <n v="3"/>
    <n v="7"/>
    <n v="7"/>
    <n v="1"/>
    <n v="7"/>
  </r>
  <r>
    <n v="21"/>
    <x v="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s v="No"/>
    <n v="24"/>
    <n v="4"/>
    <n v="3"/>
    <n v="80"/>
    <n v="0"/>
    <n v="3"/>
    <s v="0-5"/>
    <n v="3"/>
    <n v="2"/>
    <n v="3"/>
    <n v="2"/>
    <n v="2"/>
    <n v="2"/>
  </r>
  <r>
    <n v="33"/>
    <x v="0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s v="Yes"/>
    <n v="13"/>
    <n v="3"/>
    <n v="2"/>
    <n v="80"/>
    <n v="0"/>
    <n v="1"/>
    <s v="0-5"/>
    <n v="2"/>
    <n v="3"/>
    <n v="1"/>
    <n v="0"/>
    <n v="0"/>
    <n v="0"/>
  </r>
  <r>
    <n v="37"/>
    <x v="1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s v="No"/>
    <n v="20"/>
    <n v="4"/>
    <n v="2"/>
    <n v="80"/>
    <n v="1"/>
    <n v="17"/>
    <s v="&gt;15"/>
    <n v="3"/>
    <n v="3"/>
    <n v="5"/>
    <n v="4"/>
    <n v="0"/>
    <n v="3"/>
  </r>
  <r>
    <n v="46"/>
    <x v="1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s v="No"/>
    <n v="14"/>
    <n v="3"/>
    <n v="3"/>
    <n v="80"/>
    <n v="0"/>
    <n v="7"/>
    <s v="6-15"/>
    <n v="2"/>
    <n v="4"/>
    <n v="1"/>
    <n v="0"/>
    <n v="0"/>
    <n v="0"/>
  </r>
  <r>
    <n v="41"/>
    <x v="0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s v="No"/>
    <n v="18"/>
    <n v="3"/>
    <n v="3"/>
    <n v="80"/>
    <n v="0"/>
    <n v="8"/>
    <s v="6-15"/>
    <n v="5"/>
    <n v="3"/>
    <n v="8"/>
    <n v="7"/>
    <n v="7"/>
    <n v="7"/>
  </r>
  <r>
    <n v="50"/>
    <x v="1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s v="No"/>
    <n v="15"/>
    <n v="3"/>
    <n v="4"/>
    <n v="80"/>
    <n v="0"/>
    <n v="20"/>
    <s v="&gt;15"/>
    <n v="2"/>
    <n v="3"/>
    <n v="4"/>
    <n v="3"/>
    <n v="1"/>
    <n v="3"/>
  </r>
  <r>
    <n v="40"/>
    <x v="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s v="Yes"/>
    <n v="12"/>
    <n v="3"/>
    <n v="1"/>
    <n v="80"/>
    <n v="2"/>
    <n v="8"/>
    <s v="6-15"/>
    <n v="6"/>
    <n v="3"/>
    <n v="6"/>
    <n v="4"/>
    <n v="1"/>
    <n v="0"/>
  </r>
  <r>
    <n v="31"/>
    <x v="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s v="Yes"/>
    <n v="16"/>
    <n v="3"/>
    <n v="4"/>
    <n v="80"/>
    <n v="0"/>
    <n v="3"/>
    <s v="0-5"/>
    <n v="5"/>
    <n v="3"/>
    <n v="2"/>
    <n v="2"/>
    <n v="2"/>
    <n v="2"/>
  </r>
  <r>
    <n v="21"/>
    <x v="0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s v="No"/>
    <n v="15"/>
    <n v="3"/>
    <n v="4"/>
    <n v="80"/>
    <n v="0"/>
    <n v="1"/>
    <s v="0-5"/>
    <n v="0"/>
    <n v="3"/>
    <n v="1"/>
    <n v="0"/>
    <n v="0"/>
    <n v="0"/>
  </r>
  <r>
    <n v="29"/>
    <x v="1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s v="No"/>
    <n v="16"/>
    <n v="3"/>
    <n v="4"/>
    <n v="80"/>
    <n v="0"/>
    <n v="6"/>
    <s v="6-15"/>
    <n v="4"/>
    <n v="3"/>
    <n v="3"/>
    <n v="2"/>
    <n v="1"/>
    <n v="2"/>
  </r>
  <r>
    <n v="35"/>
    <x v="1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s v="No"/>
    <n v="19"/>
    <n v="3"/>
    <n v="3"/>
    <n v="80"/>
    <n v="0"/>
    <n v="10"/>
    <s v="6-15"/>
    <n v="5"/>
    <n v="3"/>
    <n v="1"/>
    <n v="1"/>
    <n v="0"/>
    <n v="0"/>
  </r>
  <r>
    <n v="27"/>
    <x v="1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s v="No"/>
    <n v="11"/>
    <n v="3"/>
    <n v="2"/>
    <n v="80"/>
    <n v="1"/>
    <n v="5"/>
    <s v="0-5"/>
    <n v="2"/>
    <n v="3"/>
    <n v="5"/>
    <n v="2"/>
    <n v="0"/>
    <n v="4"/>
  </r>
  <r>
    <n v="28"/>
    <x v="1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s v="No"/>
    <n v="16"/>
    <n v="3"/>
    <n v="4"/>
    <n v="80"/>
    <n v="0"/>
    <n v="7"/>
    <s v="6-15"/>
    <n v="1"/>
    <n v="3"/>
    <n v="7"/>
    <n v="5"/>
    <n v="0"/>
    <n v="7"/>
  </r>
  <r>
    <n v="49"/>
    <x v="1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s v="No"/>
    <n v="24"/>
    <n v="4"/>
    <n v="3"/>
    <n v="80"/>
    <n v="0"/>
    <n v="26"/>
    <s v="&gt;15"/>
    <n v="2"/>
    <n v="3"/>
    <n v="5"/>
    <n v="2"/>
    <n v="0"/>
    <n v="0"/>
  </r>
  <r>
    <n v="51"/>
    <x v="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s v="No"/>
    <n v="11"/>
    <n v="3"/>
    <n v="3"/>
    <n v="80"/>
    <n v="1"/>
    <n v="18"/>
    <s v="&gt;15"/>
    <n v="2"/>
    <n v="2"/>
    <n v="7"/>
    <n v="7"/>
    <n v="0"/>
    <n v="7"/>
  </r>
  <r>
    <n v="36"/>
    <x v="1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s v="No"/>
    <n v="13"/>
    <n v="3"/>
    <n v="2"/>
    <n v="80"/>
    <n v="1"/>
    <n v="6"/>
    <s v="6-15"/>
    <n v="3"/>
    <n v="3"/>
    <n v="2"/>
    <n v="2"/>
    <n v="2"/>
    <n v="2"/>
  </r>
  <r>
    <n v="34"/>
    <x v="0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s v="Yes"/>
    <n v="13"/>
    <n v="3"/>
    <n v="2"/>
    <n v="80"/>
    <n v="0"/>
    <n v="9"/>
    <s v="6-15"/>
    <n v="3"/>
    <n v="2"/>
    <n v="5"/>
    <n v="2"/>
    <n v="0"/>
    <n v="4"/>
  </r>
  <r>
    <n v="55"/>
    <x v="1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s v="Yes"/>
    <n v="13"/>
    <n v="3"/>
    <n v="3"/>
    <n v="80"/>
    <n v="0"/>
    <n v="30"/>
    <s v="&gt;15"/>
    <n v="2"/>
    <n v="3"/>
    <n v="5"/>
    <n v="4"/>
    <n v="1"/>
    <n v="2"/>
  </r>
  <r>
    <n v="24"/>
    <x v="1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s v="Yes"/>
    <n v="12"/>
    <n v="3"/>
    <n v="4"/>
    <n v="80"/>
    <n v="1"/>
    <n v="5"/>
    <s v="0-5"/>
    <n v="2"/>
    <n v="4"/>
    <n v="5"/>
    <n v="2"/>
    <n v="0"/>
    <n v="3"/>
  </r>
  <r>
    <n v="30"/>
    <x v="1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s v="No"/>
    <n v="18"/>
    <n v="3"/>
    <n v="1"/>
    <n v="80"/>
    <n v="1"/>
    <n v="1"/>
    <s v="0-5"/>
    <n v="3"/>
    <n v="3"/>
    <n v="1"/>
    <n v="0"/>
    <n v="0"/>
    <n v="0"/>
  </r>
  <r>
    <n v="26"/>
    <x v="0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s v="No"/>
    <n v="22"/>
    <n v="4"/>
    <n v="3"/>
    <n v="80"/>
    <n v="0"/>
    <n v="7"/>
    <s v="6-15"/>
    <n v="2"/>
    <n v="3"/>
    <n v="6"/>
    <n v="4"/>
    <n v="0"/>
    <n v="4"/>
  </r>
  <r>
    <n v="22"/>
    <x v="1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s v="No"/>
    <n v="13"/>
    <n v="3"/>
    <n v="4"/>
    <n v="80"/>
    <n v="1"/>
    <n v="2"/>
    <s v="0-5"/>
    <n v="1"/>
    <n v="3"/>
    <n v="2"/>
    <n v="1"/>
    <n v="1"/>
    <n v="2"/>
  </r>
  <r>
    <n v="36"/>
    <x v="1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s v="No"/>
    <n v="13"/>
    <n v="3"/>
    <n v="2"/>
    <n v="80"/>
    <n v="2"/>
    <n v="10"/>
    <s v="6-15"/>
    <n v="2"/>
    <n v="3"/>
    <n v="10"/>
    <n v="9"/>
    <n v="9"/>
    <n v="0"/>
  </r>
  <r>
    <n v="30"/>
    <x v="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s v="Yes"/>
    <n v="23"/>
    <n v="4"/>
    <n v="3"/>
    <n v="80"/>
    <n v="0"/>
    <n v="3"/>
    <s v="0-5"/>
    <n v="4"/>
    <n v="3"/>
    <n v="1"/>
    <n v="0"/>
    <n v="0"/>
    <n v="0"/>
  </r>
  <r>
    <n v="37"/>
    <x v="1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s v="No"/>
    <n v="12"/>
    <n v="3"/>
    <n v="3"/>
    <n v="80"/>
    <n v="1"/>
    <n v="18"/>
    <s v="&gt;15"/>
    <n v="2"/>
    <n v="2"/>
    <n v="18"/>
    <n v="7"/>
    <n v="12"/>
    <n v="17"/>
  </r>
  <r>
    <n v="40"/>
    <x v="1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s v="No"/>
    <n v="12"/>
    <n v="3"/>
    <n v="3"/>
    <n v="80"/>
    <n v="2"/>
    <n v="8"/>
    <s v="6-15"/>
    <n v="5"/>
    <n v="3"/>
    <n v="5"/>
    <n v="4"/>
    <n v="1"/>
    <n v="3"/>
  </r>
  <r>
    <n v="42"/>
    <x v="1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s v="No"/>
    <n v="16"/>
    <n v="3"/>
    <n v="2"/>
    <n v="80"/>
    <n v="1"/>
    <n v="8"/>
    <s v="6-15"/>
    <n v="5"/>
    <n v="3"/>
    <n v="5"/>
    <n v="2"/>
    <n v="1"/>
    <n v="2"/>
  </r>
  <r>
    <n v="37"/>
    <x v="1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s v="Yes"/>
    <n v="12"/>
    <n v="3"/>
    <n v="4"/>
    <n v="80"/>
    <n v="0"/>
    <n v="18"/>
    <s v="&gt;15"/>
    <n v="2"/>
    <n v="2"/>
    <n v="1"/>
    <n v="0"/>
    <n v="0"/>
    <n v="1"/>
  </r>
  <r>
    <n v="43"/>
    <x v="1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s v="No"/>
    <n v="11"/>
    <n v="3"/>
    <n v="3"/>
    <n v="80"/>
    <n v="1"/>
    <n v="25"/>
    <s v="&gt;15"/>
    <n v="3"/>
    <n v="3"/>
    <n v="25"/>
    <n v="10"/>
    <n v="3"/>
    <n v="9"/>
  </r>
  <r>
    <n v="40"/>
    <x v="1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s v="No"/>
    <n v="22"/>
    <n v="4"/>
    <n v="2"/>
    <n v="80"/>
    <n v="1"/>
    <n v="20"/>
    <s v="&gt;15"/>
    <n v="3"/>
    <n v="3"/>
    <n v="1"/>
    <n v="0"/>
    <n v="0"/>
    <n v="0"/>
  </r>
  <r>
    <n v="54"/>
    <x v="1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s v="No"/>
    <n v="11"/>
    <n v="3"/>
    <n v="3"/>
    <n v="80"/>
    <n v="1"/>
    <n v="24"/>
    <s v="&gt;15"/>
    <n v="4"/>
    <n v="2"/>
    <n v="4"/>
    <n v="2"/>
    <n v="1"/>
    <n v="2"/>
  </r>
  <r>
    <n v="34"/>
    <x v="1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s v="No"/>
    <n v="15"/>
    <n v="3"/>
    <n v="1"/>
    <n v="80"/>
    <n v="1"/>
    <n v="6"/>
    <s v="6-15"/>
    <n v="3"/>
    <n v="3"/>
    <n v="3"/>
    <n v="2"/>
    <n v="1"/>
    <n v="2"/>
  </r>
  <r>
    <n v="31"/>
    <x v="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s v="No"/>
    <n v="12"/>
    <n v="3"/>
    <n v="2"/>
    <n v="80"/>
    <n v="1"/>
    <n v="13"/>
    <s v="6-15"/>
    <n v="5"/>
    <n v="1"/>
    <n v="13"/>
    <n v="10"/>
    <n v="3"/>
    <n v="12"/>
  </r>
  <r>
    <n v="43"/>
    <x v="1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s v="No"/>
    <n v="20"/>
    <n v="4"/>
    <n v="1"/>
    <n v="80"/>
    <n v="1"/>
    <n v="8"/>
    <s v="6-15"/>
    <n v="1"/>
    <n v="3"/>
    <n v="3"/>
    <n v="2"/>
    <n v="1"/>
    <n v="2"/>
  </r>
  <r>
    <n v="43"/>
    <x v="1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s v="Yes"/>
    <n v="14"/>
    <n v="3"/>
    <n v="4"/>
    <n v="80"/>
    <n v="0"/>
    <n v="8"/>
    <s v="6-15"/>
    <n v="3"/>
    <n v="3"/>
    <n v="5"/>
    <n v="2"/>
    <n v="0"/>
    <n v="2"/>
  </r>
  <r>
    <n v="25"/>
    <x v="1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s v="Yes"/>
    <n v="11"/>
    <n v="3"/>
    <n v="2"/>
    <n v="80"/>
    <n v="0"/>
    <n v="5"/>
    <s v="0-5"/>
    <n v="3"/>
    <n v="3"/>
    <n v="5"/>
    <n v="4"/>
    <n v="1"/>
    <n v="3"/>
  </r>
  <r>
    <n v="37"/>
    <x v="1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s v="Yes"/>
    <n v="15"/>
    <n v="3"/>
    <n v="1"/>
    <n v="80"/>
    <n v="2"/>
    <n v="15"/>
    <s v="6-15"/>
    <n v="2"/>
    <n v="3"/>
    <n v="13"/>
    <n v="11"/>
    <n v="10"/>
    <n v="7"/>
  </r>
  <r>
    <n v="31"/>
    <x v="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s v="No"/>
    <n v="12"/>
    <n v="3"/>
    <n v="3"/>
    <n v="80"/>
    <n v="1"/>
    <n v="4"/>
    <s v="0-5"/>
    <n v="3"/>
    <n v="3"/>
    <n v="4"/>
    <n v="2"/>
    <n v="3"/>
    <n v="2"/>
  </r>
  <r>
    <n v="39"/>
    <x v="1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s v="Yes"/>
    <n v="14"/>
    <n v="3"/>
    <n v="3"/>
    <n v="80"/>
    <n v="1"/>
    <n v="21"/>
    <s v="&gt;15"/>
    <n v="3"/>
    <n v="3"/>
    <n v="21"/>
    <n v="8"/>
    <n v="1"/>
    <n v="6"/>
  </r>
  <r>
    <n v="56"/>
    <x v="1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s v="No"/>
    <n v="11"/>
    <n v="3"/>
    <n v="4"/>
    <n v="80"/>
    <n v="3"/>
    <n v="36"/>
    <s v="&gt;15"/>
    <n v="0"/>
    <n v="2"/>
    <n v="7"/>
    <n v="7"/>
    <n v="7"/>
    <n v="7"/>
  </r>
  <r>
    <n v="30"/>
    <x v="1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s v="No"/>
    <n v="11"/>
    <n v="3"/>
    <n v="2"/>
    <n v="80"/>
    <n v="0"/>
    <n v="6"/>
    <s v="6-15"/>
    <n v="6"/>
    <n v="3"/>
    <n v="5"/>
    <n v="4"/>
    <n v="4"/>
    <n v="4"/>
  </r>
  <r>
    <n v="41"/>
    <x v="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s v="No"/>
    <n v="16"/>
    <n v="3"/>
    <n v="3"/>
    <n v="80"/>
    <n v="1"/>
    <n v="10"/>
    <s v="6-15"/>
    <n v="2"/>
    <n v="3"/>
    <n v="10"/>
    <n v="7"/>
    <n v="0"/>
    <n v="7"/>
  </r>
  <r>
    <n v="28"/>
    <x v="1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s v="No"/>
    <n v="12"/>
    <n v="3"/>
    <n v="4"/>
    <n v="80"/>
    <n v="1"/>
    <n v="10"/>
    <s v="6-15"/>
    <n v="2"/>
    <n v="3"/>
    <n v="10"/>
    <n v="0"/>
    <n v="1"/>
    <n v="8"/>
  </r>
  <r>
    <n v="25"/>
    <x v="0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s v="No"/>
    <n v="13"/>
    <n v="3"/>
    <n v="3"/>
    <n v="80"/>
    <n v="1"/>
    <n v="6"/>
    <s v="6-15"/>
    <n v="5"/>
    <n v="3"/>
    <n v="2"/>
    <n v="2"/>
    <n v="0"/>
    <n v="2"/>
  </r>
  <r>
    <n v="52"/>
    <x v="1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s v="Yes"/>
    <n v="14"/>
    <n v="3"/>
    <n v="3"/>
    <n v="80"/>
    <n v="0"/>
    <n v="28"/>
    <s v="&gt;15"/>
    <n v="4"/>
    <n v="3"/>
    <n v="5"/>
    <n v="4"/>
    <n v="0"/>
    <n v="4"/>
  </r>
  <r>
    <n v="45"/>
    <x v="1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s v="No"/>
    <n v="21"/>
    <n v="4"/>
    <n v="4"/>
    <n v="80"/>
    <n v="2"/>
    <n v="8"/>
    <s v="6-15"/>
    <n v="3"/>
    <n v="2"/>
    <n v="2"/>
    <n v="2"/>
    <n v="0"/>
    <n v="2"/>
  </r>
  <r>
    <n v="52"/>
    <x v="1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s v="No"/>
    <n v="13"/>
    <n v="3"/>
    <n v="4"/>
    <n v="80"/>
    <n v="0"/>
    <n v="31"/>
    <s v="&gt;15"/>
    <n v="2"/>
    <n v="1"/>
    <n v="5"/>
    <n v="2"/>
    <n v="1"/>
    <n v="4"/>
  </r>
  <r>
    <n v="42"/>
    <x v="1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s v="No"/>
    <n v="11"/>
    <n v="3"/>
    <n v="2"/>
    <n v="80"/>
    <n v="1"/>
    <n v="19"/>
    <s v="&gt;15"/>
    <n v="3"/>
    <n v="3"/>
    <n v="5"/>
    <n v="4"/>
    <n v="0"/>
    <n v="2"/>
  </r>
  <r>
    <n v="30"/>
    <x v="1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s v="No"/>
    <n v="20"/>
    <n v="4"/>
    <n v="3"/>
    <n v="80"/>
    <n v="0"/>
    <n v="11"/>
    <s v="6-15"/>
    <n v="2"/>
    <n v="3"/>
    <n v="5"/>
    <n v="4"/>
    <n v="0"/>
    <n v="2"/>
  </r>
  <r>
    <n v="60"/>
    <x v="1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s v="No"/>
    <n v="11"/>
    <n v="3"/>
    <n v="4"/>
    <n v="80"/>
    <n v="0"/>
    <n v="33"/>
    <s v="&gt;15"/>
    <n v="5"/>
    <n v="1"/>
    <n v="29"/>
    <n v="8"/>
    <n v="11"/>
    <n v="10"/>
  </r>
  <r>
    <n v="46"/>
    <x v="1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s v="No"/>
    <n v="14"/>
    <n v="3"/>
    <n v="3"/>
    <n v="80"/>
    <n v="1"/>
    <n v="19"/>
    <s v="&gt;15"/>
    <n v="5"/>
    <n v="2"/>
    <n v="10"/>
    <n v="7"/>
    <n v="0"/>
    <n v="8"/>
  </r>
  <r>
    <n v="42"/>
    <x v="1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s v="No"/>
    <n v="11"/>
    <n v="3"/>
    <n v="4"/>
    <n v="80"/>
    <n v="3"/>
    <n v="7"/>
    <s v="6-15"/>
    <n v="4"/>
    <n v="4"/>
    <n v="6"/>
    <n v="5"/>
    <n v="0"/>
    <n v="4"/>
  </r>
  <r>
    <n v="24"/>
    <x v="0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s v="Yes"/>
    <n v="16"/>
    <n v="3"/>
    <n v="2"/>
    <n v="80"/>
    <n v="0"/>
    <n v="6"/>
    <s v="6-15"/>
    <n v="4"/>
    <n v="3"/>
    <n v="5"/>
    <n v="3"/>
    <n v="1"/>
    <n v="4"/>
  </r>
  <r>
    <n v="34"/>
    <x v="0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s v="No"/>
    <n v="16"/>
    <n v="3"/>
    <n v="4"/>
    <n v="80"/>
    <n v="1"/>
    <n v="3"/>
    <s v="0-5"/>
    <n v="3"/>
    <n v="2"/>
    <n v="2"/>
    <n v="2"/>
    <n v="1"/>
    <n v="0"/>
  </r>
  <r>
    <n v="38"/>
    <x v="1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s v="Yes"/>
    <n v="23"/>
    <n v="4"/>
    <n v="3"/>
    <n v="80"/>
    <n v="1"/>
    <n v="1"/>
    <s v="0-5"/>
    <n v="3"/>
    <n v="3"/>
    <n v="1"/>
    <n v="0"/>
    <n v="0"/>
    <n v="0"/>
  </r>
  <r>
    <n v="40"/>
    <x v="1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s v="No"/>
    <n v="14"/>
    <n v="3"/>
    <n v="4"/>
    <n v="80"/>
    <n v="0"/>
    <n v="21"/>
    <s v="&gt;15"/>
    <n v="2"/>
    <n v="3"/>
    <n v="20"/>
    <n v="15"/>
    <n v="1"/>
    <n v="12"/>
  </r>
  <r>
    <n v="26"/>
    <x v="1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s v="No"/>
    <n v="22"/>
    <n v="4"/>
    <n v="2"/>
    <n v="80"/>
    <n v="2"/>
    <n v="3"/>
    <s v="0-5"/>
    <n v="3"/>
    <n v="1"/>
    <n v="3"/>
    <n v="2"/>
    <n v="0"/>
    <n v="2"/>
  </r>
  <r>
    <n v="30"/>
    <x v="1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s v="No"/>
    <n v="15"/>
    <n v="3"/>
    <n v="3"/>
    <n v="80"/>
    <n v="1"/>
    <n v="9"/>
    <s v="6-15"/>
    <n v="3"/>
    <n v="1"/>
    <n v="5"/>
    <n v="3"/>
    <n v="1"/>
    <n v="4"/>
  </r>
  <r>
    <n v="29"/>
    <x v="1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s v="No"/>
    <n v="18"/>
    <n v="3"/>
    <n v="3"/>
    <n v="80"/>
    <n v="0"/>
    <n v="10"/>
    <s v="6-15"/>
    <n v="2"/>
    <n v="3"/>
    <n v="10"/>
    <n v="2"/>
    <n v="0"/>
    <n v="7"/>
  </r>
  <r>
    <n v="29"/>
    <x v="0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s v="No"/>
    <n v="16"/>
    <n v="3"/>
    <n v="2"/>
    <n v="80"/>
    <n v="0"/>
    <n v="6"/>
    <s v="6-15"/>
    <n v="2"/>
    <n v="4"/>
    <n v="2"/>
    <n v="2"/>
    <n v="1"/>
    <n v="1"/>
  </r>
  <r>
    <n v="19"/>
    <x v="0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s v="No"/>
    <n v="12"/>
    <n v="3"/>
    <n v="3"/>
    <n v="80"/>
    <n v="0"/>
    <n v="1"/>
    <s v="0-5"/>
    <n v="3"/>
    <n v="4"/>
    <n v="1"/>
    <n v="0"/>
    <n v="0"/>
    <n v="0"/>
  </r>
  <r>
    <n v="30"/>
    <x v="1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s v="No"/>
    <n v="11"/>
    <n v="3"/>
    <n v="3"/>
    <n v="80"/>
    <n v="0"/>
    <n v="10"/>
    <s v="6-15"/>
    <n v="3"/>
    <n v="3"/>
    <n v="9"/>
    <n v="8"/>
    <n v="7"/>
    <n v="8"/>
  </r>
  <r>
    <n v="57"/>
    <x v="1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s v="No"/>
    <n v="12"/>
    <n v="3"/>
    <n v="3"/>
    <n v="80"/>
    <n v="1"/>
    <n v="32"/>
    <s v="&gt;15"/>
    <n v="3"/>
    <n v="2"/>
    <n v="1"/>
    <n v="0"/>
    <n v="0"/>
    <n v="0"/>
  </r>
  <r>
    <n v="50"/>
    <x v="1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s v="No"/>
    <n v="15"/>
    <n v="3"/>
    <n v="2"/>
    <n v="80"/>
    <n v="1"/>
    <n v="28"/>
    <s v="&gt;15"/>
    <n v="2"/>
    <n v="3"/>
    <n v="27"/>
    <n v="10"/>
    <n v="15"/>
    <n v="7"/>
  </r>
  <r>
    <n v="30"/>
    <x v="1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s v="No"/>
    <n v="14"/>
    <n v="3"/>
    <n v="3"/>
    <n v="80"/>
    <n v="0"/>
    <n v="12"/>
    <s v="6-15"/>
    <n v="2"/>
    <n v="2"/>
    <n v="11"/>
    <n v="7"/>
    <n v="6"/>
    <n v="7"/>
  </r>
  <r>
    <n v="60"/>
    <x v="1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s v="No"/>
    <n v="19"/>
    <n v="3"/>
    <n v="4"/>
    <n v="80"/>
    <n v="0"/>
    <n v="22"/>
    <s v="&gt;15"/>
    <n v="5"/>
    <n v="4"/>
    <n v="18"/>
    <n v="13"/>
    <n v="13"/>
    <n v="11"/>
  </r>
  <r>
    <n v="47"/>
    <x v="1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s v="No"/>
    <n v="13"/>
    <n v="3"/>
    <n v="3"/>
    <n v="80"/>
    <n v="3"/>
    <n v="20"/>
    <s v="&gt;15"/>
    <n v="2"/>
    <n v="3"/>
    <n v="5"/>
    <n v="0"/>
    <n v="0"/>
    <n v="4"/>
  </r>
  <r>
    <n v="46"/>
    <x v="1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s v="No"/>
    <n v="13"/>
    <n v="3"/>
    <n v="3"/>
    <n v="80"/>
    <n v="0"/>
    <n v="26"/>
    <s v="&gt;15"/>
    <n v="2"/>
    <n v="1"/>
    <n v="3"/>
    <n v="2"/>
    <n v="0"/>
    <n v="1"/>
  </r>
  <r>
    <n v="35"/>
    <x v="1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s v="No"/>
    <n v="15"/>
    <n v="3"/>
    <n v="3"/>
    <n v="80"/>
    <n v="0"/>
    <n v="6"/>
    <s v="6-15"/>
    <n v="2"/>
    <n v="3"/>
    <n v="5"/>
    <n v="4"/>
    <n v="4"/>
    <n v="3"/>
  </r>
  <r>
    <n v="54"/>
    <x v="1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s v="No"/>
    <n v="11"/>
    <n v="3"/>
    <n v="3"/>
    <n v="80"/>
    <n v="0"/>
    <n v="19"/>
    <s v="&gt;15"/>
    <n v="3"/>
    <n v="3"/>
    <n v="1"/>
    <n v="0"/>
    <n v="0"/>
    <n v="0"/>
  </r>
  <r>
    <n v="34"/>
    <x v="1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s v="No"/>
    <n v="12"/>
    <n v="3"/>
    <n v="3"/>
    <n v="80"/>
    <n v="1"/>
    <n v="14"/>
    <s v="6-15"/>
    <n v="3"/>
    <n v="3"/>
    <n v="7"/>
    <n v="3"/>
    <n v="5"/>
    <n v="7"/>
  </r>
  <r>
    <n v="46"/>
    <x v="1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s v="Yes"/>
    <n v="19"/>
    <n v="3"/>
    <n v="3"/>
    <n v="80"/>
    <n v="1"/>
    <n v="15"/>
    <s v="6-15"/>
    <n v="3"/>
    <n v="3"/>
    <n v="3"/>
    <n v="2"/>
    <n v="1"/>
    <n v="2"/>
  </r>
  <r>
    <n v="31"/>
    <x v="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s v="No"/>
    <n v="25"/>
    <n v="4"/>
    <n v="4"/>
    <n v="80"/>
    <n v="1"/>
    <n v="13"/>
    <s v="6-15"/>
    <n v="6"/>
    <n v="4"/>
    <n v="13"/>
    <n v="8"/>
    <n v="0"/>
    <n v="8"/>
  </r>
  <r>
    <n v="33"/>
    <x v="0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s v="Yes"/>
    <n v="12"/>
    <n v="3"/>
    <n v="4"/>
    <n v="80"/>
    <n v="0"/>
    <n v="15"/>
    <s v="6-15"/>
    <n v="2"/>
    <n v="4"/>
    <n v="7"/>
    <n v="6"/>
    <n v="7"/>
    <n v="7"/>
  </r>
  <r>
    <n v="33"/>
    <x v="0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s v="No"/>
    <n v="13"/>
    <n v="3"/>
    <n v="1"/>
    <n v="80"/>
    <n v="3"/>
    <n v="8"/>
    <s v="6-15"/>
    <n v="2"/>
    <n v="3"/>
    <n v="4"/>
    <n v="3"/>
    <n v="1"/>
    <n v="3"/>
  </r>
  <r>
    <n v="30"/>
    <x v="1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s v="No"/>
    <n v="14"/>
    <n v="3"/>
    <n v="1"/>
    <n v="80"/>
    <n v="0"/>
    <n v="4"/>
    <s v="0-5"/>
    <n v="3"/>
    <n v="3"/>
    <n v="3"/>
    <n v="2"/>
    <n v="1"/>
    <n v="2"/>
  </r>
  <r>
    <n v="35"/>
    <x v="1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s v="Yes"/>
    <n v="12"/>
    <n v="3"/>
    <n v="3"/>
    <n v="80"/>
    <n v="0"/>
    <n v="10"/>
    <s v="6-15"/>
    <n v="2"/>
    <n v="3"/>
    <n v="8"/>
    <n v="7"/>
    <n v="0"/>
    <n v="0"/>
  </r>
  <r>
    <n v="31"/>
    <x v="0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s v="No"/>
    <n v="12"/>
    <n v="3"/>
    <n v="1"/>
    <n v="80"/>
    <n v="0"/>
    <n v="12"/>
    <s v="6-15"/>
    <n v="2"/>
    <n v="3"/>
    <n v="1"/>
    <n v="0"/>
    <n v="0"/>
    <n v="0"/>
  </r>
  <r>
    <n v="34"/>
    <x v="0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s v="Yes"/>
    <n v="15"/>
    <n v="3"/>
    <n v="3"/>
    <n v="80"/>
    <n v="3"/>
    <n v="11"/>
    <s v="6-15"/>
    <n v="2"/>
    <n v="3"/>
    <n v="3"/>
    <n v="2"/>
    <n v="0"/>
    <n v="2"/>
  </r>
  <r>
    <n v="42"/>
    <x v="1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s v="No"/>
    <n v="17"/>
    <n v="3"/>
    <n v="4"/>
    <n v="80"/>
    <n v="1"/>
    <n v="8"/>
    <s v="6-15"/>
    <n v="4"/>
    <n v="3"/>
    <n v="2"/>
    <n v="2"/>
    <n v="2"/>
    <n v="0"/>
  </r>
  <r>
    <n v="36"/>
    <x v="1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s v="No"/>
    <n v="14"/>
    <n v="3"/>
    <n v="4"/>
    <n v="80"/>
    <n v="0"/>
    <n v="10"/>
    <s v="6-15"/>
    <n v="3"/>
    <n v="2"/>
    <n v="10"/>
    <n v="3"/>
    <n v="9"/>
    <n v="7"/>
  </r>
  <r>
    <n v="22"/>
    <x v="0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s v="No"/>
    <n v="16"/>
    <n v="3"/>
    <n v="3"/>
    <n v="80"/>
    <n v="0"/>
    <n v="4"/>
    <s v="0-5"/>
    <n v="3"/>
    <n v="3"/>
    <n v="2"/>
    <n v="2"/>
    <n v="1"/>
    <n v="2"/>
  </r>
  <r>
    <n v="48"/>
    <x v="1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s v="No"/>
    <n v="14"/>
    <n v="3"/>
    <n v="1"/>
    <n v="80"/>
    <n v="1"/>
    <n v="14"/>
    <s v="6-15"/>
    <n v="2"/>
    <n v="3"/>
    <n v="9"/>
    <n v="7"/>
    <n v="6"/>
    <n v="7"/>
  </r>
  <r>
    <n v="55"/>
    <x v="1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s v="No"/>
    <n v="23"/>
    <n v="4"/>
    <n v="4"/>
    <n v="80"/>
    <n v="0"/>
    <n v="37"/>
    <s v="&gt;15"/>
    <n v="2"/>
    <n v="3"/>
    <n v="10"/>
    <n v="9"/>
    <n v="7"/>
    <n v="7"/>
  </r>
  <r>
    <n v="41"/>
    <x v="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s v="No"/>
    <n v="14"/>
    <n v="3"/>
    <n v="4"/>
    <n v="80"/>
    <n v="0"/>
    <n v="16"/>
    <s v="&gt;15"/>
    <n v="3"/>
    <n v="3"/>
    <n v="14"/>
    <n v="3"/>
    <n v="1"/>
    <n v="10"/>
  </r>
  <r>
    <n v="35"/>
    <x v="1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s v="No"/>
    <n v="11"/>
    <n v="3"/>
    <n v="3"/>
    <n v="80"/>
    <n v="0"/>
    <n v="15"/>
    <s v="6-15"/>
    <n v="2"/>
    <n v="3"/>
    <n v="11"/>
    <n v="9"/>
    <n v="6"/>
    <n v="9"/>
  </r>
  <r>
    <n v="40"/>
    <x v="1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s v="No"/>
    <n v="15"/>
    <n v="3"/>
    <n v="3"/>
    <n v="80"/>
    <n v="0"/>
    <n v="22"/>
    <s v="&gt;15"/>
    <n v="3"/>
    <n v="3"/>
    <n v="20"/>
    <n v="6"/>
    <n v="5"/>
    <n v="13"/>
  </r>
  <r>
    <n v="39"/>
    <x v="1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s v="No"/>
    <n v="11"/>
    <n v="3"/>
    <n v="1"/>
    <n v="80"/>
    <n v="1"/>
    <n v="8"/>
    <s v="6-15"/>
    <n v="3"/>
    <n v="3"/>
    <n v="8"/>
    <n v="3"/>
    <n v="0"/>
    <n v="7"/>
  </r>
  <r>
    <n v="31"/>
    <x v="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s v="Yes"/>
    <n v="13"/>
    <n v="3"/>
    <n v="3"/>
    <n v="80"/>
    <n v="0"/>
    <n v="10"/>
    <s v="6-15"/>
    <n v="2"/>
    <n v="4"/>
    <n v="6"/>
    <n v="5"/>
    <n v="0"/>
    <n v="5"/>
  </r>
  <r>
    <n v="42"/>
    <x v="1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s v="Yes"/>
    <n v="21"/>
    <n v="4"/>
    <n v="4"/>
    <n v="80"/>
    <n v="1"/>
    <n v="10"/>
    <s v="6-15"/>
    <n v="5"/>
    <n v="2"/>
    <n v="10"/>
    <n v="9"/>
    <n v="5"/>
    <n v="8"/>
  </r>
  <r>
    <n v="45"/>
    <x v="1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s v="No"/>
    <n v="19"/>
    <n v="3"/>
    <n v="2"/>
    <n v="80"/>
    <n v="1"/>
    <n v="9"/>
    <s v="6-15"/>
    <n v="3"/>
    <n v="4"/>
    <n v="8"/>
    <n v="7"/>
    <n v="3"/>
    <n v="7"/>
  </r>
  <r>
    <n v="26"/>
    <x v="0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s v="Yes"/>
    <n v="11"/>
    <n v="3"/>
    <n v="2"/>
    <n v="80"/>
    <n v="1"/>
    <n v="8"/>
    <s v="6-15"/>
    <n v="2"/>
    <n v="2"/>
    <n v="7"/>
    <n v="7"/>
    <n v="1"/>
    <n v="0"/>
  </r>
  <r>
    <n v="29"/>
    <x v="1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s v="No"/>
    <n v="12"/>
    <n v="3"/>
    <n v="2"/>
    <n v="80"/>
    <n v="2"/>
    <n v="8"/>
    <s v="6-15"/>
    <n v="2"/>
    <n v="4"/>
    <n v="3"/>
    <n v="2"/>
    <n v="1"/>
    <n v="2"/>
  </r>
  <r>
    <n v="33"/>
    <x v="1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s v="No"/>
    <n v="19"/>
    <n v="3"/>
    <n v="3"/>
    <n v="80"/>
    <n v="1"/>
    <n v="10"/>
    <s v="6-15"/>
    <n v="2"/>
    <n v="3"/>
    <n v="6"/>
    <n v="1"/>
    <n v="0"/>
    <n v="5"/>
  </r>
  <r>
    <n v="31"/>
    <x v="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s v="No"/>
    <n v="21"/>
    <n v="4"/>
    <n v="3"/>
    <n v="80"/>
    <n v="1"/>
    <n v="10"/>
    <s v="6-15"/>
    <n v="3"/>
    <n v="2"/>
    <n v="5"/>
    <n v="4"/>
    <n v="0"/>
    <n v="1"/>
  </r>
  <r>
    <n v="18"/>
    <x v="0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s v="Yes"/>
    <n v="14"/>
    <n v="3"/>
    <n v="4"/>
    <n v="80"/>
    <n v="0"/>
    <n v="0"/>
    <s v="0-5"/>
    <n v="3"/>
    <n v="3"/>
    <n v="0"/>
    <n v="0"/>
    <n v="0"/>
    <n v="0"/>
  </r>
  <r>
    <n v="40"/>
    <x v="1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s v="No"/>
    <n v="15"/>
    <n v="3"/>
    <n v="3"/>
    <n v="80"/>
    <n v="1"/>
    <n v="20"/>
    <s v="&gt;15"/>
    <n v="2"/>
    <n v="3"/>
    <n v="1"/>
    <n v="0"/>
    <n v="0"/>
    <n v="1"/>
  </r>
  <r>
    <n v="41"/>
    <x v="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s v="Yes"/>
    <n v="17"/>
    <n v="3"/>
    <n v="1"/>
    <n v="80"/>
    <n v="0"/>
    <n v="10"/>
    <s v="6-15"/>
    <n v="3"/>
    <n v="3"/>
    <n v="8"/>
    <n v="7"/>
    <n v="0"/>
    <n v="7"/>
  </r>
  <r>
    <n v="26"/>
    <x v="1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s v="No"/>
    <n v="12"/>
    <n v="3"/>
    <n v="1"/>
    <n v="80"/>
    <n v="2"/>
    <n v="8"/>
    <s v="6-15"/>
    <n v="5"/>
    <n v="3"/>
    <n v="0"/>
    <n v="0"/>
    <n v="0"/>
    <n v="0"/>
  </r>
  <r>
    <n v="35"/>
    <x v="1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s v="No"/>
    <n v="16"/>
    <n v="3"/>
    <n v="4"/>
    <n v="80"/>
    <n v="0"/>
    <n v="5"/>
    <s v="0-5"/>
    <n v="3"/>
    <n v="3"/>
    <n v="5"/>
    <n v="4"/>
    <n v="0"/>
    <n v="3"/>
  </r>
  <r>
    <n v="34"/>
    <x v="1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s v="No"/>
    <n v="12"/>
    <n v="3"/>
    <n v="4"/>
    <n v="80"/>
    <n v="0"/>
    <n v="10"/>
    <s v="6-15"/>
    <n v="3"/>
    <n v="3"/>
    <n v="10"/>
    <n v="7"/>
    <n v="5"/>
    <n v="7"/>
  </r>
  <r>
    <n v="26"/>
    <x v="0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s v="Yes"/>
    <n v="18"/>
    <n v="3"/>
    <n v="2"/>
    <n v="80"/>
    <n v="0"/>
    <n v="1"/>
    <s v="0-5"/>
    <n v="3"/>
    <n v="1"/>
    <n v="1"/>
    <n v="0"/>
    <n v="0"/>
    <n v="0"/>
  </r>
  <r>
    <n v="37"/>
    <x v="1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s v="No"/>
    <n v="17"/>
    <n v="3"/>
    <n v="4"/>
    <n v="80"/>
    <n v="0"/>
    <n v="12"/>
    <s v="6-15"/>
    <n v="3"/>
    <n v="4"/>
    <n v="6"/>
    <n v="5"/>
    <n v="1"/>
    <n v="2"/>
  </r>
  <r>
    <n v="46"/>
    <x v="1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s v="No"/>
    <n v="11"/>
    <n v="3"/>
    <n v="4"/>
    <n v="80"/>
    <n v="0"/>
    <n v="28"/>
    <s v="&gt;15"/>
    <n v="3"/>
    <n v="2"/>
    <n v="2"/>
    <n v="2"/>
    <n v="1"/>
    <n v="2"/>
  </r>
  <r>
    <n v="41"/>
    <x v="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s v="No"/>
    <n v="16"/>
    <n v="3"/>
    <n v="2"/>
    <n v="80"/>
    <n v="1"/>
    <n v="22"/>
    <s v="&gt;15"/>
    <n v="2"/>
    <n v="3"/>
    <n v="18"/>
    <n v="16"/>
    <n v="11"/>
    <n v="8"/>
  </r>
  <r>
    <n v="37"/>
    <x v="1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s v="No"/>
    <n v="13"/>
    <n v="3"/>
    <n v="4"/>
    <n v="80"/>
    <n v="1"/>
    <n v="9"/>
    <s v="6-15"/>
    <n v="6"/>
    <n v="3"/>
    <n v="9"/>
    <n v="5"/>
    <n v="7"/>
    <n v="7"/>
  </r>
  <r>
    <n v="52"/>
    <x v="1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s v="Yes"/>
    <n v="12"/>
    <n v="3"/>
    <n v="2"/>
    <n v="80"/>
    <n v="2"/>
    <n v="18"/>
    <s v="&gt;15"/>
    <n v="3"/>
    <n v="3"/>
    <n v="10"/>
    <n v="9"/>
    <n v="6"/>
    <n v="9"/>
  </r>
  <r>
    <n v="32"/>
    <x v="0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s v="No"/>
    <n v="12"/>
    <n v="3"/>
    <n v="4"/>
    <n v="80"/>
    <n v="0"/>
    <n v="6"/>
    <s v="6-15"/>
    <n v="2"/>
    <n v="3"/>
    <n v="4"/>
    <n v="2"/>
    <n v="1"/>
    <n v="2"/>
  </r>
  <r>
    <n v="24"/>
    <x v="1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s v="No"/>
    <n v="13"/>
    <n v="3"/>
    <n v="3"/>
    <n v="80"/>
    <n v="2"/>
    <n v="3"/>
    <s v="0-5"/>
    <n v="3"/>
    <n v="3"/>
    <n v="2"/>
    <n v="2"/>
    <n v="2"/>
    <n v="1"/>
  </r>
  <r>
    <n v="38"/>
    <x v="1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s v="No"/>
    <n v="19"/>
    <n v="3"/>
    <n v="3"/>
    <n v="80"/>
    <n v="1"/>
    <n v="18"/>
    <s v="&gt;15"/>
    <n v="4"/>
    <n v="3"/>
    <n v="1"/>
    <n v="0"/>
    <n v="0"/>
    <n v="0"/>
  </r>
  <r>
    <n v="37"/>
    <x v="1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s v="No"/>
    <n v="12"/>
    <n v="3"/>
    <n v="2"/>
    <n v="80"/>
    <n v="1"/>
    <n v="8"/>
    <s v="6-15"/>
    <n v="2"/>
    <n v="2"/>
    <n v="6"/>
    <n v="5"/>
    <n v="4"/>
    <n v="3"/>
  </r>
  <r>
    <n v="49"/>
    <x v="1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s v="Yes"/>
    <n v="17"/>
    <n v="3"/>
    <n v="3"/>
    <n v="80"/>
    <n v="1"/>
    <n v="31"/>
    <s v="&gt;15"/>
    <n v="5"/>
    <n v="3"/>
    <n v="31"/>
    <n v="9"/>
    <n v="0"/>
    <n v="9"/>
  </r>
  <r>
    <n v="24"/>
    <x v="1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s v="Yes"/>
    <n v="11"/>
    <n v="3"/>
    <n v="2"/>
    <n v="80"/>
    <n v="2"/>
    <n v="6"/>
    <s v="6-15"/>
    <n v="3"/>
    <n v="3"/>
    <n v="6"/>
    <n v="5"/>
    <n v="1"/>
    <n v="4"/>
  </r>
  <r>
    <n v="26"/>
    <x v="1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s v="No"/>
    <n v="20"/>
    <n v="4"/>
    <n v="4"/>
    <n v="80"/>
    <n v="2"/>
    <n v="6"/>
    <s v="6-15"/>
    <n v="5"/>
    <n v="4"/>
    <n v="5"/>
    <n v="3"/>
    <n v="1"/>
    <n v="4"/>
  </r>
  <r>
    <n v="24"/>
    <x v="1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s v="No"/>
    <n v="21"/>
    <n v="4"/>
    <n v="4"/>
    <n v="80"/>
    <n v="1"/>
    <n v="1"/>
    <s v="0-5"/>
    <n v="2"/>
    <n v="3"/>
    <n v="1"/>
    <n v="0"/>
    <n v="0"/>
    <n v="0"/>
  </r>
  <r>
    <n v="50"/>
    <x v="1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s v="No"/>
    <n v="11"/>
    <n v="3"/>
    <n v="3"/>
    <n v="80"/>
    <n v="1"/>
    <n v="32"/>
    <s v="&gt;15"/>
    <n v="2"/>
    <n v="3"/>
    <n v="32"/>
    <n v="5"/>
    <n v="10"/>
    <n v="7"/>
  </r>
  <r>
    <n v="25"/>
    <x v="1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s v="No"/>
    <n v="11"/>
    <n v="3"/>
    <n v="3"/>
    <n v="80"/>
    <n v="0"/>
    <n v="7"/>
    <s v="6-15"/>
    <n v="1"/>
    <n v="3"/>
    <n v="7"/>
    <n v="4"/>
    <n v="0"/>
    <n v="6"/>
  </r>
  <r>
    <n v="24"/>
    <x v="0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s v="Yes"/>
    <n v="16"/>
    <n v="3"/>
    <n v="4"/>
    <n v="80"/>
    <n v="1"/>
    <n v="6"/>
    <s v="6-15"/>
    <n v="4"/>
    <n v="3"/>
    <n v="6"/>
    <n v="3"/>
    <n v="1"/>
    <n v="2"/>
  </r>
  <r>
    <n v="30"/>
    <x v="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s v="No"/>
    <n v="18"/>
    <n v="3"/>
    <n v="3"/>
    <n v="80"/>
    <n v="1"/>
    <n v="1"/>
    <s v="0-5"/>
    <n v="2"/>
    <n v="4"/>
    <n v="1"/>
    <n v="0"/>
    <n v="0"/>
    <n v="0"/>
  </r>
  <r>
    <n v="34"/>
    <x v="1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s v="Yes"/>
    <n v="13"/>
    <n v="3"/>
    <n v="4"/>
    <n v="80"/>
    <n v="1"/>
    <n v="6"/>
    <s v="6-15"/>
    <n v="3"/>
    <n v="3"/>
    <n v="6"/>
    <n v="5"/>
    <n v="1"/>
    <n v="3"/>
  </r>
  <r>
    <n v="31"/>
    <x v="0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s v="No"/>
    <n v="17"/>
    <n v="3"/>
    <n v="3"/>
    <n v="80"/>
    <n v="0"/>
    <n v="9"/>
    <s v="6-15"/>
    <n v="2"/>
    <n v="1"/>
    <n v="3"/>
    <n v="1"/>
    <n v="1"/>
    <n v="2"/>
  </r>
  <r>
    <n v="35"/>
    <x v="1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s v="No"/>
    <n v="14"/>
    <n v="3"/>
    <n v="4"/>
    <n v="80"/>
    <n v="0"/>
    <n v="9"/>
    <s v="6-15"/>
    <n v="3"/>
    <n v="3"/>
    <n v="3"/>
    <n v="2"/>
    <n v="0"/>
    <n v="2"/>
  </r>
  <r>
    <n v="31"/>
    <x v="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s v="No"/>
    <n v="22"/>
    <n v="4"/>
    <n v="4"/>
    <n v="80"/>
    <n v="2"/>
    <n v="13"/>
    <s v="6-15"/>
    <n v="4"/>
    <n v="4"/>
    <n v="7"/>
    <n v="7"/>
    <n v="5"/>
    <n v="7"/>
  </r>
  <r>
    <n v="27"/>
    <x v="1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s v="No"/>
    <n v="12"/>
    <n v="3"/>
    <n v="3"/>
    <n v="80"/>
    <n v="2"/>
    <n v="6"/>
    <s v="6-15"/>
    <n v="5"/>
    <n v="2"/>
    <n v="5"/>
    <n v="3"/>
    <n v="0"/>
    <n v="3"/>
  </r>
  <r>
    <n v="37"/>
    <x v="1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s v="Yes"/>
    <n v="11"/>
    <n v="3"/>
    <n v="3"/>
    <n v="80"/>
    <n v="1"/>
    <n v="17"/>
    <s v="&gt;15"/>
    <n v="3"/>
    <n v="2"/>
    <n v="3"/>
    <n v="0"/>
    <n v="1"/>
    <n v="0"/>
  </r>
  <r>
    <n v="20"/>
    <x v="1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s v="No"/>
    <n v="13"/>
    <n v="3"/>
    <n v="4"/>
    <n v="80"/>
    <n v="0"/>
    <n v="1"/>
    <s v="0-5"/>
    <n v="0"/>
    <n v="4"/>
    <n v="1"/>
    <n v="0"/>
    <n v="0"/>
    <n v="0"/>
  </r>
  <r>
    <n v="42"/>
    <x v="1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s v="No"/>
    <n v="13"/>
    <n v="3"/>
    <n v="2"/>
    <n v="80"/>
    <n v="2"/>
    <n v="10"/>
    <s v="6-15"/>
    <n v="4"/>
    <n v="3"/>
    <n v="10"/>
    <n v="2"/>
    <n v="2"/>
    <n v="2"/>
  </r>
  <r>
    <n v="43"/>
    <x v="1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s v="Yes"/>
    <n v="14"/>
    <n v="3"/>
    <n v="3"/>
    <n v="80"/>
    <n v="1"/>
    <n v="21"/>
    <s v="&gt;15"/>
    <n v="3"/>
    <n v="2"/>
    <n v="1"/>
    <n v="0"/>
    <n v="0"/>
    <n v="0"/>
  </r>
  <r>
    <n v="38"/>
    <x v="1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s v="No"/>
    <n v="17"/>
    <n v="3"/>
    <n v="4"/>
    <n v="80"/>
    <n v="0"/>
    <n v="8"/>
    <s v="6-15"/>
    <n v="3"/>
    <n v="2"/>
    <n v="0"/>
    <n v="0"/>
    <n v="0"/>
    <n v="0"/>
  </r>
  <r>
    <n v="43"/>
    <x v="1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s v="Yes"/>
    <n v="13"/>
    <n v="3"/>
    <n v="2"/>
    <n v="80"/>
    <n v="1"/>
    <n v="10"/>
    <s v="6-15"/>
    <n v="3"/>
    <n v="3"/>
    <n v="8"/>
    <n v="7"/>
    <n v="4"/>
    <n v="7"/>
  </r>
  <r>
    <n v="48"/>
    <x v="1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s v="No"/>
    <n v="11"/>
    <n v="3"/>
    <n v="1"/>
    <n v="80"/>
    <n v="1"/>
    <n v="21"/>
    <s v="&gt;15"/>
    <n v="3"/>
    <n v="1"/>
    <n v="3"/>
    <n v="2"/>
    <n v="0"/>
    <n v="2"/>
  </r>
  <r>
    <n v="44"/>
    <x v="1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s v="No"/>
    <n v="11"/>
    <n v="3"/>
    <n v="2"/>
    <n v="80"/>
    <n v="0"/>
    <n v="10"/>
    <s v="6-15"/>
    <n v="1"/>
    <n v="4"/>
    <n v="2"/>
    <n v="2"/>
    <n v="0"/>
    <n v="2"/>
  </r>
  <r>
    <n v="34"/>
    <x v="1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s v="Yes"/>
    <n v="18"/>
    <n v="3"/>
    <n v="4"/>
    <n v="80"/>
    <n v="2"/>
    <n v="8"/>
    <s v="6-15"/>
    <n v="3"/>
    <n v="3"/>
    <n v="8"/>
    <n v="2"/>
    <n v="0"/>
    <n v="6"/>
  </r>
  <r>
    <n v="27"/>
    <x v="0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s v="No"/>
    <n v="11"/>
    <n v="3"/>
    <n v="2"/>
    <n v="80"/>
    <n v="1"/>
    <n v="5"/>
    <s v="0-5"/>
    <n v="3"/>
    <n v="3"/>
    <n v="4"/>
    <n v="3"/>
    <n v="0"/>
    <n v="2"/>
  </r>
  <r>
    <n v="21"/>
    <x v="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s v="No"/>
    <n v="11"/>
    <n v="3"/>
    <n v="3"/>
    <n v="80"/>
    <n v="0"/>
    <n v="3"/>
    <s v="0-5"/>
    <n v="2"/>
    <n v="3"/>
    <n v="3"/>
    <n v="2"/>
    <n v="1"/>
    <n v="2"/>
  </r>
  <r>
    <n v="44"/>
    <x v="1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s v="Yes"/>
    <n v="12"/>
    <n v="3"/>
    <n v="1"/>
    <n v="80"/>
    <n v="1"/>
    <n v="26"/>
    <s v="&gt;15"/>
    <n v="2"/>
    <n v="4"/>
    <n v="2"/>
    <n v="2"/>
    <n v="0"/>
    <n v="1"/>
  </r>
  <r>
    <n v="22"/>
    <x v="1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s v="No"/>
    <n v="20"/>
    <n v="4"/>
    <n v="4"/>
    <n v="80"/>
    <n v="0"/>
    <n v="3"/>
    <s v="0-5"/>
    <n v="3"/>
    <n v="3"/>
    <n v="2"/>
    <n v="2"/>
    <n v="2"/>
    <n v="2"/>
  </r>
  <r>
    <n v="33"/>
    <x v="1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s v="No"/>
    <n v="12"/>
    <n v="3"/>
    <n v="4"/>
    <n v="80"/>
    <n v="0"/>
    <n v="6"/>
    <s v="6-15"/>
    <n v="3"/>
    <n v="3"/>
    <n v="5"/>
    <n v="0"/>
    <n v="1"/>
    <n v="2"/>
  </r>
  <r>
    <n v="32"/>
    <x v="1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s v="Yes"/>
    <n v="12"/>
    <n v="3"/>
    <n v="4"/>
    <n v="80"/>
    <n v="1"/>
    <n v="6"/>
    <s v="6-15"/>
    <n v="2"/>
    <n v="2"/>
    <n v="6"/>
    <n v="4"/>
    <n v="0"/>
    <n v="5"/>
  </r>
  <r>
    <n v="30"/>
    <x v="1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s v="No"/>
    <n v="20"/>
    <n v="4"/>
    <n v="3"/>
    <n v="80"/>
    <n v="1"/>
    <n v="1"/>
    <s v="0-5"/>
    <n v="2"/>
    <n v="3"/>
    <n v="1"/>
    <n v="0"/>
    <n v="0"/>
    <n v="0"/>
  </r>
  <r>
    <n v="53"/>
    <x v="1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s v="No"/>
    <n v="20"/>
    <n v="4"/>
    <n v="4"/>
    <n v="80"/>
    <n v="0"/>
    <n v="18"/>
    <s v="&gt;15"/>
    <n v="2"/>
    <n v="4"/>
    <n v="14"/>
    <n v="7"/>
    <n v="8"/>
    <n v="10"/>
  </r>
  <r>
    <n v="34"/>
    <x v="1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s v="No"/>
    <n v="12"/>
    <n v="3"/>
    <n v="4"/>
    <n v="80"/>
    <n v="1"/>
    <n v="10"/>
    <s v="6-15"/>
    <n v="4"/>
    <n v="2"/>
    <n v="10"/>
    <n v="9"/>
    <n v="8"/>
    <n v="8"/>
  </r>
  <r>
    <n v="45"/>
    <x v="0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s v="No"/>
    <n v="14"/>
    <n v="3"/>
    <n v="4"/>
    <n v="80"/>
    <n v="2"/>
    <n v="5"/>
    <s v="0-5"/>
    <n v="4"/>
    <n v="3"/>
    <n v="1"/>
    <n v="1"/>
    <n v="0"/>
    <n v="0"/>
  </r>
  <r>
    <n v="26"/>
    <x v="1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s v="Yes"/>
    <n v="13"/>
    <n v="3"/>
    <n v="3"/>
    <n v="80"/>
    <n v="1"/>
    <n v="3"/>
    <s v="0-5"/>
    <n v="2"/>
    <n v="3"/>
    <n v="3"/>
    <n v="2"/>
    <n v="0"/>
    <n v="2"/>
  </r>
  <r>
    <n v="37"/>
    <x v="1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s v="No"/>
    <n v="15"/>
    <n v="3"/>
    <n v="3"/>
    <n v="80"/>
    <n v="1"/>
    <n v="10"/>
    <s v="6-15"/>
    <n v="2"/>
    <n v="3"/>
    <n v="10"/>
    <n v="7"/>
    <n v="7"/>
    <n v="8"/>
  </r>
  <r>
    <n v="29"/>
    <x v="1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s v="No"/>
    <n v="14"/>
    <n v="3"/>
    <n v="1"/>
    <n v="80"/>
    <n v="1"/>
    <n v="6"/>
    <s v="6-15"/>
    <n v="5"/>
    <n v="2"/>
    <n v="6"/>
    <n v="0"/>
    <n v="1"/>
    <n v="2"/>
  </r>
  <r>
    <n v="35"/>
    <x v="1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s v="No"/>
    <n v="13"/>
    <n v="3"/>
    <n v="2"/>
    <n v="80"/>
    <n v="0"/>
    <n v="17"/>
    <s v="&gt;15"/>
    <n v="3"/>
    <n v="3"/>
    <n v="17"/>
    <n v="11"/>
    <n v="11"/>
    <n v="8"/>
  </r>
  <r>
    <n v="33"/>
    <x v="1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s v="No"/>
    <n v="23"/>
    <n v="4"/>
    <n v="3"/>
    <n v="80"/>
    <n v="1"/>
    <n v="15"/>
    <s v="6-15"/>
    <n v="2"/>
    <n v="1"/>
    <n v="13"/>
    <n v="11"/>
    <n v="4"/>
    <n v="7"/>
  </r>
  <r>
    <n v="54"/>
    <x v="1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s v="No"/>
    <n v="15"/>
    <n v="3"/>
    <n v="3"/>
    <n v="80"/>
    <n v="1"/>
    <n v="16"/>
    <s v="&gt;15"/>
    <n v="1"/>
    <n v="4"/>
    <n v="9"/>
    <n v="7"/>
    <n v="7"/>
    <n v="1"/>
  </r>
  <r>
    <n v="36"/>
    <x v="1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s v="Yes"/>
    <n v="11"/>
    <n v="3"/>
    <n v="3"/>
    <n v="80"/>
    <n v="1"/>
    <n v="13"/>
    <s v="6-15"/>
    <n v="2"/>
    <n v="3"/>
    <n v="3"/>
    <n v="2"/>
    <n v="0"/>
    <n v="2"/>
  </r>
  <r>
    <n v="27"/>
    <x v="1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s v="No"/>
    <n v="13"/>
    <n v="3"/>
    <n v="4"/>
    <n v="80"/>
    <n v="0"/>
    <n v="5"/>
    <s v="0-5"/>
    <n v="0"/>
    <n v="3"/>
    <n v="4"/>
    <n v="2"/>
    <n v="1"/>
    <n v="1"/>
  </r>
  <r>
    <n v="20"/>
    <x v="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s v="Yes"/>
    <n v="11"/>
    <n v="3"/>
    <n v="4"/>
    <n v="80"/>
    <n v="0"/>
    <n v="1"/>
    <s v="0-5"/>
    <n v="5"/>
    <n v="3"/>
    <n v="1"/>
    <n v="0"/>
    <n v="1"/>
    <n v="1"/>
  </r>
  <r>
    <n v="33"/>
    <x v="0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s v="Yes"/>
    <n v="11"/>
    <n v="3"/>
    <n v="1"/>
    <n v="80"/>
    <n v="0"/>
    <n v="10"/>
    <s v="6-15"/>
    <n v="3"/>
    <n v="3"/>
    <n v="10"/>
    <n v="8"/>
    <n v="9"/>
    <n v="7"/>
  </r>
  <r>
    <n v="35"/>
    <x v="1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s v="No"/>
    <n v="18"/>
    <n v="3"/>
    <n v="3"/>
    <n v="80"/>
    <n v="2"/>
    <n v="1"/>
    <s v="0-5"/>
    <n v="3"/>
    <n v="3"/>
    <n v="1"/>
    <n v="0"/>
    <n v="0"/>
    <n v="0"/>
  </r>
  <r>
    <n v="23"/>
    <x v="1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s v="No"/>
    <n v="16"/>
    <n v="3"/>
    <n v="1"/>
    <n v="80"/>
    <n v="1"/>
    <n v="5"/>
    <s v="0-5"/>
    <n v="3"/>
    <n v="4"/>
    <n v="3"/>
    <n v="2"/>
    <n v="0"/>
    <n v="2"/>
  </r>
  <r>
    <n v="25"/>
    <x v="1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s v="No"/>
    <n v="22"/>
    <n v="4"/>
    <n v="3"/>
    <n v="80"/>
    <n v="1"/>
    <n v="4"/>
    <s v="0-5"/>
    <n v="4"/>
    <n v="3"/>
    <n v="3"/>
    <n v="2"/>
    <n v="1"/>
    <n v="2"/>
  </r>
  <r>
    <n v="38"/>
    <x v="1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s v="No"/>
    <n v="20"/>
    <n v="4"/>
    <n v="1"/>
    <n v="80"/>
    <n v="0"/>
    <n v="8"/>
    <s v="6-15"/>
    <n v="2"/>
    <n v="3"/>
    <n v="7"/>
    <n v="7"/>
    <n v="0"/>
    <n v="5"/>
  </r>
  <r>
    <n v="29"/>
    <x v="1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s v="No"/>
    <n v="18"/>
    <n v="3"/>
    <n v="4"/>
    <n v="80"/>
    <n v="1"/>
    <n v="10"/>
    <s v="6-15"/>
    <n v="5"/>
    <n v="3"/>
    <n v="10"/>
    <n v="7"/>
    <n v="2"/>
    <n v="8"/>
  </r>
  <r>
    <n v="48"/>
    <x v="1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s v="No"/>
    <n v="12"/>
    <n v="3"/>
    <n v="4"/>
    <n v="80"/>
    <n v="0"/>
    <n v="12"/>
    <s v="6-15"/>
    <n v="3"/>
    <n v="3"/>
    <n v="2"/>
    <n v="2"/>
    <n v="2"/>
    <n v="2"/>
  </r>
  <r>
    <n v="27"/>
    <x v="1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s v="Yes"/>
    <n v="20"/>
    <n v="4"/>
    <n v="2"/>
    <n v="80"/>
    <n v="2"/>
    <n v="6"/>
    <s v="6-15"/>
    <n v="3"/>
    <n v="3"/>
    <n v="6"/>
    <n v="5"/>
    <n v="0"/>
    <n v="4"/>
  </r>
  <r>
    <n v="37"/>
    <x v="1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s v="No"/>
    <n v="17"/>
    <n v="3"/>
    <n v="1"/>
    <n v="80"/>
    <n v="0"/>
    <n v="4"/>
    <s v="0-5"/>
    <n v="2"/>
    <n v="3"/>
    <n v="1"/>
    <n v="0"/>
    <n v="0"/>
    <n v="0"/>
  </r>
  <r>
    <n v="50"/>
    <x v="1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s v="Yes"/>
    <n v="11"/>
    <n v="3"/>
    <n v="3"/>
    <n v="80"/>
    <n v="3"/>
    <n v="20"/>
    <s v="&gt;15"/>
    <n v="3"/>
    <n v="3"/>
    <n v="20"/>
    <n v="8"/>
    <n v="3"/>
    <n v="8"/>
  </r>
  <r>
    <n v="34"/>
    <x v="1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s v="No"/>
    <n v="14"/>
    <n v="3"/>
    <n v="2"/>
    <n v="80"/>
    <n v="0"/>
    <n v="9"/>
    <s v="6-15"/>
    <n v="3"/>
    <n v="4"/>
    <n v="8"/>
    <n v="7"/>
    <n v="7"/>
    <n v="7"/>
  </r>
  <r>
    <n v="24"/>
    <x v="0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s v="No"/>
    <n v="14"/>
    <n v="3"/>
    <n v="1"/>
    <n v="80"/>
    <n v="0"/>
    <n v="4"/>
    <s v="0-5"/>
    <n v="3"/>
    <n v="3"/>
    <n v="2"/>
    <n v="2"/>
    <n v="2"/>
    <n v="0"/>
  </r>
  <r>
    <n v="39"/>
    <x v="1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s v="No"/>
    <n v="11"/>
    <n v="3"/>
    <n v="1"/>
    <n v="80"/>
    <n v="0"/>
    <n v="20"/>
    <s v="&gt;15"/>
    <n v="4"/>
    <n v="3"/>
    <n v="20"/>
    <n v="7"/>
    <n v="11"/>
    <n v="10"/>
  </r>
  <r>
    <n v="32"/>
    <x v="1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s v="No"/>
    <n v="12"/>
    <n v="3"/>
    <n v="4"/>
    <n v="80"/>
    <n v="0"/>
    <n v="10"/>
    <s v="6-15"/>
    <n v="2"/>
    <n v="2"/>
    <n v="10"/>
    <n v="7"/>
    <n v="0"/>
    <n v="8"/>
  </r>
  <r>
    <n v="50"/>
    <x v="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s v="Yes"/>
    <n v="14"/>
    <n v="3"/>
    <n v="1"/>
    <n v="80"/>
    <n v="1"/>
    <n v="18"/>
    <s v="&gt;15"/>
    <n v="4"/>
    <n v="3"/>
    <n v="4"/>
    <n v="3"/>
    <n v="1"/>
    <n v="3"/>
  </r>
  <r>
    <n v="38"/>
    <x v="1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s v="No"/>
    <n v="13"/>
    <n v="3"/>
    <n v="3"/>
    <n v="80"/>
    <n v="0"/>
    <n v="10"/>
    <s v="6-15"/>
    <n v="4"/>
    <n v="2"/>
    <n v="9"/>
    <n v="7"/>
    <n v="1"/>
    <n v="8"/>
  </r>
  <r>
    <n v="27"/>
    <x v="1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s v="No"/>
    <n v="11"/>
    <n v="3"/>
    <n v="4"/>
    <n v="80"/>
    <n v="0"/>
    <n v="9"/>
    <s v="6-15"/>
    <n v="3"/>
    <n v="3"/>
    <n v="9"/>
    <n v="7"/>
    <n v="0"/>
    <n v="7"/>
  </r>
  <r>
    <n v="32"/>
    <x v="1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s v="No"/>
    <n v="15"/>
    <n v="3"/>
    <n v="4"/>
    <n v="80"/>
    <n v="0"/>
    <n v="10"/>
    <s v="6-15"/>
    <n v="6"/>
    <n v="3"/>
    <n v="7"/>
    <n v="7"/>
    <n v="7"/>
    <n v="7"/>
  </r>
  <r>
    <n v="47"/>
    <x v="1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s v="No"/>
    <n v="12"/>
    <n v="3"/>
    <n v="4"/>
    <n v="80"/>
    <n v="0"/>
    <n v="20"/>
    <s v="&gt;15"/>
    <n v="2"/>
    <n v="3"/>
    <n v="7"/>
    <n v="7"/>
    <n v="1"/>
    <n v="7"/>
  </r>
  <r>
    <n v="40"/>
    <x v="1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s v="Yes"/>
    <n v="21"/>
    <n v="4"/>
    <n v="3"/>
    <n v="80"/>
    <n v="1"/>
    <n v="20"/>
    <s v="&gt;15"/>
    <n v="2"/>
    <n v="3"/>
    <n v="18"/>
    <n v="13"/>
    <n v="1"/>
    <n v="12"/>
  </r>
  <r>
    <n v="53"/>
    <x v="1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s v="No"/>
    <n v="19"/>
    <n v="3"/>
    <n v="3"/>
    <n v="80"/>
    <n v="0"/>
    <n v="32"/>
    <s v="&gt;15"/>
    <n v="3"/>
    <n v="3"/>
    <n v="5"/>
    <n v="1"/>
    <n v="1"/>
    <n v="3"/>
  </r>
  <r>
    <n v="41"/>
    <x v="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s v="No"/>
    <n v="15"/>
    <n v="3"/>
    <n v="2"/>
    <n v="80"/>
    <n v="3"/>
    <n v="23"/>
    <s v="&gt;15"/>
    <n v="2"/>
    <n v="2"/>
    <n v="21"/>
    <n v="6"/>
    <n v="12"/>
    <n v="6"/>
  </r>
  <r>
    <n v="60"/>
    <x v="1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s v="No"/>
    <n v="14"/>
    <n v="3"/>
    <n v="4"/>
    <n v="80"/>
    <n v="0"/>
    <n v="10"/>
    <s v="6-15"/>
    <n v="1"/>
    <n v="3"/>
    <n v="2"/>
    <n v="2"/>
    <n v="2"/>
    <n v="2"/>
  </r>
  <r>
    <n v="27"/>
    <x v="1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s v="No"/>
    <n v="21"/>
    <n v="4"/>
    <n v="3"/>
    <n v="80"/>
    <n v="2"/>
    <n v="9"/>
    <s v="6-15"/>
    <n v="4"/>
    <n v="2"/>
    <n v="9"/>
    <n v="7"/>
    <n v="1"/>
    <n v="7"/>
  </r>
  <r>
    <n v="41"/>
    <x v="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s v="No"/>
    <n v="12"/>
    <n v="3"/>
    <n v="2"/>
    <n v="80"/>
    <n v="1"/>
    <n v="22"/>
    <s v="&gt;15"/>
    <n v="3"/>
    <n v="3"/>
    <n v="22"/>
    <n v="7"/>
    <n v="2"/>
    <n v="10"/>
  </r>
  <r>
    <n v="50"/>
    <x v="1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s v="No"/>
    <n v="15"/>
    <n v="3"/>
    <n v="4"/>
    <n v="80"/>
    <n v="1"/>
    <n v="4"/>
    <s v="0-5"/>
    <n v="2"/>
    <n v="3"/>
    <n v="2"/>
    <n v="2"/>
    <n v="2"/>
    <n v="2"/>
  </r>
  <r>
    <n v="28"/>
    <x v="0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s v="Yes"/>
    <n v="13"/>
    <n v="3"/>
    <n v="4"/>
    <n v="80"/>
    <n v="0"/>
    <n v="10"/>
    <s v="6-15"/>
    <n v="4"/>
    <n v="3"/>
    <n v="7"/>
    <n v="7"/>
    <n v="3"/>
    <n v="7"/>
  </r>
  <r>
    <n v="36"/>
    <x v="1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s v="No"/>
    <n v="14"/>
    <n v="3"/>
    <n v="1"/>
    <n v="80"/>
    <n v="1"/>
    <n v="10"/>
    <s v="6-15"/>
    <n v="2"/>
    <n v="3"/>
    <n v="8"/>
    <n v="7"/>
    <n v="0"/>
    <n v="5"/>
  </r>
  <r>
    <n v="38"/>
    <x v="1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s v="Yes"/>
    <n v="14"/>
    <n v="3"/>
    <n v="4"/>
    <n v="80"/>
    <n v="0"/>
    <n v="10"/>
    <s v="6-15"/>
    <n v="4"/>
    <n v="4"/>
    <n v="1"/>
    <n v="0"/>
    <n v="0"/>
    <n v="0"/>
  </r>
  <r>
    <n v="44"/>
    <x v="1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s v="No"/>
    <n v="14"/>
    <n v="3"/>
    <n v="3"/>
    <n v="80"/>
    <n v="0"/>
    <n v="9"/>
    <s v="6-15"/>
    <n v="5"/>
    <n v="3"/>
    <n v="5"/>
    <n v="2"/>
    <n v="1"/>
    <n v="4"/>
  </r>
  <r>
    <n v="47"/>
    <x v="1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s v="Yes"/>
    <n v="12"/>
    <n v="3"/>
    <n v="4"/>
    <n v="80"/>
    <n v="2"/>
    <n v="28"/>
    <s v="&gt;15"/>
    <n v="2"/>
    <n v="2"/>
    <n v="22"/>
    <n v="2"/>
    <n v="11"/>
    <n v="13"/>
  </r>
  <r>
    <n v="30"/>
    <x v="1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s v="No"/>
    <n v="23"/>
    <n v="4"/>
    <n v="4"/>
    <n v="80"/>
    <n v="1"/>
    <n v="10"/>
    <s v="6-15"/>
    <n v="2"/>
    <n v="2"/>
    <n v="8"/>
    <n v="7"/>
    <n v="7"/>
    <n v="7"/>
  </r>
  <r>
    <n v="29"/>
    <x v="1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s v="No"/>
    <n v="11"/>
    <n v="3"/>
    <n v="3"/>
    <n v="80"/>
    <n v="0"/>
    <n v="1"/>
    <s v="0-5"/>
    <n v="6"/>
    <n v="3"/>
    <n v="1"/>
    <n v="0"/>
    <n v="0"/>
    <n v="0"/>
  </r>
  <r>
    <n v="42"/>
    <x v="0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s v="Yes"/>
    <n v="12"/>
    <n v="3"/>
    <n v="4"/>
    <n v="80"/>
    <n v="0"/>
    <n v="7"/>
    <s v="6-15"/>
    <n v="2"/>
    <n v="3"/>
    <n v="2"/>
    <n v="2"/>
    <n v="2"/>
    <n v="2"/>
  </r>
  <r>
    <n v="43"/>
    <x v="1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s v="No"/>
    <n v="18"/>
    <n v="3"/>
    <n v="3"/>
    <n v="80"/>
    <n v="1"/>
    <n v="7"/>
    <s v="6-15"/>
    <n v="5"/>
    <n v="3"/>
    <n v="2"/>
    <n v="2"/>
    <n v="2"/>
    <n v="2"/>
  </r>
  <r>
    <n v="34"/>
    <x v="1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s v="No"/>
    <n v="11"/>
    <n v="3"/>
    <n v="4"/>
    <n v="80"/>
    <n v="0"/>
    <n v="10"/>
    <s v="6-15"/>
    <n v="2"/>
    <n v="3"/>
    <n v="5"/>
    <n v="1"/>
    <n v="4"/>
    <n v="3"/>
  </r>
  <r>
    <n v="23"/>
    <x v="1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s v="No"/>
    <n v="14"/>
    <n v="3"/>
    <n v="4"/>
    <n v="80"/>
    <n v="1"/>
    <n v="5"/>
    <s v="0-5"/>
    <n v="2"/>
    <n v="4"/>
    <n v="4"/>
    <n v="3"/>
    <n v="0"/>
    <n v="2"/>
  </r>
  <r>
    <n v="39"/>
    <x v="1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s v="No"/>
    <n v="15"/>
    <n v="3"/>
    <n v="3"/>
    <n v="80"/>
    <n v="1"/>
    <n v="12"/>
    <s v="6-15"/>
    <n v="3"/>
    <n v="1"/>
    <n v="8"/>
    <n v="3"/>
    <n v="3"/>
    <n v="6"/>
  </r>
  <r>
    <n v="56"/>
    <x v="1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s v="No"/>
    <n v="11"/>
    <n v="3"/>
    <n v="3"/>
    <n v="80"/>
    <n v="0"/>
    <n v="30"/>
    <s v="&gt;15"/>
    <n v="1"/>
    <n v="2"/>
    <n v="10"/>
    <n v="7"/>
    <n v="1"/>
    <n v="1"/>
  </r>
  <r>
    <n v="40"/>
    <x v="1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s v="Yes"/>
    <n v="20"/>
    <n v="4"/>
    <n v="4"/>
    <n v="80"/>
    <n v="0"/>
    <n v="5"/>
    <s v="0-5"/>
    <n v="2"/>
    <n v="2"/>
    <n v="4"/>
    <n v="2"/>
    <n v="2"/>
    <n v="3"/>
  </r>
  <r>
    <n v="27"/>
    <x v="1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s v="No"/>
    <n v="19"/>
    <n v="3"/>
    <n v="1"/>
    <n v="80"/>
    <n v="0"/>
    <n v="9"/>
    <s v="6-15"/>
    <n v="2"/>
    <n v="1"/>
    <n v="7"/>
    <n v="6"/>
    <n v="0"/>
    <n v="7"/>
  </r>
  <r>
    <n v="29"/>
    <x v="1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s v="No"/>
    <n v="14"/>
    <n v="3"/>
    <n v="4"/>
    <n v="80"/>
    <n v="2"/>
    <n v="2"/>
    <s v="0-5"/>
    <n v="2"/>
    <n v="3"/>
    <n v="2"/>
    <n v="2"/>
    <n v="2"/>
    <n v="2"/>
  </r>
  <r>
    <n v="53"/>
    <x v="1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s v="No"/>
    <n v="17"/>
    <n v="3"/>
    <n v="4"/>
    <n v="80"/>
    <n v="0"/>
    <n v="19"/>
    <s v="&gt;15"/>
    <n v="4"/>
    <n v="3"/>
    <n v="2"/>
    <n v="2"/>
    <n v="2"/>
    <n v="2"/>
  </r>
  <r>
    <n v="35"/>
    <x v="1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s v="No"/>
    <n v="11"/>
    <n v="3"/>
    <n v="1"/>
    <n v="80"/>
    <n v="1"/>
    <n v="16"/>
    <s v="&gt;15"/>
    <n v="2"/>
    <n v="4"/>
    <n v="1"/>
    <n v="0"/>
    <n v="0"/>
    <n v="0"/>
  </r>
  <r>
    <n v="32"/>
    <x v="1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s v="No"/>
    <n v="15"/>
    <n v="3"/>
    <n v="4"/>
    <n v="80"/>
    <n v="2"/>
    <n v="10"/>
    <s v="6-15"/>
    <n v="2"/>
    <n v="3"/>
    <n v="10"/>
    <n v="8"/>
    <n v="4"/>
    <n v="7"/>
  </r>
  <r>
    <n v="38"/>
    <x v="1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s v="Yes"/>
    <n v="13"/>
    <n v="3"/>
    <n v="2"/>
    <n v="80"/>
    <n v="1"/>
    <n v="6"/>
    <s v="6-15"/>
    <n v="0"/>
    <n v="1"/>
    <n v="1"/>
    <n v="0"/>
    <n v="0"/>
    <n v="1"/>
  </r>
  <r>
    <n v="34"/>
    <x v="1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s v="No"/>
    <n v="14"/>
    <n v="3"/>
    <n v="3"/>
    <n v="80"/>
    <n v="1"/>
    <n v="7"/>
    <s v="6-15"/>
    <n v="3"/>
    <n v="3"/>
    <n v="0"/>
    <n v="0"/>
    <n v="0"/>
    <n v="0"/>
  </r>
  <r>
    <n v="52"/>
    <x v="1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s v="No"/>
    <n v="11"/>
    <n v="3"/>
    <n v="1"/>
    <n v="80"/>
    <n v="0"/>
    <n v="34"/>
    <s v="&gt;15"/>
    <n v="3"/>
    <n v="4"/>
    <n v="34"/>
    <n v="6"/>
    <n v="1"/>
    <n v="16"/>
  </r>
  <r>
    <n v="33"/>
    <x v="0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s v="Yes"/>
    <n v="13"/>
    <n v="3"/>
    <n v="3"/>
    <n v="80"/>
    <n v="0"/>
    <n v="10"/>
    <s v="6-15"/>
    <n v="2"/>
    <n v="2"/>
    <n v="10"/>
    <n v="9"/>
    <n v="7"/>
    <n v="8"/>
  </r>
  <r>
    <n v="25"/>
    <x v="1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s v="No"/>
    <n v="23"/>
    <n v="4"/>
    <n v="2"/>
    <n v="80"/>
    <n v="0"/>
    <n v="6"/>
    <s v="6-15"/>
    <n v="5"/>
    <n v="2"/>
    <n v="6"/>
    <n v="5"/>
    <n v="1"/>
    <n v="4"/>
  </r>
  <r>
    <n v="45"/>
    <x v="1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s v="No"/>
    <n v="13"/>
    <n v="3"/>
    <n v="1"/>
    <n v="80"/>
    <n v="0"/>
    <n v="9"/>
    <s v="6-15"/>
    <n v="3"/>
    <n v="3"/>
    <n v="8"/>
    <n v="7"/>
    <n v="3"/>
    <n v="1"/>
  </r>
  <r>
    <n v="23"/>
    <x v="1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s v="No"/>
    <n v="18"/>
    <n v="3"/>
    <n v="4"/>
    <n v="80"/>
    <n v="0"/>
    <n v="2"/>
    <s v="0-5"/>
    <n v="3"/>
    <n v="3"/>
    <n v="2"/>
    <n v="2"/>
    <n v="0"/>
    <n v="2"/>
  </r>
  <r>
    <n v="47"/>
    <x v="0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s v="Yes"/>
    <n v="12"/>
    <n v="3"/>
    <n v="4"/>
    <n v="80"/>
    <n v="0"/>
    <n v="8"/>
    <s v="6-15"/>
    <n v="2"/>
    <n v="3"/>
    <n v="5"/>
    <n v="4"/>
    <n v="1"/>
    <n v="3"/>
  </r>
  <r>
    <n v="34"/>
    <x v="1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s v="No"/>
    <n v="22"/>
    <n v="4"/>
    <n v="3"/>
    <n v="80"/>
    <n v="0"/>
    <n v="6"/>
    <s v="6-15"/>
    <n v="5"/>
    <n v="3"/>
    <n v="6"/>
    <n v="5"/>
    <n v="1"/>
    <n v="4"/>
  </r>
  <r>
    <n v="55"/>
    <x v="0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s v="Yes"/>
    <n v="13"/>
    <n v="3"/>
    <n v="4"/>
    <n v="80"/>
    <n v="1"/>
    <n v="24"/>
    <s v="&gt;15"/>
    <n v="2"/>
    <n v="3"/>
    <n v="5"/>
    <n v="2"/>
    <n v="1"/>
    <n v="4"/>
  </r>
  <r>
    <n v="36"/>
    <x v="1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s v="No"/>
    <n v="15"/>
    <n v="3"/>
    <n v="2"/>
    <n v="80"/>
    <n v="0"/>
    <n v="10"/>
    <s v="6-15"/>
    <n v="1"/>
    <n v="3"/>
    <n v="10"/>
    <n v="7"/>
    <n v="0"/>
    <n v="9"/>
  </r>
  <r>
    <n v="52"/>
    <x v="1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s v="No"/>
    <n v="18"/>
    <n v="3"/>
    <n v="1"/>
    <n v="80"/>
    <n v="1"/>
    <n v="5"/>
    <s v="0-5"/>
    <n v="3"/>
    <n v="3"/>
    <n v="4"/>
    <n v="3"/>
    <n v="1"/>
    <n v="2"/>
  </r>
  <r>
    <n v="26"/>
    <x v="1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s v="No"/>
    <n v="14"/>
    <n v="3"/>
    <n v="1"/>
    <n v="80"/>
    <n v="1"/>
    <n v="5"/>
    <s v="0-5"/>
    <n v="2"/>
    <n v="3"/>
    <n v="2"/>
    <n v="2"/>
    <n v="2"/>
    <n v="0"/>
  </r>
  <r>
    <n v="29"/>
    <x v="1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s v="No"/>
    <n v="12"/>
    <n v="3"/>
    <n v="1"/>
    <n v="80"/>
    <n v="1"/>
    <n v="11"/>
    <s v="6-15"/>
    <n v="3"/>
    <n v="2"/>
    <n v="8"/>
    <n v="7"/>
    <n v="1"/>
    <n v="1"/>
  </r>
  <r>
    <n v="26"/>
    <x v="0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s v="No"/>
    <n v="17"/>
    <n v="3"/>
    <n v="3"/>
    <n v="80"/>
    <n v="0"/>
    <n v="6"/>
    <s v="6-15"/>
    <n v="2"/>
    <n v="2"/>
    <n v="4"/>
    <n v="3"/>
    <n v="1"/>
    <n v="2"/>
  </r>
  <r>
    <n v="34"/>
    <x v="1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s v="No"/>
    <n v="16"/>
    <n v="3"/>
    <n v="3"/>
    <n v="80"/>
    <n v="0"/>
    <n v="10"/>
    <s v="6-15"/>
    <n v="2"/>
    <n v="3"/>
    <n v="4"/>
    <n v="2"/>
    <n v="1"/>
    <n v="3"/>
  </r>
  <r>
    <n v="54"/>
    <x v="1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s v="Yes"/>
    <n v="11"/>
    <n v="3"/>
    <n v="2"/>
    <n v="80"/>
    <n v="2"/>
    <n v="9"/>
    <s v="6-15"/>
    <n v="4"/>
    <n v="3"/>
    <n v="5"/>
    <n v="3"/>
    <n v="1"/>
    <n v="4"/>
  </r>
  <r>
    <n v="27"/>
    <x v="1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s v="No"/>
    <n v="19"/>
    <n v="3"/>
    <n v="2"/>
    <n v="80"/>
    <n v="1"/>
    <n v="5"/>
    <s v="0-5"/>
    <n v="3"/>
    <n v="3"/>
    <n v="4"/>
    <n v="2"/>
    <n v="1"/>
    <n v="1"/>
  </r>
  <r>
    <n v="37"/>
    <x v="1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s v="Yes"/>
    <n v="13"/>
    <n v="3"/>
    <n v="2"/>
    <n v="80"/>
    <n v="2"/>
    <n v="6"/>
    <s v="6-15"/>
    <n v="3"/>
    <n v="2"/>
    <n v="5"/>
    <n v="3"/>
    <n v="4"/>
    <n v="3"/>
  </r>
  <r>
    <n v="38"/>
    <x v="1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s v="Yes"/>
    <n v="12"/>
    <n v="3"/>
    <n v="4"/>
    <n v="80"/>
    <n v="0"/>
    <n v="17"/>
    <s v="&gt;15"/>
    <n v="2"/>
    <n v="3"/>
    <n v="15"/>
    <n v="7"/>
    <n v="4"/>
    <n v="12"/>
  </r>
  <r>
    <n v="34"/>
    <x v="1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s v="No"/>
    <n v="11"/>
    <n v="3"/>
    <n v="3"/>
    <n v="80"/>
    <n v="0"/>
    <n v="6"/>
    <s v="6-15"/>
    <n v="3"/>
    <n v="3"/>
    <n v="6"/>
    <n v="5"/>
    <n v="1"/>
    <n v="3"/>
  </r>
  <r>
    <n v="35"/>
    <x v="1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s v="No"/>
    <n v="16"/>
    <n v="3"/>
    <n v="2"/>
    <n v="80"/>
    <n v="1"/>
    <n v="3"/>
    <s v="0-5"/>
    <n v="1"/>
    <n v="2"/>
    <n v="3"/>
    <n v="2"/>
    <n v="0"/>
    <n v="2"/>
  </r>
  <r>
    <n v="30"/>
    <x v="1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s v="No"/>
    <n v="21"/>
    <n v="4"/>
    <n v="3"/>
    <n v="80"/>
    <n v="2"/>
    <n v="7"/>
    <s v="6-15"/>
    <n v="2"/>
    <n v="3"/>
    <n v="2"/>
    <n v="2"/>
    <n v="0"/>
    <n v="2"/>
  </r>
  <r>
    <n v="40"/>
    <x v="1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s v="No"/>
    <n v="24"/>
    <n v="4"/>
    <n v="4"/>
    <n v="80"/>
    <n v="1"/>
    <n v="8"/>
    <s v="6-15"/>
    <n v="2"/>
    <n v="3"/>
    <n v="8"/>
    <n v="7"/>
    <n v="3"/>
    <n v="7"/>
  </r>
  <r>
    <n v="34"/>
    <x v="1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s v="No"/>
    <n v="17"/>
    <n v="3"/>
    <n v="2"/>
    <n v="80"/>
    <n v="1"/>
    <n v="6"/>
    <s v="6-15"/>
    <n v="1"/>
    <n v="3"/>
    <n v="3"/>
    <n v="2"/>
    <n v="1"/>
    <n v="2"/>
  </r>
  <r>
    <n v="42"/>
    <x v="1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s v="No"/>
    <n v="13"/>
    <n v="3"/>
    <n v="2"/>
    <n v="80"/>
    <n v="1"/>
    <n v="24"/>
    <s v="&gt;15"/>
    <n v="4"/>
    <n v="2"/>
    <n v="24"/>
    <n v="7"/>
    <n v="14"/>
    <n v="9"/>
  </r>
  <r>
    <n v="23"/>
    <x v="0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s v="Yes"/>
    <n v="21"/>
    <n v="4"/>
    <n v="3"/>
    <n v="80"/>
    <n v="2"/>
    <n v="1"/>
    <s v="0-5"/>
    <n v="2"/>
    <n v="3"/>
    <n v="0"/>
    <n v="0"/>
    <n v="0"/>
    <n v="0"/>
  </r>
  <r>
    <n v="24"/>
    <x v="1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s v="No"/>
    <n v="11"/>
    <n v="3"/>
    <n v="3"/>
    <n v="80"/>
    <n v="3"/>
    <n v="1"/>
    <s v="0-5"/>
    <n v="4"/>
    <n v="3"/>
    <n v="1"/>
    <n v="0"/>
    <n v="0"/>
    <n v="0"/>
  </r>
  <r>
    <n v="52"/>
    <x v="1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s v="No"/>
    <n v="20"/>
    <n v="4"/>
    <n v="2"/>
    <n v="80"/>
    <n v="1"/>
    <n v="9"/>
    <s v="6-15"/>
    <n v="3"/>
    <n v="3"/>
    <n v="5"/>
    <n v="2"/>
    <n v="1"/>
    <n v="4"/>
  </r>
  <r>
    <n v="50"/>
    <x v="1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s v="No"/>
    <n v="16"/>
    <n v="3"/>
    <n v="4"/>
    <n v="80"/>
    <n v="0"/>
    <n v="30"/>
    <s v="&gt;15"/>
    <n v="3"/>
    <n v="3"/>
    <n v="4"/>
    <n v="3"/>
    <n v="0"/>
    <n v="3"/>
  </r>
  <r>
    <n v="29"/>
    <x v="0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s v="Yes"/>
    <n v="11"/>
    <n v="3"/>
    <n v="4"/>
    <n v="80"/>
    <n v="1"/>
    <n v="1"/>
    <s v="0-5"/>
    <n v="1"/>
    <n v="3"/>
    <n v="1"/>
    <n v="0"/>
    <n v="0"/>
    <n v="0"/>
  </r>
  <r>
    <n v="33"/>
    <x v="1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s v="No"/>
    <n v="11"/>
    <n v="3"/>
    <n v="4"/>
    <n v="80"/>
    <n v="0"/>
    <n v="14"/>
    <s v="6-15"/>
    <n v="3"/>
    <n v="4"/>
    <n v="13"/>
    <n v="9"/>
    <n v="3"/>
    <n v="7"/>
  </r>
  <r>
    <n v="33"/>
    <x v="0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s v="No"/>
    <n v="15"/>
    <n v="3"/>
    <n v="3"/>
    <n v="80"/>
    <n v="0"/>
    <n v="6"/>
    <s v="6-15"/>
    <n v="3"/>
    <n v="3"/>
    <n v="3"/>
    <n v="2"/>
    <n v="0"/>
    <n v="2"/>
  </r>
  <r>
    <n v="47"/>
    <x v="1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s v="Yes"/>
    <n v="11"/>
    <n v="3"/>
    <n v="3"/>
    <n v="80"/>
    <n v="1"/>
    <n v="26"/>
    <s v="&gt;15"/>
    <n v="3"/>
    <n v="2"/>
    <n v="26"/>
    <n v="14"/>
    <n v="3"/>
    <n v="0"/>
  </r>
  <r>
    <n v="36"/>
    <x v="1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s v="No"/>
    <n v="15"/>
    <n v="3"/>
    <n v="1"/>
    <n v="80"/>
    <n v="1"/>
    <n v="10"/>
    <s v="6-15"/>
    <n v="2"/>
    <n v="3"/>
    <n v="9"/>
    <n v="7"/>
    <n v="0"/>
    <n v="5"/>
  </r>
  <r>
    <n v="29"/>
    <x v="1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s v="No"/>
    <n v="24"/>
    <n v="4"/>
    <n v="3"/>
    <n v="80"/>
    <n v="1"/>
    <n v="10"/>
    <s v="6-15"/>
    <n v="3"/>
    <n v="3"/>
    <n v="10"/>
    <n v="7"/>
    <n v="0"/>
    <n v="7"/>
  </r>
  <r>
    <n v="58"/>
    <x v="0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s v="Yes"/>
    <n v="12"/>
    <n v="3"/>
    <n v="4"/>
    <n v="80"/>
    <n v="0"/>
    <n v="40"/>
    <s v="&gt;15"/>
    <n v="2"/>
    <n v="3"/>
    <n v="31"/>
    <n v="15"/>
    <n v="13"/>
    <n v="8"/>
  </r>
  <r>
    <n v="35"/>
    <x v="1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s v="No"/>
    <n v="13"/>
    <n v="3"/>
    <n v="3"/>
    <n v="80"/>
    <n v="0"/>
    <n v="7"/>
    <s v="6-15"/>
    <n v="0"/>
    <n v="3"/>
    <n v="2"/>
    <n v="2"/>
    <n v="2"/>
    <n v="2"/>
  </r>
  <r>
    <n v="42"/>
    <x v="1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s v="Yes"/>
    <n v="13"/>
    <n v="3"/>
    <n v="4"/>
    <n v="80"/>
    <n v="1"/>
    <n v="8"/>
    <s v="6-15"/>
    <n v="4"/>
    <n v="3"/>
    <n v="4"/>
    <n v="3"/>
    <n v="0"/>
    <n v="2"/>
  </r>
  <r>
    <n v="28"/>
    <x v="0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s v="No"/>
    <n v="17"/>
    <n v="3"/>
    <n v="4"/>
    <n v="80"/>
    <n v="0"/>
    <n v="5"/>
    <s v="0-5"/>
    <n v="3"/>
    <n v="2"/>
    <n v="2"/>
    <n v="2"/>
    <n v="2"/>
    <n v="1"/>
  </r>
  <r>
    <n v="36"/>
    <x v="1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s v="No"/>
    <n v="13"/>
    <n v="3"/>
    <n v="2"/>
    <n v="80"/>
    <n v="1"/>
    <n v="8"/>
    <s v="6-15"/>
    <n v="2"/>
    <n v="3"/>
    <n v="5"/>
    <n v="2"/>
    <n v="0"/>
    <n v="4"/>
  </r>
  <r>
    <n v="32"/>
    <x v="1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s v="No"/>
    <n v="12"/>
    <n v="3"/>
    <n v="3"/>
    <n v="80"/>
    <n v="1"/>
    <n v="14"/>
    <s v="6-15"/>
    <n v="3"/>
    <n v="3"/>
    <n v="14"/>
    <n v="13"/>
    <n v="6"/>
    <n v="8"/>
  </r>
  <r>
    <n v="40"/>
    <x v="1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s v="No"/>
    <n v="14"/>
    <n v="3"/>
    <n v="4"/>
    <n v="80"/>
    <n v="0"/>
    <n v="10"/>
    <s v="6-15"/>
    <n v="6"/>
    <n v="3"/>
    <n v="1"/>
    <n v="0"/>
    <n v="0"/>
    <n v="0"/>
  </r>
  <r>
    <n v="30"/>
    <x v="1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s v="Yes"/>
    <n v="24"/>
    <n v="4"/>
    <n v="2"/>
    <n v="80"/>
    <n v="0"/>
    <n v="12"/>
    <s v="6-15"/>
    <n v="4"/>
    <n v="2"/>
    <n v="0"/>
    <n v="0"/>
    <n v="0"/>
    <n v="0"/>
  </r>
  <r>
    <n v="45"/>
    <x v="1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s v="No"/>
    <n v="14"/>
    <n v="3"/>
    <n v="4"/>
    <n v="80"/>
    <n v="0"/>
    <n v="1"/>
    <s v="0-5"/>
    <n v="3"/>
    <n v="3"/>
    <n v="1"/>
    <n v="0"/>
    <n v="0"/>
    <n v="0"/>
  </r>
  <r>
    <n v="42"/>
    <x v="1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s v="No"/>
    <n v="13"/>
    <n v="3"/>
    <n v="4"/>
    <n v="80"/>
    <n v="1"/>
    <n v="10"/>
    <s v="6-15"/>
    <n v="3"/>
    <n v="2"/>
    <n v="9"/>
    <n v="8"/>
    <n v="7"/>
    <n v="8"/>
  </r>
  <r>
    <n v="38"/>
    <x v="1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s v="No"/>
    <n v="15"/>
    <n v="3"/>
    <n v="3"/>
    <n v="80"/>
    <n v="1"/>
    <n v="13"/>
    <s v="6-15"/>
    <n v="3"/>
    <n v="2"/>
    <n v="4"/>
    <n v="3"/>
    <n v="1"/>
    <n v="2"/>
  </r>
  <r>
    <n v="34"/>
    <x v="1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s v="No"/>
    <n v="16"/>
    <n v="3"/>
    <n v="3"/>
    <n v="80"/>
    <n v="0"/>
    <n v="6"/>
    <s v="6-15"/>
    <n v="3"/>
    <n v="3"/>
    <n v="5"/>
    <n v="2"/>
    <n v="1"/>
    <n v="3"/>
  </r>
  <r>
    <n v="49"/>
    <x v="0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s v="No"/>
    <n v="18"/>
    <n v="3"/>
    <n v="1"/>
    <n v="80"/>
    <n v="2"/>
    <n v="9"/>
    <s v="6-15"/>
    <n v="3"/>
    <n v="4"/>
    <n v="9"/>
    <n v="8"/>
    <n v="7"/>
    <n v="7"/>
  </r>
  <r>
    <n v="55"/>
    <x v="0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s v="No"/>
    <n v="16"/>
    <n v="3"/>
    <n v="3"/>
    <n v="80"/>
    <n v="0"/>
    <n v="12"/>
    <s v="6-15"/>
    <n v="3"/>
    <n v="2"/>
    <n v="9"/>
    <n v="7"/>
    <n v="7"/>
    <n v="3"/>
  </r>
  <r>
    <n v="43"/>
    <x v="1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s v="No"/>
    <n v="24"/>
    <n v="4"/>
    <n v="3"/>
    <n v="80"/>
    <n v="1"/>
    <n v="22"/>
    <s v="&gt;15"/>
    <n v="3"/>
    <n v="3"/>
    <n v="4"/>
    <n v="1"/>
    <n v="1"/>
    <n v="0"/>
  </r>
  <r>
    <n v="27"/>
    <x v="1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s v="Yes"/>
    <n v="16"/>
    <n v="3"/>
    <n v="2"/>
    <n v="80"/>
    <n v="1"/>
    <n v="9"/>
    <s v="6-15"/>
    <n v="3"/>
    <n v="3"/>
    <n v="9"/>
    <n v="8"/>
    <n v="0"/>
    <n v="8"/>
  </r>
  <r>
    <n v="35"/>
    <x v="1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s v="No"/>
    <n v="21"/>
    <n v="4"/>
    <n v="2"/>
    <n v="80"/>
    <n v="0"/>
    <n v="17"/>
    <s v="&gt;15"/>
    <n v="3"/>
    <n v="4"/>
    <n v="8"/>
    <n v="5"/>
    <n v="1"/>
    <n v="6"/>
  </r>
  <r>
    <n v="28"/>
    <x v="1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s v="Yes"/>
    <n v="20"/>
    <n v="4"/>
    <n v="1"/>
    <n v="80"/>
    <n v="0"/>
    <n v="8"/>
    <s v="6-15"/>
    <n v="2"/>
    <n v="3"/>
    <n v="8"/>
    <n v="7"/>
    <n v="7"/>
    <n v="5"/>
  </r>
  <r>
    <n v="34"/>
    <x v="1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s v="No"/>
    <n v="19"/>
    <n v="3"/>
    <n v="3"/>
    <n v="80"/>
    <n v="1"/>
    <n v="4"/>
    <s v="0-5"/>
    <n v="1"/>
    <n v="1"/>
    <n v="3"/>
    <n v="2"/>
    <n v="0"/>
    <n v="2"/>
  </r>
  <r>
    <n v="26"/>
    <x v="0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s v="Yes"/>
    <n v="14"/>
    <n v="3"/>
    <n v="1"/>
    <n v="80"/>
    <n v="1"/>
    <n v="8"/>
    <s v="6-15"/>
    <n v="2"/>
    <n v="3"/>
    <n v="8"/>
    <n v="7"/>
    <n v="1"/>
    <n v="7"/>
  </r>
  <r>
    <n v="27"/>
    <x v="1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s v="No"/>
    <n v="11"/>
    <n v="3"/>
    <n v="3"/>
    <n v="80"/>
    <n v="3"/>
    <n v="0"/>
    <s v="0-5"/>
    <n v="6"/>
    <n v="2"/>
    <n v="0"/>
    <n v="0"/>
    <n v="0"/>
    <n v="0"/>
  </r>
  <r>
    <n v="51"/>
    <x v="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s v="No"/>
    <n v="14"/>
    <n v="3"/>
    <n v="3"/>
    <n v="80"/>
    <n v="1"/>
    <n v="29"/>
    <s v="&gt;15"/>
    <n v="2"/>
    <n v="2"/>
    <n v="20"/>
    <n v="6"/>
    <n v="4"/>
    <n v="17"/>
  </r>
  <r>
    <n v="44"/>
    <x v="1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s v="No"/>
    <n v="12"/>
    <n v="3"/>
    <n v="4"/>
    <n v="80"/>
    <n v="0"/>
    <n v="10"/>
    <s v="6-15"/>
    <n v="2"/>
    <n v="2"/>
    <n v="5"/>
    <n v="2"/>
    <n v="2"/>
    <n v="3"/>
  </r>
  <r>
    <n v="25"/>
    <x v="1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s v="No"/>
    <n v="13"/>
    <n v="3"/>
    <n v="3"/>
    <n v="80"/>
    <n v="0"/>
    <n v="6"/>
    <s v="6-15"/>
    <n v="3"/>
    <n v="2"/>
    <n v="4"/>
    <n v="3"/>
    <n v="0"/>
    <n v="1"/>
  </r>
  <r>
    <n v="33"/>
    <x v="1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s v="No"/>
    <n v="22"/>
    <n v="4"/>
    <n v="1"/>
    <n v="80"/>
    <n v="1"/>
    <n v="9"/>
    <s v="6-15"/>
    <n v="5"/>
    <n v="3"/>
    <n v="9"/>
    <n v="8"/>
    <n v="0"/>
    <n v="8"/>
  </r>
  <r>
    <n v="35"/>
    <x v="1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s v="No"/>
    <n v="11"/>
    <n v="3"/>
    <n v="4"/>
    <n v="80"/>
    <n v="0"/>
    <n v="6"/>
    <s v="6-15"/>
    <n v="3"/>
    <n v="2"/>
    <n v="6"/>
    <n v="5"/>
    <n v="1"/>
    <n v="1"/>
  </r>
  <r>
    <n v="36"/>
    <x v="1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s v="Yes"/>
    <n v="14"/>
    <n v="3"/>
    <n v="4"/>
    <n v="80"/>
    <n v="1"/>
    <n v="18"/>
    <s v="&gt;15"/>
    <n v="1"/>
    <n v="2"/>
    <n v="18"/>
    <n v="14"/>
    <n v="4"/>
    <n v="11"/>
  </r>
  <r>
    <n v="32"/>
    <x v="1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s v="No"/>
    <n v="11"/>
    <n v="3"/>
    <n v="3"/>
    <n v="80"/>
    <n v="1"/>
    <n v="8"/>
    <s v="6-15"/>
    <n v="3"/>
    <n v="2"/>
    <n v="5"/>
    <n v="2"/>
    <n v="0"/>
    <n v="3"/>
  </r>
  <r>
    <n v="30"/>
    <x v="1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s v="No"/>
    <n v="12"/>
    <n v="3"/>
    <n v="2"/>
    <n v="80"/>
    <n v="1"/>
    <n v="10"/>
    <s v="6-15"/>
    <n v="3"/>
    <n v="2"/>
    <n v="5"/>
    <n v="4"/>
    <n v="0"/>
    <n v="3"/>
  </r>
  <r>
    <n v="53"/>
    <x v="1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s v="Yes"/>
    <n v="18"/>
    <n v="3"/>
    <n v="4"/>
    <n v="80"/>
    <n v="1"/>
    <n v="35"/>
    <s v="&gt;15"/>
    <n v="3"/>
    <n v="3"/>
    <n v="5"/>
    <n v="2"/>
    <n v="0"/>
    <n v="4"/>
  </r>
  <r>
    <n v="45"/>
    <x v="1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s v="Yes"/>
    <n v="12"/>
    <n v="3"/>
    <n v="3"/>
    <n v="80"/>
    <n v="1"/>
    <n v="18"/>
    <s v="&gt;15"/>
    <n v="2"/>
    <n v="3"/>
    <n v="5"/>
    <n v="4"/>
    <n v="0"/>
    <n v="2"/>
  </r>
  <r>
    <n v="32"/>
    <x v="1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s v="No"/>
    <n v="12"/>
    <n v="3"/>
    <n v="3"/>
    <n v="80"/>
    <n v="1"/>
    <n v="9"/>
    <s v="6-15"/>
    <n v="3"/>
    <n v="2"/>
    <n v="5"/>
    <n v="3"/>
    <n v="1"/>
    <n v="3"/>
  </r>
  <r>
    <n v="52"/>
    <x v="1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s v="No"/>
    <n v="22"/>
    <n v="4"/>
    <n v="3"/>
    <n v="80"/>
    <n v="0"/>
    <n v="31"/>
    <s v="&gt;15"/>
    <n v="3"/>
    <n v="3"/>
    <n v="9"/>
    <n v="8"/>
    <n v="0"/>
    <n v="0"/>
  </r>
  <r>
    <n v="37"/>
    <x v="1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s v="No"/>
    <n v="19"/>
    <n v="3"/>
    <n v="4"/>
    <n v="80"/>
    <n v="2"/>
    <n v="9"/>
    <s v="6-15"/>
    <n v="2"/>
    <n v="3"/>
    <n v="1"/>
    <n v="0"/>
    <n v="0"/>
    <n v="0"/>
  </r>
  <r>
    <n v="28"/>
    <x v="1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s v="No"/>
    <n v="13"/>
    <n v="3"/>
    <n v="4"/>
    <n v="80"/>
    <n v="1"/>
    <n v="6"/>
    <s v="6-15"/>
    <n v="6"/>
    <n v="3"/>
    <n v="5"/>
    <n v="1"/>
    <n v="0"/>
    <n v="4"/>
  </r>
  <r>
    <n v="22"/>
    <x v="1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s v="No"/>
    <n v="22"/>
    <n v="4"/>
    <n v="1"/>
    <n v="80"/>
    <n v="2"/>
    <n v="4"/>
    <s v="0-5"/>
    <n v="2"/>
    <n v="1"/>
    <n v="2"/>
    <n v="2"/>
    <n v="2"/>
    <n v="2"/>
  </r>
  <r>
    <n v="44"/>
    <x v="1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s v="Yes"/>
    <n v="24"/>
    <n v="4"/>
    <n v="3"/>
    <n v="80"/>
    <n v="1"/>
    <n v="10"/>
    <s v="6-15"/>
    <n v="2"/>
    <n v="2"/>
    <n v="3"/>
    <n v="2"/>
    <n v="0"/>
    <n v="2"/>
  </r>
  <r>
    <n v="42"/>
    <x v="1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s v="Yes"/>
    <n v="14"/>
    <n v="3"/>
    <n v="4"/>
    <n v="80"/>
    <n v="0"/>
    <n v="8"/>
    <s v="6-15"/>
    <n v="2"/>
    <n v="3"/>
    <n v="2"/>
    <n v="1"/>
    <n v="2"/>
    <n v="2"/>
  </r>
  <r>
    <n v="36"/>
    <x v="1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s v="No"/>
    <n v="21"/>
    <n v="4"/>
    <n v="3"/>
    <n v="80"/>
    <n v="0"/>
    <n v="6"/>
    <s v="6-15"/>
    <n v="3"/>
    <n v="3"/>
    <n v="5"/>
    <n v="4"/>
    <n v="0"/>
    <n v="3"/>
  </r>
  <r>
    <n v="25"/>
    <x v="1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s v="Yes"/>
    <n v="18"/>
    <n v="3"/>
    <n v="4"/>
    <n v="80"/>
    <n v="0"/>
    <n v="5"/>
    <s v="0-5"/>
    <n v="3"/>
    <n v="3"/>
    <n v="5"/>
    <n v="3"/>
    <n v="0"/>
    <n v="3"/>
  </r>
  <r>
    <n v="35"/>
    <x v="1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s v="Yes"/>
    <n v="20"/>
    <n v="4"/>
    <n v="2"/>
    <n v="80"/>
    <n v="1"/>
    <n v="17"/>
    <s v="&gt;15"/>
    <n v="2"/>
    <n v="3"/>
    <n v="17"/>
    <n v="14"/>
    <n v="5"/>
    <n v="15"/>
  </r>
  <r>
    <n v="35"/>
    <x v="0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s v="Yes"/>
    <n v="19"/>
    <n v="3"/>
    <n v="1"/>
    <n v="80"/>
    <n v="1"/>
    <n v="10"/>
    <s v="6-15"/>
    <n v="3"/>
    <n v="2"/>
    <n v="10"/>
    <n v="2"/>
    <n v="7"/>
    <n v="8"/>
  </r>
  <r>
    <n v="32"/>
    <x v="1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s v="No"/>
    <n v="12"/>
    <n v="3"/>
    <n v="2"/>
    <n v="80"/>
    <n v="1"/>
    <n v="4"/>
    <s v="0-5"/>
    <n v="2"/>
    <n v="3"/>
    <n v="3"/>
    <n v="0"/>
    <n v="0"/>
    <n v="2"/>
  </r>
  <r>
    <n v="25"/>
    <x v="1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s v="No"/>
    <n v="12"/>
    <n v="3"/>
    <n v="1"/>
    <n v="80"/>
    <n v="0"/>
    <n v="5"/>
    <s v="0-5"/>
    <n v="1"/>
    <n v="4"/>
    <n v="5"/>
    <n v="2"/>
    <n v="0"/>
    <n v="3"/>
  </r>
  <r>
    <n v="49"/>
    <x v="1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s v="No"/>
    <n v="16"/>
    <n v="3"/>
    <n v="2"/>
    <n v="80"/>
    <n v="1"/>
    <n v="7"/>
    <s v="6-15"/>
    <n v="2"/>
    <n v="3"/>
    <n v="4"/>
    <n v="2"/>
    <n v="0"/>
    <n v="2"/>
  </r>
  <r>
    <n v="24"/>
    <x v="1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s v="No"/>
    <n v="17"/>
    <n v="3"/>
    <n v="4"/>
    <n v="80"/>
    <n v="0"/>
    <n v="6"/>
    <s v="6-15"/>
    <n v="2"/>
    <n v="2"/>
    <n v="5"/>
    <n v="2"/>
    <n v="3"/>
    <n v="4"/>
  </r>
  <r>
    <n v="32"/>
    <x v="1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s v="No"/>
    <n v="14"/>
    <n v="3"/>
    <n v="4"/>
    <n v="80"/>
    <n v="1"/>
    <n v="10"/>
    <s v="6-15"/>
    <n v="3"/>
    <n v="3"/>
    <n v="10"/>
    <n v="8"/>
    <n v="5"/>
    <n v="3"/>
  </r>
  <r>
    <n v="38"/>
    <x v="1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s v="No"/>
    <n v="19"/>
    <n v="3"/>
    <n v="4"/>
    <n v="80"/>
    <n v="1"/>
    <n v="3"/>
    <s v="0-5"/>
    <n v="3"/>
    <n v="3"/>
    <n v="2"/>
    <n v="2"/>
    <n v="1"/>
    <n v="2"/>
  </r>
  <r>
    <n v="42"/>
    <x v="1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s v="Yes"/>
    <n v="13"/>
    <n v="3"/>
    <n v="2"/>
    <n v="80"/>
    <n v="1"/>
    <n v="17"/>
    <s v="&gt;15"/>
    <n v="1"/>
    <n v="2"/>
    <n v="5"/>
    <n v="3"/>
    <n v="1"/>
    <n v="3"/>
  </r>
  <r>
    <n v="31"/>
    <x v="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s v="Yes"/>
    <n v="19"/>
    <n v="3"/>
    <n v="2"/>
    <n v="80"/>
    <n v="1"/>
    <n v="8"/>
    <s v="6-15"/>
    <n v="2"/>
    <n v="3"/>
    <n v="6"/>
    <n v="4"/>
    <n v="0"/>
    <n v="2"/>
  </r>
  <r>
    <n v="29"/>
    <x v="0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s v="Yes"/>
    <n v="19"/>
    <n v="3"/>
    <n v="3"/>
    <n v="80"/>
    <n v="3"/>
    <n v="5"/>
    <s v="0-5"/>
    <n v="3"/>
    <n v="3"/>
    <n v="3"/>
    <n v="2"/>
    <n v="0"/>
    <n v="2"/>
  </r>
  <r>
    <n v="53"/>
    <x v="1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s v="No"/>
    <n v="14"/>
    <n v="3"/>
    <n v="3"/>
    <n v="80"/>
    <n v="1"/>
    <n v="28"/>
    <s v="&gt;15"/>
    <n v="3"/>
    <n v="3"/>
    <n v="2"/>
    <n v="0"/>
    <n v="2"/>
    <n v="2"/>
  </r>
  <r>
    <n v="35"/>
    <x v="1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s v="No"/>
    <n v="16"/>
    <n v="3"/>
    <n v="1"/>
    <n v="80"/>
    <n v="0"/>
    <n v="16"/>
    <s v="&gt;15"/>
    <n v="2"/>
    <n v="3"/>
    <n v="13"/>
    <n v="10"/>
    <n v="4"/>
    <n v="8"/>
  </r>
  <r>
    <n v="37"/>
    <x v="1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s v="No"/>
    <n v="15"/>
    <n v="3"/>
    <n v="2"/>
    <n v="80"/>
    <n v="1"/>
    <n v="10"/>
    <s v="6-15"/>
    <n v="3"/>
    <n v="3"/>
    <n v="5"/>
    <n v="4"/>
    <n v="0"/>
    <n v="0"/>
  </r>
  <r>
    <n v="53"/>
    <x v="1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s v="No"/>
    <n v="18"/>
    <n v="3"/>
    <n v="3"/>
    <n v="80"/>
    <n v="0"/>
    <n v="33"/>
    <s v="&gt;15"/>
    <n v="0"/>
    <n v="3"/>
    <n v="12"/>
    <n v="9"/>
    <n v="3"/>
    <n v="8"/>
  </r>
  <r>
    <n v="43"/>
    <x v="1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s v="No"/>
    <n v="13"/>
    <n v="3"/>
    <n v="2"/>
    <n v="80"/>
    <n v="1"/>
    <n v="12"/>
    <s v="6-15"/>
    <n v="2"/>
    <n v="2"/>
    <n v="5"/>
    <n v="2"/>
    <n v="2"/>
    <n v="2"/>
  </r>
  <r>
    <n v="47"/>
    <x v="1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s v="Yes"/>
    <n v="22"/>
    <n v="4"/>
    <n v="1"/>
    <n v="80"/>
    <n v="1"/>
    <n v="8"/>
    <s v="6-15"/>
    <n v="2"/>
    <n v="3"/>
    <n v="7"/>
    <n v="6"/>
    <n v="7"/>
    <n v="7"/>
  </r>
  <r>
    <n v="37"/>
    <x v="1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s v="Yes"/>
    <n v="13"/>
    <n v="3"/>
    <n v="4"/>
    <n v="80"/>
    <n v="0"/>
    <n v="10"/>
    <s v="6-15"/>
    <n v="2"/>
    <n v="3"/>
    <n v="10"/>
    <n v="0"/>
    <n v="0"/>
    <n v="9"/>
  </r>
  <r>
    <n v="50"/>
    <x v="1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s v="No"/>
    <n v="11"/>
    <n v="3"/>
    <n v="4"/>
    <n v="80"/>
    <n v="1"/>
    <n v="31"/>
    <s v="&gt;15"/>
    <n v="3"/>
    <n v="3"/>
    <n v="31"/>
    <n v="6"/>
    <n v="14"/>
    <n v="7"/>
  </r>
  <r>
    <n v="39"/>
    <x v="1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s v="No"/>
    <n v="11"/>
    <n v="3"/>
    <n v="3"/>
    <n v="80"/>
    <n v="2"/>
    <n v="13"/>
    <s v="6-15"/>
    <n v="2"/>
    <n v="3"/>
    <n v="5"/>
    <n v="4"/>
    <n v="0"/>
    <n v="4"/>
  </r>
  <r>
    <n v="33"/>
    <x v="1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s v="Yes"/>
    <n v="11"/>
    <n v="3"/>
    <n v="3"/>
    <n v="80"/>
    <n v="1"/>
    <n v="7"/>
    <s v="6-15"/>
    <n v="4"/>
    <n v="4"/>
    <n v="4"/>
    <n v="3"/>
    <n v="0"/>
    <n v="3"/>
  </r>
  <r>
    <n v="32"/>
    <x v="0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s v="Yes"/>
    <n v="24"/>
    <n v="4"/>
    <n v="3"/>
    <n v="80"/>
    <n v="0"/>
    <n v="1"/>
    <s v="0-5"/>
    <n v="2"/>
    <n v="1"/>
    <n v="1"/>
    <n v="0"/>
    <n v="0"/>
    <n v="1"/>
  </r>
  <r>
    <n v="29"/>
    <x v="1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s v="No"/>
    <n v="14"/>
    <n v="3"/>
    <n v="3"/>
    <n v="80"/>
    <n v="3"/>
    <n v="8"/>
    <s v="6-15"/>
    <n v="5"/>
    <n v="3"/>
    <n v="4"/>
    <n v="3"/>
    <n v="0"/>
    <n v="3"/>
  </r>
  <r>
    <n v="44"/>
    <x v="1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s v="Yes"/>
    <n v="13"/>
    <n v="3"/>
    <n v="4"/>
    <n v="80"/>
    <n v="0"/>
    <n v="8"/>
    <s v="6-15"/>
    <n v="0"/>
    <n v="3"/>
    <n v="8"/>
    <n v="7"/>
    <n v="7"/>
    <n v="1"/>
  </r>
  <r>
    <n v="28"/>
    <x v="1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s v="No"/>
    <n v="14"/>
    <n v="3"/>
    <n v="2"/>
    <n v="80"/>
    <n v="0"/>
    <n v="4"/>
    <s v="0-5"/>
    <n v="3"/>
    <n v="3"/>
    <n v="4"/>
    <n v="2"/>
    <n v="0"/>
    <n v="2"/>
  </r>
  <r>
    <n v="58"/>
    <x v="0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s v="Yes"/>
    <n v="14"/>
    <n v="3"/>
    <n v="4"/>
    <n v="80"/>
    <n v="1"/>
    <n v="3"/>
    <s v="0-5"/>
    <n v="3"/>
    <n v="2"/>
    <n v="1"/>
    <n v="0"/>
    <n v="0"/>
    <n v="0"/>
  </r>
  <r>
    <n v="43"/>
    <x v="1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s v="No"/>
    <n v="21"/>
    <n v="4"/>
    <n v="3"/>
    <n v="80"/>
    <n v="1"/>
    <n v="4"/>
    <s v="0-5"/>
    <n v="2"/>
    <n v="4"/>
    <n v="1"/>
    <n v="0"/>
    <n v="0"/>
    <n v="0"/>
  </r>
  <r>
    <n v="20"/>
    <x v="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s v="No"/>
    <n v="13"/>
    <n v="3"/>
    <n v="4"/>
    <n v="80"/>
    <n v="0"/>
    <n v="2"/>
    <s v="0-5"/>
    <n v="3"/>
    <n v="2"/>
    <n v="2"/>
    <n v="2"/>
    <n v="0"/>
    <n v="2"/>
  </r>
  <r>
    <n v="21"/>
    <x v="0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s v="No"/>
    <n v="19"/>
    <n v="3"/>
    <n v="1"/>
    <n v="80"/>
    <n v="0"/>
    <n v="1"/>
    <s v="0-5"/>
    <n v="3"/>
    <n v="2"/>
    <n v="1"/>
    <n v="0"/>
    <n v="0"/>
    <n v="0"/>
  </r>
  <r>
    <n v="36"/>
    <x v="1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s v="Yes"/>
    <n v="17"/>
    <n v="3"/>
    <n v="1"/>
    <n v="80"/>
    <n v="1"/>
    <n v="17"/>
    <s v="&gt;15"/>
    <n v="2"/>
    <n v="2"/>
    <n v="16"/>
    <n v="8"/>
    <n v="4"/>
    <n v="11"/>
  </r>
  <r>
    <n v="47"/>
    <x v="1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s v="Yes"/>
    <n v="18"/>
    <n v="3"/>
    <n v="1"/>
    <n v="80"/>
    <n v="0"/>
    <n v="3"/>
    <s v="0-5"/>
    <n v="3"/>
    <n v="2"/>
    <n v="3"/>
    <n v="2"/>
    <n v="1"/>
    <n v="2"/>
  </r>
  <r>
    <n v="22"/>
    <x v="0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s v="Yes"/>
    <n v="19"/>
    <n v="3"/>
    <n v="1"/>
    <n v="80"/>
    <n v="1"/>
    <n v="4"/>
    <s v="0-5"/>
    <n v="3"/>
    <n v="4"/>
    <n v="3"/>
    <n v="2"/>
    <n v="0"/>
    <n v="2"/>
  </r>
  <r>
    <n v="41"/>
    <x v="0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s v="Yes"/>
    <n v="13"/>
    <n v="3"/>
    <n v="3"/>
    <n v="80"/>
    <n v="1"/>
    <n v="10"/>
    <s v="6-15"/>
    <n v="1"/>
    <n v="2"/>
    <n v="7"/>
    <n v="7"/>
    <n v="1"/>
    <n v="0"/>
  </r>
  <r>
    <n v="28"/>
    <x v="1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s v="No"/>
    <n v="18"/>
    <n v="3"/>
    <n v="2"/>
    <n v="80"/>
    <n v="1"/>
    <n v="6"/>
    <s v="6-15"/>
    <n v="2"/>
    <n v="3"/>
    <n v="2"/>
    <n v="2"/>
    <n v="2"/>
    <n v="2"/>
  </r>
  <r>
    <n v="39"/>
    <x v="0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s v="Yes"/>
    <n v="21"/>
    <n v="4"/>
    <n v="4"/>
    <n v="80"/>
    <n v="0"/>
    <n v="8"/>
    <s v="6-15"/>
    <n v="2"/>
    <n v="1"/>
    <n v="2"/>
    <n v="2"/>
    <n v="2"/>
    <n v="2"/>
  </r>
  <r>
    <n v="27"/>
    <x v="1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s v="No"/>
    <n v="19"/>
    <n v="3"/>
    <n v="3"/>
    <n v="80"/>
    <n v="0"/>
    <n v="1"/>
    <s v="0-5"/>
    <n v="2"/>
    <n v="3"/>
    <n v="1"/>
    <n v="1"/>
    <n v="0"/>
    <n v="0"/>
  </r>
  <r>
    <n v="34"/>
    <x v="1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s v="No"/>
    <n v="14"/>
    <n v="3"/>
    <n v="2"/>
    <n v="80"/>
    <n v="2"/>
    <n v="1"/>
    <s v="0-5"/>
    <n v="3"/>
    <n v="3"/>
    <n v="1"/>
    <n v="0"/>
    <n v="1"/>
    <n v="0"/>
  </r>
  <r>
    <n v="42"/>
    <x v="1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s v="No"/>
    <n v="17"/>
    <n v="3"/>
    <n v="1"/>
    <n v="80"/>
    <n v="0"/>
    <n v="10"/>
    <s v="6-15"/>
    <n v="6"/>
    <n v="3"/>
    <n v="5"/>
    <n v="4"/>
    <n v="0"/>
    <n v="3"/>
  </r>
  <r>
    <n v="33"/>
    <x v="1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s v="Yes"/>
    <n v="11"/>
    <n v="3"/>
    <n v="2"/>
    <n v="80"/>
    <n v="0"/>
    <n v="6"/>
    <s v="6-15"/>
    <n v="1"/>
    <n v="3"/>
    <n v="3"/>
    <n v="2"/>
    <n v="0"/>
    <n v="2"/>
  </r>
  <r>
    <n v="58"/>
    <x v="1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s v="Yes"/>
    <n v="13"/>
    <n v="3"/>
    <n v="4"/>
    <n v="80"/>
    <n v="1"/>
    <n v="24"/>
    <s v="&gt;15"/>
    <n v="3"/>
    <n v="3"/>
    <n v="6"/>
    <n v="0"/>
    <n v="0"/>
    <n v="4"/>
  </r>
  <r>
    <n v="31"/>
    <x v="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s v="No"/>
    <n v="15"/>
    <n v="3"/>
    <n v="2"/>
    <n v="80"/>
    <n v="0"/>
    <n v="13"/>
    <s v="6-15"/>
    <n v="2"/>
    <n v="4"/>
    <n v="7"/>
    <n v="7"/>
    <n v="5"/>
    <n v="2"/>
  </r>
  <r>
    <n v="35"/>
    <x v="1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s v="Yes"/>
    <n v="25"/>
    <n v="4"/>
    <n v="4"/>
    <n v="80"/>
    <n v="1"/>
    <n v="10"/>
    <s v="6-15"/>
    <n v="2"/>
    <n v="1"/>
    <n v="10"/>
    <n v="6"/>
    <n v="0"/>
    <n v="7"/>
  </r>
  <r>
    <n v="49"/>
    <x v="1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s v="No"/>
    <n v="11"/>
    <n v="3"/>
    <n v="3"/>
    <n v="80"/>
    <n v="1"/>
    <n v="29"/>
    <s v="&gt;15"/>
    <n v="3"/>
    <n v="2"/>
    <n v="26"/>
    <n v="9"/>
    <n v="1"/>
    <n v="7"/>
  </r>
  <r>
    <n v="48"/>
    <x v="1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s v="No"/>
    <n v="17"/>
    <n v="3"/>
    <n v="1"/>
    <n v="80"/>
    <n v="2"/>
    <n v="13"/>
    <s v="6-15"/>
    <n v="2"/>
    <n v="2"/>
    <n v="0"/>
    <n v="0"/>
    <n v="0"/>
    <n v="0"/>
  </r>
  <r>
    <n v="31"/>
    <x v="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s v="No"/>
    <n v="13"/>
    <n v="3"/>
    <n v="4"/>
    <n v="80"/>
    <n v="1"/>
    <n v="9"/>
    <s v="6-15"/>
    <n v="2"/>
    <n v="2"/>
    <n v="9"/>
    <n v="8"/>
    <n v="0"/>
    <n v="0"/>
  </r>
  <r>
    <n v="36"/>
    <x v="1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s v="No"/>
    <n v="18"/>
    <n v="3"/>
    <n v="3"/>
    <n v="80"/>
    <n v="0"/>
    <n v="8"/>
    <s v="6-15"/>
    <n v="6"/>
    <n v="3"/>
    <n v="6"/>
    <n v="2"/>
    <n v="0"/>
    <n v="1"/>
  </r>
  <r>
    <n v="38"/>
    <x v="1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s v="No"/>
    <n v="13"/>
    <n v="3"/>
    <n v="2"/>
    <n v="80"/>
    <n v="1"/>
    <n v="15"/>
    <s v="6-15"/>
    <n v="3"/>
    <n v="3"/>
    <n v="15"/>
    <n v="12"/>
    <n v="5"/>
    <n v="11"/>
  </r>
  <r>
    <n v="32"/>
    <x v="1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s v="No"/>
    <n v="20"/>
    <n v="4"/>
    <n v="3"/>
    <n v="80"/>
    <n v="0"/>
    <n v="5"/>
    <s v="0-5"/>
    <n v="3"/>
    <n v="3"/>
    <n v="3"/>
    <n v="0"/>
    <n v="0"/>
    <n v="2"/>
  </r>
  <r>
    <n v="25"/>
    <x v="0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s v="Yes"/>
    <n v="18"/>
    <n v="3"/>
    <n v="3"/>
    <n v="80"/>
    <n v="3"/>
    <n v="1"/>
    <s v="0-5"/>
    <n v="2"/>
    <n v="3"/>
    <n v="1"/>
    <n v="0"/>
    <n v="0"/>
    <n v="0"/>
  </r>
  <r>
    <n v="40"/>
    <x v="1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s v="No"/>
    <n v="12"/>
    <n v="3"/>
    <n v="2"/>
    <n v="80"/>
    <n v="1"/>
    <n v="11"/>
    <s v="6-15"/>
    <n v="2"/>
    <n v="2"/>
    <n v="1"/>
    <n v="0"/>
    <n v="0"/>
    <n v="0"/>
  </r>
  <r>
    <n v="26"/>
    <x v="1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s v="No"/>
    <n v="12"/>
    <n v="3"/>
    <n v="2"/>
    <n v="80"/>
    <n v="0"/>
    <n v="7"/>
    <s v="6-15"/>
    <n v="2"/>
    <n v="3"/>
    <n v="7"/>
    <n v="7"/>
    <n v="0"/>
    <n v="7"/>
  </r>
  <r>
    <n v="41"/>
    <x v="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s v="Yes"/>
    <n v="13"/>
    <n v="3"/>
    <n v="3"/>
    <n v="80"/>
    <n v="0"/>
    <n v="20"/>
    <s v="&gt;15"/>
    <n v="3"/>
    <n v="3"/>
    <n v="18"/>
    <n v="13"/>
    <n v="2"/>
    <n v="17"/>
  </r>
  <r>
    <n v="36"/>
    <x v="1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s v="No"/>
    <n v="21"/>
    <n v="4"/>
    <n v="3"/>
    <n v="80"/>
    <n v="0"/>
    <n v="16"/>
    <s v="&gt;15"/>
    <n v="6"/>
    <n v="3"/>
    <n v="11"/>
    <n v="8"/>
    <n v="3"/>
    <n v="9"/>
  </r>
  <r>
    <n v="19"/>
    <x v="0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s v="Yes"/>
    <n v="13"/>
    <n v="3"/>
    <n v="2"/>
    <n v="80"/>
    <n v="0"/>
    <n v="1"/>
    <s v="0-5"/>
    <n v="3"/>
    <n v="4"/>
    <n v="1"/>
    <n v="0"/>
    <n v="0"/>
    <n v="0"/>
  </r>
  <r>
    <n v="20"/>
    <x v="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s v="No"/>
    <n v="19"/>
    <n v="3"/>
    <n v="2"/>
    <n v="80"/>
    <n v="0"/>
    <n v="1"/>
    <s v="0-5"/>
    <n v="2"/>
    <n v="3"/>
    <n v="1"/>
    <n v="0"/>
    <n v="0"/>
    <n v="0"/>
  </r>
  <r>
    <n v="31"/>
    <x v="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s v="Yes"/>
    <n v="11"/>
    <n v="3"/>
    <n v="3"/>
    <n v="80"/>
    <n v="2"/>
    <n v="10"/>
    <s v="6-15"/>
    <n v="2"/>
    <n v="1"/>
    <n v="9"/>
    <n v="7"/>
    <n v="8"/>
    <n v="5"/>
  </r>
  <r>
    <n v="40"/>
    <x v="1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s v="Yes"/>
    <n v="14"/>
    <n v="3"/>
    <n v="4"/>
    <n v="80"/>
    <n v="1"/>
    <n v="3"/>
    <s v="0-5"/>
    <n v="2"/>
    <n v="3"/>
    <n v="1"/>
    <n v="1"/>
    <n v="0"/>
    <n v="0"/>
  </r>
  <r>
    <n v="32"/>
    <x v="1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s v="No"/>
    <n v="12"/>
    <n v="3"/>
    <n v="3"/>
    <n v="80"/>
    <n v="1"/>
    <n v="8"/>
    <s v="6-15"/>
    <n v="2"/>
    <n v="4"/>
    <n v="8"/>
    <n v="7"/>
    <n v="6"/>
    <n v="3"/>
  </r>
  <r>
    <n v="36"/>
    <x v="0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s v="Yes"/>
    <n v="11"/>
    <n v="3"/>
    <n v="1"/>
    <n v="80"/>
    <n v="1"/>
    <n v="16"/>
    <s v="&gt;15"/>
    <n v="6"/>
    <n v="3"/>
    <n v="16"/>
    <n v="7"/>
    <n v="3"/>
    <n v="7"/>
  </r>
  <r>
    <n v="33"/>
    <x v="1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s v="No"/>
    <n v="14"/>
    <n v="3"/>
    <n v="1"/>
    <n v="80"/>
    <n v="0"/>
    <n v="6"/>
    <s v="6-15"/>
    <n v="3"/>
    <n v="3"/>
    <n v="5"/>
    <n v="0"/>
    <n v="1"/>
    <n v="4"/>
  </r>
  <r>
    <n v="37"/>
    <x v="0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s v="No"/>
    <n v="11"/>
    <n v="3"/>
    <n v="3"/>
    <n v="80"/>
    <n v="0"/>
    <n v="17"/>
    <s v="&gt;15"/>
    <n v="2"/>
    <n v="1"/>
    <n v="14"/>
    <n v="1"/>
    <n v="11"/>
    <n v="7"/>
  </r>
  <r>
    <n v="45"/>
    <x v="1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s v="No"/>
    <n v="12"/>
    <n v="3"/>
    <n v="2"/>
    <n v="80"/>
    <n v="0"/>
    <n v="9"/>
    <s v="6-15"/>
    <n v="5"/>
    <n v="2"/>
    <n v="9"/>
    <n v="7"/>
    <n v="0"/>
    <n v="8"/>
  </r>
  <r>
    <n v="29"/>
    <x v="1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s v="No"/>
    <n v="15"/>
    <n v="3"/>
    <n v="2"/>
    <n v="80"/>
    <n v="1"/>
    <n v="3"/>
    <s v="0-5"/>
    <n v="5"/>
    <n v="3"/>
    <n v="3"/>
    <n v="1"/>
    <n v="0"/>
    <n v="2"/>
  </r>
  <r>
    <n v="35"/>
    <x v="1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s v="No"/>
    <n v="16"/>
    <n v="3"/>
    <n v="2"/>
    <n v="80"/>
    <n v="0"/>
    <n v="5"/>
    <s v="0-5"/>
    <n v="3"/>
    <n v="3"/>
    <n v="5"/>
    <n v="2"/>
    <n v="1"/>
    <n v="0"/>
  </r>
  <r>
    <n v="52"/>
    <x v="1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s v="No"/>
    <n v="15"/>
    <n v="3"/>
    <n v="2"/>
    <n v="80"/>
    <n v="1"/>
    <n v="26"/>
    <s v="&gt;15"/>
    <n v="2"/>
    <n v="2"/>
    <n v="9"/>
    <n v="8"/>
    <n v="7"/>
    <n v="8"/>
  </r>
  <r>
    <n v="58"/>
    <x v="0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s v="No"/>
    <n v="24"/>
    <n v="4"/>
    <n v="1"/>
    <n v="80"/>
    <n v="0"/>
    <n v="7"/>
    <s v="6-15"/>
    <n v="4"/>
    <n v="3"/>
    <n v="1"/>
    <n v="0"/>
    <n v="0"/>
    <n v="0"/>
  </r>
  <r>
    <n v="53"/>
    <x v="1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s v="No"/>
    <n v="13"/>
    <n v="3"/>
    <n v="3"/>
    <n v="80"/>
    <n v="1"/>
    <n v="22"/>
    <s v="&gt;15"/>
    <n v="3"/>
    <n v="4"/>
    <n v="17"/>
    <n v="13"/>
    <n v="15"/>
    <n v="2"/>
  </r>
  <r>
    <n v="30"/>
    <x v="1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s v="No"/>
    <n v="11"/>
    <n v="3"/>
    <n v="1"/>
    <n v="80"/>
    <n v="1"/>
    <n v="10"/>
    <s v="6-15"/>
    <n v="2"/>
    <n v="4"/>
    <n v="8"/>
    <n v="4"/>
    <n v="7"/>
    <n v="7"/>
  </r>
  <r>
    <n v="38"/>
    <x v="1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s v="Yes"/>
    <n v="13"/>
    <n v="3"/>
    <n v="2"/>
    <n v="80"/>
    <n v="0"/>
    <n v="6"/>
    <s v="6-15"/>
    <n v="1"/>
    <n v="3"/>
    <n v="5"/>
    <n v="3"/>
    <n v="1"/>
    <n v="3"/>
  </r>
  <r>
    <n v="35"/>
    <x v="1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s v="No"/>
    <n v="13"/>
    <n v="3"/>
    <n v="2"/>
    <n v="80"/>
    <n v="1"/>
    <n v="12"/>
    <s v="6-15"/>
    <n v="2"/>
    <n v="3"/>
    <n v="10"/>
    <n v="9"/>
    <n v="0"/>
    <n v="8"/>
  </r>
  <r>
    <n v="39"/>
    <x v="1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s v="No"/>
    <n v="18"/>
    <n v="3"/>
    <n v="4"/>
    <n v="80"/>
    <n v="0"/>
    <n v="9"/>
    <s v="6-15"/>
    <n v="3"/>
    <n v="3"/>
    <n v="8"/>
    <n v="7"/>
    <n v="0"/>
    <n v="7"/>
  </r>
  <r>
    <n v="40"/>
    <x v="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s v="Yes"/>
    <n v="16"/>
    <n v="3"/>
    <n v="4"/>
    <n v="80"/>
    <n v="0"/>
    <n v="22"/>
    <s v="&gt;15"/>
    <n v="2"/>
    <n v="2"/>
    <n v="1"/>
    <n v="0"/>
    <n v="0"/>
    <n v="0"/>
  </r>
  <r>
    <n v="47"/>
    <x v="1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s v="Yes"/>
    <n v="19"/>
    <n v="3"/>
    <n v="3"/>
    <n v="80"/>
    <n v="0"/>
    <n v="20"/>
    <s v="&gt;15"/>
    <n v="3"/>
    <n v="4"/>
    <n v="19"/>
    <n v="10"/>
    <n v="2"/>
    <n v="7"/>
  </r>
  <r>
    <n v="36"/>
    <x v="1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s v="No"/>
    <n v="13"/>
    <n v="3"/>
    <n v="4"/>
    <n v="80"/>
    <n v="2"/>
    <n v="12"/>
    <s v="6-15"/>
    <n v="3"/>
    <n v="3"/>
    <n v="7"/>
    <n v="7"/>
    <n v="0"/>
    <n v="7"/>
  </r>
  <r>
    <n v="31"/>
    <x v="0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s v="Yes"/>
    <n v="22"/>
    <n v="4"/>
    <n v="1"/>
    <n v="80"/>
    <n v="0"/>
    <n v="4"/>
    <s v="0-5"/>
    <n v="0"/>
    <n v="3"/>
    <n v="3"/>
    <n v="2"/>
    <n v="1"/>
    <n v="2"/>
  </r>
  <r>
    <n v="33"/>
    <x v="1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s v="No"/>
    <n v="11"/>
    <n v="3"/>
    <n v="4"/>
    <n v="80"/>
    <n v="0"/>
    <n v="10"/>
    <s v="6-15"/>
    <n v="2"/>
    <n v="3"/>
    <n v="10"/>
    <n v="8"/>
    <n v="6"/>
    <n v="0"/>
  </r>
  <r>
    <n v="29"/>
    <x v="0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s v="Yes"/>
    <n v="20"/>
    <n v="4"/>
    <n v="3"/>
    <n v="80"/>
    <n v="0"/>
    <n v="3"/>
    <s v="0-5"/>
    <n v="5"/>
    <n v="3"/>
    <n v="0"/>
    <n v="0"/>
    <n v="0"/>
    <n v="0"/>
  </r>
  <r>
    <n v="33"/>
    <x v="1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s v="No"/>
    <n v="18"/>
    <n v="3"/>
    <n v="1"/>
    <n v="80"/>
    <n v="0"/>
    <n v="5"/>
    <s v="0-5"/>
    <n v="4"/>
    <n v="3"/>
    <n v="3"/>
    <n v="2"/>
    <n v="0"/>
    <n v="2"/>
  </r>
  <r>
    <n v="45"/>
    <x v="1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s v="No"/>
    <n v="14"/>
    <n v="3"/>
    <n v="4"/>
    <n v="80"/>
    <n v="2"/>
    <n v="8"/>
    <s v="6-15"/>
    <n v="2"/>
    <n v="3"/>
    <n v="5"/>
    <n v="3"/>
    <n v="0"/>
    <n v="2"/>
  </r>
  <r>
    <n v="50"/>
    <x v="1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s v="No"/>
    <n v="22"/>
    <n v="4"/>
    <n v="3"/>
    <n v="80"/>
    <n v="1"/>
    <n v="32"/>
    <s v="&gt;15"/>
    <n v="1"/>
    <n v="2"/>
    <n v="5"/>
    <n v="4"/>
    <n v="1"/>
    <n v="3"/>
  </r>
  <r>
    <n v="33"/>
    <x v="1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s v="Yes"/>
    <n v="13"/>
    <n v="3"/>
    <n v="1"/>
    <n v="80"/>
    <n v="1"/>
    <n v="6"/>
    <s v="6-15"/>
    <n v="2"/>
    <n v="3"/>
    <n v="6"/>
    <n v="5"/>
    <n v="1"/>
    <n v="2"/>
  </r>
  <r>
    <n v="41"/>
    <x v="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s v="No"/>
    <n v="17"/>
    <n v="3"/>
    <n v="2"/>
    <n v="80"/>
    <n v="1"/>
    <n v="21"/>
    <s v="&gt;15"/>
    <n v="2"/>
    <n v="4"/>
    <n v="18"/>
    <n v="16"/>
    <n v="0"/>
    <n v="11"/>
  </r>
  <r>
    <n v="27"/>
    <x v="1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s v="No"/>
    <n v="14"/>
    <n v="3"/>
    <n v="2"/>
    <n v="80"/>
    <n v="1"/>
    <n v="4"/>
    <s v="0-5"/>
    <n v="2"/>
    <n v="3"/>
    <n v="2"/>
    <n v="2"/>
    <n v="2"/>
    <n v="2"/>
  </r>
  <r>
    <n v="45"/>
    <x v="1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s v="Yes"/>
    <n v="15"/>
    <n v="3"/>
    <n v="3"/>
    <n v="80"/>
    <n v="1"/>
    <n v="9"/>
    <s v="6-15"/>
    <n v="2"/>
    <n v="3"/>
    <n v="9"/>
    <n v="8"/>
    <n v="0"/>
    <n v="8"/>
  </r>
  <r>
    <n v="47"/>
    <x v="1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s v="Yes"/>
    <n v="17"/>
    <n v="3"/>
    <n v="3"/>
    <n v="80"/>
    <n v="0"/>
    <n v="9"/>
    <s v="6-15"/>
    <n v="0"/>
    <n v="3"/>
    <n v="9"/>
    <n v="0"/>
    <n v="0"/>
    <n v="7"/>
  </r>
  <r>
    <n v="30"/>
    <x v="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s v="Yes"/>
    <n v="11"/>
    <n v="3"/>
    <n v="2"/>
    <n v="80"/>
    <n v="0"/>
    <n v="7"/>
    <s v="6-15"/>
    <n v="2"/>
    <n v="3"/>
    <n v="5"/>
    <n v="2"/>
    <n v="0"/>
    <n v="1"/>
  </r>
  <r>
    <n v="50"/>
    <x v="1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s v="Yes"/>
    <n v="18"/>
    <n v="3"/>
    <n v="4"/>
    <n v="80"/>
    <n v="1"/>
    <n v="22"/>
    <s v="&gt;15"/>
    <n v="2"/>
    <n v="3"/>
    <n v="12"/>
    <n v="11"/>
    <n v="1"/>
    <n v="5"/>
  </r>
  <r>
    <n v="38"/>
    <x v="1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s v="No"/>
    <n v="17"/>
    <n v="3"/>
    <n v="2"/>
    <n v="80"/>
    <n v="1"/>
    <n v="3"/>
    <s v="0-5"/>
    <n v="0"/>
    <n v="2"/>
    <n v="2"/>
    <n v="1"/>
    <n v="0"/>
    <n v="2"/>
  </r>
  <r>
    <n v="46"/>
    <x v="1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s v="No"/>
    <n v="13"/>
    <n v="3"/>
    <n v="2"/>
    <n v="80"/>
    <n v="1"/>
    <n v="13"/>
    <s v="6-15"/>
    <n v="3"/>
    <n v="3"/>
    <n v="8"/>
    <n v="7"/>
    <n v="0"/>
    <n v="7"/>
  </r>
  <r>
    <n v="24"/>
    <x v="1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s v="No"/>
    <n v="15"/>
    <n v="3"/>
    <n v="2"/>
    <n v="80"/>
    <n v="2"/>
    <n v="5"/>
    <s v="0-5"/>
    <n v="6"/>
    <n v="3"/>
    <n v="4"/>
    <n v="2"/>
    <n v="3"/>
    <n v="2"/>
  </r>
  <r>
    <n v="35"/>
    <x v="0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s v="Yes"/>
    <n v="24"/>
    <n v="4"/>
    <n v="4"/>
    <n v="80"/>
    <n v="1"/>
    <n v="5"/>
    <s v="0-5"/>
    <n v="2"/>
    <n v="1"/>
    <n v="4"/>
    <n v="2"/>
    <n v="0"/>
    <n v="2"/>
  </r>
  <r>
    <n v="31"/>
    <x v="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s v="No"/>
    <n v="12"/>
    <n v="3"/>
    <n v="3"/>
    <n v="80"/>
    <n v="1"/>
    <n v="4"/>
    <s v="0-5"/>
    <n v="1"/>
    <n v="3"/>
    <n v="4"/>
    <n v="3"/>
    <n v="0"/>
    <n v="3"/>
  </r>
  <r>
    <n v="18"/>
    <x v="1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s v="No"/>
    <n v="15"/>
    <n v="3"/>
    <n v="4"/>
    <n v="80"/>
    <n v="0"/>
    <n v="0"/>
    <s v="0-5"/>
    <n v="2"/>
    <n v="3"/>
    <n v="0"/>
    <n v="0"/>
    <n v="0"/>
    <n v="0"/>
  </r>
  <r>
    <n v="54"/>
    <x v="1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s v="No"/>
    <n v="11"/>
    <n v="3"/>
    <n v="3"/>
    <n v="80"/>
    <n v="1"/>
    <n v="22"/>
    <s v="&gt;15"/>
    <n v="2"/>
    <n v="3"/>
    <n v="10"/>
    <n v="7"/>
    <n v="0"/>
    <n v="8"/>
  </r>
  <r>
    <n v="35"/>
    <x v="1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s v="Yes"/>
    <n v="11"/>
    <n v="3"/>
    <n v="3"/>
    <n v="80"/>
    <n v="1"/>
    <n v="16"/>
    <s v="&gt;15"/>
    <n v="3"/>
    <n v="2"/>
    <n v="16"/>
    <n v="10"/>
    <n v="10"/>
    <n v="1"/>
  </r>
  <r>
    <n v="30"/>
    <x v="1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s v="Yes"/>
    <n v="12"/>
    <n v="3"/>
    <n v="3"/>
    <n v="80"/>
    <n v="3"/>
    <n v="9"/>
    <s v="6-15"/>
    <n v="4"/>
    <n v="2"/>
    <n v="8"/>
    <n v="7"/>
    <n v="1"/>
    <n v="7"/>
  </r>
  <r>
    <n v="20"/>
    <x v="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s v="Yes"/>
    <n v="15"/>
    <n v="3"/>
    <n v="1"/>
    <n v="80"/>
    <n v="0"/>
    <n v="1"/>
    <s v="0-5"/>
    <n v="2"/>
    <n v="3"/>
    <n v="1"/>
    <n v="0"/>
    <n v="0"/>
    <n v="0"/>
  </r>
  <r>
    <n v="30"/>
    <x v="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s v="No"/>
    <n v="17"/>
    <n v="3"/>
    <n v="1"/>
    <n v="80"/>
    <n v="0"/>
    <n v="4"/>
    <s v="0-5"/>
    <n v="3"/>
    <n v="3"/>
    <n v="3"/>
    <n v="2"/>
    <n v="1"/>
    <n v="2"/>
  </r>
  <r>
    <n v="26"/>
    <x v="1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s v="No"/>
    <n v="12"/>
    <n v="3"/>
    <n v="2"/>
    <n v="80"/>
    <n v="0"/>
    <n v="8"/>
    <s v="6-15"/>
    <n v="2"/>
    <n v="3"/>
    <n v="8"/>
    <n v="7"/>
    <n v="1"/>
    <n v="3"/>
  </r>
  <r>
    <n v="22"/>
    <x v="1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s v="No"/>
    <n v="15"/>
    <n v="3"/>
    <n v="1"/>
    <n v="80"/>
    <n v="1"/>
    <n v="4"/>
    <s v="0-5"/>
    <n v="3"/>
    <n v="2"/>
    <n v="4"/>
    <n v="3"/>
    <n v="1"/>
    <n v="1"/>
  </r>
  <r>
    <n v="48"/>
    <x v="1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s v="No"/>
    <n v="13"/>
    <n v="3"/>
    <n v="4"/>
    <n v="80"/>
    <n v="0"/>
    <n v="19"/>
    <s v="&gt;15"/>
    <n v="0"/>
    <n v="3"/>
    <n v="2"/>
    <n v="2"/>
    <n v="2"/>
    <n v="2"/>
  </r>
  <r>
    <n v="48"/>
    <x v="1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s v="No"/>
    <n v="14"/>
    <n v="3"/>
    <n v="2"/>
    <n v="80"/>
    <n v="0"/>
    <n v="27"/>
    <s v="&gt;15"/>
    <n v="3"/>
    <n v="3"/>
    <n v="15"/>
    <n v="11"/>
    <n v="4"/>
    <n v="8"/>
  </r>
  <r>
    <n v="41"/>
    <x v="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s v="No"/>
    <n v="14"/>
    <n v="3"/>
    <n v="2"/>
    <n v="80"/>
    <n v="0"/>
    <n v="8"/>
    <s v="6-15"/>
    <n v="6"/>
    <n v="3"/>
    <n v="2"/>
    <n v="2"/>
    <n v="2"/>
    <n v="1"/>
  </r>
  <r>
    <n v="39"/>
    <x v="1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s v="No"/>
    <n v="16"/>
    <n v="3"/>
    <n v="3"/>
    <n v="80"/>
    <n v="1"/>
    <n v="21"/>
    <s v="&gt;15"/>
    <n v="3"/>
    <n v="3"/>
    <n v="21"/>
    <n v="6"/>
    <n v="11"/>
    <n v="8"/>
  </r>
  <r>
    <n v="27"/>
    <x v="1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s v="No"/>
    <n v="18"/>
    <n v="3"/>
    <n v="2"/>
    <n v="80"/>
    <n v="1"/>
    <n v="4"/>
    <s v="0-5"/>
    <n v="2"/>
    <n v="3"/>
    <n v="3"/>
    <n v="2"/>
    <n v="2"/>
    <n v="2"/>
  </r>
  <r>
    <n v="35"/>
    <x v="1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s v="No"/>
    <n v="20"/>
    <n v="4"/>
    <n v="1"/>
    <n v="80"/>
    <n v="1"/>
    <n v="3"/>
    <s v="0-5"/>
    <n v="4"/>
    <n v="2"/>
    <n v="3"/>
    <n v="2"/>
    <n v="1"/>
    <n v="2"/>
  </r>
  <r>
    <n v="42"/>
    <x v="1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s v="No"/>
    <n v="13"/>
    <n v="3"/>
    <n v="2"/>
    <n v="80"/>
    <n v="0"/>
    <n v="21"/>
    <s v="&gt;15"/>
    <n v="3"/>
    <n v="4"/>
    <n v="1"/>
    <n v="0"/>
    <n v="0"/>
    <n v="0"/>
  </r>
  <r>
    <n v="50"/>
    <x v="1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s v="No"/>
    <n v="18"/>
    <n v="3"/>
    <n v="2"/>
    <n v="80"/>
    <n v="0"/>
    <n v="8"/>
    <s v="6-15"/>
    <n v="5"/>
    <n v="3"/>
    <n v="1"/>
    <n v="0"/>
    <n v="0"/>
    <n v="0"/>
  </r>
  <r>
    <n v="59"/>
    <x v="1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s v="Yes"/>
    <n v="13"/>
    <n v="3"/>
    <n v="1"/>
    <n v="80"/>
    <n v="0"/>
    <n v="30"/>
    <s v="&gt;15"/>
    <n v="4"/>
    <n v="3"/>
    <n v="5"/>
    <n v="3"/>
    <n v="4"/>
    <n v="3"/>
  </r>
  <r>
    <n v="37"/>
    <x v="0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s v="No"/>
    <n v="15"/>
    <n v="3"/>
    <n v="1"/>
    <n v="80"/>
    <n v="0"/>
    <n v="15"/>
    <s v="6-15"/>
    <n v="2"/>
    <n v="1"/>
    <n v="1"/>
    <n v="0"/>
    <n v="0"/>
    <n v="0"/>
  </r>
  <r>
    <n v="55"/>
    <x v="1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s v="Yes"/>
    <n v="14"/>
    <n v="3"/>
    <n v="4"/>
    <n v="80"/>
    <n v="2"/>
    <n v="17"/>
    <s v="&gt;15"/>
    <n v="3"/>
    <n v="3"/>
    <n v="8"/>
    <n v="7"/>
    <n v="6"/>
    <n v="7"/>
  </r>
  <r>
    <n v="41"/>
    <x v="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s v="No"/>
    <n v="22"/>
    <n v="4"/>
    <n v="2"/>
    <n v="80"/>
    <n v="2"/>
    <n v="21"/>
    <s v="&gt;15"/>
    <n v="3"/>
    <n v="3"/>
    <n v="21"/>
    <n v="16"/>
    <n v="5"/>
    <n v="10"/>
  </r>
  <r>
    <n v="38"/>
    <x v="1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s v="Yes"/>
    <n v="12"/>
    <n v="3"/>
    <n v="3"/>
    <n v="80"/>
    <n v="0"/>
    <n v="19"/>
    <s v="&gt;15"/>
    <n v="1"/>
    <n v="3"/>
    <n v="1"/>
    <n v="0"/>
    <n v="0"/>
    <n v="0"/>
  </r>
  <r>
    <n v="26"/>
    <x v="0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s v="No"/>
    <n v="18"/>
    <n v="3"/>
    <n v="4"/>
    <n v="80"/>
    <n v="0"/>
    <n v="7"/>
    <s v="6-15"/>
    <n v="6"/>
    <n v="3"/>
    <n v="2"/>
    <n v="2"/>
    <n v="2"/>
    <n v="2"/>
  </r>
  <r>
    <n v="52"/>
    <x v="0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s v="No"/>
    <n v="15"/>
    <n v="3"/>
    <n v="4"/>
    <n v="80"/>
    <n v="1"/>
    <n v="33"/>
    <s v="&gt;15"/>
    <n v="3"/>
    <n v="3"/>
    <n v="32"/>
    <n v="14"/>
    <n v="6"/>
    <n v="9"/>
  </r>
  <r>
    <n v="44"/>
    <x v="1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s v="Yes"/>
    <n v="18"/>
    <n v="3"/>
    <n v="3"/>
    <n v="80"/>
    <n v="1"/>
    <n v="23"/>
    <s v="&gt;15"/>
    <n v="2"/>
    <n v="3"/>
    <n v="12"/>
    <n v="11"/>
    <n v="11"/>
    <n v="11"/>
  </r>
  <r>
    <n v="50"/>
    <x v="1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s v="No"/>
    <n v="12"/>
    <n v="3"/>
    <n v="1"/>
    <n v="80"/>
    <n v="1"/>
    <n v="19"/>
    <s v="&gt;15"/>
    <n v="3"/>
    <n v="3"/>
    <n v="18"/>
    <n v="7"/>
    <n v="0"/>
    <n v="13"/>
  </r>
  <r>
    <n v="36"/>
    <x v="0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s v="No"/>
    <n v="16"/>
    <n v="3"/>
    <n v="3"/>
    <n v="80"/>
    <n v="0"/>
    <n v="18"/>
    <s v="&gt;15"/>
    <n v="1"/>
    <n v="3"/>
    <n v="17"/>
    <n v="13"/>
    <n v="15"/>
    <n v="14"/>
  </r>
  <r>
    <n v="39"/>
    <x v="1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s v="Yes"/>
    <n v="13"/>
    <n v="3"/>
    <n v="3"/>
    <n v="80"/>
    <n v="0"/>
    <n v="21"/>
    <s v="&gt;15"/>
    <n v="2"/>
    <n v="3"/>
    <n v="21"/>
    <n v="6"/>
    <n v="2"/>
    <n v="8"/>
  </r>
  <r>
    <n v="33"/>
    <x v="1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s v="No"/>
    <n v="19"/>
    <n v="3"/>
    <n v="4"/>
    <n v="80"/>
    <n v="0"/>
    <n v="3"/>
    <s v="0-5"/>
    <n v="2"/>
    <n v="2"/>
    <n v="2"/>
    <n v="2"/>
    <n v="2"/>
    <n v="2"/>
  </r>
  <r>
    <n v="45"/>
    <x v="1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s v="No"/>
    <n v="13"/>
    <n v="3"/>
    <n v="2"/>
    <n v="80"/>
    <n v="1"/>
    <n v="26"/>
    <s v="&gt;15"/>
    <n v="4"/>
    <n v="4"/>
    <n v="9"/>
    <n v="3"/>
    <n v="1"/>
    <n v="1"/>
  </r>
  <r>
    <n v="32"/>
    <x v="1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s v="No"/>
    <n v="12"/>
    <n v="3"/>
    <n v="2"/>
    <n v="80"/>
    <n v="0"/>
    <n v="10"/>
    <s v="6-15"/>
    <n v="2"/>
    <n v="3"/>
    <n v="8"/>
    <n v="7"/>
    <n v="7"/>
    <n v="7"/>
  </r>
  <r>
    <n v="34"/>
    <x v="1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s v="No"/>
    <n v="11"/>
    <n v="3"/>
    <n v="4"/>
    <n v="80"/>
    <n v="1"/>
    <n v="16"/>
    <s v="&gt;15"/>
    <n v="2"/>
    <n v="2"/>
    <n v="15"/>
    <n v="1"/>
    <n v="0"/>
    <n v="9"/>
  </r>
  <r>
    <n v="59"/>
    <x v="1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s v="Yes"/>
    <n v="14"/>
    <n v="3"/>
    <n v="3"/>
    <n v="80"/>
    <n v="1"/>
    <n v="14"/>
    <s v="6-15"/>
    <n v="1"/>
    <n v="1"/>
    <n v="6"/>
    <n v="4"/>
    <n v="0"/>
    <n v="4"/>
  </r>
  <r>
    <n v="45"/>
    <x v="1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s v="No"/>
    <n v="16"/>
    <n v="3"/>
    <n v="1"/>
    <n v="80"/>
    <n v="0"/>
    <n v="6"/>
    <s v="6-15"/>
    <n v="3"/>
    <n v="3"/>
    <n v="6"/>
    <n v="3"/>
    <n v="0"/>
    <n v="4"/>
  </r>
  <r>
    <n v="53"/>
    <x v="1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s v="No"/>
    <n v="12"/>
    <n v="3"/>
    <n v="1"/>
    <n v="80"/>
    <n v="1"/>
    <n v="30"/>
    <s v="&gt;15"/>
    <n v="2"/>
    <n v="3"/>
    <n v="15"/>
    <n v="7"/>
    <n v="6"/>
    <n v="12"/>
  </r>
  <r>
    <n v="36"/>
    <x v="0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s v="No"/>
    <n v="14"/>
    <n v="3"/>
    <n v="2"/>
    <n v="80"/>
    <n v="1"/>
    <n v="9"/>
    <s v="6-15"/>
    <n v="3"/>
    <n v="2"/>
    <n v="1"/>
    <n v="0"/>
    <n v="0"/>
    <n v="0"/>
  </r>
  <r>
    <n v="26"/>
    <x v="0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s v="Yes"/>
    <n v="14"/>
    <n v="3"/>
    <n v="2"/>
    <n v="80"/>
    <n v="1"/>
    <n v="6"/>
    <s v="6-15"/>
    <n v="2"/>
    <n v="3"/>
    <n v="3"/>
    <n v="2"/>
    <n v="1"/>
    <n v="2"/>
  </r>
  <r>
    <n v="34"/>
    <x v="1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s v="Yes"/>
    <n v="19"/>
    <n v="3"/>
    <n v="4"/>
    <n v="80"/>
    <n v="1"/>
    <n v="1"/>
    <s v="0-5"/>
    <n v="2"/>
    <n v="3"/>
    <n v="1"/>
    <n v="1"/>
    <n v="0"/>
    <n v="0"/>
  </r>
  <r>
    <n v="28"/>
    <x v="1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s v="No"/>
    <n v="22"/>
    <n v="4"/>
    <n v="2"/>
    <n v="80"/>
    <n v="0"/>
    <n v="1"/>
    <s v="0-5"/>
    <n v="5"/>
    <n v="3"/>
    <n v="1"/>
    <n v="0"/>
    <n v="0"/>
    <n v="0"/>
  </r>
  <r>
    <n v="38"/>
    <x v="1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s v="No"/>
    <n v="16"/>
    <n v="3"/>
    <n v="1"/>
    <n v="80"/>
    <n v="1"/>
    <n v="8"/>
    <s v="6-15"/>
    <n v="2"/>
    <n v="3"/>
    <n v="2"/>
    <n v="2"/>
    <n v="2"/>
    <n v="2"/>
  </r>
  <r>
    <n v="50"/>
    <x v="1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s v="Yes"/>
    <n v="11"/>
    <n v="3"/>
    <n v="4"/>
    <n v="80"/>
    <n v="1"/>
    <n v="29"/>
    <s v="&gt;15"/>
    <n v="2"/>
    <n v="2"/>
    <n v="8"/>
    <n v="1"/>
    <n v="7"/>
    <n v="7"/>
  </r>
  <r>
    <n v="37"/>
    <x v="1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s v="No"/>
    <n v="15"/>
    <n v="3"/>
    <n v="1"/>
    <n v="80"/>
    <n v="0"/>
    <n v="8"/>
    <s v="6-15"/>
    <n v="3"/>
    <n v="2"/>
    <n v="4"/>
    <n v="3"/>
    <n v="0"/>
    <n v="1"/>
  </r>
  <r>
    <n v="40"/>
    <x v="1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s v="No"/>
    <n v="14"/>
    <n v="3"/>
    <n v="2"/>
    <n v="80"/>
    <n v="1"/>
    <n v="8"/>
    <s v="6-15"/>
    <n v="3"/>
    <n v="2"/>
    <n v="7"/>
    <n v="7"/>
    <n v="7"/>
    <n v="5"/>
  </r>
  <r>
    <n v="26"/>
    <x v="1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s v="No"/>
    <n v="13"/>
    <n v="3"/>
    <n v="3"/>
    <n v="80"/>
    <n v="2"/>
    <n v="5"/>
    <s v="0-5"/>
    <n v="5"/>
    <n v="3"/>
    <n v="5"/>
    <n v="3"/>
    <n v="1"/>
    <n v="3"/>
  </r>
  <r>
    <n v="46"/>
    <x v="1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s v="No"/>
    <n v="17"/>
    <n v="3"/>
    <n v="4"/>
    <n v="80"/>
    <n v="2"/>
    <n v="23"/>
    <s v="&gt;15"/>
    <n v="0"/>
    <n v="3"/>
    <n v="2"/>
    <n v="2"/>
    <n v="2"/>
    <n v="2"/>
  </r>
  <r>
    <n v="54"/>
    <x v="1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s v="No"/>
    <n v="11"/>
    <n v="3"/>
    <n v="2"/>
    <n v="80"/>
    <n v="1"/>
    <n v="13"/>
    <s v="6-15"/>
    <n v="4"/>
    <n v="3"/>
    <n v="9"/>
    <n v="4"/>
    <n v="7"/>
    <n v="0"/>
  </r>
  <r>
    <n v="56"/>
    <x v="1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s v="No"/>
    <n v="19"/>
    <n v="3"/>
    <n v="2"/>
    <n v="80"/>
    <n v="1"/>
    <n v="18"/>
    <s v="&gt;15"/>
    <n v="4"/>
    <n v="3"/>
    <n v="5"/>
    <n v="4"/>
    <n v="0"/>
    <n v="3"/>
  </r>
  <r>
    <n v="36"/>
    <x v="1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s v="No"/>
    <n v="11"/>
    <n v="3"/>
    <n v="2"/>
    <n v="80"/>
    <n v="0"/>
    <n v="15"/>
    <s v="6-15"/>
    <n v="2"/>
    <n v="2"/>
    <n v="14"/>
    <n v="8"/>
    <n v="7"/>
    <n v="8"/>
  </r>
  <r>
    <n v="55"/>
    <x v="1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s v="No"/>
    <n v="15"/>
    <n v="3"/>
    <n v="2"/>
    <n v="80"/>
    <n v="0"/>
    <n v="31"/>
    <s v="&gt;15"/>
    <n v="3"/>
    <n v="4"/>
    <n v="9"/>
    <n v="7"/>
    <n v="6"/>
    <n v="2"/>
  </r>
  <r>
    <n v="43"/>
    <x v="1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s v="No"/>
    <n v="13"/>
    <n v="3"/>
    <n v="3"/>
    <n v="80"/>
    <n v="1"/>
    <n v="18"/>
    <s v="&gt;15"/>
    <n v="5"/>
    <n v="3"/>
    <n v="1"/>
    <n v="0"/>
    <n v="0"/>
    <n v="0"/>
  </r>
  <r>
    <n v="20"/>
    <x v="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s v="Yes"/>
    <n v="14"/>
    <n v="3"/>
    <n v="2"/>
    <n v="80"/>
    <n v="0"/>
    <n v="2"/>
    <s v="0-5"/>
    <n v="3"/>
    <n v="3"/>
    <n v="2"/>
    <n v="2"/>
    <n v="0"/>
    <n v="2"/>
  </r>
  <r>
    <n v="21"/>
    <x v="0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s v="No"/>
    <n v="13"/>
    <n v="3"/>
    <n v="1"/>
    <n v="80"/>
    <n v="0"/>
    <n v="1"/>
    <s v="0-5"/>
    <n v="6"/>
    <n v="2"/>
    <n v="1"/>
    <n v="0"/>
    <n v="1"/>
    <n v="0"/>
  </r>
  <r>
    <n v="46"/>
    <x v="1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s v="Yes"/>
    <n v="23"/>
    <n v="4"/>
    <n v="1"/>
    <n v="80"/>
    <n v="3"/>
    <n v="19"/>
    <s v="&gt;15"/>
    <n v="2"/>
    <n v="3"/>
    <n v="16"/>
    <n v="13"/>
    <n v="1"/>
    <n v="7"/>
  </r>
  <r>
    <n v="51"/>
    <x v="0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s v="Yes"/>
    <n v="12"/>
    <n v="3"/>
    <n v="3"/>
    <n v="80"/>
    <n v="3"/>
    <n v="18"/>
    <s v="&gt;15"/>
    <n v="2"/>
    <n v="4"/>
    <n v="10"/>
    <n v="0"/>
    <n v="2"/>
    <n v="7"/>
  </r>
  <r>
    <n v="28"/>
    <x v="0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s v="No"/>
    <n v="12"/>
    <n v="3"/>
    <n v="1"/>
    <n v="80"/>
    <n v="0"/>
    <n v="10"/>
    <s v="6-15"/>
    <n v="2"/>
    <n v="2"/>
    <n v="10"/>
    <n v="7"/>
    <n v="1"/>
    <n v="9"/>
  </r>
  <r>
    <n v="26"/>
    <x v="1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s v="No"/>
    <n v="16"/>
    <n v="3"/>
    <n v="1"/>
    <n v="80"/>
    <n v="2"/>
    <n v="6"/>
    <s v="6-15"/>
    <n v="2"/>
    <n v="3"/>
    <n v="5"/>
    <n v="3"/>
    <n v="1"/>
    <n v="3"/>
  </r>
  <r>
    <n v="30"/>
    <x v="1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s v="No"/>
    <n v="15"/>
    <n v="3"/>
    <n v="3"/>
    <n v="80"/>
    <n v="1"/>
    <n v="7"/>
    <s v="6-15"/>
    <n v="1"/>
    <n v="2"/>
    <n v="6"/>
    <n v="2"/>
    <n v="0"/>
    <n v="2"/>
  </r>
  <r>
    <n v="41"/>
    <x v="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s v="No"/>
    <n v="13"/>
    <n v="3"/>
    <n v="3"/>
    <n v="80"/>
    <n v="0"/>
    <n v="10"/>
    <s v="6-15"/>
    <n v="3"/>
    <n v="3"/>
    <n v="10"/>
    <n v="6"/>
    <n v="0"/>
    <n v="8"/>
  </r>
  <r>
    <n v="38"/>
    <x v="1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s v="No"/>
    <n v="18"/>
    <n v="3"/>
    <n v="1"/>
    <n v="80"/>
    <n v="1"/>
    <n v="20"/>
    <s v="&gt;15"/>
    <n v="4"/>
    <n v="2"/>
    <n v="19"/>
    <n v="9"/>
    <n v="1"/>
    <n v="9"/>
  </r>
  <r>
    <n v="40"/>
    <x v="1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s v="No"/>
    <n v="20"/>
    <n v="4"/>
    <n v="4"/>
    <n v="80"/>
    <n v="1"/>
    <n v="14"/>
    <s v="6-15"/>
    <n v="6"/>
    <n v="3"/>
    <n v="11"/>
    <n v="10"/>
    <n v="11"/>
    <n v="1"/>
  </r>
  <r>
    <n v="27"/>
    <x v="1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s v="No"/>
    <n v="19"/>
    <n v="3"/>
    <n v="4"/>
    <n v="80"/>
    <n v="3"/>
    <n v="3"/>
    <s v="0-5"/>
    <n v="4"/>
    <n v="3"/>
    <n v="3"/>
    <n v="2"/>
    <n v="1"/>
    <n v="2"/>
  </r>
  <r>
    <n v="55"/>
    <x v="1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s v="No"/>
    <n v="18"/>
    <n v="3"/>
    <n v="2"/>
    <n v="80"/>
    <n v="1"/>
    <n v="23"/>
    <s v="&gt;15"/>
    <n v="4"/>
    <n v="3"/>
    <n v="3"/>
    <n v="2"/>
    <n v="1"/>
    <n v="2"/>
  </r>
  <r>
    <n v="28"/>
    <x v="1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s v="No"/>
    <n v="13"/>
    <n v="3"/>
    <n v="4"/>
    <n v="80"/>
    <n v="0"/>
    <n v="10"/>
    <s v="6-15"/>
    <n v="4"/>
    <n v="4"/>
    <n v="8"/>
    <n v="7"/>
    <n v="1"/>
    <n v="7"/>
  </r>
  <r>
    <n v="44"/>
    <x v="0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s v="No"/>
    <n v="14"/>
    <n v="3"/>
    <n v="4"/>
    <n v="80"/>
    <n v="1"/>
    <n v="24"/>
    <s v="&gt;15"/>
    <n v="1"/>
    <n v="3"/>
    <n v="20"/>
    <n v="6"/>
    <n v="3"/>
    <n v="6"/>
  </r>
  <r>
    <n v="33"/>
    <x v="1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s v="No"/>
    <n v="15"/>
    <n v="3"/>
    <n v="3"/>
    <n v="80"/>
    <n v="1"/>
    <n v="9"/>
    <s v="6-15"/>
    <n v="2"/>
    <n v="3"/>
    <n v="3"/>
    <n v="2"/>
    <n v="1"/>
    <n v="2"/>
  </r>
  <r>
    <n v="35"/>
    <x v="0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s v="Yes"/>
    <n v="22"/>
    <n v="4"/>
    <n v="1"/>
    <n v="80"/>
    <n v="0"/>
    <n v="9"/>
    <s v="6-15"/>
    <n v="2"/>
    <n v="3"/>
    <n v="8"/>
    <n v="7"/>
    <n v="4"/>
    <n v="7"/>
  </r>
  <r>
    <n v="33"/>
    <x v="0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s v="No"/>
    <n v="22"/>
    <n v="4"/>
    <n v="2"/>
    <n v="80"/>
    <n v="0"/>
    <n v="14"/>
    <s v="6-15"/>
    <n v="4"/>
    <n v="3"/>
    <n v="13"/>
    <n v="7"/>
    <n v="3"/>
    <n v="8"/>
  </r>
  <r>
    <n v="28"/>
    <x v="1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s v="No"/>
    <n v="16"/>
    <n v="3"/>
    <n v="4"/>
    <n v="80"/>
    <n v="1"/>
    <n v="4"/>
    <s v="0-5"/>
    <n v="5"/>
    <n v="2"/>
    <n v="4"/>
    <n v="2"/>
    <n v="2"/>
    <n v="2"/>
  </r>
  <r>
    <n v="34"/>
    <x v="1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s v="No"/>
    <n v="17"/>
    <n v="3"/>
    <n v="3"/>
    <n v="80"/>
    <n v="0"/>
    <n v="7"/>
    <s v="6-15"/>
    <n v="1"/>
    <n v="2"/>
    <n v="6"/>
    <n v="2"/>
    <n v="0"/>
    <n v="4"/>
  </r>
  <r>
    <n v="37"/>
    <x v="1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s v="Yes"/>
    <n v="14"/>
    <n v="3"/>
    <n v="3"/>
    <n v="80"/>
    <n v="3"/>
    <n v="8"/>
    <s v="6-15"/>
    <n v="5"/>
    <n v="3"/>
    <n v="1"/>
    <n v="0"/>
    <n v="0"/>
    <n v="0"/>
  </r>
  <r>
    <n v="25"/>
    <x v="0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s v="Yes"/>
    <n v="15"/>
    <n v="3"/>
    <n v="2"/>
    <n v="80"/>
    <n v="1"/>
    <n v="7"/>
    <s v="6-15"/>
    <n v="3"/>
    <n v="4"/>
    <n v="7"/>
    <n v="7"/>
    <n v="5"/>
    <n v="6"/>
  </r>
  <r>
    <n v="26"/>
    <x v="0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s v="No"/>
    <n v="20"/>
    <n v="4"/>
    <n v="3"/>
    <n v="80"/>
    <n v="1"/>
    <n v="1"/>
    <s v="0-5"/>
    <n v="0"/>
    <n v="2"/>
    <n v="1"/>
    <n v="1"/>
    <n v="0"/>
    <n v="0"/>
  </r>
  <r>
    <n v="33"/>
    <x v="0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s v="Yes"/>
    <n v="20"/>
    <n v="4"/>
    <n v="2"/>
    <n v="80"/>
    <n v="0"/>
    <n v="5"/>
    <s v="0-5"/>
    <n v="0"/>
    <n v="3"/>
    <n v="2"/>
    <n v="2"/>
    <n v="2"/>
    <n v="2"/>
  </r>
  <r>
    <n v="42"/>
    <x v="1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s v="No"/>
    <n v="17"/>
    <n v="3"/>
    <n v="4"/>
    <n v="80"/>
    <n v="1"/>
    <n v="23"/>
    <s v="&gt;15"/>
    <n v="3"/>
    <n v="3"/>
    <n v="22"/>
    <n v="6"/>
    <n v="13"/>
    <n v="7"/>
  </r>
  <r>
    <n v="28"/>
    <x v="0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s v="No"/>
    <n v="15"/>
    <n v="3"/>
    <n v="1"/>
    <n v="80"/>
    <n v="2"/>
    <n v="1"/>
    <s v="0-5"/>
    <n v="2"/>
    <n v="3"/>
    <n v="1"/>
    <n v="0"/>
    <n v="0"/>
    <n v="0"/>
  </r>
  <r>
    <n v="50"/>
    <x v="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s v="Yes"/>
    <n v="14"/>
    <n v="3"/>
    <n v="4"/>
    <n v="80"/>
    <n v="0"/>
    <n v="5"/>
    <s v="0-5"/>
    <n v="4"/>
    <n v="3"/>
    <n v="0"/>
    <n v="0"/>
    <n v="0"/>
    <n v="0"/>
  </r>
  <r>
    <n v="33"/>
    <x v="1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s v="No"/>
    <n v="17"/>
    <n v="3"/>
    <n v="3"/>
    <n v="80"/>
    <n v="1"/>
    <n v="4"/>
    <s v="0-5"/>
    <n v="3"/>
    <n v="3"/>
    <n v="3"/>
    <n v="2"/>
    <n v="0"/>
    <n v="2"/>
  </r>
  <r>
    <n v="34"/>
    <x v="1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s v="No"/>
    <n v="17"/>
    <n v="3"/>
    <n v="4"/>
    <n v="80"/>
    <n v="3"/>
    <n v="6"/>
    <s v="6-15"/>
    <n v="2"/>
    <n v="3"/>
    <n v="0"/>
    <n v="0"/>
    <n v="0"/>
    <n v="0"/>
  </r>
  <r>
    <n v="48"/>
    <x v="1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s v="No"/>
    <n v="22"/>
    <n v="4"/>
    <n v="3"/>
    <n v="80"/>
    <n v="0"/>
    <n v="27"/>
    <s v="&gt;15"/>
    <n v="3"/>
    <n v="2"/>
    <n v="5"/>
    <n v="4"/>
    <n v="2"/>
    <n v="1"/>
  </r>
  <r>
    <n v="45"/>
    <x v="1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s v="No"/>
    <n v="13"/>
    <n v="3"/>
    <n v="4"/>
    <n v="80"/>
    <n v="1"/>
    <n v="15"/>
    <s v="6-15"/>
    <n v="2"/>
    <n v="3"/>
    <n v="15"/>
    <n v="10"/>
    <n v="4"/>
    <n v="12"/>
  </r>
  <r>
    <n v="52"/>
    <x v="1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s v="No"/>
    <n v="19"/>
    <n v="3"/>
    <n v="4"/>
    <n v="80"/>
    <n v="0"/>
    <n v="18"/>
    <s v="&gt;15"/>
    <n v="4"/>
    <n v="3"/>
    <n v="8"/>
    <n v="6"/>
    <n v="4"/>
    <n v="0"/>
  </r>
  <r>
    <n v="38"/>
    <x v="1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s v="Yes"/>
    <n v="14"/>
    <n v="3"/>
    <n v="2"/>
    <n v="80"/>
    <n v="2"/>
    <n v="9"/>
    <s v="6-15"/>
    <n v="2"/>
    <n v="3"/>
    <n v="8"/>
    <n v="7"/>
    <n v="2"/>
    <n v="7"/>
  </r>
  <r>
    <n v="29"/>
    <x v="1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s v="No"/>
    <n v="22"/>
    <n v="4"/>
    <n v="1"/>
    <n v="80"/>
    <n v="1"/>
    <n v="11"/>
    <s v="6-15"/>
    <n v="1"/>
    <n v="3"/>
    <n v="7"/>
    <n v="5"/>
    <n v="1"/>
    <n v="7"/>
  </r>
  <r>
    <n v="28"/>
    <x v="1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s v="No"/>
    <n v="17"/>
    <n v="3"/>
    <n v="2"/>
    <n v="80"/>
    <n v="3"/>
    <n v="10"/>
    <s v="6-15"/>
    <n v="3"/>
    <n v="2"/>
    <n v="9"/>
    <n v="7"/>
    <n v="1"/>
    <n v="7"/>
  </r>
  <r>
    <n v="46"/>
    <x v="1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s v="No"/>
    <n v="12"/>
    <n v="3"/>
    <n v="4"/>
    <n v="80"/>
    <n v="1"/>
    <n v="23"/>
    <s v="&gt;15"/>
    <n v="3"/>
    <n v="3"/>
    <n v="12"/>
    <n v="9"/>
    <n v="4"/>
    <n v="9"/>
  </r>
  <r>
    <n v="38"/>
    <x v="1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s v="No"/>
    <n v="16"/>
    <n v="3"/>
    <n v="3"/>
    <n v="80"/>
    <n v="0"/>
    <n v="10"/>
    <s v="6-15"/>
    <n v="2"/>
    <n v="3"/>
    <n v="1"/>
    <n v="0"/>
    <n v="0"/>
    <n v="0"/>
  </r>
  <r>
    <n v="43"/>
    <x v="1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s v="No"/>
    <n v="11"/>
    <n v="3"/>
    <n v="3"/>
    <n v="80"/>
    <n v="1"/>
    <n v="18"/>
    <s v="&gt;15"/>
    <n v="1"/>
    <n v="3"/>
    <n v="8"/>
    <n v="7"/>
    <n v="0"/>
    <n v="1"/>
  </r>
  <r>
    <n v="39"/>
    <x v="0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s v="No"/>
    <n v="11"/>
    <n v="3"/>
    <n v="4"/>
    <n v="80"/>
    <n v="3"/>
    <n v="21"/>
    <s v="&gt;15"/>
    <n v="4"/>
    <n v="3"/>
    <n v="18"/>
    <n v="7"/>
    <n v="11"/>
    <n v="5"/>
  </r>
  <r>
    <n v="40"/>
    <x v="1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s v="No"/>
    <n v="14"/>
    <n v="3"/>
    <n v="1"/>
    <n v="80"/>
    <n v="0"/>
    <n v="21"/>
    <s v="&gt;15"/>
    <n v="2"/>
    <n v="4"/>
    <n v="20"/>
    <n v="7"/>
    <n v="4"/>
    <n v="9"/>
  </r>
  <r>
    <n v="21"/>
    <x v="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s v="Yes"/>
    <n v="11"/>
    <n v="3"/>
    <n v="3"/>
    <n v="80"/>
    <n v="0"/>
    <n v="2"/>
    <s v="0-5"/>
    <n v="6"/>
    <n v="4"/>
    <n v="2"/>
    <n v="2"/>
    <n v="2"/>
    <n v="2"/>
  </r>
  <r>
    <n v="39"/>
    <x v="1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s v="No"/>
    <n v="15"/>
    <n v="3"/>
    <n v="3"/>
    <n v="80"/>
    <n v="0"/>
    <n v="9"/>
    <s v="6-15"/>
    <n v="2"/>
    <n v="2"/>
    <n v="5"/>
    <n v="4"/>
    <n v="0"/>
    <n v="3"/>
  </r>
  <r>
    <n v="36"/>
    <x v="1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s v="No"/>
    <n v="20"/>
    <n v="4"/>
    <n v="1"/>
    <n v="80"/>
    <n v="0"/>
    <n v="18"/>
    <s v="&gt;15"/>
    <n v="0"/>
    <n v="3"/>
    <n v="11"/>
    <n v="9"/>
    <n v="0"/>
    <n v="9"/>
  </r>
  <r>
    <n v="31"/>
    <x v="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s v="No"/>
    <n v="12"/>
    <n v="3"/>
    <n v="1"/>
    <n v="80"/>
    <n v="1"/>
    <n v="3"/>
    <s v="0-5"/>
    <n v="4"/>
    <n v="3"/>
    <n v="2"/>
    <n v="2"/>
    <n v="2"/>
    <n v="2"/>
  </r>
  <r>
    <n v="28"/>
    <x v="1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s v="No"/>
    <n v="17"/>
    <n v="3"/>
    <n v="1"/>
    <n v="80"/>
    <n v="0"/>
    <n v="6"/>
    <s v="6-15"/>
    <n v="2"/>
    <n v="1"/>
    <n v="5"/>
    <n v="3"/>
    <n v="0"/>
    <n v="4"/>
  </r>
  <r>
    <n v="35"/>
    <x v="1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s v="No"/>
    <n v="11"/>
    <n v="3"/>
    <n v="4"/>
    <n v="80"/>
    <n v="1"/>
    <n v="5"/>
    <s v="0-5"/>
    <n v="3"/>
    <n v="3"/>
    <n v="5"/>
    <n v="2"/>
    <n v="0"/>
    <n v="2"/>
  </r>
  <r>
    <n v="49"/>
    <x v="1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s v="No"/>
    <n v="17"/>
    <n v="3"/>
    <n v="2"/>
    <n v="80"/>
    <n v="1"/>
    <n v="22"/>
    <s v="&gt;15"/>
    <n v="3"/>
    <n v="3"/>
    <n v="9"/>
    <n v="8"/>
    <n v="2"/>
    <n v="3"/>
  </r>
  <r>
    <n v="34"/>
    <x v="1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s v="No"/>
    <n v="11"/>
    <n v="3"/>
    <n v="4"/>
    <n v="80"/>
    <n v="0"/>
    <n v="5"/>
    <s v="0-5"/>
    <n v="3"/>
    <n v="2"/>
    <n v="3"/>
    <n v="2"/>
    <n v="0"/>
    <n v="2"/>
  </r>
  <r>
    <n v="29"/>
    <x v="1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s v="No"/>
    <n v="14"/>
    <n v="3"/>
    <n v="4"/>
    <n v="80"/>
    <n v="2"/>
    <n v="8"/>
    <s v="6-15"/>
    <n v="2"/>
    <n v="2"/>
    <n v="7"/>
    <n v="5"/>
    <n v="1"/>
    <n v="1"/>
  </r>
  <r>
    <n v="42"/>
    <x v="1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s v="No"/>
    <n v="19"/>
    <n v="3"/>
    <n v="1"/>
    <n v="80"/>
    <n v="0"/>
    <n v="16"/>
    <s v="&gt;15"/>
    <n v="3"/>
    <n v="3"/>
    <n v="1"/>
    <n v="0"/>
    <n v="0"/>
    <n v="0"/>
  </r>
  <r>
    <n v="29"/>
    <x v="1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s v="Yes"/>
    <n v="15"/>
    <n v="3"/>
    <n v="3"/>
    <n v="80"/>
    <n v="1"/>
    <n v="10"/>
    <s v="6-15"/>
    <n v="2"/>
    <n v="2"/>
    <n v="10"/>
    <n v="7"/>
    <n v="1"/>
    <n v="2"/>
  </r>
  <r>
    <n v="38"/>
    <x v="1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s v="No"/>
    <n v="13"/>
    <n v="3"/>
    <n v="4"/>
    <n v="80"/>
    <n v="1"/>
    <n v="7"/>
    <s v="6-15"/>
    <n v="2"/>
    <n v="4"/>
    <n v="7"/>
    <n v="6"/>
    <n v="5"/>
    <n v="0"/>
  </r>
  <r>
    <n v="28"/>
    <x v="1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s v="Yes"/>
    <n v="14"/>
    <n v="3"/>
    <n v="4"/>
    <n v="80"/>
    <n v="1"/>
    <n v="3"/>
    <s v="0-5"/>
    <n v="2"/>
    <n v="3"/>
    <n v="3"/>
    <n v="1"/>
    <n v="0"/>
    <n v="2"/>
  </r>
  <r>
    <n v="18"/>
    <x v="0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s v="No"/>
    <n v="12"/>
    <n v="3"/>
    <n v="4"/>
    <n v="80"/>
    <n v="0"/>
    <n v="0"/>
    <s v="0-5"/>
    <n v="0"/>
    <n v="3"/>
    <n v="0"/>
    <n v="0"/>
    <n v="0"/>
    <n v="0"/>
  </r>
  <r>
    <n v="33"/>
    <x v="0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s v="Yes"/>
    <n v="17"/>
    <n v="3"/>
    <n v="1"/>
    <n v="80"/>
    <n v="0"/>
    <n v="6"/>
    <s v="6-15"/>
    <n v="3"/>
    <n v="3"/>
    <n v="5"/>
    <n v="2"/>
    <n v="0"/>
    <n v="3"/>
  </r>
  <r>
    <n v="41"/>
    <x v="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s v="Yes"/>
    <n v="11"/>
    <n v="3"/>
    <n v="1"/>
    <n v="80"/>
    <n v="1"/>
    <n v="6"/>
    <s v="6-15"/>
    <n v="4"/>
    <n v="3"/>
    <n v="1"/>
    <n v="0"/>
    <n v="0"/>
    <n v="0"/>
  </r>
  <r>
    <n v="31"/>
    <x v="0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s v="No"/>
    <n v="12"/>
    <n v="3"/>
    <n v="3"/>
    <n v="80"/>
    <n v="1"/>
    <n v="2"/>
    <s v="0-5"/>
    <n v="5"/>
    <n v="2"/>
    <n v="2"/>
    <n v="2"/>
    <n v="2"/>
    <n v="2"/>
  </r>
  <r>
    <n v="37"/>
    <x v="1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s v="No"/>
    <n v="13"/>
    <n v="3"/>
    <n v="3"/>
    <n v="80"/>
    <n v="2"/>
    <n v="9"/>
    <s v="6-15"/>
    <n v="2"/>
    <n v="3"/>
    <n v="6"/>
    <n v="2"/>
    <n v="1"/>
    <n v="3"/>
  </r>
  <r>
    <n v="27"/>
    <x v="1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s v="No"/>
    <n v="13"/>
    <n v="3"/>
    <n v="3"/>
    <n v="80"/>
    <n v="1"/>
    <n v="4"/>
    <s v="0-5"/>
    <n v="0"/>
    <n v="3"/>
    <n v="4"/>
    <n v="2"/>
    <n v="2"/>
    <n v="2"/>
  </r>
  <r>
    <n v="34"/>
    <x v="1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s v="No"/>
    <n v="20"/>
    <n v="4"/>
    <n v="1"/>
    <n v="80"/>
    <n v="0"/>
    <n v="6"/>
    <s v="6-15"/>
    <n v="3"/>
    <n v="2"/>
    <n v="6"/>
    <n v="5"/>
    <n v="1"/>
    <n v="3"/>
  </r>
  <r>
    <n v="35"/>
    <x v="1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s v="No"/>
    <n v="17"/>
    <n v="3"/>
    <n v="2"/>
    <n v="80"/>
    <n v="0"/>
    <n v="6"/>
    <s v="6-15"/>
    <n v="2"/>
    <n v="1"/>
    <n v="5"/>
    <n v="4"/>
    <n v="1"/>
    <n v="4"/>
  </r>
  <r>
    <n v="29"/>
    <x v="0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s v="No"/>
    <n v="13"/>
    <n v="3"/>
    <n v="1"/>
    <n v="80"/>
    <n v="1"/>
    <n v="11"/>
    <s v="6-15"/>
    <n v="3"/>
    <n v="1"/>
    <n v="11"/>
    <n v="8"/>
    <n v="3"/>
    <n v="10"/>
  </r>
  <r>
    <n v="40"/>
    <x v="1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s v="No"/>
    <n v="17"/>
    <n v="3"/>
    <n v="3"/>
    <n v="80"/>
    <n v="0"/>
    <n v="20"/>
    <s v="&gt;15"/>
    <n v="3"/>
    <n v="2"/>
    <n v="18"/>
    <n v="7"/>
    <n v="2"/>
    <n v="13"/>
  </r>
  <r>
    <n v="42"/>
    <x v="0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s v="Yes"/>
    <n v="12"/>
    <n v="3"/>
    <n v="2"/>
    <n v="80"/>
    <n v="0"/>
    <n v="22"/>
    <s v="&gt;15"/>
    <n v="2"/>
    <n v="2"/>
    <n v="21"/>
    <n v="9"/>
    <n v="13"/>
    <n v="14"/>
  </r>
  <r>
    <n v="42"/>
    <x v="1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s v="No"/>
    <n v="13"/>
    <n v="3"/>
    <n v="4"/>
    <n v="80"/>
    <n v="0"/>
    <n v="9"/>
    <s v="6-15"/>
    <n v="3"/>
    <n v="4"/>
    <n v="6"/>
    <n v="4"/>
    <n v="1"/>
    <n v="5"/>
  </r>
  <r>
    <n v="35"/>
    <x v="1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s v="No"/>
    <n v="12"/>
    <n v="3"/>
    <n v="2"/>
    <n v="80"/>
    <n v="1"/>
    <n v="10"/>
    <s v="6-15"/>
    <n v="2"/>
    <n v="3"/>
    <n v="8"/>
    <n v="0"/>
    <n v="1"/>
    <n v="7"/>
  </r>
  <r>
    <n v="24"/>
    <x v="1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s v="No"/>
    <n v="22"/>
    <n v="4"/>
    <n v="4"/>
    <n v="80"/>
    <n v="0"/>
    <n v="6"/>
    <s v="6-15"/>
    <n v="2"/>
    <n v="3"/>
    <n v="4"/>
    <n v="3"/>
    <n v="1"/>
    <n v="2"/>
  </r>
  <r>
    <n v="28"/>
    <x v="0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s v="Yes"/>
    <n v="11"/>
    <n v="3"/>
    <n v="4"/>
    <n v="80"/>
    <n v="0"/>
    <n v="1"/>
    <s v="0-5"/>
    <n v="4"/>
    <n v="2"/>
    <n v="1"/>
    <n v="1"/>
    <n v="0"/>
    <n v="0"/>
  </r>
  <r>
    <n v="26"/>
    <x v="1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s v="No"/>
    <n v="22"/>
    <n v="4"/>
    <n v="2"/>
    <n v="80"/>
    <n v="1"/>
    <n v="8"/>
    <s v="6-15"/>
    <n v="2"/>
    <n v="3"/>
    <n v="8"/>
    <n v="7"/>
    <n v="0"/>
    <n v="7"/>
  </r>
  <r>
    <n v="30"/>
    <x v="1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s v="No"/>
    <n v="18"/>
    <n v="3"/>
    <n v="1"/>
    <n v="80"/>
    <n v="1"/>
    <n v="10"/>
    <s v="6-15"/>
    <n v="3"/>
    <n v="3"/>
    <n v="10"/>
    <n v="3"/>
    <n v="1"/>
    <n v="4"/>
  </r>
  <r>
    <n v="40"/>
    <x v="1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s v="Yes"/>
    <n v="13"/>
    <n v="3"/>
    <n v="4"/>
    <n v="80"/>
    <n v="1"/>
    <n v="16"/>
    <s v="&gt;15"/>
    <n v="3"/>
    <n v="1"/>
    <n v="1"/>
    <n v="1"/>
    <n v="0"/>
    <n v="0"/>
  </r>
  <r>
    <n v="35"/>
    <x v="1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s v="No"/>
    <n v="18"/>
    <n v="3"/>
    <n v="2"/>
    <n v="80"/>
    <n v="1"/>
    <n v="15"/>
    <s v="6-15"/>
    <n v="2"/>
    <n v="4"/>
    <n v="7"/>
    <n v="7"/>
    <n v="6"/>
    <n v="4"/>
  </r>
  <r>
    <n v="34"/>
    <x v="1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s v="No"/>
    <n v="20"/>
    <n v="4"/>
    <n v="3"/>
    <n v="80"/>
    <n v="0"/>
    <n v="14"/>
    <s v="6-15"/>
    <n v="3"/>
    <n v="3"/>
    <n v="13"/>
    <n v="9"/>
    <n v="4"/>
    <n v="9"/>
  </r>
  <r>
    <n v="35"/>
    <x v="1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s v="No"/>
    <n v="13"/>
    <n v="3"/>
    <n v="2"/>
    <n v="80"/>
    <n v="1"/>
    <n v="2"/>
    <s v="0-5"/>
    <n v="2"/>
    <n v="4"/>
    <n v="2"/>
    <n v="2"/>
    <n v="2"/>
    <n v="2"/>
  </r>
  <r>
    <n v="43"/>
    <x v="0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s v="No"/>
    <n v="13"/>
    <n v="3"/>
    <n v="2"/>
    <n v="80"/>
    <n v="0"/>
    <n v="7"/>
    <s v="6-15"/>
    <n v="2"/>
    <n v="2"/>
    <n v="4"/>
    <n v="3"/>
    <n v="1"/>
    <n v="3"/>
  </r>
  <r>
    <n v="32"/>
    <x v="1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s v="No"/>
    <n v="12"/>
    <n v="3"/>
    <n v="3"/>
    <n v="80"/>
    <n v="3"/>
    <n v="1"/>
    <s v="0-5"/>
    <n v="3"/>
    <n v="3"/>
    <n v="1"/>
    <n v="0"/>
    <n v="0"/>
    <n v="0"/>
  </r>
  <r>
    <n v="56"/>
    <x v="1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s v="No"/>
    <n v="13"/>
    <n v="3"/>
    <n v="4"/>
    <n v="80"/>
    <n v="1"/>
    <n v="28"/>
    <s v="&gt;15"/>
    <n v="2"/>
    <n v="3"/>
    <n v="5"/>
    <n v="2"/>
    <n v="4"/>
    <n v="2"/>
  </r>
  <r>
    <n v="29"/>
    <x v="1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s v="No"/>
    <n v="13"/>
    <n v="3"/>
    <n v="1"/>
    <n v="80"/>
    <n v="1"/>
    <n v="10"/>
    <s v="6-15"/>
    <n v="5"/>
    <n v="3"/>
    <n v="10"/>
    <n v="8"/>
    <n v="0"/>
    <n v="8"/>
  </r>
  <r>
    <n v="19"/>
    <x v="1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s v="No"/>
    <n v="25"/>
    <n v="4"/>
    <n v="3"/>
    <n v="80"/>
    <n v="0"/>
    <n v="1"/>
    <s v="0-5"/>
    <n v="4"/>
    <n v="3"/>
    <n v="1"/>
    <n v="1"/>
    <n v="0"/>
    <n v="0"/>
  </r>
  <r>
    <n v="45"/>
    <x v="1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s v="Yes"/>
    <n v="19"/>
    <n v="3"/>
    <n v="3"/>
    <n v="80"/>
    <n v="1"/>
    <n v="7"/>
    <s v="6-15"/>
    <n v="2"/>
    <n v="2"/>
    <n v="3"/>
    <n v="2"/>
    <n v="0"/>
    <n v="2"/>
  </r>
  <r>
    <n v="37"/>
    <x v="1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s v="No"/>
    <n v="13"/>
    <n v="3"/>
    <n v="2"/>
    <n v="80"/>
    <n v="1"/>
    <n v="14"/>
    <s v="6-15"/>
    <n v="2"/>
    <n v="2"/>
    <n v="14"/>
    <n v="8"/>
    <n v="3"/>
    <n v="11"/>
  </r>
  <r>
    <n v="20"/>
    <x v="1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s v="No"/>
    <n v="12"/>
    <n v="3"/>
    <n v="1"/>
    <n v="80"/>
    <n v="0"/>
    <n v="2"/>
    <s v="0-5"/>
    <n v="2"/>
    <n v="2"/>
    <n v="2"/>
    <n v="2"/>
    <n v="1"/>
    <n v="2"/>
  </r>
  <r>
    <n v="44"/>
    <x v="0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s v="Yes"/>
    <n v="11"/>
    <n v="3"/>
    <n v="3"/>
    <n v="80"/>
    <n v="0"/>
    <n v="6"/>
    <s v="6-15"/>
    <n v="4"/>
    <n v="3"/>
    <n v="6"/>
    <n v="4"/>
    <n v="0"/>
    <n v="2"/>
  </r>
  <r>
    <n v="53"/>
    <x v="1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s v="No"/>
    <n v="18"/>
    <n v="3"/>
    <n v="2"/>
    <n v="80"/>
    <n v="1"/>
    <n v="26"/>
    <s v="&gt;15"/>
    <n v="6"/>
    <n v="3"/>
    <n v="7"/>
    <n v="7"/>
    <n v="4"/>
    <n v="7"/>
  </r>
  <r>
    <n v="29"/>
    <x v="1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s v="Yes"/>
    <n v="18"/>
    <n v="3"/>
    <n v="1"/>
    <n v="80"/>
    <n v="1"/>
    <n v="6"/>
    <s v="6-15"/>
    <n v="2"/>
    <n v="2"/>
    <n v="5"/>
    <n v="4"/>
    <n v="1"/>
    <n v="3"/>
  </r>
  <r>
    <n v="22"/>
    <x v="0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s v="Yes"/>
    <n v="11"/>
    <n v="3"/>
    <n v="2"/>
    <n v="80"/>
    <n v="1"/>
    <n v="1"/>
    <s v="0-5"/>
    <n v="5"/>
    <n v="3"/>
    <n v="0"/>
    <n v="0"/>
    <n v="0"/>
    <n v="0"/>
  </r>
  <r>
    <n v="46"/>
    <x v="1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s v="No"/>
    <n v="23"/>
    <n v="4"/>
    <n v="1"/>
    <n v="80"/>
    <n v="0"/>
    <n v="28"/>
    <s v="&gt;15"/>
    <n v="2"/>
    <n v="3"/>
    <n v="26"/>
    <n v="15"/>
    <n v="15"/>
    <n v="9"/>
  </r>
  <r>
    <n v="44"/>
    <x v="1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s v="No"/>
    <n v="13"/>
    <n v="3"/>
    <n v="4"/>
    <n v="80"/>
    <n v="0"/>
    <n v="6"/>
    <s v="6-15"/>
    <n v="3"/>
    <n v="3"/>
    <n v="0"/>
    <n v="0"/>
    <n v="0"/>
    <n v="0"/>
  </r>
  <r>
    <n v="33"/>
    <x v="1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s v="No"/>
    <n v="13"/>
    <n v="3"/>
    <n v="4"/>
    <n v="80"/>
    <n v="1"/>
    <n v="5"/>
    <s v="0-5"/>
    <n v="2"/>
    <n v="3"/>
    <n v="5"/>
    <n v="4"/>
    <n v="1"/>
    <n v="4"/>
  </r>
  <r>
    <n v="41"/>
    <x v="0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s v="No"/>
    <n v="17"/>
    <n v="3"/>
    <n v="1"/>
    <n v="80"/>
    <n v="1"/>
    <n v="5"/>
    <s v="0-5"/>
    <n v="2"/>
    <n v="1"/>
    <n v="1"/>
    <n v="0"/>
    <n v="0"/>
    <n v="0"/>
  </r>
  <r>
    <n v="30"/>
    <x v="1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s v="No"/>
    <n v="19"/>
    <n v="3"/>
    <n v="3"/>
    <n v="80"/>
    <n v="3"/>
    <n v="8"/>
    <s v="6-15"/>
    <n v="3"/>
    <n v="3"/>
    <n v="4"/>
    <n v="3"/>
    <n v="0"/>
    <n v="3"/>
  </r>
  <r>
    <n v="40"/>
    <x v="1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s v="No"/>
    <n v="12"/>
    <n v="3"/>
    <n v="4"/>
    <n v="80"/>
    <n v="3"/>
    <n v="5"/>
    <s v="0-5"/>
    <n v="2"/>
    <n v="3"/>
    <n v="0"/>
    <n v="0"/>
    <n v="0"/>
    <n v="0"/>
  </r>
  <r>
    <n v="50"/>
    <x v="1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s v="No"/>
    <n v="22"/>
    <n v="4"/>
    <n v="3"/>
    <n v="80"/>
    <n v="1"/>
    <n v="32"/>
    <s v="&gt;15"/>
    <n v="3"/>
    <n v="3"/>
    <n v="2"/>
    <n v="2"/>
    <n v="2"/>
    <n v="2"/>
  </r>
  <r>
    <n v="28"/>
    <x v="1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s v="No"/>
    <n v="12"/>
    <n v="3"/>
    <n v="3"/>
    <n v="80"/>
    <n v="3"/>
    <n v="6"/>
    <s v="6-15"/>
    <n v="2"/>
    <n v="3"/>
    <n v="6"/>
    <n v="5"/>
    <n v="3"/>
    <n v="3"/>
  </r>
  <r>
    <n v="46"/>
    <x v="1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s v="No"/>
    <n v="11"/>
    <n v="3"/>
    <n v="1"/>
    <n v="80"/>
    <n v="1"/>
    <n v="25"/>
    <s v="&gt;15"/>
    <n v="2"/>
    <n v="3"/>
    <n v="4"/>
    <n v="2"/>
    <n v="0"/>
    <n v="3"/>
  </r>
  <r>
    <n v="35"/>
    <x v="1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s v="Yes"/>
    <n v="15"/>
    <n v="3"/>
    <n v="4"/>
    <n v="80"/>
    <n v="3"/>
    <n v="15"/>
    <s v="6-15"/>
    <n v="2"/>
    <n v="3"/>
    <n v="7"/>
    <n v="7"/>
    <n v="1"/>
    <n v="7"/>
  </r>
  <r>
    <n v="24"/>
    <x v="0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s v="No"/>
    <n v="13"/>
    <n v="3"/>
    <n v="1"/>
    <n v="80"/>
    <n v="1"/>
    <n v="1"/>
    <s v="0-5"/>
    <n v="3"/>
    <n v="1"/>
    <n v="1"/>
    <n v="0"/>
    <n v="0"/>
    <n v="0"/>
  </r>
  <r>
    <n v="33"/>
    <x v="1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s v="No"/>
    <n v="12"/>
    <n v="3"/>
    <n v="1"/>
    <n v="80"/>
    <n v="1"/>
    <n v="10"/>
    <s v="6-15"/>
    <n v="3"/>
    <n v="2"/>
    <n v="10"/>
    <n v="7"/>
    <n v="0"/>
    <n v="1"/>
  </r>
  <r>
    <n v="36"/>
    <x v="1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s v="No"/>
    <n v="14"/>
    <n v="3"/>
    <n v="3"/>
    <n v="80"/>
    <n v="1"/>
    <n v="7"/>
    <s v="6-15"/>
    <n v="4"/>
    <n v="3"/>
    <n v="7"/>
    <n v="7"/>
    <n v="1"/>
    <n v="7"/>
  </r>
  <r>
    <n v="30"/>
    <x v="1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s v="No"/>
    <n v="13"/>
    <n v="3"/>
    <n v="1"/>
    <n v="80"/>
    <n v="3"/>
    <n v="10"/>
    <s v="6-15"/>
    <n v="4"/>
    <n v="2"/>
    <n v="10"/>
    <n v="7"/>
    <n v="8"/>
    <n v="9"/>
  </r>
  <r>
    <n v="44"/>
    <x v="1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s v="No"/>
    <n v="25"/>
    <n v="4"/>
    <n v="2"/>
    <n v="80"/>
    <n v="0"/>
    <n v="20"/>
    <s v="&gt;15"/>
    <n v="3"/>
    <n v="3"/>
    <n v="20"/>
    <n v="11"/>
    <n v="13"/>
    <n v="17"/>
  </r>
  <r>
    <n v="20"/>
    <x v="1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s v="No"/>
    <n v="17"/>
    <n v="3"/>
    <n v="4"/>
    <n v="80"/>
    <n v="0"/>
    <n v="2"/>
    <s v="0-5"/>
    <n v="2"/>
    <n v="3"/>
    <n v="2"/>
    <n v="1"/>
    <n v="2"/>
    <n v="2"/>
  </r>
  <r>
    <n v="46"/>
    <x v="1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s v="No"/>
    <n v="11"/>
    <n v="3"/>
    <n v="3"/>
    <n v="80"/>
    <n v="1"/>
    <n v="12"/>
    <s v="6-15"/>
    <n v="3"/>
    <n v="2"/>
    <n v="6"/>
    <n v="3"/>
    <n v="1"/>
    <n v="4"/>
  </r>
  <r>
    <n v="42"/>
    <x v="1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s v="No"/>
    <n v="16"/>
    <n v="3"/>
    <n v="1"/>
    <n v="80"/>
    <n v="1"/>
    <n v="10"/>
    <s v="6-15"/>
    <n v="3"/>
    <n v="4"/>
    <n v="4"/>
    <n v="3"/>
    <n v="0"/>
    <n v="3"/>
  </r>
  <r>
    <n v="60"/>
    <x v="1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s v="Yes"/>
    <n v="18"/>
    <n v="3"/>
    <n v="2"/>
    <n v="80"/>
    <n v="1"/>
    <n v="12"/>
    <s v="6-15"/>
    <n v="3"/>
    <n v="3"/>
    <n v="11"/>
    <n v="7"/>
    <n v="1"/>
    <n v="9"/>
  </r>
  <r>
    <n v="32"/>
    <x v="1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s v="No"/>
    <n v="20"/>
    <n v="4"/>
    <n v="3"/>
    <n v="80"/>
    <n v="1"/>
    <n v="2"/>
    <s v="0-5"/>
    <n v="2"/>
    <n v="3"/>
    <n v="2"/>
    <n v="2"/>
    <n v="2"/>
    <n v="2"/>
  </r>
  <r>
    <n v="32"/>
    <x v="1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s v="Yes"/>
    <n v="14"/>
    <n v="3"/>
    <n v="4"/>
    <n v="80"/>
    <n v="0"/>
    <n v="10"/>
    <s v="6-15"/>
    <n v="2"/>
    <n v="3"/>
    <n v="8"/>
    <n v="7"/>
    <n v="0"/>
    <n v="7"/>
  </r>
  <r>
    <n v="36"/>
    <x v="1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s v="Yes"/>
    <n v="21"/>
    <n v="4"/>
    <n v="3"/>
    <n v="80"/>
    <n v="1"/>
    <n v="17"/>
    <s v="&gt;15"/>
    <n v="2"/>
    <n v="3"/>
    <n v="7"/>
    <n v="7"/>
    <n v="7"/>
    <n v="7"/>
  </r>
  <r>
    <n v="33"/>
    <x v="1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s v="No"/>
    <n v="13"/>
    <n v="3"/>
    <n v="2"/>
    <n v="80"/>
    <n v="1"/>
    <n v="15"/>
    <s v="6-15"/>
    <n v="5"/>
    <n v="3"/>
    <n v="14"/>
    <n v="10"/>
    <n v="4"/>
    <n v="10"/>
  </r>
  <r>
    <n v="40"/>
    <x v="1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s v="No"/>
    <n v="12"/>
    <n v="3"/>
    <n v="2"/>
    <n v="80"/>
    <n v="1"/>
    <n v="7"/>
    <s v="6-15"/>
    <n v="2"/>
    <n v="4"/>
    <n v="5"/>
    <n v="1"/>
    <n v="1"/>
    <n v="3"/>
  </r>
  <r>
    <n v="25"/>
    <x v="1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s v="No"/>
    <n v="14"/>
    <n v="3"/>
    <n v="2"/>
    <n v="80"/>
    <n v="0"/>
    <n v="5"/>
    <s v="0-5"/>
    <n v="4"/>
    <n v="3"/>
    <n v="4"/>
    <n v="3"/>
    <n v="1"/>
    <n v="1"/>
  </r>
  <r>
    <n v="30"/>
    <x v="1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s v="Yes"/>
    <n v="21"/>
    <n v="4"/>
    <n v="1"/>
    <n v="80"/>
    <n v="1"/>
    <n v="12"/>
    <s v="6-15"/>
    <n v="2"/>
    <n v="3"/>
    <n v="11"/>
    <n v="9"/>
    <n v="5"/>
    <n v="7"/>
  </r>
  <r>
    <n v="42"/>
    <x v="1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s v="Yes"/>
    <n v="17"/>
    <n v="3"/>
    <n v="3"/>
    <n v="80"/>
    <n v="0"/>
    <n v="20"/>
    <s v="&gt;15"/>
    <n v="6"/>
    <n v="3"/>
    <n v="1"/>
    <n v="0"/>
    <n v="0"/>
    <n v="0"/>
  </r>
  <r>
    <n v="35"/>
    <x v="1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s v="Yes"/>
    <n v="11"/>
    <n v="3"/>
    <n v="2"/>
    <n v="80"/>
    <n v="1"/>
    <n v="16"/>
    <s v="&gt;15"/>
    <n v="6"/>
    <n v="2"/>
    <n v="13"/>
    <n v="2"/>
    <n v="4"/>
    <n v="12"/>
  </r>
  <r>
    <n v="27"/>
    <x v="1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s v="Yes"/>
    <n v="14"/>
    <n v="3"/>
    <n v="4"/>
    <n v="80"/>
    <n v="2"/>
    <n v="9"/>
    <s v="6-15"/>
    <n v="3"/>
    <n v="2"/>
    <n v="9"/>
    <n v="7"/>
    <n v="6"/>
    <n v="8"/>
  </r>
  <r>
    <n v="54"/>
    <x v="1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s v="No"/>
    <n v="17"/>
    <n v="3"/>
    <n v="1"/>
    <n v="80"/>
    <n v="1"/>
    <n v="33"/>
    <s v="&gt;15"/>
    <n v="2"/>
    <n v="1"/>
    <n v="5"/>
    <n v="4"/>
    <n v="1"/>
    <n v="4"/>
  </r>
  <r>
    <n v="44"/>
    <x v="1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s v="No"/>
    <n v="13"/>
    <n v="3"/>
    <n v="4"/>
    <n v="80"/>
    <n v="1"/>
    <n v="10"/>
    <s v="6-15"/>
    <n v="5"/>
    <n v="3"/>
    <n v="10"/>
    <n v="5"/>
    <n v="7"/>
    <n v="7"/>
  </r>
  <r>
    <n v="19"/>
    <x v="0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s v="Yes"/>
    <n v="25"/>
    <n v="4"/>
    <n v="2"/>
    <n v="80"/>
    <n v="0"/>
    <n v="1"/>
    <s v="0-5"/>
    <n v="2"/>
    <n v="4"/>
    <n v="1"/>
    <n v="1"/>
    <n v="0"/>
    <n v="0"/>
  </r>
  <r>
    <n v="29"/>
    <x v="1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s v="No"/>
    <n v="15"/>
    <n v="3"/>
    <n v="1"/>
    <n v="80"/>
    <n v="3"/>
    <n v="3"/>
    <s v="0-5"/>
    <n v="5"/>
    <n v="3"/>
    <n v="3"/>
    <n v="2"/>
    <n v="1"/>
    <n v="2"/>
  </r>
  <r>
    <n v="54"/>
    <x v="1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s v="No"/>
    <n v="14"/>
    <n v="3"/>
    <n v="1"/>
    <n v="80"/>
    <n v="0"/>
    <n v="36"/>
    <s v="&gt;15"/>
    <n v="2"/>
    <n v="3"/>
    <n v="10"/>
    <n v="9"/>
    <n v="0"/>
    <n v="9"/>
  </r>
  <r>
    <n v="31"/>
    <x v="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s v="Yes"/>
    <n v="12"/>
    <n v="3"/>
    <n v="4"/>
    <n v="80"/>
    <n v="0"/>
    <n v="6"/>
    <s v="6-15"/>
    <n v="2"/>
    <n v="2"/>
    <n v="6"/>
    <n v="5"/>
    <n v="0"/>
    <n v="1"/>
  </r>
  <r>
    <n v="31"/>
    <x v="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s v="No"/>
    <n v="19"/>
    <n v="3"/>
    <n v="2"/>
    <n v="80"/>
    <n v="0"/>
    <n v="10"/>
    <s v="6-15"/>
    <n v="2"/>
    <n v="3"/>
    <n v="10"/>
    <n v="9"/>
    <n v="1"/>
    <n v="8"/>
  </r>
  <r>
    <n v="59"/>
    <x v="1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s v="No"/>
    <n v="17"/>
    <n v="3"/>
    <n v="4"/>
    <n v="80"/>
    <n v="0"/>
    <n v="13"/>
    <s v="6-15"/>
    <n v="2"/>
    <n v="3"/>
    <n v="6"/>
    <n v="1"/>
    <n v="0"/>
    <n v="5"/>
  </r>
  <r>
    <n v="43"/>
    <x v="1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s v="No"/>
    <n v="14"/>
    <n v="3"/>
    <n v="2"/>
    <n v="80"/>
    <n v="1"/>
    <n v="25"/>
    <s v="&gt;15"/>
    <n v="2"/>
    <n v="3"/>
    <n v="8"/>
    <n v="7"/>
    <n v="0"/>
    <n v="7"/>
  </r>
  <r>
    <n v="49"/>
    <x v="1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s v="No"/>
    <n v="13"/>
    <n v="3"/>
    <n v="3"/>
    <n v="80"/>
    <n v="1"/>
    <n v="23"/>
    <s v="&gt;15"/>
    <n v="2"/>
    <n v="4"/>
    <n v="1"/>
    <n v="0"/>
    <n v="0"/>
    <n v="0"/>
  </r>
  <r>
    <n v="36"/>
    <x v="1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s v="No"/>
    <n v="12"/>
    <n v="3"/>
    <n v="3"/>
    <n v="80"/>
    <n v="0"/>
    <n v="12"/>
    <s v="6-15"/>
    <n v="2"/>
    <n v="2"/>
    <n v="11"/>
    <n v="10"/>
    <n v="0"/>
    <n v="7"/>
  </r>
  <r>
    <n v="48"/>
    <x v="1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s v="No"/>
    <n v="11"/>
    <n v="3"/>
    <n v="3"/>
    <n v="80"/>
    <n v="0"/>
    <n v="7"/>
    <s v="6-15"/>
    <n v="4"/>
    <n v="2"/>
    <n v="1"/>
    <n v="0"/>
    <n v="0"/>
    <n v="0"/>
  </r>
  <r>
    <n v="27"/>
    <x v="1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s v="No"/>
    <n v="11"/>
    <n v="3"/>
    <n v="2"/>
    <n v="80"/>
    <n v="3"/>
    <n v="5"/>
    <s v="0-5"/>
    <n v="2"/>
    <n v="3"/>
    <n v="5"/>
    <n v="3"/>
    <n v="0"/>
    <n v="3"/>
  </r>
  <r>
    <n v="29"/>
    <x v="1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s v="Yes"/>
    <n v="11"/>
    <n v="3"/>
    <n v="2"/>
    <n v="80"/>
    <n v="2"/>
    <n v="6"/>
    <s v="6-15"/>
    <n v="2"/>
    <n v="3"/>
    <n v="6"/>
    <n v="0"/>
    <n v="1"/>
    <n v="0"/>
  </r>
  <r>
    <n v="48"/>
    <x v="1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s v="No"/>
    <n v="12"/>
    <n v="3"/>
    <n v="3"/>
    <n v="80"/>
    <n v="0"/>
    <n v="25"/>
    <s v="&gt;15"/>
    <n v="3"/>
    <n v="4"/>
    <n v="1"/>
    <n v="0"/>
    <n v="0"/>
    <n v="0"/>
  </r>
  <r>
    <n v="29"/>
    <x v="1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s v="No"/>
    <n v="14"/>
    <n v="3"/>
    <n v="2"/>
    <n v="80"/>
    <n v="2"/>
    <n v="9"/>
    <s v="6-15"/>
    <n v="2"/>
    <n v="2"/>
    <n v="7"/>
    <n v="7"/>
    <n v="1"/>
    <n v="7"/>
  </r>
  <r>
    <n v="34"/>
    <x v="1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s v="No"/>
    <n v="17"/>
    <n v="3"/>
    <n v="4"/>
    <n v="80"/>
    <n v="0"/>
    <n v="2"/>
    <s v="0-5"/>
    <n v="5"/>
    <n v="2"/>
    <n v="1"/>
    <n v="0"/>
    <n v="0"/>
    <n v="0"/>
  </r>
  <r>
    <n v="44"/>
    <x v="1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s v="No"/>
    <n v="11"/>
    <n v="3"/>
    <n v="3"/>
    <n v="80"/>
    <n v="1"/>
    <n v="26"/>
    <s v="&gt;15"/>
    <n v="5"/>
    <n v="3"/>
    <n v="22"/>
    <n v="9"/>
    <n v="3"/>
    <n v="10"/>
  </r>
  <r>
    <n v="33"/>
    <x v="1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s v="Yes"/>
    <n v="14"/>
    <n v="3"/>
    <n v="4"/>
    <n v="80"/>
    <n v="2"/>
    <n v="10"/>
    <s v="6-15"/>
    <n v="3"/>
    <n v="3"/>
    <n v="9"/>
    <n v="8"/>
    <n v="0"/>
    <n v="8"/>
  </r>
  <r>
    <n v="19"/>
    <x v="1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s v="Yes"/>
    <n v="12"/>
    <n v="3"/>
    <n v="4"/>
    <n v="80"/>
    <n v="0"/>
    <n v="1"/>
    <s v="0-5"/>
    <n v="2"/>
    <n v="3"/>
    <n v="1"/>
    <n v="0"/>
    <n v="0"/>
    <n v="1"/>
  </r>
  <r>
    <n v="23"/>
    <x v="1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s v="No"/>
    <n v="22"/>
    <n v="4"/>
    <n v="4"/>
    <n v="80"/>
    <n v="1"/>
    <n v="1"/>
    <s v="0-5"/>
    <n v="2"/>
    <n v="3"/>
    <n v="1"/>
    <n v="0"/>
    <n v="0"/>
    <n v="1"/>
  </r>
  <r>
    <n v="25"/>
    <x v="0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s v="Yes"/>
    <n v="14"/>
    <n v="3"/>
    <n v="4"/>
    <n v="80"/>
    <n v="0"/>
    <n v="1"/>
    <s v="0-5"/>
    <n v="4"/>
    <n v="3"/>
    <n v="1"/>
    <n v="0"/>
    <n v="1"/>
    <n v="0"/>
  </r>
  <r>
    <n v="26"/>
    <x v="1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s v="Yes"/>
    <n v="20"/>
    <n v="4"/>
    <n v="2"/>
    <n v="80"/>
    <n v="0"/>
    <n v="8"/>
    <s v="6-15"/>
    <n v="2"/>
    <n v="2"/>
    <n v="8"/>
    <n v="5"/>
    <n v="2"/>
    <n v="2"/>
  </r>
  <r>
    <n v="45"/>
    <x v="0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s v="Yes"/>
    <n v="16"/>
    <n v="3"/>
    <n v="1"/>
    <n v="80"/>
    <n v="0"/>
    <n v="26"/>
    <s v="&gt;15"/>
    <n v="2"/>
    <n v="3"/>
    <n v="24"/>
    <n v="10"/>
    <n v="1"/>
    <n v="11"/>
  </r>
  <r>
    <n v="55"/>
    <x v="1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s v="Yes"/>
    <n v="15"/>
    <n v="3"/>
    <n v="4"/>
    <n v="80"/>
    <n v="1"/>
    <n v="34"/>
    <s v="&gt;15"/>
    <n v="3"/>
    <n v="3"/>
    <n v="33"/>
    <n v="9"/>
    <n v="15"/>
    <n v="0"/>
  </r>
  <r>
    <n v="21"/>
    <x v="0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s v="No"/>
    <n v="20"/>
    <n v="4"/>
    <n v="3"/>
    <n v="80"/>
    <n v="0"/>
    <n v="2"/>
    <s v="0-5"/>
    <n v="2"/>
    <n v="1"/>
    <n v="2"/>
    <n v="2"/>
    <n v="2"/>
    <n v="2"/>
  </r>
  <r>
    <n v="46"/>
    <x v="1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s v="No"/>
    <n v="14"/>
    <n v="3"/>
    <n v="3"/>
    <n v="80"/>
    <n v="1"/>
    <n v="26"/>
    <s v="&gt;15"/>
    <n v="2"/>
    <n v="3"/>
    <n v="11"/>
    <n v="4"/>
    <n v="0"/>
    <n v="8"/>
  </r>
  <r>
    <n v="34"/>
    <x v="1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s v="Yes"/>
    <n v="12"/>
    <n v="3"/>
    <n v="4"/>
    <n v="80"/>
    <n v="0"/>
    <n v="4"/>
    <s v="0-5"/>
    <n v="3"/>
    <n v="3"/>
    <n v="3"/>
    <n v="2"/>
    <n v="0"/>
    <n v="2"/>
  </r>
  <r>
    <n v="51"/>
    <x v="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s v="Yes"/>
    <n v="24"/>
    <n v="4"/>
    <n v="1"/>
    <n v="80"/>
    <n v="1"/>
    <n v="31"/>
    <s v="&gt;15"/>
    <n v="5"/>
    <n v="2"/>
    <n v="29"/>
    <n v="10"/>
    <n v="11"/>
    <n v="10"/>
  </r>
  <r>
    <n v="59"/>
    <x v="1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s v="No"/>
    <n v="12"/>
    <n v="3"/>
    <n v="4"/>
    <n v="80"/>
    <n v="0"/>
    <n v="25"/>
    <s v="&gt;15"/>
    <n v="6"/>
    <n v="2"/>
    <n v="9"/>
    <n v="7"/>
    <n v="5"/>
    <n v="4"/>
  </r>
  <r>
    <n v="34"/>
    <x v="1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s v="No"/>
    <n v="13"/>
    <n v="3"/>
    <n v="3"/>
    <n v="80"/>
    <n v="2"/>
    <n v="15"/>
    <s v="6-15"/>
    <n v="2"/>
    <n v="4"/>
    <n v="11"/>
    <n v="8"/>
    <n v="5"/>
    <n v="10"/>
  </r>
  <r>
    <n v="28"/>
    <x v="1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s v="Yes"/>
    <n v="11"/>
    <n v="3"/>
    <n v="3"/>
    <n v="80"/>
    <n v="0"/>
    <n v="5"/>
    <s v="0-5"/>
    <n v="2"/>
    <n v="2"/>
    <n v="4"/>
    <n v="2"/>
    <n v="0"/>
    <n v="2"/>
  </r>
  <r>
    <n v="44"/>
    <x v="1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s v="No"/>
    <n v="14"/>
    <n v="3"/>
    <n v="4"/>
    <n v="80"/>
    <n v="2"/>
    <n v="26"/>
    <s v="&gt;15"/>
    <n v="4"/>
    <n v="2"/>
    <n v="25"/>
    <n v="9"/>
    <n v="14"/>
    <n v="13"/>
  </r>
  <r>
    <n v="34"/>
    <x v="1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s v="No"/>
    <n v="11"/>
    <n v="3"/>
    <n v="4"/>
    <n v="80"/>
    <n v="2"/>
    <n v="14"/>
    <s v="6-15"/>
    <n v="5"/>
    <n v="4"/>
    <n v="10"/>
    <n v="9"/>
    <n v="1"/>
    <n v="8"/>
  </r>
  <r>
    <n v="35"/>
    <x v="1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s v="Yes"/>
    <n v="14"/>
    <n v="3"/>
    <n v="4"/>
    <n v="80"/>
    <n v="0"/>
    <n v="4"/>
    <s v="0-5"/>
    <n v="3"/>
    <n v="3"/>
    <n v="3"/>
    <n v="2"/>
    <n v="2"/>
    <n v="2"/>
  </r>
  <r>
    <n v="42"/>
    <x v="1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s v="Yes"/>
    <n v="16"/>
    <n v="3"/>
    <n v="4"/>
    <n v="80"/>
    <n v="0"/>
    <n v="18"/>
    <s v="&gt;15"/>
    <n v="2"/>
    <n v="3"/>
    <n v="1"/>
    <n v="0"/>
    <n v="0"/>
    <n v="0"/>
  </r>
  <r>
    <n v="43"/>
    <x v="1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s v="No"/>
    <n v="14"/>
    <n v="3"/>
    <n v="4"/>
    <n v="80"/>
    <n v="0"/>
    <n v="23"/>
    <s v="&gt;15"/>
    <n v="3"/>
    <n v="4"/>
    <n v="21"/>
    <n v="7"/>
    <n v="15"/>
    <n v="17"/>
  </r>
  <r>
    <n v="36"/>
    <x v="1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s v="Yes"/>
    <n v="11"/>
    <n v="3"/>
    <n v="4"/>
    <n v="80"/>
    <n v="0"/>
    <n v="18"/>
    <s v="&gt;15"/>
    <n v="2"/>
    <n v="3"/>
    <n v="16"/>
    <n v="14"/>
    <n v="5"/>
    <n v="12"/>
  </r>
  <r>
    <n v="44"/>
    <x v="0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s v="No"/>
    <n v="11"/>
    <n v="3"/>
    <n v="4"/>
    <n v="80"/>
    <n v="1"/>
    <n v="10"/>
    <s v="6-15"/>
    <n v="2"/>
    <n v="3"/>
    <n v="10"/>
    <n v="7"/>
    <n v="0"/>
    <n v="5"/>
  </r>
  <r>
    <n v="28"/>
    <x v="1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s v="Yes"/>
    <n v="12"/>
    <n v="3"/>
    <n v="2"/>
    <n v="80"/>
    <n v="1"/>
    <n v="2"/>
    <s v="0-5"/>
    <n v="2"/>
    <n v="3"/>
    <n v="2"/>
    <n v="2"/>
    <n v="2"/>
    <n v="2"/>
  </r>
  <r>
    <n v="51"/>
    <x v="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s v="No"/>
    <n v="14"/>
    <n v="3"/>
    <n v="2"/>
    <n v="80"/>
    <n v="0"/>
    <n v="8"/>
    <s v="6-15"/>
    <n v="6"/>
    <n v="2"/>
    <n v="7"/>
    <n v="0"/>
    <n v="7"/>
    <n v="7"/>
  </r>
  <r>
    <n v="30"/>
    <x v="1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s v="Yes"/>
    <n v="18"/>
    <n v="3"/>
    <n v="3"/>
    <n v="80"/>
    <n v="0"/>
    <n v="10"/>
    <s v="6-15"/>
    <n v="3"/>
    <n v="3"/>
    <n v="8"/>
    <n v="4"/>
    <n v="1"/>
    <n v="7"/>
  </r>
  <r>
    <n v="29"/>
    <x v="0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s v="Yes"/>
    <n v="13"/>
    <n v="3"/>
    <n v="1"/>
    <n v="80"/>
    <n v="2"/>
    <n v="10"/>
    <s v="6-15"/>
    <n v="2"/>
    <n v="3"/>
    <n v="7"/>
    <n v="7"/>
    <n v="7"/>
    <n v="7"/>
  </r>
  <r>
    <n v="28"/>
    <x v="1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s v="No"/>
    <n v="11"/>
    <n v="3"/>
    <n v="2"/>
    <n v="80"/>
    <n v="0"/>
    <n v="5"/>
    <s v="0-5"/>
    <n v="2"/>
    <n v="2"/>
    <n v="3"/>
    <n v="2"/>
    <n v="1"/>
    <n v="2"/>
  </r>
  <r>
    <n v="25"/>
    <x v="1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s v="No"/>
    <n v="18"/>
    <n v="3"/>
    <n v="4"/>
    <n v="80"/>
    <n v="0"/>
    <n v="2"/>
    <s v="0-5"/>
    <n v="3"/>
    <n v="2"/>
    <n v="2"/>
    <n v="2"/>
    <n v="2"/>
    <n v="1"/>
  </r>
  <r>
    <n v="32"/>
    <x v="1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s v="No"/>
    <n v="15"/>
    <n v="3"/>
    <n v="3"/>
    <n v="80"/>
    <n v="2"/>
    <n v="10"/>
    <s v="6-15"/>
    <n v="4"/>
    <n v="4"/>
    <n v="10"/>
    <n v="7"/>
    <n v="0"/>
    <n v="8"/>
  </r>
  <r>
    <n v="45"/>
    <x v="1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s v="No"/>
    <n v="22"/>
    <n v="4"/>
    <n v="3"/>
    <n v="80"/>
    <n v="0"/>
    <n v="22"/>
    <s v="&gt;15"/>
    <n v="4"/>
    <n v="3"/>
    <n v="0"/>
    <n v="0"/>
    <n v="0"/>
    <n v="0"/>
  </r>
  <r>
    <n v="39"/>
    <x v="1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s v="Yes"/>
    <n v="13"/>
    <n v="3"/>
    <n v="4"/>
    <n v="80"/>
    <n v="2"/>
    <n v="21"/>
    <s v="&gt;15"/>
    <n v="4"/>
    <n v="3"/>
    <n v="19"/>
    <n v="9"/>
    <n v="15"/>
    <n v="2"/>
  </r>
  <r>
    <n v="58"/>
    <x v="1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s v="No"/>
    <n v="12"/>
    <n v="3"/>
    <n v="4"/>
    <n v="80"/>
    <n v="2"/>
    <n v="2"/>
    <s v="0-5"/>
    <n v="3"/>
    <n v="3"/>
    <n v="2"/>
    <n v="2"/>
    <n v="2"/>
    <n v="2"/>
  </r>
  <r>
    <n v="32"/>
    <x v="0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s v="No"/>
    <n v="18"/>
    <n v="3"/>
    <n v="1"/>
    <n v="80"/>
    <n v="1"/>
    <n v="10"/>
    <s v="6-15"/>
    <n v="3"/>
    <n v="3"/>
    <n v="10"/>
    <n v="4"/>
    <n v="1"/>
    <n v="1"/>
  </r>
  <r>
    <n v="39"/>
    <x v="0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s v="No"/>
    <n v="13"/>
    <n v="3"/>
    <n v="1"/>
    <n v="80"/>
    <n v="0"/>
    <n v="6"/>
    <s v="6-15"/>
    <n v="2"/>
    <n v="3"/>
    <n v="5"/>
    <n v="2"/>
    <n v="0"/>
    <n v="3"/>
  </r>
  <r>
    <n v="30"/>
    <x v="1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s v="No"/>
    <n v="12"/>
    <n v="3"/>
    <n v="1"/>
    <n v="80"/>
    <n v="1"/>
    <n v="10"/>
    <s v="6-15"/>
    <n v="6"/>
    <n v="3"/>
    <n v="9"/>
    <n v="2"/>
    <n v="6"/>
    <n v="7"/>
  </r>
  <r>
    <n v="36"/>
    <x v="1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s v="No"/>
    <n v="12"/>
    <n v="3"/>
    <n v="1"/>
    <n v="80"/>
    <n v="0"/>
    <n v="10"/>
    <s v="6-15"/>
    <n v="0"/>
    <n v="3"/>
    <n v="7"/>
    <n v="7"/>
    <n v="1"/>
    <n v="7"/>
  </r>
  <r>
    <n v="46"/>
    <x v="1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s v="No"/>
    <n v="12"/>
    <n v="3"/>
    <n v="3"/>
    <n v="80"/>
    <n v="0"/>
    <n v="10"/>
    <s v="6-15"/>
    <n v="3"/>
    <n v="4"/>
    <n v="7"/>
    <n v="6"/>
    <n v="5"/>
    <n v="7"/>
  </r>
  <r>
    <n v="28"/>
    <x v="1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s v="No"/>
    <n v="11"/>
    <n v="3"/>
    <n v="1"/>
    <n v="80"/>
    <n v="3"/>
    <n v="10"/>
    <s v="6-15"/>
    <n v="6"/>
    <n v="3"/>
    <n v="9"/>
    <n v="8"/>
    <n v="7"/>
    <n v="5"/>
  </r>
  <r>
    <n v="50"/>
    <x v="1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s v="Yes"/>
    <n v="11"/>
    <n v="3"/>
    <n v="2"/>
    <n v="80"/>
    <n v="0"/>
    <n v="25"/>
    <s v="&gt;15"/>
    <n v="2"/>
    <n v="3"/>
    <n v="3"/>
    <n v="2"/>
    <n v="1"/>
    <n v="2"/>
  </r>
  <r>
    <n v="40"/>
    <x v="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s v="Yes"/>
    <n v="12"/>
    <n v="3"/>
    <n v="3"/>
    <n v="80"/>
    <n v="0"/>
    <n v="9"/>
    <s v="6-15"/>
    <n v="2"/>
    <n v="3"/>
    <n v="5"/>
    <n v="4"/>
    <n v="1"/>
    <n v="0"/>
  </r>
  <r>
    <n v="52"/>
    <x v="0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s v="Yes"/>
    <n v="19"/>
    <n v="3"/>
    <n v="3"/>
    <n v="80"/>
    <n v="0"/>
    <n v="10"/>
    <s v="6-15"/>
    <n v="2"/>
    <n v="2"/>
    <n v="8"/>
    <n v="7"/>
    <n v="7"/>
    <n v="7"/>
  </r>
  <r>
    <n v="30"/>
    <x v="1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s v="Yes"/>
    <n v="23"/>
    <n v="4"/>
    <n v="4"/>
    <n v="80"/>
    <n v="2"/>
    <n v="9"/>
    <s v="6-15"/>
    <n v="2"/>
    <n v="3"/>
    <n v="9"/>
    <n v="1"/>
    <n v="0"/>
    <n v="8"/>
  </r>
  <r>
    <n v="39"/>
    <x v="1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s v="No"/>
    <n v="11"/>
    <n v="3"/>
    <n v="1"/>
    <n v="80"/>
    <n v="0"/>
    <n v="9"/>
    <s v="6-15"/>
    <n v="6"/>
    <n v="3"/>
    <n v="8"/>
    <n v="7"/>
    <n v="1"/>
    <n v="7"/>
  </r>
  <r>
    <n v="31"/>
    <x v="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s v="Yes"/>
    <n v="19"/>
    <n v="3"/>
    <n v="1"/>
    <n v="80"/>
    <n v="1"/>
    <n v="10"/>
    <s v="6-15"/>
    <n v="5"/>
    <n v="2"/>
    <n v="10"/>
    <n v="8"/>
    <n v="9"/>
    <n v="6"/>
  </r>
  <r>
    <n v="41"/>
    <x v="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s v="No"/>
    <n v="13"/>
    <n v="3"/>
    <n v="1"/>
    <n v="80"/>
    <n v="0"/>
    <n v="19"/>
    <s v="&gt;15"/>
    <n v="4"/>
    <n v="3"/>
    <n v="19"/>
    <n v="2"/>
    <n v="11"/>
    <n v="9"/>
  </r>
  <r>
    <n v="31"/>
    <x v="0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s v="Yes"/>
    <n v="11"/>
    <n v="3"/>
    <n v="1"/>
    <n v="80"/>
    <n v="0"/>
    <n v="3"/>
    <s v="0-5"/>
    <n v="2"/>
    <n v="4"/>
    <n v="3"/>
    <n v="2"/>
    <n v="2"/>
    <n v="2"/>
  </r>
  <r>
    <n v="44"/>
    <x v="0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s v="No"/>
    <n v="12"/>
    <n v="3"/>
    <n v="3"/>
    <n v="80"/>
    <n v="0"/>
    <n v="10"/>
    <s v="6-15"/>
    <n v="4"/>
    <n v="4"/>
    <n v="3"/>
    <n v="2"/>
    <n v="1"/>
    <n v="2"/>
  </r>
  <r>
    <n v="42"/>
    <x v="1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s v="Yes"/>
    <n v="13"/>
    <n v="3"/>
    <n v="4"/>
    <n v="80"/>
    <n v="0"/>
    <n v="21"/>
    <s v="&gt;15"/>
    <n v="3"/>
    <n v="2"/>
    <n v="20"/>
    <n v="8"/>
    <n v="2"/>
    <n v="10"/>
  </r>
  <r>
    <n v="55"/>
    <x v="1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s v="No"/>
    <n v="14"/>
    <n v="3"/>
    <n v="4"/>
    <n v="80"/>
    <n v="1"/>
    <n v="23"/>
    <s v="&gt;15"/>
    <n v="5"/>
    <n v="3"/>
    <n v="19"/>
    <n v="9"/>
    <n v="9"/>
    <n v="11"/>
  </r>
  <r>
    <n v="56"/>
    <x v="1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s v="No"/>
    <n v="14"/>
    <n v="3"/>
    <n v="1"/>
    <n v="80"/>
    <n v="0"/>
    <n v="36"/>
    <s v="&gt;15"/>
    <n v="4"/>
    <n v="3"/>
    <n v="7"/>
    <n v="3"/>
    <n v="7"/>
    <n v="7"/>
  </r>
  <r>
    <n v="40"/>
    <x v="1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s v="No"/>
    <n v="16"/>
    <n v="3"/>
    <n v="2"/>
    <n v="80"/>
    <n v="1"/>
    <n v="6"/>
    <s v="6-15"/>
    <n v="0"/>
    <n v="3"/>
    <n v="4"/>
    <n v="2"/>
    <n v="0"/>
    <n v="0"/>
  </r>
  <r>
    <n v="34"/>
    <x v="1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s v="No"/>
    <n v="11"/>
    <n v="3"/>
    <n v="4"/>
    <n v="80"/>
    <n v="1"/>
    <n v="10"/>
    <s v="6-15"/>
    <n v="0"/>
    <n v="2"/>
    <n v="9"/>
    <n v="7"/>
    <n v="1"/>
    <n v="6"/>
  </r>
  <r>
    <n v="40"/>
    <x v="1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s v="No"/>
    <n v="13"/>
    <n v="3"/>
    <n v="3"/>
    <n v="80"/>
    <n v="0"/>
    <n v="9"/>
    <s v="6-15"/>
    <n v="4"/>
    <n v="3"/>
    <n v="9"/>
    <n v="8"/>
    <n v="8"/>
    <n v="8"/>
  </r>
  <r>
    <n v="41"/>
    <x v="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s v="No"/>
    <n v="17"/>
    <n v="3"/>
    <n v="4"/>
    <n v="80"/>
    <n v="1"/>
    <n v="10"/>
    <s v="6-15"/>
    <n v="2"/>
    <n v="3"/>
    <n v="9"/>
    <n v="3"/>
    <n v="1"/>
    <n v="7"/>
  </r>
  <r>
    <n v="35"/>
    <x v="1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s v="Yes"/>
    <n v="11"/>
    <n v="3"/>
    <n v="2"/>
    <n v="80"/>
    <n v="0"/>
    <n v="9"/>
    <s v="6-15"/>
    <n v="3"/>
    <n v="3"/>
    <n v="9"/>
    <n v="6"/>
    <n v="1"/>
    <n v="1"/>
  </r>
  <r>
    <n v="51"/>
    <x v="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s v="Yes"/>
    <n v="11"/>
    <n v="3"/>
    <n v="2"/>
    <n v="80"/>
    <n v="1"/>
    <n v="33"/>
    <s v="&gt;15"/>
    <n v="2"/>
    <n v="3"/>
    <n v="33"/>
    <n v="9"/>
    <n v="0"/>
    <n v="10"/>
  </r>
  <r>
    <n v="38"/>
    <x v="1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s v="No"/>
    <n v="15"/>
    <n v="3"/>
    <n v="4"/>
    <n v="80"/>
    <n v="1"/>
    <n v="11"/>
    <s v="6-15"/>
    <n v="3"/>
    <n v="3"/>
    <n v="7"/>
    <n v="7"/>
    <n v="1"/>
    <n v="7"/>
  </r>
  <r>
    <n v="34"/>
    <x v="1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s v="No"/>
    <n v="12"/>
    <n v="3"/>
    <n v="4"/>
    <n v="80"/>
    <n v="0"/>
    <n v="10"/>
    <s v="6-15"/>
    <n v="6"/>
    <n v="4"/>
    <n v="10"/>
    <n v="8"/>
    <n v="9"/>
    <n v="6"/>
  </r>
  <r>
    <n v="25"/>
    <x v="1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s v="No"/>
    <n v="11"/>
    <n v="3"/>
    <n v="3"/>
    <n v="80"/>
    <n v="3"/>
    <n v="7"/>
    <s v="6-15"/>
    <n v="6"/>
    <n v="2"/>
    <n v="3"/>
    <n v="2"/>
    <n v="1"/>
    <n v="2"/>
  </r>
  <r>
    <n v="58"/>
    <x v="0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s v="Yes"/>
    <n v="14"/>
    <n v="3"/>
    <n v="4"/>
    <n v="80"/>
    <n v="0"/>
    <n v="31"/>
    <s v="&gt;15"/>
    <n v="0"/>
    <n v="2"/>
    <n v="10"/>
    <n v="9"/>
    <n v="5"/>
    <n v="9"/>
  </r>
  <r>
    <n v="40"/>
    <x v="1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s v="No"/>
    <n v="22"/>
    <n v="4"/>
    <n v="3"/>
    <n v="80"/>
    <n v="1"/>
    <n v="7"/>
    <s v="6-15"/>
    <n v="3"/>
    <n v="3"/>
    <n v="4"/>
    <n v="2"/>
    <n v="0"/>
    <n v="3"/>
  </r>
  <r>
    <n v="36"/>
    <x v="1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s v="No"/>
    <n v="16"/>
    <n v="3"/>
    <n v="4"/>
    <n v="80"/>
    <n v="1"/>
    <n v="17"/>
    <s v="&gt;15"/>
    <n v="2"/>
    <n v="2"/>
    <n v="15"/>
    <n v="7"/>
    <n v="6"/>
    <n v="13"/>
  </r>
  <r>
    <n v="48"/>
    <x v="1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s v="No"/>
    <n v="11"/>
    <n v="3"/>
    <n v="3"/>
    <n v="80"/>
    <n v="0"/>
    <n v="11"/>
    <s v="6-15"/>
    <n v="2"/>
    <n v="3"/>
    <n v="10"/>
    <n v="9"/>
    <n v="0"/>
    <n v="8"/>
  </r>
  <r>
    <n v="27"/>
    <x v="1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s v="No"/>
    <n v="14"/>
    <n v="3"/>
    <n v="2"/>
    <n v="80"/>
    <n v="1"/>
    <n v="5"/>
    <s v="0-5"/>
    <n v="4"/>
    <n v="3"/>
    <n v="1"/>
    <n v="0"/>
    <n v="0"/>
    <n v="0"/>
  </r>
  <r>
    <n v="51"/>
    <x v="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s v="No"/>
    <n v="16"/>
    <n v="3"/>
    <n v="2"/>
    <n v="80"/>
    <n v="0"/>
    <n v="29"/>
    <s v="&gt;15"/>
    <n v="1"/>
    <n v="2"/>
    <n v="5"/>
    <n v="2"/>
    <n v="0"/>
    <n v="3"/>
  </r>
  <r>
    <n v="18"/>
    <x v="1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s v="No"/>
    <n v="15"/>
    <n v="3"/>
    <n v="3"/>
    <n v="80"/>
    <n v="0"/>
    <n v="0"/>
    <s v="0-5"/>
    <n v="5"/>
    <n v="4"/>
    <n v="0"/>
    <n v="0"/>
    <n v="0"/>
    <n v="0"/>
  </r>
  <r>
    <n v="35"/>
    <x v="1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s v="No"/>
    <n v="12"/>
    <n v="3"/>
    <n v="2"/>
    <n v="80"/>
    <n v="1"/>
    <n v="10"/>
    <s v="6-15"/>
    <n v="0"/>
    <n v="3"/>
    <n v="9"/>
    <n v="7"/>
    <n v="0"/>
    <n v="0"/>
  </r>
  <r>
    <n v="27"/>
    <x v="1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s v="No"/>
    <n v="20"/>
    <n v="4"/>
    <n v="2"/>
    <n v="80"/>
    <n v="0"/>
    <n v="8"/>
    <s v="6-15"/>
    <n v="3"/>
    <n v="3"/>
    <n v="6"/>
    <n v="2"/>
    <n v="0"/>
    <n v="0"/>
  </r>
  <r>
    <n v="55"/>
    <x v="0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s v="Yes"/>
    <n v="17"/>
    <n v="3"/>
    <n v="3"/>
    <n v="80"/>
    <n v="0"/>
    <n v="24"/>
    <s v="&gt;15"/>
    <n v="2"/>
    <n v="2"/>
    <n v="19"/>
    <n v="7"/>
    <n v="3"/>
    <n v="8"/>
  </r>
  <r>
    <n v="56"/>
    <x v="1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s v="Yes"/>
    <n v="12"/>
    <n v="3"/>
    <n v="1"/>
    <n v="80"/>
    <n v="1"/>
    <n v="33"/>
    <s v="&gt;15"/>
    <n v="0"/>
    <n v="3"/>
    <n v="19"/>
    <n v="16"/>
    <n v="15"/>
    <n v="9"/>
  </r>
  <r>
    <n v="34"/>
    <x v="1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s v="No"/>
    <n v="20"/>
    <n v="4"/>
    <n v="3"/>
    <n v="80"/>
    <n v="3"/>
    <n v="5"/>
    <s v="0-5"/>
    <n v="2"/>
    <n v="3"/>
    <n v="5"/>
    <n v="4"/>
    <n v="0"/>
    <n v="0"/>
  </r>
  <r>
    <n v="40"/>
    <x v="1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s v="No"/>
    <n v="20"/>
    <n v="4"/>
    <n v="2"/>
    <n v="80"/>
    <n v="3"/>
    <n v="15"/>
    <s v="6-15"/>
    <n v="0"/>
    <n v="3"/>
    <n v="12"/>
    <n v="11"/>
    <n v="11"/>
    <n v="8"/>
  </r>
  <r>
    <n v="34"/>
    <x v="1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s v="No"/>
    <n v="13"/>
    <n v="3"/>
    <n v="1"/>
    <n v="80"/>
    <n v="2"/>
    <n v="10"/>
    <s v="6-15"/>
    <n v="1"/>
    <n v="3"/>
    <n v="8"/>
    <n v="7"/>
    <n v="7"/>
    <n v="7"/>
  </r>
  <r>
    <n v="31"/>
    <x v="0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s v="No"/>
    <n v="14"/>
    <n v="3"/>
    <n v="3"/>
    <n v="80"/>
    <n v="0"/>
    <n v="3"/>
    <s v="0-5"/>
    <n v="3"/>
    <n v="4"/>
    <n v="1"/>
    <n v="0"/>
    <n v="0"/>
    <n v="0"/>
  </r>
  <r>
    <n v="35"/>
    <x v="0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s v="Yes"/>
    <n v="18"/>
    <n v="3"/>
    <n v="3"/>
    <n v="80"/>
    <n v="1"/>
    <n v="5"/>
    <s v="0-5"/>
    <n v="0"/>
    <n v="2"/>
    <n v="4"/>
    <n v="2"/>
    <n v="3"/>
    <n v="2"/>
  </r>
  <r>
    <n v="38"/>
    <x v="1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s v="No"/>
    <n v="11"/>
    <n v="3"/>
    <n v="4"/>
    <n v="80"/>
    <n v="3"/>
    <n v="4"/>
    <s v="0-5"/>
    <n v="2"/>
    <n v="3"/>
    <n v="4"/>
    <n v="2"/>
    <n v="0"/>
    <n v="3"/>
  </r>
  <r>
    <n v="34"/>
    <x v="1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s v="No"/>
    <n v="11"/>
    <n v="3"/>
    <n v="4"/>
    <n v="80"/>
    <n v="0"/>
    <n v="14"/>
    <s v="6-15"/>
    <n v="2"/>
    <n v="4"/>
    <n v="14"/>
    <n v="11"/>
    <n v="4"/>
    <n v="11"/>
  </r>
  <r>
    <n v="28"/>
    <x v="1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s v="No"/>
    <n v="11"/>
    <n v="3"/>
    <n v="3"/>
    <n v="80"/>
    <n v="1"/>
    <n v="5"/>
    <s v="0-5"/>
    <n v="0"/>
    <n v="3"/>
    <n v="5"/>
    <n v="3"/>
    <n v="0"/>
    <n v="4"/>
  </r>
  <r>
    <n v="31"/>
    <x v="0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s v="Yes"/>
    <n v="15"/>
    <n v="3"/>
    <n v="4"/>
    <n v="80"/>
    <n v="2"/>
    <n v="10"/>
    <s v="6-15"/>
    <n v="3"/>
    <n v="2"/>
    <n v="10"/>
    <n v="2"/>
    <n v="6"/>
    <n v="7"/>
  </r>
  <r>
    <n v="39"/>
    <x v="1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s v="Yes"/>
    <n v="12"/>
    <n v="3"/>
    <n v="4"/>
    <n v="80"/>
    <n v="2"/>
    <n v="8"/>
    <s v="6-15"/>
    <n v="2"/>
    <n v="4"/>
    <n v="5"/>
    <n v="4"/>
    <n v="1"/>
    <n v="4"/>
  </r>
  <r>
    <n v="51"/>
    <x v="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s v="No"/>
    <n v="11"/>
    <n v="3"/>
    <n v="2"/>
    <n v="80"/>
    <n v="0"/>
    <n v="14"/>
    <s v="6-15"/>
    <n v="5"/>
    <n v="3"/>
    <n v="4"/>
    <n v="2"/>
    <n v="3"/>
    <n v="2"/>
  </r>
  <r>
    <n v="41"/>
    <x v="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s v="Yes"/>
    <n v="14"/>
    <n v="3"/>
    <n v="1"/>
    <n v="80"/>
    <n v="2"/>
    <n v="12"/>
    <s v="6-15"/>
    <n v="4"/>
    <n v="2"/>
    <n v="6"/>
    <n v="2"/>
    <n v="3"/>
    <n v="3"/>
  </r>
  <r>
    <n v="37"/>
    <x v="1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s v="Yes"/>
    <n v="15"/>
    <n v="3"/>
    <n v="4"/>
    <n v="80"/>
    <n v="0"/>
    <n v="8"/>
    <s v="6-15"/>
    <n v="2"/>
    <n v="3"/>
    <n v="6"/>
    <n v="4"/>
    <n v="1"/>
    <n v="3"/>
  </r>
  <r>
    <n v="33"/>
    <x v="1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s v="No"/>
    <n v="13"/>
    <n v="3"/>
    <n v="1"/>
    <n v="80"/>
    <n v="0"/>
    <n v="8"/>
    <s v="6-15"/>
    <n v="2"/>
    <n v="4"/>
    <n v="5"/>
    <n v="4"/>
    <n v="1"/>
    <n v="2"/>
  </r>
  <r>
    <n v="32"/>
    <x v="1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s v="Yes"/>
    <n v="13"/>
    <n v="3"/>
    <n v="1"/>
    <n v="80"/>
    <n v="3"/>
    <n v="4"/>
    <s v="0-5"/>
    <n v="3"/>
    <n v="2"/>
    <n v="3"/>
    <n v="2"/>
    <n v="1"/>
    <n v="2"/>
  </r>
  <r>
    <n v="39"/>
    <x v="1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s v="No"/>
    <n v="21"/>
    <n v="4"/>
    <n v="2"/>
    <n v="80"/>
    <n v="1"/>
    <n v="13"/>
    <s v="6-15"/>
    <n v="2"/>
    <n v="3"/>
    <n v="6"/>
    <n v="4"/>
    <n v="0"/>
    <n v="5"/>
  </r>
  <r>
    <n v="25"/>
    <x v="1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s v="No"/>
    <n v="11"/>
    <n v="3"/>
    <n v="2"/>
    <n v="80"/>
    <n v="0"/>
    <n v="6"/>
    <s v="6-15"/>
    <n v="3"/>
    <n v="2"/>
    <n v="3"/>
    <n v="2"/>
    <n v="1"/>
    <n v="2"/>
  </r>
  <r>
    <n v="52"/>
    <x v="1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s v="Yes"/>
    <n v="11"/>
    <n v="3"/>
    <n v="2"/>
    <n v="80"/>
    <n v="1"/>
    <n v="24"/>
    <s v="&gt;15"/>
    <n v="3"/>
    <n v="2"/>
    <n v="5"/>
    <n v="3"/>
    <n v="0"/>
    <n v="2"/>
  </r>
  <r>
    <n v="43"/>
    <x v="1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s v="Yes"/>
    <n v="14"/>
    <n v="3"/>
    <n v="1"/>
    <n v="80"/>
    <n v="0"/>
    <n v="20"/>
    <s v="&gt;15"/>
    <n v="3"/>
    <n v="1"/>
    <n v="20"/>
    <n v="7"/>
    <n v="1"/>
    <n v="8"/>
  </r>
  <r>
    <n v="27"/>
    <x v="1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s v="Yes"/>
    <n v="11"/>
    <n v="3"/>
    <n v="4"/>
    <n v="80"/>
    <n v="0"/>
    <n v="6"/>
    <s v="6-15"/>
    <n v="3"/>
    <n v="3"/>
    <n v="6"/>
    <n v="2"/>
    <n v="4"/>
    <n v="4"/>
  </r>
  <r>
    <n v="27"/>
    <x v="0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s v="Yes"/>
    <n v="13"/>
    <n v="3"/>
    <n v="4"/>
    <n v="80"/>
    <n v="0"/>
    <n v="8"/>
    <s v="6-15"/>
    <n v="2"/>
    <n v="3"/>
    <n v="8"/>
    <n v="2"/>
    <n v="7"/>
    <n v="7"/>
  </r>
  <r>
    <n v="26"/>
    <x v="1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s v="No"/>
    <n v="12"/>
    <n v="3"/>
    <n v="4"/>
    <n v="80"/>
    <n v="0"/>
    <n v="5"/>
    <s v="0-5"/>
    <n v="2"/>
    <n v="3"/>
    <n v="4"/>
    <n v="3"/>
    <n v="1"/>
    <n v="1"/>
  </r>
  <r>
    <n v="42"/>
    <x v="1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s v="No"/>
    <n v="14"/>
    <n v="3"/>
    <n v="3"/>
    <n v="80"/>
    <n v="1"/>
    <n v="21"/>
    <s v="&gt;15"/>
    <n v="5"/>
    <n v="3"/>
    <n v="20"/>
    <n v="7"/>
    <n v="0"/>
    <n v="9"/>
  </r>
  <r>
    <n v="52"/>
    <x v="1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s v="No"/>
    <n v="13"/>
    <n v="3"/>
    <n v="3"/>
    <n v="80"/>
    <n v="0"/>
    <n v="12"/>
    <s v="6-15"/>
    <n v="2"/>
    <n v="1"/>
    <n v="5"/>
    <n v="4"/>
    <n v="0"/>
    <n v="4"/>
  </r>
  <r>
    <n v="37"/>
    <x v="1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s v="No"/>
    <n v="18"/>
    <n v="3"/>
    <n v="1"/>
    <n v="80"/>
    <n v="0"/>
    <n v="8"/>
    <s v="6-15"/>
    <n v="6"/>
    <n v="3"/>
    <n v="3"/>
    <n v="2"/>
    <n v="0"/>
    <n v="2"/>
  </r>
  <r>
    <n v="35"/>
    <x v="1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s v="No"/>
    <n v="11"/>
    <n v="3"/>
    <n v="3"/>
    <n v="80"/>
    <n v="0"/>
    <n v="10"/>
    <s v="6-15"/>
    <n v="2"/>
    <n v="3"/>
    <n v="2"/>
    <n v="2"/>
    <n v="2"/>
    <n v="2"/>
  </r>
  <r>
    <n v="25"/>
    <x v="1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s v="No"/>
    <n v="11"/>
    <n v="3"/>
    <n v="2"/>
    <n v="80"/>
    <n v="1"/>
    <n v="7"/>
    <s v="6-15"/>
    <n v="2"/>
    <n v="2"/>
    <n v="3"/>
    <n v="2"/>
    <n v="0"/>
    <n v="2"/>
  </r>
  <r>
    <n v="26"/>
    <x v="1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s v="No"/>
    <n v="12"/>
    <n v="3"/>
    <n v="4"/>
    <n v="80"/>
    <n v="0"/>
    <n v="8"/>
    <s v="6-15"/>
    <n v="2"/>
    <n v="3"/>
    <n v="7"/>
    <n v="7"/>
    <n v="0"/>
    <n v="7"/>
  </r>
  <r>
    <n v="29"/>
    <x v="1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s v="No"/>
    <n v="13"/>
    <n v="3"/>
    <n v="1"/>
    <n v="80"/>
    <n v="0"/>
    <n v="10"/>
    <s v="6-15"/>
    <n v="3"/>
    <n v="2"/>
    <n v="10"/>
    <n v="9"/>
    <n v="0"/>
    <n v="9"/>
  </r>
  <r>
    <n v="49"/>
    <x v="0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s v="No"/>
    <n v="20"/>
    <n v="4"/>
    <n v="1"/>
    <n v="80"/>
    <n v="0"/>
    <n v="20"/>
    <s v="&gt;15"/>
    <n v="2"/>
    <n v="3"/>
    <n v="4"/>
    <n v="3"/>
    <n v="1"/>
    <n v="3"/>
  </r>
  <r>
    <n v="29"/>
    <x v="0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s v="Yes"/>
    <n v="12"/>
    <n v="3"/>
    <n v="1"/>
    <n v="80"/>
    <n v="0"/>
    <n v="9"/>
    <s v="6-15"/>
    <n v="1"/>
    <n v="3"/>
    <n v="8"/>
    <n v="7"/>
    <n v="7"/>
    <n v="7"/>
  </r>
  <r>
    <n v="54"/>
    <x v="1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s v="No"/>
    <n v="19"/>
    <n v="3"/>
    <n v="4"/>
    <n v="80"/>
    <n v="0"/>
    <n v="29"/>
    <s v="&gt;15"/>
    <n v="3"/>
    <n v="2"/>
    <n v="20"/>
    <n v="7"/>
    <n v="12"/>
    <n v="7"/>
  </r>
  <r>
    <n v="58"/>
    <x v="1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s v="Yes"/>
    <n v="21"/>
    <n v="4"/>
    <n v="3"/>
    <n v="80"/>
    <n v="1"/>
    <n v="32"/>
    <s v="&gt;15"/>
    <n v="3"/>
    <n v="3"/>
    <n v="9"/>
    <n v="8"/>
    <n v="1"/>
    <n v="5"/>
  </r>
  <r>
    <n v="55"/>
    <x v="1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s v="No"/>
    <n v="13"/>
    <n v="3"/>
    <n v="4"/>
    <n v="80"/>
    <n v="2"/>
    <n v="31"/>
    <s v="&gt;15"/>
    <n v="4"/>
    <n v="4"/>
    <n v="7"/>
    <n v="7"/>
    <n v="0"/>
    <n v="0"/>
  </r>
  <r>
    <n v="36"/>
    <x v="1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s v="Yes"/>
    <n v="16"/>
    <n v="3"/>
    <n v="4"/>
    <n v="80"/>
    <n v="0"/>
    <n v="15"/>
    <s v="6-15"/>
    <n v="3"/>
    <n v="3"/>
    <n v="5"/>
    <n v="4"/>
    <n v="0"/>
    <n v="1"/>
  </r>
  <r>
    <n v="31"/>
    <x v="0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s v="No"/>
    <n v="12"/>
    <n v="3"/>
    <n v="2"/>
    <n v="80"/>
    <n v="0"/>
    <n v="1"/>
    <s v="0-5"/>
    <n v="3"/>
    <n v="3"/>
    <n v="1"/>
    <n v="0"/>
    <n v="0"/>
    <n v="0"/>
  </r>
  <r>
    <n v="30"/>
    <x v="1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s v="No"/>
    <n v="14"/>
    <n v="3"/>
    <n v="2"/>
    <n v="80"/>
    <n v="2"/>
    <n v="8"/>
    <s v="6-15"/>
    <n v="3"/>
    <n v="3"/>
    <n v="3"/>
    <n v="2"/>
    <n v="0"/>
    <n v="2"/>
  </r>
  <r>
    <n v="31"/>
    <x v="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s v="No"/>
    <n v="11"/>
    <n v="3"/>
    <n v="3"/>
    <n v="80"/>
    <n v="0"/>
    <n v="9"/>
    <s v="6-15"/>
    <n v="3"/>
    <n v="4"/>
    <n v="3"/>
    <n v="2"/>
    <n v="1"/>
    <n v="0"/>
  </r>
  <r>
    <n v="34"/>
    <x v="1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s v="No"/>
    <n v="14"/>
    <n v="3"/>
    <n v="3"/>
    <n v="80"/>
    <n v="2"/>
    <n v="10"/>
    <s v="6-15"/>
    <n v="2"/>
    <n v="3"/>
    <n v="4"/>
    <n v="3"/>
    <n v="1"/>
    <n v="3"/>
  </r>
  <r>
    <n v="31"/>
    <x v="0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s v="No"/>
    <n v="12"/>
    <n v="3"/>
    <n v="3"/>
    <n v="80"/>
    <n v="0"/>
    <n v="1"/>
    <s v="0-5"/>
    <n v="3"/>
    <n v="4"/>
    <n v="1"/>
    <n v="0"/>
    <n v="0"/>
    <n v="0"/>
  </r>
  <r>
    <n v="27"/>
    <x v="1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s v="No"/>
    <n v="14"/>
    <n v="3"/>
    <n v="2"/>
    <n v="80"/>
    <n v="0"/>
    <n v="6"/>
    <s v="6-15"/>
    <n v="3"/>
    <n v="4"/>
    <n v="5"/>
    <n v="0"/>
    <n v="1"/>
    <n v="4"/>
  </r>
  <r>
    <n v="36"/>
    <x v="1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s v="No"/>
    <n v="16"/>
    <n v="3"/>
    <n v="3"/>
    <n v="80"/>
    <n v="0"/>
    <n v="10"/>
    <s v="6-15"/>
    <n v="2"/>
    <n v="2"/>
    <n v="10"/>
    <n v="4"/>
    <n v="1"/>
    <n v="8"/>
  </r>
  <r>
    <n v="36"/>
    <x v="1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s v="No"/>
    <n v="13"/>
    <n v="3"/>
    <n v="1"/>
    <n v="80"/>
    <n v="2"/>
    <n v="11"/>
    <s v="6-15"/>
    <n v="3"/>
    <n v="2"/>
    <n v="3"/>
    <n v="2"/>
    <n v="0"/>
    <n v="2"/>
  </r>
  <r>
    <n v="47"/>
    <x v="1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s v="No"/>
    <n v="12"/>
    <n v="3"/>
    <n v="3"/>
    <n v="80"/>
    <n v="1"/>
    <n v="17"/>
    <s v="&gt;15"/>
    <n v="2"/>
    <n v="2"/>
    <n v="6"/>
    <n v="5"/>
    <n v="1"/>
    <n v="2"/>
  </r>
  <r>
    <n v="25"/>
    <x v="0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s v="No"/>
    <n v="12"/>
    <n v="3"/>
    <n v="1"/>
    <n v="80"/>
    <n v="0"/>
    <n v="6"/>
    <s v="6-15"/>
    <n v="2"/>
    <n v="3"/>
    <n v="3"/>
    <n v="2"/>
    <n v="2"/>
    <n v="2"/>
  </r>
  <r>
    <n v="37"/>
    <x v="1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s v="No"/>
    <n v="14"/>
    <n v="3"/>
    <n v="1"/>
    <n v="80"/>
    <n v="0"/>
    <n v="7"/>
    <s v="6-15"/>
    <n v="2"/>
    <n v="1"/>
    <n v="6"/>
    <n v="5"/>
    <n v="1"/>
    <n v="3"/>
  </r>
  <r>
    <n v="56"/>
    <x v="1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s v="No"/>
    <n v="22"/>
    <n v="4"/>
    <n v="4"/>
    <n v="80"/>
    <n v="1"/>
    <n v="5"/>
    <s v="0-5"/>
    <n v="3"/>
    <n v="4"/>
    <n v="3"/>
    <n v="2"/>
    <n v="1"/>
    <n v="0"/>
  </r>
  <r>
    <n v="47"/>
    <x v="1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s v="No"/>
    <n v="19"/>
    <n v="3"/>
    <n v="2"/>
    <n v="80"/>
    <n v="2"/>
    <n v="26"/>
    <s v="&gt;15"/>
    <n v="2"/>
    <n v="4"/>
    <n v="20"/>
    <n v="17"/>
    <n v="5"/>
    <n v="6"/>
  </r>
  <r>
    <n v="24"/>
    <x v="1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s v="Yes"/>
    <n v="12"/>
    <n v="3"/>
    <n v="3"/>
    <n v="80"/>
    <n v="2"/>
    <n v="5"/>
    <s v="0-5"/>
    <n v="3"/>
    <n v="3"/>
    <n v="5"/>
    <n v="4"/>
    <n v="0"/>
    <n v="3"/>
  </r>
  <r>
    <n v="32"/>
    <x v="1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s v="No"/>
    <n v="12"/>
    <n v="3"/>
    <n v="3"/>
    <n v="80"/>
    <n v="1"/>
    <n v="7"/>
    <s v="6-15"/>
    <n v="3"/>
    <n v="2"/>
    <n v="4"/>
    <n v="3"/>
    <n v="0"/>
    <n v="3"/>
  </r>
  <r>
    <n v="34"/>
    <x v="1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s v="No"/>
    <n v="17"/>
    <n v="3"/>
    <n v="1"/>
    <n v="80"/>
    <n v="1"/>
    <n v="7"/>
    <s v="6-15"/>
    <n v="2"/>
    <n v="2"/>
    <n v="5"/>
    <n v="4"/>
    <n v="0"/>
    <n v="2"/>
  </r>
  <r>
    <n v="41"/>
    <x v="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s v="Yes"/>
    <n v="12"/>
    <n v="3"/>
    <n v="1"/>
    <n v="80"/>
    <n v="0"/>
    <n v="7"/>
    <s v="6-15"/>
    <n v="5"/>
    <n v="2"/>
    <n v="4"/>
    <n v="2"/>
    <n v="0"/>
    <n v="3"/>
  </r>
  <r>
    <n v="40"/>
    <x v="1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s v="No"/>
    <n v="11"/>
    <n v="3"/>
    <n v="3"/>
    <n v="80"/>
    <n v="2"/>
    <n v="11"/>
    <s v="6-15"/>
    <n v="2"/>
    <n v="4"/>
    <n v="8"/>
    <n v="7"/>
    <n v="0"/>
    <n v="7"/>
  </r>
  <r>
    <n v="31"/>
    <x v="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s v="No"/>
    <n v="18"/>
    <n v="3"/>
    <n v="1"/>
    <n v="80"/>
    <n v="1"/>
    <n v="13"/>
    <s v="6-15"/>
    <n v="5"/>
    <n v="3"/>
    <n v="13"/>
    <n v="7"/>
    <n v="9"/>
    <n v="9"/>
  </r>
  <r>
    <n v="46"/>
    <x v="0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s v="No"/>
    <n v="11"/>
    <n v="3"/>
    <n v="1"/>
    <n v="80"/>
    <n v="1"/>
    <n v="28"/>
    <s v="&gt;15"/>
    <n v="1"/>
    <n v="4"/>
    <n v="7"/>
    <n v="7"/>
    <n v="4"/>
    <n v="3"/>
  </r>
  <r>
    <n v="39"/>
    <x v="0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s v="Yes"/>
    <n v="23"/>
    <n v="4"/>
    <n v="2"/>
    <n v="80"/>
    <n v="0"/>
    <n v="11"/>
    <s v="6-15"/>
    <n v="2"/>
    <n v="4"/>
    <n v="1"/>
    <n v="0"/>
    <n v="0"/>
    <n v="0"/>
  </r>
  <r>
    <n v="31"/>
    <x v="0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s v="No"/>
    <n v="11"/>
    <n v="3"/>
    <n v="1"/>
    <n v="80"/>
    <n v="0"/>
    <n v="10"/>
    <s v="6-15"/>
    <n v="2"/>
    <n v="3"/>
    <n v="10"/>
    <n v="8"/>
    <n v="4"/>
    <n v="7"/>
  </r>
  <r>
    <n v="45"/>
    <x v="1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s v="Yes"/>
    <n v="18"/>
    <n v="3"/>
    <n v="2"/>
    <n v="80"/>
    <n v="1"/>
    <n v="24"/>
    <s v="&gt;15"/>
    <n v="2"/>
    <n v="3"/>
    <n v="7"/>
    <n v="7"/>
    <n v="0"/>
    <n v="7"/>
  </r>
  <r>
    <n v="31"/>
    <x v="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s v="No"/>
    <n v="18"/>
    <n v="3"/>
    <n v="4"/>
    <n v="80"/>
    <n v="0"/>
    <n v="8"/>
    <s v="6-15"/>
    <n v="3"/>
    <n v="3"/>
    <n v="3"/>
    <n v="2"/>
    <n v="0"/>
    <n v="2"/>
  </r>
  <r>
    <n v="31"/>
    <x v="0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s v="Yes"/>
    <n v="13"/>
    <n v="3"/>
    <n v="3"/>
    <n v="80"/>
    <n v="1"/>
    <n v="7"/>
    <s v="6-15"/>
    <n v="2"/>
    <n v="1"/>
    <n v="2"/>
    <n v="2"/>
    <n v="2"/>
    <n v="2"/>
  </r>
  <r>
    <n v="45"/>
    <x v="1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s v="Yes"/>
    <n v="18"/>
    <n v="3"/>
    <n v="4"/>
    <n v="80"/>
    <n v="2"/>
    <n v="10"/>
    <s v="6-15"/>
    <n v="4"/>
    <n v="4"/>
    <n v="3"/>
    <n v="1"/>
    <n v="1"/>
    <n v="2"/>
  </r>
  <r>
    <n v="48"/>
    <x v="1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s v="No"/>
    <n v="11"/>
    <n v="3"/>
    <n v="1"/>
    <n v="80"/>
    <n v="3"/>
    <n v="15"/>
    <s v="6-15"/>
    <n v="3"/>
    <n v="3"/>
    <n v="2"/>
    <n v="2"/>
    <n v="2"/>
    <n v="2"/>
  </r>
  <r>
    <n v="34"/>
    <x v="0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s v="No"/>
    <n v="15"/>
    <n v="3"/>
    <n v="4"/>
    <n v="80"/>
    <n v="0"/>
    <n v="2"/>
    <s v="0-5"/>
    <n v="0"/>
    <n v="3"/>
    <n v="2"/>
    <n v="2"/>
    <n v="2"/>
    <n v="2"/>
  </r>
  <r>
    <n v="40"/>
    <x v="1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s v="No"/>
    <n v="11"/>
    <n v="3"/>
    <n v="3"/>
    <n v="80"/>
    <n v="1"/>
    <n v="16"/>
    <s v="&gt;15"/>
    <n v="5"/>
    <n v="3"/>
    <n v="9"/>
    <n v="8"/>
    <n v="4"/>
    <n v="8"/>
  </r>
  <r>
    <n v="28"/>
    <x v="1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s v="No"/>
    <n v="18"/>
    <n v="3"/>
    <n v="4"/>
    <n v="80"/>
    <n v="0"/>
    <n v="6"/>
    <s v="6-15"/>
    <n v="4"/>
    <n v="3"/>
    <n v="5"/>
    <n v="4"/>
    <n v="1"/>
    <n v="3"/>
  </r>
  <r>
    <n v="44"/>
    <x v="1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s v="No"/>
    <n v="14"/>
    <n v="3"/>
    <n v="4"/>
    <n v="80"/>
    <n v="0"/>
    <n v="7"/>
    <s v="6-15"/>
    <n v="5"/>
    <n v="3"/>
    <n v="5"/>
    <n v="2"/>
    <n v="0"/>
    <n v="3"/>
  </r>
  <r>
    <n v="53"/>
    <x v="1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s v="No"/>
    <n v="12"/>
    <n v="3"/>
    <n v="2"/>
    <n v="80"/>
    <n v="0"/>
    <n v="35"/>
    <s v="&gt;15"/>
    <n v="2"/>
    <n v="2"/>
    <n v="9"/>
    <n v="8"/>
    <n v="8"/>
    <n v="8"/>
  </r>
  <r>
    <n v="49"/>
    <x v="1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s v="No"/>
    <n v="14"/>
    <n v="3"/>
    <n v="2"/>
    <n v="80"/>
    <n v="1"/>
    <n v="20"/>
    <s v="&gt;15"/>
    <n v="0"/>
    <n v="2"/>
    <n v="3"/>
    <n v="2"/>
    <n v="1"/>
    <n v="2"/>
  </r>
  <r>
    <n v="40"/>
    <x v="1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s v="No"/>
    <n v="14"/>
    <n v="3"/>
    <n v="3"/>
    <n v="80"/>
    <n v="1"/>
    <n v="8"/>
    <s v="6-15"/>
    <n v="3"/>
    <n v="4"/>
    <n v="3"/>
    <n v="1"/>
    <n v="1"/>
    <n v="2"/>
  </r>
  <r>
    <n v="44"/>
    <x v="1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s v="No"/>
    <n v="13"/>
    <n v="3"/>
    <n v="3"/>
    <n v="80"/>
    <n v="0"/>
    <n v="6"/>
    <s v="6-15"/>
    <n v="3"/>
    <n v="2"/>
    <n v="5"/>
    <n v="2"/>
    <n v="1"/>
    <n v="3"/>
  </r>
  <r>
    <n v="33"/>
    <x v="1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s v="No"/>
    <n v="14"/>
    <n v="3"/>
    <n v="1"/>
    <n v="80"/>
    <n v="2"/>
    <n v="5"/>
    <s v="0-5"/>
    <n v="2"/>
    <n v="3"/>
    <n v="4"/>
    <n v="3"/>
    <n v="0"/>
    <n v="3"/>
  </r>
  <r>
    <n v="34"/>
    <x v="1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s v="No"/>
    <n v="18"/>
    <n v="3"/>
    <n v="4"/>
    <n v="80"/>
    <n v="0"/>
    <n v="15"/>
    <s v="6-15"/>
    <n v="2"/>
    <n v="3"/>
    <n v="13"/>
    <n v="9"/>
    <n v="3"/>
    <n v="12"/>
  </r>
  <r>
    <n v="30"/>
    <x v="1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s v="No"/>
    <n v="15"/>
    <n v="3"/>
    <n v="3"/>
    <n v="80"/>
    <n v="2"/>
    <n v="4"/>
    <s v="0-5"/>
    <n v="2"/>
    <n v="2"/>
    <n v="2"/>
    <n v="1"/>
    <n v="2"/>
    <n v="2"/>
  </r>
  <r>
    <n v="42"/>
    <x v="1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s v="No"/>
    <n v="13"/>
    <n v="3"/>
    <n v="3"/>
    <n v="80"/>
    <n v="0"/>
    <n v="12"/>
    <s v="6-15"/>
    <n v="3"/>
    <n v="3"/>
    <n v="12"/>
    <n v="9"/>
    <n v="5"/>
    <n v="8"/>
  </r>
  <r>
    <n v="44"/>
    <x v="1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s v="No"/>
    <n v="12"/>
    <n v="3"/>
    <n v="3"/>
    <n v="80"/>
    <n v="1"/>
    <n v="11"/>
    <s v="6-15"/>
    <n v="4"/>
    <n v="2"/>
    <n v="1"/>
    <n v="0"/>
    <n v="0"/>
    <n v="0"/>
  </r>
  <r>
    <n v="30"/>
    <x v="1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s v="No"/>
    <n v="13"/>
    <n v="3"/>
    <n v="2"/>
    <n v="80"/>
    <n v="2"/>
    <n v="1"/>
    <s v="0-5"/>
    <n v="2"/>
    <n v="2"/>
    <n v="1"/>
    <n v="0"/>
    <n v="0"/>
    <n v="0"/>
  </r>
  <r>
    <n v="57"/>
    <x v="1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s v="No"/>
    <n v="24"/>
    <n v="4"/>
    <n v="1"/>
    <n v="80"/>
    <n v="1"/>
    <n v="13"/>
    <s v="6-15"/>
    <n v="2"/>
    <n v="2"/>
    <n v="12"/>
    <n v="9"/>
    <n v="2"/>
    <n v="8"/>
  </r>
  <r>
    <n v="49"/>
    <x v="1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s v="No"/>
    <n v="14"/>
    <n v="3"/>
    <n v="2"/>
    <n v="80"/>
    <n v="2"/>
    <n v="29"/>
    <s v="&gt;15"/>
    <n v="3"/>
    <n v="3"/>
    <n v="8"/>
    <n v="7"/>
    <n v="0"/>
    <n v="7"/>
  </r>
  <r>
    <n v="34"/>
    <x v="1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s v="No"/>
    <n v="14"/>
    <n v="3"/>
    <n v="4"/>
    <n v="80"/>
    <n v="2"/>
    <n v="16"/>
    <s v="&gt;15"/>
    <n v="3"/>
    <n v="2"/>
    <n v="14"/>
    <n v="8"/>
    <n v="6"/>
    <n v="9"/>
  </r>
  <r>
    <n v="28"/>
    <x v="0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s v="No"/>
    <n v="15"/>
    <n v="3"/>
    <n v="4"/>
    <n v="80"/>
    <n v="1"/>
    <n v="5"/>
    <s v="0-5"/>
    <n v="3"/>
    <n v="4"/>
    <n v="3"/>
    <n v="2"/>
    <n v="1"/>
    <n v="2"/>
  </r>
  <r>
    <n v="29"/>
    <x v="0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s v="No"/>
    <n v="11"/>
    <n v="3"/>
    <n v="1"/>
    <n v="80"/>
    <n v="0"/>
    <n v="7"/>
    <s v="6-15"/>
    <n v="4"/>
    <n v="1"/>
    <n v="5"/>
    <n v="3"/>
    <n v="0"/>
    <n v="0"/>
  </r>
  <r>
    <n v="34"/>
    <x v="0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s v="Yes"/>
    <n v="23"/>
    <n v="4"/>
    <n v="3"/>
    <n v="80"/>
    <n v="0"/>
    <n v="16"/>
    <s v="&gt;15"/>
    <n v="2"/>
    <n v="4"/>
    <n v="15"/>
    <n v="9"/>
    <n v="10"/>
    <n v="10"/>
  </r>
  <r>
    <n v="35"/>
    <x v="1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s v="No"/>
    <n v="13"/>
    <n v="3"/>
    <n v="1"/>
    <n v="80"/>
    <n v="1"/>
    <n v="1"/>
    <s v="0-5"/>
    <n v="3"/>
    <n v="3"/>
    <n v="1"/>
    <n v="0"/>
    <n v="0"/>
    <n v="0"/>
  </r>
  <r>
    <n v="24"/>
    <x v="0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s v="Yes"/>
    <n v="11"/>
    <n v="3"/>
    <n v="3"/>
    <n v="80"/>
    <n v="0"/>
    <n v="4"/>
    <s v="0-5"/>
    <n v="2"/>
    <n v="2"/>
    <n v="0"/>
    <n v="0"/>
    <n v="0"/>
    <n v="0"/>
  </r>
  <r>
    <n v="24"/>
    <x v="1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s v="No"/>
    <n v="13"/>
    <n v="3"/>
    <n v="3"/>
    <n v="80"/>
    <n v="1"/>
    <n v="1"/>
    <s v="0-5"/>
    <n v="2"/>
    <n v="3"/>
    <n v="1"/>
    <n v="0"/>
    <n v="0"/>
    <n v="0"/>
  </r>
  <r>
    <n v="44"/>
    <x v="1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s v="Yes"/>
    <n v="18"/>
    <n v="3"/>
    <n v="2"/>
    <n v="80"/>
    <n v="0"/>
    <n v="16"/>
    <s v="&gt;15"/>
    <n v="2"/>
    <n v="2"/>
    <n v="2"/>
    <n v="2"/>
    <n v="2"/>
    <n v="2"/>
  </r>
  <r>
    <n v="29"/>
    <x v="1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s v="No"/>
    <n v="14"/>
    <n v="3"/>
    <n v="3"/>
    <n v="80"/>
    <n v="2"/>
    <n v="10"/>
    <s v="6-15"/>
    <n v="3"/>
    <n v="3"/>
    <n v="10"/>
    <n v="7"/>
    <n v="0"/>
    <n v="4"/>
  </r>
  <r>
    <n v="30"/>
    <x v="1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s v="No"/>
    <n v="21"/>
    <n v="4"/>
    <n v="1"/>
    <n v="80"/>
    <n v="1"/>
    <n v="6"/>
    <s v="6-15"/>
    <n v="3"/>
    <n v="4"/>
    <n v="5"/>
    <n v="3"/>
    <n v="1"/>
    <n v="3"/>
  </r>
  <r>
    <n v="55"/>
    <x v="1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s v="Yes"/>
    <n v="16"/>
    <n v="3"/>
    <n v="2"/>
    <n v="80"/>
    <n v="0"/>
    <n v="4"/>
    <s v="0-5"/>
    <n v="2"/>
    <n v="3"/>
    <n v="3"/>
    <n v="2"/>
    <n v="1"/>
    <n v="2"/>
  </r>
  <r>
    <n v="33"/>
    <x v="1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s v="No"/>
    <n v="11"/>
    <n v="3"/>
    <n v="4"/>
    <n v="80"/>
    <n v="0"/>
    <n v="8"/>
    <s v="6-15"/>
    <n v="5"/>
    <n v="3"/>
    <n v="5"/>
    <n v="4"/>
    <n v="0"/>
    <n v="2"/>
  </r>
  <r>
    <n v="47"/>
    <x v="1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s v="Yes"/>
    <n v="17"/>
    <n v="3"/>
    <n v="3"/>
    <n v="80"/>
    <n v="1"/>
    <n v="11"/>
    <s v="6-15"/>
    <n v="4"/>
    <n v="2"/>
    <n v="5"/>
    <n v="4"/>
    <n v="1"/>
    <n v="2"/>
  </r>
  <r>
    <n v="28"/>
    <x v="0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s v="No"/>
    <n v="11"/>
    <n v="3"/>
    <n v="3"/>
    <n v="80"/>
    <n v="0"/>
    <n v="8"/>
    <s v="6-15"/>
    <n v="2"/>
    <n v="2"/>
    <n v="0"/>
    <n v="0"/>
    <n v="0"/>
    <n v="0"/>
  </r>
  <r>
    <n v="28"/>
    <x v="1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s v="No"/>
    <n v="14"/>
    <n v="3"/>
    <n v="4"/>
    <n v="80"/>
    <n v="1"/>
    <n v="1"/>
    <s v="0-5"/>
    <n v="2"/>
    <n v="1"/>
    <n v="1"/>
    <n v="0"/>
    <n v="0"/>
    <n v="0"/>
  </r>
  <r>
    <n v="28"/>
    <x v="1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s v="No"/>
    <n v="14"/>
    <n v="3"/>
    <n v="4"/>
    <n v="80"/>
    <n v="0"/>
    <n v="5"/>
    <s v="0-5"/>
    <n v="5"/>
    <n v="3"/>
    <n v="4"/>
    <n v="2"/>
    <n v="1"/>
    <n v="3"/>
  </r>
  <r>
    <n v="49"/>
    <x v="1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s v="No"/>
    <n v="25"/>
    <n v="4"/>
    <n v="1"/>
    <n v="80"/>
    <n v="1"/>
    <n v="10"/>
    <s v="6-15"/>
    <n v="3"/>
    <n v="3"/>
    <n v="3"/>
    <n v="2"/>
    <n v="1"/>
    <n v="2"/>
  </r>
  <r>
    <n v="29"/>
    <x v="1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s v="No"/>
    <n v="13"/>
    <n v="3"/>
    <n v="3"/>
    <n v="80"/>
    <n v="3"/>
    <n v="4"/>
    <s v="0-5"/>
    <n v="3"/>
    <n v="3"/>
    <n v="3"/>
    <n v="2"/>
    <n v="0"/>
    <n v="2"/>
  </r>
  <r>
    <n v="28"/>
    <x v="1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s v="No"/>
    <n v="14"/>
    <n v="3"/>
    <n v="2"/>
    <n v="80"/>
    <n v="2"/>
    <n v="8"/>
    <s v="6-15"/>
    <n v="2"/>
    <n v="2"/>
    <n v="8"/>
    <n v="6"/>
    <n v="1"/>
    <n v="7"/>
  </r>
  <r>
    <n v="33"/>
    <x v="1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s v="Yes"/>
    <n v="17"/>
    <n v="3"/>
    <n v="1"/>
    <n v="80"/>
    <n v="0"/>
    <n v="14"/>
    <s v="6-15"/>
    <n v="6"/>
    <n v="3"/>
    <n v="0"/>
    <n v="0"/>
    <n v="0"/>
    <n v="0"/>
  </r>
  <r>
    <n v="32"/>
    <x v="1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s v="No"/>
    <n v="25"/>
    <n v="4"/>
    <n v="2"/>
    <n v="80"/>
    <n v="0"/>
    <n v="10"/>
    <s v="6-15"/>
    <n v="5"/>
    <n v="4"/>
    <n v="5"/>
    <n v="2"/>
    <n v="0"/>
    <n v="0"/>
  </r>
  <r>
    <n v="54"/>
    <x v="1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s v="No"/>
    <n v="20"/>
    <n v="4"/>
    <n v="1"/>
    <n v="80"/>
    <n v="1"/>
    <n v="26"/>
    <s v="&gt;15"/>
    <n v="2"/>
    <n v="3"/>
    <n v="14"/>
    <n v="9"/>
    <n v="1"/>
    <n v="12"/>
  </r>
  <r>
    <n v="29"/>
    <x v="0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s v="No"/>
    <n v="13"/>
    <n v="3"/>
    <n v="3"/>
    <n v="80"/>
    <n v="0"/>
    <n v="11"/>
    <s v="6-15"/>
    <n v="2"/>
    <n v="1"/>
    <n v="9"/>
    <n v="7"/>
    <n v="0"/>
    <n v="7"/>
  </r>
  <r>
    <n v="44"/>
    <x v="1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s v="No"/>
    <n v="13"/>
    <n v="3"/>
    <n v="3"/>
    <n v="80"/>
    <n v="1"/>
    <n v="24"/>
    <s v="&gt;15"/>
    <n v="1"/>
    <n v="4"/>
    <n v="20"/>
    <n v="6"/>
    <n v="14"/>
    <n v="17"/>
  </r>
  <r>
    <n v="39"/>
    <x v="1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s v="No"/>
    <n v="18"/>
    <n v="3"/>
    <n v="4"/>
    <n v="80"/>
    <n v="0"/>
    <n v="9"/>
    <s v="6-15"/>
    <n v="3"/>
    <n v="3"/>
    <n v="2"/>
    <n v="0"/>
    <n v="2"/>
    <n v="2"/>
  </r>
  <r>
    <n v="46"/>
    <x v="1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s v="No"/>
    <n v="12"/>
    <n v="3"/>
    <n v="4"/>
    <n v="80"/>
    <n v="1"/>
    <n v="23"/>
    <s v="&gt;15"/>
    <n v="2"/>
    <n v="4"/>
    <n v="13"/>
    <n v="12"/>
    <n v="5"/>
    <n v="1"/>
  </r>
  <r>
    <n v="35"/>
    <x v="1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s v="No"/>
    <n v="19"/>
    <n v="3"/>
    <n v="4"/>
    <n v="80"/>
    <n v="0"/>
    <n v="11"/>
    <s v="6-15"/>
    <n v="3"/>
    <n v="1"/>
    <n v="11"/>
    <n v="8"/>
    <n v="3"/>
    <n v="3"/>
  </r>
  <r>
    <n v="23"/>
    <x v="1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s v="No"/>
    <n v="14"/>
    <n v="3"/>
    <n v="2"/>
    <n v="80"/>
    <n v="0"/>
    <n v="5"/>
    <s v="0-5"/>
    <n v="2"/>
    <n v="3"/>
    <n v="4"/>
    <n v="3"/>
    <n v="1"/>
    <n v="2"/>
  </r>
  <r>
    <n v="40"/>
    <x v="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s v="No"/>
    <n v="14"/>
    <n v="3"/>
    <n v="2"/>
    <n v="80"/>
    <n v="0"/>
    <n v="15"/>
    <s v="6-15"/>
    <n v="3"/>
    <n v="1"/>
    <n v="5"/>
    <n v="4"/>
    <n v="1"/>
    <n v="0"/>
  </r>
  <r>
    <n v="34"/>
    <x v="1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s v="Yes"/>
    <n v="14"/>
    <n v="3"/>
    <n v="4"/>
    <n v="80"/>
    <n v="0"/>
    <n v="10"/>
    <s v="6-15"/>
    <n v="3"/>
    <n v="3"/>
    <n v="10"/>
    <n v="9"/>
    <n v="8"/>
    <n v="6"/>
  </r>
  <r>
    <n v="31"/>
    <x v="0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s v="No"/>
    <n v="12"/>
    <n v="3"/>
    <n v="1"/>
    <n v="80"/>
    <n v="0"/>
    <n v="7"/>
    <s v="6-15"/>
    <n v="2"/>
    <n v="1"/>
    <n v="7"/>
    <n v="2"/>
    <n v="7"/>
    <n v="7"/>
  </r>
  <r>
    <n v="50"/>
    <x v="1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s v="Yes"/>
    <n v="13"/>
    <n v="3"/>
    <n v="4"/>
    <n v="80"/>
    <n v="0"/>
    <n v="32"/>
    <s v="&gt;15"/>
    <n v="2"/>
    <n v="3"/>
    <n v="32"/>
    <n v="6"/>
    <n v="13"/>
    <n v="9"/>
  </r>
  <r>
    <n v="34"/>
    <x v="1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s v="Yes"/>
    <n v="25"/>
    <n v="4"/>
    <n v="2"/>
    <n v="80"/>
    <n v="1"/>
    <n v="12"/>
    <s v="6-15"/>
    <n v="4"/>
    <n v="3"/>
    <n v="11"/>
    <n v="10"/>
    <n v="5"/>
    <n v="7"/>
  </r>
  <r>
    <n v="42"/>
    <x v="1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s v="No"/>
    <n v="14"/>
    <n v="3"/>
    <n v="2"/>
    <n v="80"/>
    <n v="1"/>
    <n v="4"/>
    <s v="0-5"/>
    <n v="3"/>
    <n v="3"/>
    <n v="1"/>
    <n v="0"/>
    <n v="0"/>
    <n v="0"/>
  </r>
  <r>
    <n v="37"/>
    <x v="1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s v="No"/>
    <n v="17"/>
    <n v="3"/>
    <n v="1"/>
    <n v="80"/>
    <n v="0"/>
    <n v="10"/>
    <s v="6-15"/>
    <n v="2"/>
    <n v="3"/>
    <n v="10"/>
    <n v="8"/>
    <n v="3"/>
    <n v="7"/>
  </r>
  <r>
    <n v="29"/>
    <x v="1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s v="No"/>
    <n v="13"/>
    <n v="3"/>
    <n v="3"/>
    <n v="80"/>
    <n v="1"/>
    <n v="9"/>
    <s v="6-15"/>
    <n v="3"/>
    <n v="3"/>
    <n v="7"/>
    <n v="7"/>
    <n v="0"/>
    <n v="7"/>
  </r>
  <r>
    <n v="33"/>
    <x v="1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s v="No"/>
    <n v="13"/>
    <n v="3"/>
    <n v="4"/>
    <n v="80"/>
    <n v="0"/>
    <n v="5"/>
    <s v="0-5"/>
    <n v="2"/>
    <n v="3"/>
    <n v="5"/>
    <n v="3"/>
    <n v="0"/>
    <n v="2"/>
  </r>
  <r>
    <n v="45"/>
    <x v="1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s v="No"/>
    <n v="20"/>
    <n v="4"/>
    <n v="4"/>
    <n v="80"/>
    <n v="1"/>
    <n v="8"/>
    <s v="6-15"/>
    <n v="3"/>
    <n v="3"/>
    <n v="5"/>
    <n v="4"/>
    <n v="0"/>
    <n v="3"/>
  </r>
  <r>
    <n v="42"/>
    <x v="1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s v="Yes"/>
    <n v="14"/>
    <n v="3"/>
    <n v="3"/>
    <n v="80"/>
    <n v="1"/>
    <n v="24"/>
    <s v="&gt;15"/>
    <n v="3"/>
    <n v="1"/>
    <n v="20"/>
    <n v="8"/>
    <n v="13"/>
    <n v="9"/>
  </r>
  <r>
    <n v="40"/>
    <x v="1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s v="No"/>
    <n v="12"/>
    <n v="3"/>
    <n v="4"/>
    <n v="80"/>
    <n v="0"/>
    <n v="9"/>
    <s v="6-15"/>
    <n v="5"/>
    <n v="4"/>
    <n v="8"/>
    <n v="4"/>
    <n v="7"/>
    <n v="1"/>
  </r>
  <r>
    <n v="33"/>
    <x v="1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s v="Yes"/>
    <n v="12"/>
    <n v="3"/>
    <n v="2"/>
    <n v="80"/>
    <n v="1"/>
    <n v="15"/>
    <s v="6-15"/>
    <n v="3"/>
    <n v="3"/>
    <n v="15"/>
    <n v="14"/>
    <n v="5"/>
    <n v="7"/>
  </r>
  <r>
    <n v="40"/>
    <x v="1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s v="Yes"/>
    <n v="21"/>
    <n v="4"/>
    <n v="4"/>
    <n v="80"/>
    <n v="0"/>
    <n v="21"/>
    <s v="&gt;15"/>
    <n v="2"/>
    <n v="3"/>
    <n v="21"/>
    <n v="7"/>
    <n v="7"/>
    <n v="7"/>
  </r>
  <r>
    <n v="24"/>
    <x v="1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s v="No"/>
    <n v="14"/>
    <n v="3"/>
    <n v="2"/>
    <n v="80"/>
    <n v="3"/>
    <n v="2"/>
    <s v="0-5"/>
    <n v="3"/>
    <n v="3"/>
    <n v="1"/>
    <n v="1"/>
    <n v="0"/>
    <n v="0"/>
  </r>
  <r>
    <n v="40"/>
    <x v="1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s v="Yes"/>
    <n v="18"/>
    <n v="3"/>
    <n v="3"/>
    <n v="80"/>
    <n v="0"/>
    <n v="8"/>
    <s v="6-15"/>
    <n v="2"/>
    <n v="3"/>
    <n v="2"/>
    <n v="2"/>
    <n v="2"/>
    <n v="2"/>
  </r>
  <r>
    <n v="45"/>
    <x v="1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s v="No"/>
    <n v="12"/>
    <n v="3"/>
    <n v="1"/>
    <n v="80"/>
    <n v="3"/>
    <n v="10"/>
    <s v="6-15"/>
    <n v="4"/>
    <n v="3"/>
    <n v="10"/>
    <n v="8"/>
    <n v="7"/>
    <n v="7"/>
  </r>
  <r>
    <n v="35"/>
    <x v="1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s v="No"/>
    <n v="23"/>
    <n v="4"/>
    <n v="1"/>
    <n v="80"/>
    <n v="2"/>
    <n v="6"/>
    <s v="6-15"/>
    <n v="5"/>
    <n v="3"/>
    <n v="5"/>
    <n v="3"/>
    <n v="4"/>
    <n v="2"/>
  </r>
  <r>
    <n v="32"/>
    <x v="1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s v="No"/>
    <n v="12"/>
    <n v="3"/>
    <n v="1"/>
    <n v="80"/>
    <n v="1"/>
    <n v="12"/>
    <s v="6-15"/>
    <n v="2"/>
    <n v="3"/>
    <n v="7"/>
    <n v="1"/>
    <n v="2"/>
    <n v="5"/>
  </r>
  <r>
    <n v="36"/>
    <x v="1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s v="Yes"/>
    <n v="21"/>
    <n v="4"/>
    <n v="4"/>
    <n v="80"/>
    <n v="0"/>
    <n v="7"/>
    <s v="6-15"/>
    <n v="3"/>
    <n v="2"/>
    <n v="3"/>
    <n v="2"/>
    <n v="1"/>
    <n v="2"/>
  </r>
  <r>
    <n v="48"/>
    <x v="1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s v="No"/>
    <n v="14"/>
    <n v="3"/>
    <n v="3"/>
    <n v="80"/>
    <n v="1"/>
    <n v="18"/>
    <s v="&gt;15"/>
    <n v="2"/>
    <n v="3"/>
    <n v="8"/>
    <n v="7"/>
    <n v="7"/>
    <n v="7"/>
  </r>
  <r>
    <n v="29"/>
    <x v="1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s v="No"/>
    <n v="18"/>
    <n v="3"/>
    <n v="1"/>
    <n v="80"/>
    <n v="2"/>
    <n v="5"/>
    <s v="0-5"/>
    <n v="2"/>
    <n v="2"/>
    <n v="1"/>
    <n v="0"/>
    <n v="0"/>
    <n v="0"/>
  </r>
  <r>
    <n v="33"/>
    <x v="1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s v="No"/>
    <n v="13"/>
    <n v="3"/>
    <n v="4"/>
    <n v="80"/>
    <n v="1"/>
    <n v="8"/>
    <s v="6-15"/>
    <n v="6"/>
    <n v="1"/>
    <n v="2"/>
    <n v="2"/>
    <n v="2"/>
    <n v="2"/>
  </r>
  <r>
    <n v="30"/>
    <x v="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s v="No"/>
    <n v="11"/>
    <n v="3"/>
    <n v="4"/>
    <n v="80"/>
    <n v="1"/>
    <n v="10"/>
    <s v="6-15"/>
    <n v="4"/>
    <n v="3"/>
    <n v="10"/>
    <n v="8"/>
    <n v="6"/>
    <n v="7"/>
  </r>
  <r>
    <n v="38"/>
    <x v="1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s v="No"/>
    <n v="11"/>
    <n v="3"/>
    <n v="3"/>
    <n v="80"/>
    <n v="0"/>
    <n v="10"/>
    <s v="6-15"/>
    <n v="2"/>
    <n v="3"/>
    <n v="6"/>
    <n v="3"/>
    <n v="1"/>
    <n v="2"/>
  </r>
  <r>
    <n v="35"/>
    <x v="1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s v="No"/>
    <n v="19"/>
    <n v="3"/>
    <n v="2"/>
    <n v="80"/>
    <n v="0"/>
    <n v="3"/>
    <s v="0-5"/>
    <n v="3"/>
    <n v="3"/>
    <n v="3"/>
    <n v="0"/>
    <n v="1"/>
    <n v="2"/>
  </r>
  <r>
    <n v="30"/>
    <x v="1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s v="No"/>
    <n v="12"/>
    <n v="3"/>
    <n v="2"/>
    <n v="80"/>
    <n v="1"/>
    <n v="9"/>
    <s v="6-15"/>
    <n v="3"/>
    <n v="3"/>
    <n v="4"/>
    <n v="2"/>
    <n v="1"/>
    <n v="3"/>
  </r>
  <r>
    <n v="35"/>
    <x v="0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s v="Yes"/>
    <n v="12"/>
    <n v="3"/>
    <n v="4"/>
    <n v="80"/>
    <n v="1"/>
    <n v="1"/>
    <s v="0-5"/>
    <n v="2"/>
    <n v="3"/>
    <n v="1"/>
    <n v="0"/>
    <n v="0"/>
    <n v="0"/>
  </r>
  <r>
    <n v="53"/>
    <x v="0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s v="No"/>
    <n v="16"/>
    <n v="3"/>
    <n v="2"/>
    <n v="80"/>
    <n v="1"/>
    <n v="34"/>
    <s v="&gt;15"/>
    <n v="4"/>
    <n v="3"/>
    <n v="33"/>
    <n v="7"/>
    <n v="1"/>
    <n v="9"/>
  </r>
  <r>
    <n v="38"/>
    <x v="0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s v="No"/>
    <n v="11"/>
    <n v="3"/>
    <n v="1"/>
    <n v="80"/>
    <n v="2"/>
    <n v="7"/>
    <s v="6-15"/>
    <n v="2"/>
    <n v="3"/>
    <n v="5"/>
    <n v="2"/>
    <n v="1"/>
    <n v="4"/>
  </r>
  <r>
    <n v="32"/>
    <x v="1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s v="No"/>
    <n v="14"/>
    <n v="3"/>
    <n v="2"/>
    <n v="80"/>
    <n v="1"/>
    <n v="9"/>
    <s v="6-15"/>
    <n v="3"/>
    <n v="2"/>
    <n v="6"/>
    <n v="5"/>
    <n v="1"/>
    <n v="2"/>
  </r>
  <r>
    <n v="48"/>
    <x v="1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s v="No"/>
    <n v="12"/>
    <n v="3"/>
    <n v="4"/>
    <n v="80"/>
    <n v="1"/>
    <n v="10"/>
    <s v="6-15"/>
    <n v="3"/>
    <n v="2"/>
    <n v="8"/>
    <n v="2"/>
    <n v="7"/>
    <n v="6"/>
  </r>
  <r>
    <n v="34"/>
    <x v="1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s v="No"/>
    <n v="13"/>
    <n v="3"/>
    <n v="3"/>
    <n v="80"/>
    <n v="0"/>
    <n v="1"/>
    <s v="0-5"/>
    <n v="4"/>
    <n v="1"/>
    <n v="1"/>
    <n v="0"/>
    <n v="0"/>
    <n v="0"/>
  </r>
  <r>
    <n v="55"/>
    <x v="1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s v="No"/>
    <n v="21"/>
    <n v="4"/>
    <n v="3"/>
    <n v="80"/>
    <n v="1"/>
    <n v="36"/>
    <s v="&gt;15"/>
    <n v="3"/>
    <n v="3"/>
    <n v="36"/>
    <n v="6"/>
    <n v="2"/>
    <n v="13"/>
  </r>
  <r>
    <n v="34"/>
    <x v="1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s v="No"/>
    <n v="17"/>
    <n v="3"/>
    <n v="2"/>
    <n v="80"/>
    <n v="1"/>
    <n v="9"/>
    <s v="6-15"/>
    <n v="3"/>
    <n v="2"/>
    <n v="2"/>
    <n v="2"/>
    <n v="2"/>
    <n v="1"/>
  </r>
  <r>
    <n v="26"/>
    <x v="1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s v="No"/>
    <n v="21"/>
    <n v="4"/>
    <n v="1"/>
    <n v="80"/>
    <n v="0"/>
    <n v="1"/>
    <s v="0-5"/>
    <n v="5"/>
    <n v="3"/>
    <n v="1"/>
    <n v="0"/>
    <n v="0"/>
    <n v="0"/>
  </r>
  <r>
    <n v="38"/>
    <x v="1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s v="No"/>
    <n v="11"/>
    <n v="3"/>
    <n v="4"/>
    <n v="80"/>
    <n v="1"/>
    <n v="10"/>
    <s v="6-15"/>
    <n v="3"/>
    <n v="3"/>
    <n v="9"/>
    <n v="8"/>
    <n v="7"/>
    <n v="7"/>
  </r>
  <r>
    <n v="38"/>
    <x v="1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s v="No"/>
    <n v="12"/>
    <n v="3"/>
    <n v="2"/>
    <n v="80"/>
    <n v="0"/>
    <n v="8"/>
    <s v="6-15"/>
    <n v="5"/>
    <n v="4"/>
    <n v="3"/>
    <n v="2"/>
    <n v="1"/>
    <n v="2"/>
  </r>
  <r>
    <n v="36"/>
    <x v="1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s v="No"/>
    <n v="13"/>
    <n v="3"/>
    <n v="1"/>
    <n v="80"/>
    <n v="0"/>
    <n v="15"/>
    <s v="6-15"/>
    <n v="5"/>
    <n v="3"/>
    <n v="1"/>
    <n v="0"/>
    <n v="0"/>
    <n v="0"/>
  </r>
  <r>
    <n v="29"/>
    <x v="1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s v="Yes"/>
    <n v="18"/>
    <n v="3"/>
    <n v="4"/>
    <n v="80"/>
    <n v="0"/>
    <n v="10"/>
    <s v="6-15"/>
    <n v="3"/>
    <n v="3"/>
    <n v="10"/>
    <n v="9"/>
    <n v="1"/>
    <n v="5"/>
  </r>
  <r>
    <n v="35"/>
    <x v="1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s v="Yes"/>
    <n v="16"/>
    <n v="3"/>
    <n v="3"/>
    <n v="80"/>
    <n v="0"/>
    <n v="10"/>
    <s v="6-15"/>
    <n v="4"/>
    <n v="3"/>
    <n v="5"/>
    <n v="2"/>
    <n v="0"/>
    <n v="4"/>
  </r>
  <r>
    <n v="39"/>
    <x v="1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s v="No"/>
    <n v="11"/>
    <n v="3"/>
    <n v="1"/>
    <n v="80"/>
    <n v="1"/>
    <n v="11"/>
    <s v="6-15"/>
    <n v="3"/>
    <n v="3"/>
    <n v="7"/>
    <n v="6"/>
    <n v="7"/>
    <n v="6"/>
  </r>
  <r>
    <n v="29"/>
    <x v="1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s v="No"/>
    <n v="19"/>
    <n v="3"/>
    <n v="4"/>
    <n v="80"/>
    <n v="1"/>
    <n v="6"/>
    <s v="6-15"/>
    <n v="0"/>
    <n v="4"/>
    <n v="6"/>
    <n v="4"/>
    <n v="1"/>
    <n v="3"/>
  </r>
  <r>
    <n v="50"/>
    <x v="1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s v="Yes"/>
    <n v="16"/>
    <n v="3"/>
    <n v="3"/>
    <n v="80"/>
    <n v="1"/>
    <n v="27"/>
    <s v="&gt;15"/>
    <n v="2"/>
    <n v="3"/>
    <n v="1"/>
    <n v="0"/>
    <n v="0"/>
    <n v="0"/>
  </r>
  <r>
    <n v="23"/>
    <x v="1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s v="No"/>
    <n v="16"/>
    <n v="3"/>
    <n v="4"/>
    <n v="80"/>
    <n v="1"/>
    <n v="4"/>
    <s v="0-5"/>
    <n v="2"/>
    <n v="3"/>
    <n v="2"/>
    <n v="2"/>
    <n v="2"/>
    <n v="2"/>
  </r>
  <r>
    <n v="36"/>
    <x v="1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s v="Yes"/>
    <n v="13"/>
    <n v="3"/>
    <n v="4"/>
    <n v="80"/>
    <n v="1"/>
    <n v="9"/>
    <s v="6-15"/>
    <n v="3"/>
    <n v="3"/>
    <n v="3"/>
    <n v="2"/>
    <n v="0"/>
    <n v="2"/>
  </r>
  <r>
    <n v="42"/>
    <x v="1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s v="No"/>
    <n v="22"/>
    <n v="4"/>
    <n v="4"/>
    <n v="80"/>
    <n v="0"/>
    <n v="24"/>
    <s v="&gt;15"/>
    <n v="2"/>
    <n v="3"/>
    <n v="1"/>
    <n v="0"/>
    <n v="0"/>
    <n v="1"/>
  </r>
  <r>
    <n v="35"/>
    <x v="1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s v="No"/>
    <n v="17"/>
    <n v="3"/>
    <n v="4"/>
    <n v="80"/>
    <n v="2"/>
    <n v="10"/>
    <s v="6-15"/>
    <n v="3"/>
    <n v="2"/>
    <n v="10"/>
    <n v="9"/>
    <n v="6"/>
    <n v="8"/>
  </r>
  <r>
    <n v="34"/>
    <x v="1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s v="No"/>
    <n v="14"/>
    <n v="3"/>
    <n v="2"/>
    <n v="80"/>
    <n v="1"/>
    <n v="8"/>
    <s v="6-15"/>
    <n v="3"/>
    <n v="2"/>
    <n v="8"/>
    <n v="2"/>
    <n v="7"/>
    <n v="7"/>
  </r>
  <r>
    <n v="40"/>
    <x v="1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s v="No"/>
    <n v="15"/>
    <n v="3"/>
    <n v="3"/>
    <n v="80"/>
    <n v="1"/>
    <n v="5"/>
    <s v="0-5"/>
    <n v="2"/>
    <n v="3"/>
    <n v="5"/>
    <n v="4"/>
    <n v="1"/>
    <n v="2"/>
  </r>
  <r>
    <n v="43"/>
    <x v="1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s v="No"/>
    <n v="12"/>
    <n v="3"/>
    <n v="3"/>
    <n v="80"/>
    <n v="1"/>
    <n v="8"/>
    <s v="6-15"/>
    <n v="0"/>
    <n v="3"/>
    <n v="6"/>
    <n v="4"/>
    <n v="0"/>
    <n v="2"/>
  </r>
  <r>
    <n v="35"/>
    <x v="1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s v="No"/>
    <n v="18"/>
    <n v="3"/>
    <n v="4"/>
    <n v="80"/>
    <n v="1"/>
    <n v="1"/>
    <s v="0-5"/>
    <n v="5"/>
    <n v="2"/>
    <n v="1"/>
    <n v="0"/>
    <n v="0"/>
    <n v="1"/>
  </r>
  <r>
    <n v="46"/>
    <x v="1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s v="No"/>
    <n v="15"/>
    <n v="3"/>
    <n v="2"/>
    <n v="80"/>
    <n v="0"/>
    <n v="27"/>
    <s v="&gt;15"/>
    <n v="5"/>
    <n v="1"/>
    <n v="26"/>
    <n v="0"/>
    <n v="0"/>
    <n v="12"/>
  </r>
  <r>
    <n v="28"/>
    <x v="0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s v="Yes"/>
    <n v="17"/>
    <n v="3"/>
    <n v="3"/>
    <n v="80"/>
    <n v="3"/>
    <n v="1"/>
    <s v="0-5"/>
    <n v="3"/>
    <n v="3"/>
    <n v="1"/>
    <n v="1"/>
    <n v="0"/>
    <n v="0"/>
  </r>
  <r>
    <n v="22"/>
    <x v="1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s v="Yes"/>
    <n v="14"/>
    <n v="3"/>
    <n v="2"/>
    <n v="80"/>
    <n v="0"/>
    <n v="4"/>
    <s v="0-5"/>
    <n v="2"/>
    <n v="2"/>
    <n v="4"/>
    <n v="2"/>
    <n v="1"/>
    <n v="3"/>
  </r>
  <r>
    <n v="50"/>
    <x v="1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s v="Yes"/>
    <n v="15"/>
    <n v="3"/>
    <n v="3"/>
    <n v="80"/>
    <n v="1"/>
    <n v="32"/>
    <s v="&gt;15"/>
    <n v="3"/>
    <n v="3"/>
    <n v="30"/>
    <n v="8"/>
    <n v="12"/>
    <n v="13"/>
  </r>
  <r>
    <n v="32"/>
    <x v="1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s v="No"/>
    <n v="17"/>
    <n v="3"/>
    <n v="4"/>
    <n v="80"/>
    <n v="2"/>
    <n v="6"/>
    <s v="6-15"/>
    <n v="3"/>
    <n v="3"/>
    <n v="3"/>
    <n v="2"/>
    <n v="0"/>
    <n v="2"/>
  </r>
  <r>
    <n v="44"/>
    <x v="1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s v="Yes"/>
    <n v="14"/>
    <n v="3"/>
    <n v="4"/>
    <n v="80"/>
    <n v="1"/>
    <n v="23"/>
    <s v="&gt;15"/>
    <n v="4"/>
    <n v="2"/>
    <n v="22"/>
    <n v="7"/>
    <n v="1"/>
    <n v="10"/>
  </r>
  <r>
    <n v="30"/>
    <x v="1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s v="No"/>
    <n v="12"/>
    <n v="3"/>
    <n v="2"/>
    <n v="80"/>
    <n v="1"/>
    <n v="6"/>
    <s v="6-15"/>
    <n v="3"/>
    <n v="2"/>
    <n v="6"/>
    <n v="4"/>
    <n v="1"/>
    <n v="1"/>
  </r>
  <r>
    <n v="45"/>
    <x v="1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s v="Yes"/>
    <n v="14"/>
    <n v="3"/>
    <n v="1"/>
    <n v="80"/>
    <n v="0"/>
    <n v="10"/>
    <s v="6-15"/>
    <n v="3"/>
    <n v="3"/>
    <n v="10"/>
    <n v="7"/>
    <n v="1"/>
    <n v="4"/>
  </r>
  <r>
    <n v="45"/>
    <x v="1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s v="No"/>
    <n v="15"/>
    <n v="3"/>
    <n v="1"/>
    <n v="80"/>
    <n v="1"/>
    <n v="10"/>
    <s v="6-15"/>
    <n v="2"/>
    <n v="3"/>
    <n v="10"/>
    <n v="7"/>
    <n v="4"/>
    <n v="5"/>
  </r>
  <r>
    <n v="31"/>
    <x v="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s v="No"/>
    <n v="13"/>
    <n v="3"/>
    <n v="4"/>
    <n v="80"/>
    <n v="0"/>
    <n v="10"/>
    <s v="6-15"/>
    <n v="3"/>
    <n v="3"/>
    <n v="5"/>
    <n v="2"/>
    <n v="0"/>
    <n v="3"/>
  </r>
  <r>
    <n v="36"/>
    <x v="1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s v="Yes"/>
    <n v="12"/>
    <n v="3"/>
    <n v="2"/>
    <n v="80"/>
    <n v="2"/>
    <n v="7"/>
    <s v="6-15"/>
    <n v="2"/>
    <n v="3"/>
    <n v="3"/>
    <n v="2"/>
    <n v="1"/>
    <n v="1"/>
  </r>
  <r>
    <n v="34"/>
    <x v="1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s v="No"/>
    <n v="13"/>
    <n v="3"/>
    <n v="1"/>
    <n v="80"/>
    <n v="1"/>
    <n v="9"/>
    <s v="6-15"/>
    <n v="3"/>
    <n v="3"/>
    <n v="9"/>
    <n v="7"/>
    <n v="7"/>
    <n v="2"/>
  </r>
  <r>
    <n v="49"/>
    <x v="1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s v="No"/>
    <n v="14"/>
    <n v="3"/>
    <n v="4"/>
    <n v="80"/>
    <n v="1"/>
    <n v="10"/>
    <s v="6-15"/>
    <n v="3"/>
    <n v="2"/>
    <n v="9"/>
    <n v="6"/>
    <n v="1"/>
    <n v="4"/>
  </r>
  <r>
    <n v="39"/>
    <x v="1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s v="No"/>
    <n v="13"/>
    <n v="3"/>
    <n v="4"/>
    <n v="80"/>
    <n v="3"/>
    <n v="10"/>
    <s v="6-15"/>
    <n v="3"/>
    <n v="3"/>
    <n v="7"/>
    <n v="7"/>
    <n v="7"/>
    <n v="7"/>
  </r>
  <r>
    <n v="27"/>
    <x v="1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s v="No"/>
    <n v="11"/>
    <n v="3"/>
    <n v="1"/>
    <n v="80"/>
    <n v="2"/>
    <n v="7"/>
    <s v="6-15"/>
    <n v="3"/>
    <n v="3"/>
    <n v="7"/>
    <n v="7"/>
    <n v="0"/>
    <n v="7"/>
  </r>
  <r>
    <n v="35"/>
    <x v="1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s v="No"/>
    <n v="11"/>
    <n v="3"/>
    <n v="4"/>
    <n v="80"/>
    <n v="0"/>
    <n v="16"/>
    <s v="&gt;15"/>
    <n v="2"/>
    <n v="3"/>
    <n v="16"/>
    <n v="15"/>
    <n v="1"/>
    <n v="10"/>
  </r>
  <r>
    <n v="28"/>
    <x v="1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s v="No"/>
    <n v="21"/>
    <n v="4"/>
    <n v="2"/>
    <n v="80"/>
    <n v="1"/>
    <n v="6"/>
    <s v="6-15"/>
    <n v="5"/>
    <n v="2"/>
    <n v="5"/>
    <n v="3"/>
    <n v="0"/>
    <n v="0"/>
  </r>
  <r>
    <n v="21"/>
    <x v="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s v="No"/>
    <n v="18"/>
    <n v="3"/>
    <n v="3"/>
    <n v="80"/>
    <n v="0"/>
    <n v="3"/>
    <s v="0-5"/>
    <n v="2"/>
    <n v="3"/>
    <n v="2"/>
    <n v="2"/>
    <n v="2"/>
    <n v="2"/>
  </r>
  <r>
    <n v="18"/>
    <x v="0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s v="Yes"/>
    <n v="12"/>
    <n v="3"/>
    <n v="3"/>
    <n v="80"/>
    <n v="0"/>
    <n v="0"/>
    <s v="0-5"/>
    <n v="2"/>
    <n v="4"/>
    <n v="0"/>
    <n v="0"/>
    <n v="0"/>
    <n v="0"/>
  </r>
  <r>
    <n v="47"/>
    <x v="1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s v="No"/>
    <n v="11"/>
    <n v="3"/>
    <n v="3"/>
    <n v="80"/>
    <n v="1"/>
    <n v="27"/>
    <s v="&gt;15"/>
    <n v="2"/>
    <n v="3"/>
    <n v="5"/>
    <n v="2"/>
    <n v="1"/>
    <n v="0"/>
  </r>
  <r>
    <n v="39"/>
    <x v="1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s v="No"/>
    <n v="15"/>
    <n v="3"/>
    <n v="4"/>
    <n v="80"/>
    <n v="1"/>
    <n v="11"/>
    <s v="6-15"/>
    <n v="3"/>
    <n v="3"/>
    <n v="10"/>
    <n v="8"/>
    <n v="0"/>
    <n v="7"/>
  </r>
  <r>
    <n v="40"/>
    <x v="1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s v="No"/>
    <n v="13"/>
    <n v="3"/>
    <n v="4"/>
    <n v="80"/>
    <n v="2"/>
    <n v="18"/>
    <s v="&gt;15"/>
    <n v="2"/>
    <n v="3"/>
    <n v="18"/>
    <n v="15"/>
    <n v="14"/>
    <n v="12"/>
  </r>
  <r>
    <n v="35"/>
    <x v="1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s v="No"/>
    <n v="12"/>
    <n v="3"/>
    <n v="4"/>
    <n v="80"/>
    <n v="1"/>
    <n v="15"/>
    <s v="6-15"/>
    <n v="5"/>
    <n v="3"/>
    <n v="14"/>
    <n v="11"/>
    <n v="2"/>
    <n v="9"/>
  </r>
  <r>
    <n v="37"/>
    <x v="1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s v="No"/>
    <n v="17"/>
    <n v="3"/>
    <n v="1"/>
    <n v="80"/>
    <n v="3"/>
    <n v="9"/>
    <s v="6-15"/>
    <n v="2"/>
    <n v="2"/>
    <n v="4"/>
    <n v="3"/>
    <n v="0"/>
    <n v="2"/>
  </r>
  <r>
    <n v="39"/>
    <x v="1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s v="No"/>
    <n v="13"/>
    <n v="3"/>
    <n v="4"/>
    <n v="80"/>
    <n v="0"/>
    <n v="10"/>
    <s v="6-15"/>
    <n v="2"/>
    <n v="1"/>
    <n v="9"/>
    <n v="2"/>
    <n v="3"/>
    <n v="8"/>
  </r>
  <r>
    <n v="45"/>
    <x v="1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s v="No"/>
    <n v="19"/>
    <n v="3"/>
    <n v="1"/>
    <n v="80"/>
    <n v="2"/>
    <n v="10"/>
    <s v="6-15"/>
    <n v="3"/>
    <n v="3"/>
    <n v="10"/>
    <n v="7"/>
    <n v="3"/>
    <n v="9"/>
  </r>
  <r>
    <n v="38"/>
    <x v="1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s v="Yes"/>
    <n v="19"/>
    <n v="3"/>
    <n v="4"/>
    <n v="80"/>
    <n v="1"/>
    <n v="10"/>
    <s v="6-15"/>
    <n v="6"/>
    <n v="4"/>
    <n v="5"/>
    <n v="4"/>
    <n v="0"/>
    <n v="2"/>
  </r>
  <r>
    <n v="35"/>
    <x v="0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s v="No"/>
    <n v="17"/>
    <n v="3"/>
    <n v="3"/>
    <n v="80"/>
    <n v="0"/>
    <n v="15"/>
    <s v="6-15"/>
    <n v="3"/>
    <n v="3"/>
    <n v="13"/>
    <n v="12"/>
    <n v="6"/>
    <n v="0"/>
  </r>
  <r>
    <n v="37"/>
    <x v="1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s v="No"/>
    <n v="11"/>
    <n v="3"/>
    <n v="1"/>
    <n v="80"/>
    <n v="1"/>
    <n v="8"/>
    <s v="6-15"/>
    <n v="2"/>
    <n v="1"/>
    <n v="8"/>
    <n v="4"/>
    <n v="7"/>
    <n v="7"/>
  </r>
  <r>
    <n v="40"/>
    <x v="1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s v="Yes"/>
    <n v="15"/>
    <n v="3"/>
    <n v="4"/>
    <n v="80"/>
    <n v="0"/>
    <n v="18"/>
    <s v="&gt;15"/>
    <n v="2"/>
    <n v="2"/>
    <n v="4"/>
    <n v="2"/>
    <n v="3"/>
    <n v="3"/>
  </r>
  <r>
    <n v="44"/>
    <x v="1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s v="Yes"/>
    <n v="11"/>
    <n v="3"/>
    <n v="3"/>
    <n v="80"/>
    <n v="0"/>
    <n v="14"/>
    <s v="6-15"/>
    <n v="3"/>
    <n v="3"/>
    <n v="10"/>
    <n v="7"/>
    <n v="0"/>
    <n v="2"/>
  </r>
  <r>
    <n v="48"/>
    <x v="1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s v="No"/>
    <n v="25"/>
    <n v="4"/>
    <n v="2"/>
    <n v="80"/>
    <n v="1"/>
    <n v="23"/>
    <s v="&gt;15"/>
    <n v="3"/>
    <n v="3"/>
    <n v="2"/>
    <n v="2"/>
    <n v="2"/>
    <n v="2"/>
  </r>
  <r>
    <n v="35"/>
    <x v="0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s v="Yes"/>
    <n v="14"/>
    <n v="3"/>
    <n v="4"/>
    <n v="80"/>
    <n v="2"/>
    <n v="7"/>
    <s v="6-15"/>
    <n v="2"/>
    <n v="2"/>
    <n v="2"/>
    <n v="2"/>
    <n v="2"/>
    <n v="2"/>
  </r>
  <r>
    <n v="24"/>
    <x v="1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s v="Yes"/>
    <n v="13"/>
    <n v="3"/>
    <n v="3"/>
    <n v="80"/>
    <n v="0"/>
    <n v="6"/>
    <s v="6-15"/>
    <n v="2"/>
    <n v="3"/>
    <n v="6"/>
    <n v="3"/>
    <n v="1"/>
    <n v="3"/>
  </r>
  <r>
    <n v="27"/>
    <x v="1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s v="No"/>
    <n v="17"/>
    <n v="3"/>
    <n v="1"/>
    <n v="80"/>
    <n v="0"/>
    <n v="5"/>
    <s v="0-5"/>
    <n v="0"/>
    <n v="3"/>
    <n v="3"/>
    <n v="2"/>
    <n v="0"/>
    <n v="2"/>
  </r>
  <r>
    <n v="27"/>
    <x v="1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s v="No"/>
    <n v="13"/>
    <n v="3"/>
    <n v="3"/>
    <n v="80"/>
    <n v="0"/>
    <n v="6"/>
    <s v="6-15"/>
    <n v="0"/>
    <n v="2"/>
    <n v="4"/>
    <n v="2"/>
    <n v="1"/>
    <n v="2"/>
  </r>
  <r>
    <n v="40"/>
    <x v="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s v="Yes"/>
    <n v="14"/>
    <n v="3"/>
    <n v="2"/>
    <n v="80"/>
    <n v="0"/>
    <n v="10"/>
    <s v="6-15"/>
    <n v="3"/>
    <n v="1"/>
    <n v="4"/>
    <n v="2"/>
    <n v="0"/>
    <n v="3"/>
  </r>
  <r>
    <n v="29"/>
    <x v="1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s v="No"/>
    <n v="11"/>
    <n v="3"/>
    <n v="3"/>
    <n v="80"/>
    <n v="0"/>
    <n v="8"/>
    <s v="6-15"/>
    <n v="2"/>
    <n v="3"/>
    <n v="5"/>
    <n v="2"/>
    <n v="1"/>
    <n v="4"/>
  </r>
  <r>
    <n v="36"/>
    <x v="1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s v="No"/>
    <n v="12"/>
    <n v="3"/>
    <n v="3"/>
    <n v="80"/>
    <n v="2"/>
    <n v="9"/>
    <s v="6-15"/>
    <n v="6"/>
    <n v="3"/>
    <n v="3"/>
    <n v="2"/>
    <n v="0"/>
    <n v="2"/>
  </r>
  <r>
    <n v="25"/>
    <x v="1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s v="No"/>
    <n v="17"/>
    <n v="3"/>
    <n v="3"/>
    <n v="80"/>
    <n v="2"/>
    <n v="7"/>
    <s v="6-15"/>
    <n v="6"/>
    <n v="3"/>
    <n v="7"/>
    <n v="7"/>
    <n v="0"/>
    <n v="7"/>
  </r>
  <r>
    <n v="39"/>
    <x v="1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s v="No"/>
    <n v="21"/>
    <n v="4"/>
    <n v="3"/>
    <n v="80"/>
    <n v="0"/>
    <n v="7"/>
    <s v="6-15"/>
    <n v="3"/>
    <n v="3"/>
    <n v="5"/>
    <n v="4"/>
    <n v="1"/>
    <n v="0"/>
  </r>
  <r>
    <n v="49"/>
    <x v="1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s v="No"/>
    <n v="16"/>
    <n v="3"/>
    <n v="2"/>
    <n v="80"/>
    <n v="2"/>
    <n v="27"/>
    <s v="&gt;15"/>
    <n v="2"/>
    <n v="3"/>
    <n v="4"/>
    <n v="2"/>
    <n v="1"/>
    <n v="2"/>
  </r>
  <r>
    <n v="50"/>
    <x v="1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s v="No"/>
    <n v="15"/>
    <n v="3"/>
    <n v="3"/>
    <n v="80"/>
    <n v="3"/>
    <n v="19"/>
    <s v="&gt;15"/>
    <n v="3"/>
    <n v="3"/>
    <n v="14"/>
    <n v="11"/>
    <n v="1"/>
    <n v="11"/>
  </r>
  <r>
    <n v="20"/>
    <x v="1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s v="No"/>
    <n v="19"/>
    <n v="3"/>
    <n v="1"/>
    <n v="80"/>
    <n v="0"/>
    <n v="2"/>
    <s v="0-5"/>
    <n v="3"/>
    <n v="3"/>
    <n v="2"/>
    <n v="2"/>
    <n v="2"/>
    <n v="2"/>
  </r>
  <r>
    <n v="34"/>
    <x v="1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s v="No"/>
    <n v="12"/>
    <n v="3"/>
    <n v="3"/>
    <n v="80"/>
    <n v="1"/>
    <n v="11"/>
    <s v="6-15"/>
    <n v="2"/>
    <n v="3"/>
    <n v="11"/>
    <n v="8"/>
    <n v="7"/>
    <n v="9"/>
  </r>
  <r>
    <n v="36"/>
    <x v="1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s v="No"/>
    <n v="11"/>
    <n v="3"/>
    <n v="3"/>
    <n v="80"/>
    <n v="0"/>
    <n v="15"/>
    <s v="6-15"/>
    <n v="4"/>
    <n v="3"/>
    <n v="4"/>
    <n v="3"/>
    <n v="1"/>
    <n v="3"/>
  </r>
  <r>
    <n v="49"/>
    <x v="1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s v="Yes"/>
    <n v="19"/>
    <n v="3"/>
    <n v="2"/>
    <n v="80"/>
    <n v="1"/>
    <n v="30"/>
    <s v="&gt;15"/>
    <n v="3"/>
    <n v="3"/>
    <n v="15"/>
    <n v="11"/>
    <n v="2"/>
    <n v="12"/>
  </r>
  <r>
    <n v="36"/>
    <x v="1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s v="No"/>
    <n v="15"/>
    <n v="3"/>
    <n v="3"/>
    <n v="80"/>
    <n v="0"/>
    <n v="4"/>
    <s v="0-5"/>
    <n v="6"/>
    <n v="3"/>
    <n v="3"/>
    <n v="2"/>
    <n v="1"/>
    <n v="2"/>
  </r>
  <r>
    <n v="36"/>
    <x v="1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s v="No"/>
    <n v="20"/>
    <n v="4"/>
    <n v="1"/>
    <n v="80"/>
    <n v="1"/>
    <n v="13"/>
    <s v="6-15"/>
    <n v="3"/>
    <n v="3"/>
    <n v="5"/>
    <n v="4"/>
    <n v="0"/>
    <n v="4"/>
  </r>
  <r>
    <n v="54"/>
    <x v="1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s v="No"/>
    <n v="25"/>
    <n v="4"/>
    <n v="3"/>
    <n v="80"/>
    <n v="1"/>
    <n v="36"/>
    <s v="&gt;15"/>
    <n v="6"/>
    <n v="3"/>
    <n v="10"/>
    <n v="8"/>
    <n v="4"/>
    <n v="7"/>
  </r>
  <r>
    <n v="43"/>
    <x v="1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s v="No"/>
    <n v="24"/>
    <n v="4"/>
    <n v="1"/>
    <n v="80"/>
    <n v="1"/>
    <n v="14"/>
    <s v="6-15"/>
    <n v="3"/>
    <n v="3"/>
    <n v="14"/>
    <n v="10"/>
    <n v="6"/>
    <n v="11"/>
  </r>
  <r>
    <n v="35"/>
    <x v="0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s v="Yes"/>
    <n v="24"/>
    <n v="4"/>
    <n v="1"/>
    <n v="80"/>
    <n v="0"/>
    <n v="13"/>
    <s v="6-15"/>
    <n v="2"/>
    <n v="4"/>
    <n v="11"/>
    <n v="9"/>
    <n v="6"/>
    <n v="7"/>
  </r>
  <r>
    <n v="38"/>
    <x v="1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s v="No"/>
    <n v="15"/>
    <n v="3"/>
    <n v="4"/>
    <n v="80"/>
    <n v="2"/>
    <n v="19"/>
    <s v="&gt;15"/>
    <n v="4"/>
    <n v="4"/>
    <n v="13"/>
    <n v="11"/>
    <n v="2"/>
    <n v="9"/>
  </r>
  <r>
    <n v="29"/>
    <x v="1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s v="Yes"/>
    <n v="13"/>
    <n v="3"/>
    <n v="2"/>
    <n v="80"/>
    <n v="1"/>
    <n v="10"/>
    <s v="6-15"/>
    <n v="3"/>
    <n v="2"/>
    <n v="10"/>
    <n v="0"/>
    <n v="0"/>
    <n v="9"/>
  </r>
  <r>
    <n v="33"/>
    <x v="1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s v="No"/>
    <n v="14"/>
    <n v="3"/>
    <n v="3"/>
    <n v="80"/>
    <n v="2"/>
    <n v="6"/>
    <s v="6-15"/>
    <n v="5"/>
    <n v="3"/>
    <n v="6"/>
    <n v="2"/>
    <n v="0"/>
    <n v="4"/>
  </r>
  <r>
    <n v="32"/>
    <x v="1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s v="No"/>
    <n v="13"/>
    <n v="3"/>
    <n v="3"/>
    <n v="80"/>
    <n v="2"/>
    <n v="10"/>
    <s v="6-15"/>
    <n v="4"/>
    <n v="2"/>
    <n v="9"/>
    <n v="5"/>
    <n v="1"/>
    <n v="6"/>
  </r>
  <r>
    <n v="31"/>
    <x v="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s v="No"/>
    <n v="11"/>
    <n v="3"/>
    <n v="1"/>
    <n v="80"/>
    <n v="2"/>
    <n v="10"/>
    <s v="6-15"/>
    <n v="2"/>
    <n v="3"/>
    <n v="10"/>
    <n v="0"/>
    <n v="0"/>
    <n v="2"/>
  </r>
  <r>
    <n v="49"/>
    <x v="1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s v="Yes"/>
    <n v="16"/>
    <n v="3"/>
    <n v="2"/>
    <n v="80"/>
    <n v="1"/>
    <n v="17"/>
    <s v="&gt;15"/>
    <n v="2"/>
    <n v="2"/>
    <n v="2"/>
    <n v="2"/>
    <n v="2"/>
    <n v="2"/>
  </r>
  <r>
    <n v="38"/>
    <x v="1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s v="No"/>
    <n v="22"/>
    <n v="4"/>
    <n v="2"/>
    <n v="80"/>
    <n v="0"/>
    <n v="4"/>
    <s v="0-5"/>
    <n v="3"/>
    <n v="3"/>
    <n v="4"/>
    <n v="3"/>
    <n v="3"/>
    <n v="3"/>
  </r>
  <r>
    <n v="47"/>
    <x v="1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s v="No"/>
    <n v="14"/>
    <n v="3"/>
    <n v="3"/>
    <n v="80"/>
    <n v="3"/>
    <n v="29"/>
    <s v="&gt;15"/>
    <n v="2"/>
    <n v="3"/>
    <n v="3"/>
    <n v="2"/>
    <n v="1"/>
    <n v="2"/>
  </r>
  <r>
    <n v="49"/>
    <x v="1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s v="No"/>
    <n v="14"/>
    <n v="3"/>
    <n v="1"/>
    <n v="80"/>
    <n v="0"/>
    <n v="23"/>
    <s v="&gt;15"/>
    <n v="2"/>
    <n v="3"/>
    <n v="8"/>
    <n v="7"/>
    <n v="0"/>
    <n v="0"/>
  </r>
  <r>
    <n v="41"/>
    <x v="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s v="Yes"/>
    <n v="16"/>
    <n v="3"/>
    <n v="4"/>
    <n v="80"/>
    <n v="0"/>
    <n v="21"/>
    <s v="&gt;15"/>
    <n v="2"/>
    <n v="3"/>
    <n v="2"/>
    <n v="0"/>
    <n v="0"/>
    <n v="2"/>
  </r>
  <r>
    <n v="20"/>
    <x v="1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s v="No"/>
    <n v="11"/>
    <n v="3"/>
    <n v="1"/>
    <n v="80"/>
    <n v="0"/>
    <n v="2"/>
    <s v="0-5"/>
    <n v="3"/>
    <n v="3"/>
    <n v="2"/>
    <n v="2"/>
    <n v="0"/>
    <n v="2"/>
  </r>
  <r>
    <n v="33"/>
    <x v="1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s v="Yes"/>
    <n v="25"/>
    <n v="4"/>
    <n v="3"/>
    <n v="80"/>
    <n v="1"/>
    <n v="7"/>
    <s v="6-15"/>
    <n v="2"/>
    <n v="3"/>
    <n v="6"/>
    <n v="5"/>
    <n v="1"/>
    <n v="2"/>
  </r>
  <r>
    <n v="36"/>
    <x v="1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s v="No"/>
    <n v="14"/>
    <n v="3"/>
    <n v="2"/>
    <n v="80"/>
    <n v="2"/>
    <n v="10"/>
    <s v="6-15"/>
    <n v="2"/>
    <n v="2"/>
    <n v="3"/>
    <n v="2"/>
    <n v="0"/>
    <n v="2"/>
  </r>
  <r>
    <n v="44"/>
    <x v="1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s v="Yes"/>
    <n v="18"/>
    <n v="3"/>
    <n v="1"/>
    <n v="80"/>
    <n v="3"/>
    <n v="8"/>
    <s v="6-15"/>
    <n v="2"/>
    <n v="3"/>
    <n v="2"/>
    <n v="2"/>
    <n v="2"/>
    <n v="2"/>
  </r>
  <r>
    <n v="23"/>
    <x v="0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s v="Yes"/>
    <n v="11"/>
    <n v="3"/>
    <n v="1"/>
    <n v="80"/>
    <n v="0"/>
    <n v="5"/>
    <s v="0-5"/>
    <n v="2"/>
    <n v="3"/>
    <n v="5"/>
    <n v="4"/>
    <n v="1"/>
    <n v="2"/>
  </r>
  <r>
    <n v="38"/>
    <x v="1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s v="No"/>
    <n v="19"/>
    <n v="3"/>
    <n v="4"/>
    <n v="80"/>
    <n v="1"/>
    <n v="7"/>
    <s v="6-15"/>
    <n v="5"/>
    <n v="2"/>
    <n v="0"/>
    <n v="0"/>
    <n v="0"/>
    <n v="0"/>
  </r>
  <r>
    <n v="53"/>
    <x v="1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s v="No"/>
    <n v="15"/>
    <n v="3"/>
    <n v="3"/>
    <n v="80"/>
    <n v="0"/>
    <n v="11"/>
    <s v="6-15"/>
    <n v="2"/>
    <n v="3"/>
    <n v="4"/>
    <n v="3"/>
    <n v="1"/>
    <n v="2"/>
  </r>
  <r>
    <n v="48"/>
    <x v="0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s v="Yes"/>
    <n v="11"/>
    <n v="3"/>
    <n v="3"/>
    <n v="80"/>
    <n v="2"/>
    <n v="19"/>
    <s v="&gt;15"/>
    <n v="3"/>
    <n v="3"/>
    <n v="9"/>
    <n v="7"/>
    <n v="7"/>
    <n v="7"/>
  </r>
  <r>
    <n v="32"/>
    <x v="0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s v="No"/>
    <n v="12"/>
    <n v="3"/>
    <n v="1"/>
    <n v="80"/>
    <n v="0"/>
    <n v="1"/>
    <s v="0-5"/>
    <n v="2"/>
    <n v="3"/>
    <n v="1"/>
    <n v="0"/>
    <n v="0"/>
    <n v="0"/>
  </r>
  <r>
    <n v="26"/>
    <x v="1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s v="No"/>
    <n v="20"/>
    <n v="4"/>
    <n v="3"/>
    <n v="80"/>
    <n v="0"/>
    <n v="7"/>
    <s v="6-15"/>
    <n v="5"/>
    <n v="3"/>
    <n v="7"/>
    <n v="7"/>
    <n v="5"/>
    <n v="7"/>
  </r>
  <r>
    <n v="55"/>
    <x v="1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s v="No"/>
    <n v="12"/>
    <n v="3"/>
    <n v="4"/>
    <n v="80"/>
    <n v="1"/>
    <n v="8"/>
    <s v="6-15"/>
    <n v="1"/>
    <n v="3"/>
    <n v="4"/>
    <n v="2"/>
    <n v="1"/>
    <n v="2"/>
  </r>
  <r>
    <n v="34"/>
    <x v="1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s v="No"/>
    <n v="14"/>
    <n v="3"/>
    <n v="3"/>
    <n v="80"/>
    <n v="1"/>
    <n v="15"/>
    <s v="6-15"/>
    <n v="3"/>
    <n v="4"/>
    <n v="15"/>
    <n v="10"/>
    <n v="4"/>
    <n v="13"/>
  </r>
  <r>
    <n v="60"/>
    <x v="1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s v="No"/>
    <n v="20"/>
    <n v="4"/>
    <n v="3"/>
    <n v="80"/>
    <n v="1"/>
    <n v="19"/>
    <s v="&gt;15"/>
    <n v="2"/>
    <n v="4"/>
    <n v="1"/>
    <n v="0"/>
    <n v="0"/>
    <n v="0"/>
  </r>
  <r>
    <n v="33"/>
    <x v="1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s v="No"/>
    <n v="18"/>
    <n v="3"/>
    <n v="4"/>
    <n v="80"/>
    <n v="3"/>
    <n v="14"/>
    <s v="6-15"/>
    <n v="6"/>
    <n v="3"/>
    <n v="14"/>
    <n v="11"/>
    <n v="2"/>
    <n v="13"/>
  </r>
  <r>
    <n v="37"/>
    <x v="1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s v="No"/>
    <n v="14"/>
    <n v="3"/>
    <n v="3"/>
    <n v="80"/>
    <n v="2"/>
    <n v="6"/>
    <s v="6-15"/>
    <n v="2"/>
    <n v="2"/>
    <n v="6"/>
    <n v="3"/>
    <n v="1"/>
    <n v="3"/>
  </r>
  <r>
    <n v="34"/>
    <x v="1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s v="No"/>
    <n v="12"/>
    <n v="3"/>
    <n v="2"/>
    <n v="80"/>
    <n v="0"/>
    <n v="10"/>
    <s v="6-15"/>
    <n v="3"/>
    <n v="3"/>
    <n v="10"/>
    <n v="9"/>
    <n v="8"/>
    <n v="7"/>
  </r>
  <r>
    <n v="23"/>
    <x v="0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s v="Yes"/>
    <n v="21"/>
    <n v="4"/>
    <n v="2"/>
    <n v="80"/>
    <n v="1"/>
    <n v="3"/>
    <s v="0-5"/>
    <n v="2"/>
    <n v="3"/>
    <n v="3"/>
    <n v="2"/>
    <n v="0"/>
    <n v="2"/>
  </r>
  <r>
    <n v="44"/>
    <x v="1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s v="Yes"/>
    <n v="19"/>
    <n v="3"/>
    <n v="2"/>
    <n v="80"/>
    <n v="1"/>
    <n v="9"/>
    <s v="6-15"/>
    <n v="2"/>
    <n v="3"/>
    <n v="8"/>
    <n v="7"/>
    <n v="6"/>
    <n v="7"/>
  </r>
  <r>
    <n v="35"/>
    <x v="1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s v="Yes"/>
    <n v="14"/>
    <n v="3"/>
    <n v="3"/>
    <n v="80"/>
    <n v="0"/>
    <n v="6"/>
    <s v="6-15"/>
    <n v="2"/>
    <n v="4"/>
    <n v="5"/>
    <n v="4"/>
    <n v="1"/>
    <n v="4"/>
  </r>
  <r>
    <n v="43"/>
    <x v="1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s v="Yes"/>
    <n v="17"/>
    <n v="3"/>
    <n v="1"/>
    <n v="80"/>
    <n v="1"/>
    <n v="10"/>
    <s v="6-15"/>
    <n v="3"/>
    <n v="3"/>
    <n v="10"/>
    <n v="9"/>
    <n v="8"/>
    <n v="8"/>
  </r>
  <r>
    <n v="24"/>
    <x v="1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s v="No"/>
    <n v="16"/>
    <n v="3"/>
    <n v="4"/>
    <n v="80"/>
    <n v="1"/>
    <n v="5"/>
    <s v="0-5"/>
    <n v="1"/>
    <n v="3"/>
    <n v="5"/>
    <n v="3"/>
    <n v="0"/>
    <n v="4"/>
  </r>
  <r>
    <n v="41"/>
    <x v="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s v="No"/>
    <n v="12"/>
    <n v="3"/>
    <n v="2"/>
    <n v="80"/>
    <n v="0"/>
    <n v="10"/>
    <s v="6-15"/>
    <n v="3"/>
    <n v="3"/>
    <n v="10"/>
    <n v="8"/>
    <n v="8"/>
    <n v="7"/>
  </r>
  <r>
    <n v="29"/>
    <x v="1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s v="No"/>
    <n v="17"/>
    <n v="3"/>
    <n v="3"/>
    <n v="80"/>
    <n v="1"/>
    <n v="9"/>
    <s v="6-15"/>
    <n v="2"/>
    <n v="3"/>
    <n v="5"/>
    <n v="3"/>
    <n v="1"/>
    <n v="2"/>
  </r>
  <r>
    <n v="36"/>
    <x v="1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s v="No"/>
    <n v="15"/>
    <n v="3"/>
    <n v="3"/>
    <n v="80"/>
    <n v="0"/>
    <n v="17"/>
    <s v="&gt;15"/>
    <n v="2"/>
    <n v="2"/>
    <n v="13"/>
    <n v="7"/>
    <n v="6"/>
    <n v="7"/>
  </r>
  <r>
    <n v="45"/>
    <x v="1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s v="No"/>
    <n v="23"/>
    <n v="4"/>
    <n v="4"/>
    <n v="80"/>
    <n v="1"/>
    <n v="25"/>
    <s v="&gt;15"/>
    <n v="3"/>
    <n v="2"/>
    <n v="23"/>
    <n v="15"/>
    <n v="14"/>
    <n v="4"/>
  </r>
  <r>
    <n v="24"/>
    <x v="0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s v="No"/>
    <n v="11"/>
    <n v="3"/>
    <n v="3"/>
    <n v="80"/>
    <n v="1"/>
    <n v="1"/>
    <s v="0-5"/>
    <n v="2"/>
    <n v="3"/>
    <n v="1"/>
    <n v="0"/>
    <n v="0"/>
    <n v="0"/>
  </r>
  <r>
    <n v="47"/>
    <x v="0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s v="No"/>
    <n v="11"/>
    <n v="3"/>
    <n v="3"/>
    <n v="80"/>
    <n v="0"/>
    <n v="25"/>
    <s v="&gt;15"/>
    <n v="3"/>
    <n v="1"/>
    <n v="23"/>
    <n v="5"/>
    <n v="14"/>
    <n v="10"/>
  </r>
  <r>
    <n v="26"/>
    <x v="1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s v="No"/>
    <n v="15"/>
    <n v="3"/>
    <n v="3"/>
    <n v="80"/>
    <n v="3"/>
    <n v="3"/>
    <s v="0-5"/>
    <n v="3"/>
    <n v="4"/>
    <n v="3"/>
    <n v="2"/>
    <n v="0"/>
    <n v="2"/>
  </r>
  <r>
    <n v="45"/>
    <x v="1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s v="No"/>
    <n v="11"/>
    <n v="3"/>
    <n v="3"/>
    <n v="80"/>
    <n v="0"/>
    <n v="21"/>
    <s v="&gt;15"/>
    <n v="2"/>
    <n v="3"/>
    <n v="21"/>
    <n v="6"/>
    <n v="8"/>
    <n v="6"/>
  </r>
  <r>
    <n v="32"/>
    <x v="1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s v="No"/>
    <n v="13"/>
    <n v="3"/>
    <n v="1"/>
    <n v="80"/>
    <n v="1"/>
    <n v="10"/>
    <s v="6-15"/>
    <n v="3"/>
    <n v="2"/>
    <n v="5"/>
    <n v="2"/>
    <n v="1"/>
    <n v="3"/>
  </r>
  <r>
    <n v="31"/>
    <x v="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s v="No"/>
    <n v="14"/>
    <n v="3"/>
    <n v="4"/>
    <n v="80"/>
    <n v="1"/>
    <n v="6"/>
    <s v="6-15"/>
    <n v="2"/>
    <n v="4"/>
    <n v="5"/>
    <n v="2"/>
    <n v="0"/>
    <n v="3"/>
  </r>
  <r>
    <n v="41"/>
    <x v="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s v="No"/>
    <n v="19"/>
    <n v="3"/>
    <n v="2"/>
    <n v="80"/>
    <n v="1"/>
    <n v="10"/>
    <s v="6-15"/>
    <n v="4"/>
    <n v="3"/>
    <n v="3"/>
    <n v="2"/>
    <n v="1"/>
    <n v="2"/>
  </r>
  <r>
    <n v="40"/>
    <x v="1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s v="Yes"/>
    <n v="16"/>
    <n v="3"/>
    <n v="2"/>
    <n v="80"/>
    <n v="1"/>
    <n v="18"/>
    <s v="&gt;15"/>
    <n v="3"/>
    <n v="3"/>
    <n v="1"/>
    <n v="0"/>
    <n v="0"/>
    <n v="0"/>
  </r>
  <r>
    <n v="24"/>
    <x v="1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s v="No"/>
    <n v="13"/>
    <n v="3"/>
    <n v="2"/>
    <n v="80"/>
    <n v="3"/>
    <n v="6"/>
    <s v="6-15"/>
    <n v="2"/>
    <n v="4"/>
    <n v="6"/>
    <n v="2"/>
    <n v="1"/>
    <n v="2"/>
  </r>
  <r>
    <n v="46"/>
    <x v="1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s v="No"/>
    <n v="14"/>
    <n v="3"/>
    <n v="4"/>
    <n v="80"/>
    <n v="0"/>
    <n v="19"/>
    <s v="&gt;15"/>
    <n v="3"/>
    <n v="3"/>
    <n v="10"/>
    <n v="7"/>
    <n v="0"/>
    <n v="9"/>
  </r>
  <r>
    <n v="35"/>
    <x v="1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s v="No"/>
    <n v="16"/>
    <n v="3"/>
    <n v="2"/>
    <n v="80"/>
    <n v="1"/>
    <n v="17"/>
    <s v="&gt;15"/>
    <n v="3"/>
    <n v="3"/>
    <n v="7"/>
    <n v="7"/>
    <n v="0"/>
    <n v="7"/>
  </r>
  <r>
    <n v="30"/>
    <x v="1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s v="No"/>
    <n v="12"/>
    <n v="3"/>
    <n v="2"/>
    <n v="80"/>
    <n v="1"/>
    <n v="10"/>
    <s v="6-15"/>
    <n v="2"/>
    <n v="2"/>
    <n v="10"/>
    <n v="0"/>
    <n v="0"/>
    <n v="8"/>
  </r>
  <r>
    <n v="47"/>
    <x v="1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s v="No"/>
    <n v="11"/>
    <n v="3"/>
    <n v="4"/>
    <n v="80"/>
    <n v="1"/>
    <n v="4"/>
    <s v="0-5"/>
    <n v="3"/>
    <n v="1"/>
    <n v="1"/>
    <n v="0"/>
    <n v="0"/>
    <n v="0"/>
  </r>
  <r>
    <n v="46"/>
    <x v="1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s v="Yes"/>
    <n v="12"/>
    <n v="3"/>
    <n v="2"/>
    <n v="80"/>
    <n v="1"/>
    <n v="13"/>
    <s v="6-15"/>
    <n v="5"/>
    <n v="2"/>
    <n v="10"/>
    <n v="6"/>
    <n v="0"/>
    <n v="3"/>
  </r>
  <r>
    <n v="36"/>
    <x v="0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s v="Yes"/>
    <n v="13"/>
    <n v="3"/>
    <n v="2"/>
    <n v="80"/>
    <n v="3"/>
    <n v="16"/>
    <s v="&gt;15"/>
    <n v="3"/>
    <n v="3"/>
    <n v="2"/>
    <n v="2"/>
    <n v="2"/>
    <n v="2"/>
  </r>
  <r>
    <n v="32"/>
    <x v="0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s v="No"/>
    <n v="15"/>
    <n v="3"/>
    <n v="2"/>
    <n v="80"/>
    <n v="0"/>
    <n v="10"/>
    <s v="6-15"/>
    <n v="2"/>
    <n v="3"/>
    <n v="0"/>
    <n v="0"/>
    <n v="0"/>
    <n v="0"/>
  </r>
  <r>
    <n v="23"/>
    <x v="1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s v="No"/>
    <n v="13"/>
    <n v="3"/>
    <n v="3"/>
    <n v="80"/>
    <n v="0"/>
    <n v="3"/>
    <s v="0-5"/>
    <n v="3"/>
    <n v="1"/>
    <n v="3"/>
    <n v="2"/>
    <n v="1"/>
    <n v="2"/>
  </r>
  <r>
    <n v="31"/>
    <x v="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s v="No"/>
    <n v="20"/>
    <n v="4"/>
    <n v="4"/>
    <n v="80"/>
    <n v="0"/>
    <n v="9"/>
    <s v="6-15"/>
    <n v="3"/>
    <n v="2"/>
    <n v="5"/>
    <n v="4"/>
    <n v="1"/>
    <n v="4"/>
  </r>
  <r>
    <n v="39"/>
    <x v="1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s v="Yes"/>
    <n v="15"/>
    <n v="3"/>
    <n v="4"/>
    <n v="80"/>
    <n v="1"/>
    <n v="9"/>
    <s v="6-15"/>
    <n v="2"/>
    <n v="3"/>
    <n v="9"/>
    <n v="8"/>
    <n v="5"/>
    <n v="8"/>
  </r>
  <r>
    <n v="32"/>
    <x v="1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s v="No"/>
    <n v="13"/>
    <n v="3"/>
    <n v="3"/>
    <n v="80"/>
    <n v="1"/>
    <n v="10"/>
    <s v="6-15"/>
    <n v="2"/>
    <n v="1"/>
    <n v="4"/>
    <n v="3"/>
    <n v="0"/>
    <n v="2"/>
  </r>
  <r>
    <n v="40"/>
    <x v="1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s v="No"/>
    <n v="14"/>
    <n v="3"/>
    <n v="2"/>
    <n v="80"/>
    <n v="0"/>
    <n v="21"/>
    <s v="&gt;15"/>
    <n v="3"/>
    <n v="2"/>
    <n v="21"/>
    <n v="8"/>
    <n v="12"/>
    <n v="8"/>
  </r>
  <r>
    <n v="45"/>
    <x v="1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s v="No"/>
    <n v="21"/>
    <n v="4"/>
    <n v="3"/>
    <n v="80"/>
    <n v="2"/>
    <n v="9"/>
    <s v="6-15"/>
    <n v="2"/>
    <n v="4"/>
    <n v="5"/>
    <n v="0"/>
    <n v="0"/>
    <n v="3"/>
  </r>
  <r>
    <n v="30"/>
    <x v="1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s v="No"/>
    <n v="16"/>
    <n v="3"/>
    <n v="4"/>
    <n v="80"/>
    <n v="0"/>
    <n v="10"/>
    <s v="6-15"/>
    <n v="2"/>
    <n v="3"/>
    <n v="9"/>
    <n v="7"/>
    <n v="0"/>
    <n v="7"/>
  </r>
  <r>
    <n v="24"/>
    <x v="1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s v="No"/>
    <n v="14"/>
    <n v="3"/>
    <n v="4"/>
    <n v="80"/>
    <n v="1"/>
    <n v="3"/>
    <s v="0-5"/>
    <n v="2"/>
    <n v="3"/>
    <n v="2"/>
    <n v="2"/>
    <n v="2"/>
    <n v="1"/>
  </r>
  <r>
    <n v="30"/>
    <x v="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s v="No"/>
    <n v="11"/>
    <n v="3"/>
    <n v="3"/>
    <n v="80"/>
    <n v="1"/>
    <n v="6"/>
    <s v="6-15"/>
    <n v="0"/>
    <n v="2"/>
    <n v="4"/>
    <n v="2"/>
    <n v="1"/>
    <n v="2"/>
  </r>
  <r>
    <n v="31"/>
    <x v="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s v="No"/>
    <n v="19"/>
    <n v="3"/>
    <n v="3"/>
    <n v="80"/>
    <n v="1"/>
    <n v="6"/>
    <s v="6-15"/>
    <n v="3"/>
    <n v="3"/>
    <n v="5"/>
    <n v="2"/>
    <n v="0"/>
    <n v="2"/>
  </r>
  <r>
    <n v="27"/>
    <x v="1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s v="No"/>
    <n v="11"/>
    <n v="3"/>
    <n v="3"/>
    <n v="80"/>
    <n v="0"/>
    <n v="6"/>
    <s v="6-15"/>
    <n v="5"/>
    <n v="2"/>
    <n v="6"/>
    <n v="2"/>
    <n v="1"/>
    <n v="4"/>
  </r>
  <r>
    <n v="29"/>
    <x v="0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s v="No"/>
    <n v="13"/>
    <n v="3"/>
    <n v="3"/>
    <n v="80"/>
    <n v="0"/>
    <n v="2"/>
    <s v="0-5"/>
    <n v="3"/>
    <n v="3"/>
    <n v="2"/>
    <n v="2"/>
    <n v="2"/>
    <n v="2"/>
  </r>
  <r>
    <n v="29"/>
    <x v="1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s v="Yes"/>
    <n v="12"/>
    <n v="3"/>
    <n v="4"/>
    <n v="80"/>
    <n v="0"/>
    <n v="10"/>
    <s v="6-15"/>
    <n v="5"/>
    <n v="4"/>
    <n v="3"/>
    <n v="2"/>
    <n v="0"/>
    <n v="2"/>
  </r>
  <r>
    <n v="30"/>
    <x v="1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s v="No"/>
    <n v="11"/>
    <n v="3"/>
    <n v="1"/>
    <n v="80"/>
    <n v="1"/>
    <n v="12"/>
    <s v="6-15"/>
    <n v="2"/>
    <n v="3"/>
    <n v="7"/>
    <n v="7"/>
    <n v="1"/>
    <n v="7"/>
  </r>
  <r>
    <n v="34"/>
    <x v="1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s v="Yes"/>
    <n v="14"/>
    <n v="3"/>
    <n v="1"/>
    <n v="80"/>
    <n v="3"/>
    <n v="6"/>
    <s v="6-15"/>
    <n v="3"/>
    <n v="3"/>
    <n v="5"/>
    <n v="0"/>
    <n v="1"/>
    <n v="2"/>
  </r>
  <r>
    <n v="33"/>
    <x v="1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s v="No"/>
    <n v="15"/>
    <n v="3"/>
    <n v="4"/>
    <n v="80"/>
    <n v="0"/>
    <n v="13"/>
    <s v="6-15"/>
    <n v="2"/>
    <n v="2"/>
    <n v="11"/>
    <n v="7"/>
    <n v="1"/>
    <n v="7"/>
  </r>
  <r>
    <n v="49"/>
    <x v="1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s v="No"/>
    <n v="12"/>
    <n v="3"/>
    <n v="3"/>
    <n v="80"/>
    <n v="0"/>
    <n v="8"/>
    <s v="6-15"/>
    <n v="1"/>
    <n v="4"/>
    <n v="5"/>
    <n v="1"/>
    <n v="0"/>
    <n v="4"/>
  </r>
  <r>
    <n v="33"/>
    <x v="0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s v="Yes"/>
    <n v="20"/>
    <n v="4"/>
    <n v="3"/>
    <n v="80"/>
    <n v="0"/>
    <n v="11"/>
    <s v="6-15"/>
    <n v="2"/>
    <n v="2"/>
    <n v="0"/>
    <n v="0"/>
    <n v="0"/>
    <n v="0"/>
  </r>
  <r>
    <n v="38"/>
    <x v="1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s v="No"/>
    <n v="14"/>
    <n v="3"/>
    <n v="2"/>
    <n v="80"/>
    <n v="1"/>
    <n v="9"/>
    <s v="6-15"/>
    <n v="4"/>
    <n v="2"/>
    <n v="6"/>
    <n v="1"/>
    <n v="0"/>
    <n v="5"/>
  </r>
  <r>
    <n v="31"/>
    <x v="0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s v="No"/>
    <n v="13"/>
    <n v="3"/>
    <n v="1"/>
    <n v="80"/>
    <n v="3"/>
    <n v="10"/>
    <s v="6-15"/>
    <n v="2"/>
    <n v="3"/>
    <n v="1"/>
    <n v="0"/>
    <n v="0"/>
    <n v="0"/>
  </r>
  <r>
    <n v="29"/>
    <x v="1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s v="No"/>
    <n v="13"/>
    <n v="3"/>
    <n v="3"/>
    <n v="80"/>
    <n v="1"/>
    <n v="1"/>
    <s v="0-5"/>
    <n v="2"/>
    <n v="3"/>
    <n v="1"/>
    <n v="0"/>
    <n v="0"/>
    <n v="0"/>
  </r>
  <r>
    <n v="30"/>
    <x v="1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s v="No"/>
    <n v="16"/>
    <n v="3"/>
    <n v="3"/>
    <n v="80"/>
    <n v="1"/>
    <n v="10"/>
    <s v="6-15"/>
    <n v="3"/>
    <n v="3"/>
    <n v="7"/>
    <n v="0"/>
    <n v="1"/>
    <n v="7"/>
  </r>
  <r>
    <n v="32"/>
    <x v="1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s v="No"/>
    <n v="14"/>
    <n v="3"/>
    <n v="2"/>
    <n v="80"/>
    <n v="0"/>
    <n v="12"/>
    <s v="6-15"/>
    <n v="3"/>
    <n v="3"/>
    <n v="7"/>
    <n v="7"/>
    <n v="0"/>
    <n v="7"/>
  </r>
  <r>
    <n v="38"/>
    <x v="1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s v="Yes"/>
    <n v="16"/>
    <n v="3"/>
    <n v="3"/>
    <n v="80"/>
    <n v="1"/>
    <n v="15"/>
    <s v="6-15"/>
    <n v="2"/>
    <n v="3"/>
    <n v="1"/>
    <n v="0"/>
    <n v="1"/>
    <n v="0"/>
  </r>
  <r>
    <n v="43"/>
    <x v="0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s v="Yes"/>
    <n v="16"/>
    <n v="3"/>
    <n v="4"/>
    <n v="80"/>
    <n v="1"/>
    <n v="6"/>
    <s v="6-15"/>
    <n v="4"/>
    <n v="3"/>
    <n v="1"/>
    <n v="0"/>
    <n v="0"/>
    <n v="0"/>
  </r>
  <r>
    <n v="42"/>
    <x v="1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s v="No"/>
    <n v="22"/>
    <n v="4"/>
    <n v="2"/>
    <n v="80"/>
    <n v="3"/>
    <n v="7"/>
    <s v="6-15"/>
    <n v="6"/>
    <n v="2"/>
    <n v="5"/>
    <n v="3"/>
    <n v="0"/>
    <n v="4"/>
  </r>
  <r>
    <n v="55"/>
    <x v="1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s v="No"/>
    <n v="12"/>
    <n v="3"/>
    <n v="2"/>
    <n v="80"/>
    <n v="3"/>
    <n v="34"/>
    <s v="&gt;15"/>
    <n v="2"/>
    <n v="3"/>
    <n v="1"/>
    <n v="0"/>
    <n v="0"/>
    <n v="0"/>
  </r>
  <r>
    <n v="33"/>
    <x v="1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s v="No"/>
    <n v="15"/>
    <n v="3"/>
    <n v="4"/>
    <n v="80"/>
    <n v="2"/>
    <n v="11"/>
    <s v="6-15"/>
    <n v="2"/>
    <n v="2"/>
    <n v="9"/>
    <n v="8"/>
    <n v="1"/>
    <n v="7"/>
  </r>
  <r>
    <n v="41"/>
    <x v="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s v="No"/>
    <n v="20"/>
    <n v="4"/>
    <n v="2"/>
    <n v="80"/>
    <n v="2"/>
    <n v="5"/>
    <s v="0-5"/>
    <n v="2"/>
    <n v="3"/>
    <n v="5"/>
    <n v="3"/>
    <n v="0"/>
    <n v="4"/>
  </r>
  <r>
    <n v="34"/>
    <x v="1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s v="Yes"/>
    <n v="14"/>
    <n v="3"/>
    <n v="3"/>
    <n v="80"/>
    <n v="1"/>
    <n v="15"/>
    <s v="6-15"/>
    <n v="3"/>
    <n v="3"/>
    <n v="15"/>
    <n v="14"/>
    <n v="0"/>
    <n v="7"/>
  </r>
  <r>
    <n v="53"/>
    <x v="1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s v="Yes"/>
    <n v="20"/>
    <n v="4"/>
    <n v="4"/>
    <n v="80"/>
    <n v="3"/>
    <n v="27"/>
    <s v="&gt;15"/>
    <n v="2"/>
    <n v="2"/>
    <n v="3"/>
    <n v="2"/>
    <n v="0"/>
    <n v="2"/>
  </r>
  <r>
    <n v="43"/>
    <x v="1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s v="No"/>
    <n v="13"/>
    <n v="3"/>
    <n v="2"/>
    <n v="80"/>
    <n v="0"/>
    <n v="10"/>
    <s v="6-15"/>
    <n v="5"/>
    <n v="3"/>
    <n v="9"/>
    <n v="7"/>
    <n v="1"/>
    <n v="8"/>
  </r>
  <r>
    <n v="34"/>
    <x v="1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s v="No"/>
    <n v="12"/>
    <n v="3"/>
    <n v="1"/>
    <n v="80"/>
    <n v="0"/>
    <n v="6"/>
    <s v="6-15"/>
    <n v="3"/>
    <n v="3"/>
    <n v="2"/>
    <n v="2"/>
    <n v="2"/>
    <n v="2"/>
  </r>
  <r>
    <n v="21"/>
    <x v="0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s v="No"/>
    <n v="13"/>
    <n v="3"/>
    <n v="2"/>
    <n v="80"/>
    <n v="0"/>
    <n v="1"/>
    <s v="0-5"/>
    <n v="3"/>
    <n v="3"/>
    <n v="1"/>
    <n v="0"/>
    <n v="1"/>
    <n v="0"/>
  </r>
  <r>
    <n v="38"/>
    <x v="1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s v="No"/>
    <n v="11"/>
    <n v="3"/>
    <n v="2"/>
    <n v="80"/>
    <n v="1"/>
    <n v="5"/>
    <s v="0-5"/>
    <n v="3"/>
    <n v="3"/>
    <n v="5"/>
    <n v="4"/>
    <n v="0"/>
    <n v="4"/>
  </r>
  <r>
    <n v="22"/>
    <x v="0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s v="Yes"/>
    <n v="17"/>
    <n v="3"/>
    <n v="3"/>
    <n v="80"/>
    <n v="0"/>
    <n v="1"/>
    <s v="0-5"/>
    <n v="6"/>
    <n v="3"/>
    <n v="1"/>
    <n v="0"/>
    <n v="0"/>
    <n v="0"/>
  </r>
  <r>
    <n v="31"/>
    <x v="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s v="No"/>
    <n v="14"/>
    <n v="3"/>
    <n v="1"/>
    <n v="80"/>
    <n v="2"/>
    <n v="13"/>
    <s v="6-15"/>
    <n v="3"/>
    <n v="3"/>
    <n v="12"/>
    <n v="7"/>
    <n v="5"/>
    <n v="7"/>
  </r>
  <r>
    <n v="51"/>
    <x v="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s v="No"/>
    <n v="11"/>
    <n v="3"/>
    <n v="4"/>
    <n v="80"/>
    <n v="0"/>
    <n v="15"/>
    <s v="6-15"/>
    <n v="2"/>
    <n v="3"/>
    <n v="2"/>
    <n v="2"/>
    <n v="2"/>
    <n v="2"/>
  </r>
  <r>
    <n v="37"/>
    <x v="1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s v="No"/>
    <n v="14"/>
    <n v="3"/>
    <n v="1"/>
    <n v="80"/>
    <n v="2"/>
    <n v="5"/>
    <s v="0-5"/>
    <n v="2"/>
    <n v="3"/>
    <n v="5"/>
    <n v="2"/>
    <n v="0"/>
    <n v="3"/>
  </r>
  <r>
    <n v="46"/>
    <x v="1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s v="Yes"/>
    <n v="17"/>
    <n v="3"/>
    <n v="3"/>
    <n v="80"/>
    <n v="1"/>
    <n v="24"/>
    <s v="&gt;15"/>
    <n v="3"/>
    <n v="3"/>
    <n v="2"/>
    <n v="1"/>
    <n v="2"/>
    <n v="2"/>
  </r>
  <r>
    <n v="36"/>
    <x v="1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s v="Yes"/>
    <n v="13"/>
    <n v="3"/>
    <n v="4"/>
    <n v="80"/>
    <n v="1"/>
    <n v="15"/>
    <s v="6-15"/>
    <n v="1"/>
    <n v="3"/>
    <n v="12"/>
    <n v="8"/>
    <n v="5"/>
    <n v="7"/>
  </r>
  <r>
    <n v="44"/>
    <x v="0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s v="Yes"/>
    <n v="12"/>
    <n v="3"/>
    <n v="3"/>
    <n v="80"/>
    <n v="3"/>
    <n v="6"/>
    <s v="6-15"/>
    <n v="2"/>
    <n v="2"/>
    <n v="5"/>
    <n v="3"/>
    <n v="2"/>
    <n v="3"/>
  </r>
  <r>
    <n v="37"/>
    <x v="1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s v="No"/>
    <n v="13"/>
    <n v="3"/>
    <n v="3"/>
    <n v="80"/>
    <n v="0"/>
    <n v="19"/>
    <s v="&gt;15"/>
    <n v="4"/>
    <n v="2"/>
    <n v="10"/>
    <n v="0"/>
    <n v="4"/>
    <n v="7"/>
  </r>
  <r>
    <n v="35"/>
    <x v="0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s v="Yes"/>
    <n v="18"/>
    <n v="3"/>
    <n v="4"/>
    <n v="80"/>
    <n v="0"/>
    <n v="10"/>
    <s v="6-15"/>
    <n v="2"/>
    <n v="3"/>
    <n v="10"/>
    <n v="7"/>
    <n v="7"/>
    <n v="7"/>
  </r>
  <r>
    <n v="33"/>
    <x v="1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s v="No"/>
    <n v="19"/>
    <n v="3"/>
    <n v="2"/>
    <n v="80"/>
    <n v="1"/>
    <n v="14"/>
    <s v="6-15"/>
    <n v="1"/>
    <n v="3"/>
    <n v="10"/>
    <n v="8"/>
    <n v="7"/>
    <n v="6"/>
  </r>
  <r>
    <n v="28"/>
    <x v="1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s v="No"/>
    <n v="11"/>
    <n v="3"/>
    <n v="3"/>
    <n v="80"/>
    <n v="1"/>
    <n v="5"/>
    <s v="0-5"/>
    <n v="6"/>
    <n v="4"/>
    <n v="5"/>
    <n v="3"/>
    <n v="0"/>
    <n v="3"/>
  </r>
  <r>
    <n v="39"/>
    <x v="1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s v="No"/>
    <n v="21"/>
    <n v="4"/>
    <n v="3"/>
    <n v="80"/>
    <n v="0"/>
    <n v="9"/>
    <s v="6-15"/>
    <n v="3"/>
    <n v="3"/>
    <n v="4"/>
    <n v="3"/>
    <n v="2"/>
    <n v="2"/>
  </r>
  <r>
    <n v="46"/>
    <x v="1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s v="No"/>
    <n v="15"/>
    <n v="3"/>
    <n v="3"/>
    <n v="80"/>
    <n v="0"/>
    <n v="6"/>
    <s v="6-15"/>
    <n v="3"/>
    <n v="3"/>
    <n v="2"/>
    <n v="2"/>
    <n v="2"/>
    <n v="2"/>
  </r>
  <r>
    <n v="40"/>
    <x v="1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s v="No"/>
    <n v="17"/>
    <n v="3"/>
    <n v="4"/>
    <n v="80"/>
    <n v="1"/>
    <n v="7"/>
    <s v="6-15"/>
    <n v="5"/>
    <n v="2"/>
    <n v="4"/>
    <n v="3"/>
    <n v="0"/>
    <n v="2"/>
  </r>
  <r>
    <n v="42"/>
    <x v="1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s v="No"/>
    <n v="18"/>
    <n v="3"/>
    <n v="3"/>
    <n v="80"/>
    <n v="2"/>
    <n v="10"/>
    <s v="6-15"/>
    <n v="2"/>
    <n v="2"/>
    <n v="0"/>
    <n v="0"/>
    <n v="0"/>
    <n v="0"/>
  </r>
  <r>
    <n v="35"/>
    <x v="1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s v="No"/>
    <n v="14"/>
    <n v="3"/>
    <n v="3"/>
    <n v="80"/>
    <n v="1"/>
    <n v="15"/>
    <s v="6-15"/>
    <n v="6"/>
    <n v="3"/>
    <n v="7"/>
    <n v="7"/>
    <n v="1"/>
    <n v="7"/>
  </r>
  <r>
    <n v="38"/>
    <x v="1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s v="No"/>
    <n v="13"/>
    <n v="3"/>
    <n v="4"/>
    <n v="80"/>
    <n v="3"/>
    <n v="13"/>
    <s v="6-15"/>
    <n v="3"/>
    <n v="3"/>
    <n v="11"/>
    <n v="10"/>
    <n v="3"/>
    <n v="8"/>
  </r>
  <r>
    <n v="34"/>
    <x v="0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s v="No"/>
    <n v="17"/>
    <n v="3"/>
    <n v="3"/>
    <n v="80"/>
    <n v="1"/>
    <n v="11"/>
    <s v="6-15"/>
    <n v="3"/>
    <n v="2"/>
    <n v="7"/>
    <n v="1"/>
    <n v="0"/>
    <n v="7"/>
  </r>
  <r>
    <n v="37"/>
    <x v="0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s v="No"/>
    <n v="15"/>
    <n v="3"/>
    <n v="2"/>
    <n v="80"/>
    <n v="0"/>
    <n v="10"/>
    <s v="6-15"/>
    <n v="4"/>
    <n v="1"/>
    <n v="10"/>
    <n v="3"/>
    <n v="0"/>
    <n v="8"/>
  </r>
  <r>
    <n v="39"/>
    <x v="1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s v="No"/>
    <n v="18"/>
    <n v="3"/>
    <n v="4"/>
    <n v="80"/>
    <n v="1"/>
    <n v="7"/>
    <s v="6-15"/>
    <n v="6"/>
    <n v="3"/>
    <n v="2"/>
    <n v="1"/>
    <n v="2"/>
    <n v="2"/>
  </r>
  <r>
    <n v="43"/>
    <x v="1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s v="No"/>
    <n v="13"/>
    <n v="3"/>
    <n v="3"/>
    <n v="80"/>
    <n v="0"/>
    <n v="7"/>
    <s v="6-15"/>
    <n v="2"/>
    <n v="2"/>
    <n v="3"/>
    <n v="2"/>
    <n v="1"/>
    <n v="2"/>
  </r>
  <r>
    <n v="41"/>
    <x v="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s v="No"/>
    <n v="12"/>
    <n v="3"/>
    <n v="1"/>
    <n v="80"/>
    <n v="0"/>
    <n v="11"/>
    <s v="6-15"/>
    <n v="3"/>
    <n v="1"/>
    <n v="3"/>
    <n v="2"/>
    <n v="1"/>
    <n v="2"/>
  </r>
  <r>
    <n v="41"/>
    <x v="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s v="Yes"/>
    <n v="13"/>
    <n v="3"/>
    <n v="4"/>
    <n v="80"/>
    <n v="1"/>
    <n v="23"/>
    <s v="&gt;15"/>
    <n v="3"/>
    <n v="4"/>
    <n v="22"/>
    <n v="14"/>
    <n v="13"/>
    <n v="5"/>
  </r>
  <r>
    <n v="30"/>
    <x v="1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s v="No"/>
    <n v="14"/>
    <n v="3"/>
    <n v="2"/>
    <n v="80"/>
    <n v="0"/>
    <n v="9"/>
    <s v="6-15"/>
    <n v="3"/>
    <n v="3"/>
    <n v="7"/>
    <n v="7"/>
    <n v="0"/>
    <n v="2"/>
  </r>
  <r>
    <n v="26"/>
    <x v="0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s v="Yes"/>
    <n v="11"/>
    <n v="3"/>
    <n v="3"/>
    <n v="80"/>
    <n v="0"/>
    <n v="6"/>
    <s v="6-15"/>
    <n v="3"/>
    <n v="3"/>
    <n v="5"/>
    <n v="1"/>
    <n v="1"/>
    <n v="4"/>
  </r>
  <r>
    <n v="46"/>
    <x v="0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s v="No"/>
    <n v="22"/>
    <n v="4"/>
    <n v="4"/>
    <n v="80"/>
    <n v="1"/>
    <n v="13"/>
    <s v="6-15"/>
    <n v="2"/>
    <n v="4"/>
    <n v="9"/>
    <n v="7"/>
    <n v="3"/>
    <n v="7"/>
  </r>
  <r>
    <n v="40"/>
    <x v="1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s v="No"/>
    <n v="17"/>
    <n v="3"/>
    <n v="4"/>
    <n v="80"/>
    <n v="1"/>
    <n v="12"/>
    <s v="6-15"/>
    <n v="3"/>
    <n v="3"/>
    <n v="5"/>
    <n v="3"/>
    <n v="0"/>
    <n v="3"/>
  </r>
  <r>
    <n v="34"/>
    <x v="1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s v="No"/>
    <n v="21"/>
    <n v="4"/>
    <n v="3"/>
    <n v="80"/>
    <n v="2"/>
    <n v="10"/>
    <s v="6-15"/>
    <n v="5"/>
    <n v="3"/>
    <n v="10"/>
    <n v="8"/>
    <n v="4"/>
    <n v="8"/>
  </r>
  <r>
    <n v="58"/>
    <x v="1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s v="No"/>
    <n v="22"/>
    <n v="4"/>
    <n v="4"/>
    <n v="80"/>
    <n v="1"/>
    <n v="37"/>
    <s v="&gt;15"/>
    <n v="0"/>
    <n v="2"/>
    <n v="16"/>
    <n v="9"/>
    <n v="14"/>
    <n v="14"/>
  </r>
  <r>
    <n v="35"/>
    <x v="1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s v="No"/>
    <n v="16"/>
    <n v="3"/>
    <n v="2"/>
    <n v="80"/>
    <n v="1"/>
    <n v="6"/>
    <s v="6-15"/>
    <n v="2"/>
    <n v="4"/>
    <n v="5"/>
    <n v="4"/>
    <n v="0"/>
    <n v="3"/>
  </r>
  <r>
    <n v="47"/>
    <x v="1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s v="Yes"/>
    <n v="12"/>
    <n v="3"/>
    <n v="3"/>
    <n v="80"/>
    <n v="1"/>
    <n v="28"/>
    <s v="&gt;15"/>
    <n v="4"/>
    <n v="3"/>
    <n v="22"/>
    <n v="11"/>
    <n v="14"/>
    <n v="10"/>
  </r>
  <r>
    <n v="40"/>
    <x v="1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s v="No"/>
    <n v="12"/>
    <n v="3"/>
    <n v="2"/>
    <n v="80"/>
    <n v="1"/>
    <n v="15"/>
    <s v="6-15"/>
    <n v="3"/>
    <n v="3"/>
    <n v="7"/>
    <n v="4"/>
    <n v="7"/>
    <n v="7"/>
  </r>
  <r>
    <n v="54"/>
    <x v="1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s v="No"/>
    <n v="15"/>
    <n v="3"/>
    <n v="2"/>
    <n v="80"/>
    <n v="1"/>
    <n v="14"/>
    <s v="6-15"/>
    <n v="2"/>
    <n v="2"/>
    <n v="7"/>
    <n v="1"/>
    <n v="1"/>
    <n v="7"/>
  </r>
  <r>
    <n v="31"/>
    <x v="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s v="No"/>
    <n v="14"/>
    <n v="3"/>
    <n v="4"/>
    <n v="80"/>
    <n v="2"/>
    <n v="9"/>
    <s v="6-15"/>
    <n v="3"/>
    <n v="3"/>
    <n v="3"/>
    <n v="2"/>
    <n v="2"/>
    <n v="2"/>
  </r>
  <r>
    <n v="28"/>
    <x v="1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s v="No"/>
    <n v="25"/>
    <n v="4"/>
    <n v="3"/>
    <n v="80"/>
    <n v="1"/>
    <n v="3"/>
    <s v="0-5"/>
    <n v="3"/>
    <n v="3"/>
    <n v="3"/>
    <n v="2"/>
    <n v="1"/>
    <n v="2"/>
  </r>
  <r>
    <n v="38"/>
    <x v="1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s v="Yes"/>
    <n v="20"/>
    <n v="4"/>
    <n v="1"/>
    <n v="80"/>
    <n v="2"/>
    <n v="20"/>
    <s v="&gt;15"/>
    <n v="4"/>
    <n v="2"/>
    <n v="4"/>
    <n v="2"/>
    <n v="0"/>
    <n v="3"/>
  </r>
  <r>
    <n v="26"/>
    <x v="1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s v="No"/>
    <n v="13"/>
    <n v="3"/>
    <n v="1"/>
    <n v="80"/>
    <n v="0"/>
    <n v="5"/>
    <s v="0-5"/>
    <n v="4"/>
    <n v="3"/>
    <n v="5"/>
    <n v="3"/>
    <n v="1"/>
    <n v="2"/>
  </r>
  <r>
    <n v="58"/>
    <x v="1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s v="Yes"/>
    <n v="14"/>
    <n v="3"/>
    <n v="2"/>
    <n v="80"/>
    <n v="0"/>
    <n v="23"/>
    <s v="&gt;15"/>
    <n v="3"/>
    <n v="3"/>
    <n v="2"/>
    <n v="2"/>
    <n v="2"/>
    <n v="2"/>
  </r>
  <r>
    <n v="18"/>
    <x v="1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s v="No"/>
    <n v="16"/>
    <n v="3"/>
    <n v="3"/>
    <n v="80"/>
    <n v="0"/>
    <n v="0"/>
    <s v="0-5"/>
    <n v="4"/>
    <n v="1"/>
    <n v="0"/>
    <n v="0"/>
    <n v="0"/>
    <n v="0"/>
  </r>
  <r>
    <n v="31"/>
    <x v="0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s v="No"/>
    <n v="17"/>
    <n v="3"/>
    <n v="3"/>
    <n v="80"/>
    <n v="0"/>
    <n v="2"/>
    <s v="0-5"/>
    <n v="4"/>
    <n v="3"/>
    <n v="1"/>
    <n v="0"/>
    <n v="0"/>
    <n v="0"/>
  </r>
  <r>
    <n v="29"/>
    <x v="0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s v="Yes"/>
    <n v="15"/>
    <n v="3"/>
    <n v="4"/>
    <n v="80"/>
    <n v="3"/>
    <n v="4"/>
    <s v="0-5"/>
    <n v="3"/>
    <n v="3"/>
    <n v="2"/>
    <n v="2"/>
    <n v="2"/>
    <n v="0"/>
  </r>
  <r>
    <n v="45"/>
    <x v="1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s v="No"/>
    <n v="22"/>
    <n v="4"/>
    <n v="2"/>
    <n v="80"/>
    <n v="2"/>
    <n v="10"/>
    <s v="6-15"/>
    <n v="3"/>
    <n v="4"/>
    <n v="8"/>
    <n v="7"/>
    <n v="5"/>
    <n v="7"/>
  </r>
  <r>
    <n v="36"/>
    <x v="1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s v="Yes"/>
    <n v="22"/>
    <n v="4"/>
    <n v="4"/>
    <n v="80"/>
    <n v="1"/>
    <n v="15"/>
    <s v="6-15"/>
    <n v="2"/>
    <n v="3"/>
    <n v="1"/>
    <n v="0"/>
    <n v="0"/>
    <n v="0"/>
  </r>
  <r>
    <n v="43"/>
    <x v="1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s v="No"/>
    <n v="20"/>
    <n v="4"/>
    <n v="3"/>
    <n v="80"/>
    <n v="1"/>
    <n v="7"/>
    <s v="6-15"/>
    <n v="5"/>
    <n v="3"/>
    <n v="7"/>
    <n v="7"/>
    <n v="7"/>
    <n v="7"/>
  </r>
  <r>
    <n v="27"/>
    <x v="1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s v="Yes"/>
    <n v="14"/>
    <n v="3"/>
    <n v="3"/>
    <n v="80"/>
    <n v="0"/>
    <n v="6"/>
    <s v="6-15"/>
    <n v="3"/>
    <n v="2"/>
    <n v="5"/>
    <n v="4"/>
    <n v="0"/>
    <n v="2"/>
  </r>
  <r>
    <n v="29"/>
    <x v="1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s v="No"/>
    <n v="13"/>
    <n v="3"/>
    <n v="2"/>
    <n v="80"/>
    <n v="0"/>
    <n v="11"/>
    <s v="6-15"/>
    <n v="3"/>
    <n v="4"/>
    <n v="11"/>
    <n v="8"/>
    <n v="3"/>
    <n v="10"/>
  </r>
  <r>
    <n v="32"/>
    <x v="1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s v="No"/>
    <n v="13"/>
    <n v="3"/>
    <n v="3"/>
    <n v="80"/>
    <n v="0"/>
    <n v="4"/>
    <s v="0-5"/>
    <n v="2"/>
    <n v="4"/>
    <n v="0"/>
    <n v="0"/>
    <n v="0"/>
    <n v="0"/>
  </r>
  <r>
    <n v="42"/>
    <x v="1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s v="No"/>
    <n v="22"/>
    <n v="4"/>
    <n v="2"/>
    <n v="80"/>
    <n v="2"/>
    <n v="10"/>
    <s v="6-15"/>
    <n v="1"/>
    <n v="2"/>
    <n v="6"/>
    <n v="3"/>
    <n v="3"/>
    <n v="3"/>
  </r>
  <r>
    <n v="47"/>
    <x v="1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s v="No"/>
    <n v="12"/>
    <n v="3"/>
    <n v="3"/>
    <n v="80"/>
    <n v="0"/>
    <n v="7"/>
    <s v="6-15"/>
    <n v="2"/>
    <n v="3"/>
    <n v="2"/>
    <n v="2"/>
    <n v="2"/>
    <n v="0"/>
  </r>
  <r>
    <n v="46"/>
    <x v="1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s v="No"/>
    <n v="14"/>
    <n v="3"/>
    <n v="3"/>
    <n v="80"/>
    <n v="1"/>
    <n v="12"/>
    <s v="6-15"/>
    <n v="4"/>
    <n v="2"/>
    <n v="9"/>
    <n v="8"/>
    <n v="4"/>
    <n v="7"/>
  </r>
  <r>
    <n v="28"/>
    <x v="1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s v="No"/>
    <n v="15"/>
    <n v="3"/>
    <n v="2"/>
    <n v="80"/>
    <n v="1"/>
    <n v="3"/>
    <s v="0-5"/>
    <n v="2"/>
    <n v="3"/>
    <n v="3"/>
    <n v="2"/>
    <n v="2"/>
    <n v="2"/>
  </r>
  <r>
    <n v="29"/>
    <x v="1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s v="No"/>
    <n v="17"/>
    <n v="3"/>
    <n v="4"/>
    <n v="80"/>
    <n v="2"/>
    <n v="11"/>
    <s v="6-15"/>
    <n v="3"/>
    <n v="3"/>
    <n v="7"/>
    <n v="0"/>
    <n v="1"/>
    <n v="6"/>
  </r>
  <r>
    <n v="42"/>
    <x v="1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s v="No"/>
    <n v="13"/>
    <n v="3"/>
    <n v="4"/>
    <n v="80"/>
    <n v="0"/>
    <n v="8"/>
    <s v="6-15"/>
    <n v="3"/>
    <n v="3"/>
    <n v="0"/>
    <n v="0"/>
    <n v="0"/>
    <n v="0"/>
  </r>
  <r>
    <n v="32"/>
    <x v="0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s v="Yes"/>
    <n v="12"/>
    <n v="3"/>
    <n v="3"/>
    <n v="80"/>
    <n v="0"/>
    <n v="7"/>
    <s v="6-15"/>
    <n v="3"/>
    <n v="2"/>
    <n v="2"/>
    <n v="2"/>
    <n v="2"/>
    <n v="2"/>
  </r>
  <r>
    <n v="46"/>
    <x v="1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s v="No"/>
    <n v="12"/>
    <n v="3"/>
    <n v="4"/>
    <n v="80"/>
    <n v="1"/>
    <n v="25"/>
    <s v="&gt;15"/>
    <n v="5"/>
    <n v="3"/>
    <n v="19"/>
    <n v="17"/>
    <n v="2"/>
    <n v="8"/>
  </r>
  <r>
    <n v="27"/>
    <x v="1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s v="No"/>
    <n v="21"/>
    <n v="4"/>
    <n v="4"/>
    <n v="80"/>
    <n v="1"/>
    <n v="9"/>
    <s v="6-15"/>
    <n v="5"/>
    <n v="3"/>
    <n v="9"/>
    <n v="8"/>
    <n v="5"/>
    <n v="8"/>
  </r>
  <r>
    <n v="29"/>
    <x v="1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s v="No"/>
    <n v="11"/>
    <n v="3"/>
    <n v="4"/>
    <n v="80"/>
    <n v="0"/>
    <n v="1"/>
    <s v="0-5"/>
    <n v="3"/>
    <n v="3"/>
    <n v="1"/>
    <n v="0"/>
    <n v="0"/>
    <n v="0"/>
  </r>
  <r>
    <n v="43"/>
    <x v="1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s v="No"/>
    <n v="13"/>
    <n v="3"/>
    <n v="4"/>
    <n v="80"/>
    <n v="0"/>
    <n v="21"/>
    <s v="&gt;15"/>
    <n v="2"/>
    <n v="3"/>
    <n v="16"/>
    <n v="12"/>
    <n v="6"/>
    <n v="14"/>
  </r>
  <r>
    <n v="48"/>
    <x v="1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s v="No"/>
    <n v="12"/>
    <n v="3"/>
    <n v="4"/>
    <n v="80"/>
    <n v="0"/>
    <n v="29"/>
    <s v="&gt;15"/>
    <n v="3"/>
    <n v="3"/>
    <n v="22"/>
    <n v="10"/>
    <n v="12"/>
    <n v="9"/>
  </r>
  <r>
    <n v="29"/>
    <x v="0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s v="Yes"/>
    <n v="24"/>
    <n v="4"/>
    <n v="2"/>
    <n v="80"/>
    <n v="0"/>
    <n v="1"/>
    <s v="0-5"/>
    <n v="3"/>
    <n v="2"/>
    <n v="1"/>
    <n v="0"/>
    <n v="1"/>
    <n v="0"/>
  </r>
  <r>
    <n v="46"/>
    <x v="0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s v="No"/>
    <n v="21"/>
    <n v="4"/>
    <n v="3"/>
    <n v="80"/>
    <n v="3"/>
    <n v="14"/>
    <s v="6-15"/>
    <n v="2"/>
    <n v="3"/>
    <n v="8"/>
    <n v="7"/>
    <n v="0"/>
    <n v="7"/>
  </r>
  <r>
    <n v="27"/>
    <x v="1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s v="No"/>
    <n v="19"/>
    <n v="3"/>
    <n v="4"/>
    <n v="80"/>
    <n v="1"/>
    <n v="8"/>
    <s v="6-15"/>
    <n v="2"/>
    <n v="2"/>
    <n v="7"/>
    <n v="6"/>
    <n v="7"/>
    <n v="3"/>
  </r>
  <r>
    <n v="39"/>
    <x v="1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s v="No"/>
    <n v="14"/>
    <n v="3"/>
    <n v="2"/>
    <n v="80"/>
    <n v="3"/>
    <n v="7"/>
    <s v="6-15"/>
    <n v="2"/>
    <n v="3"/>
    <n v="2"/>
    <n v="2"/>
    <n v="2"/>
    <n v="2"/>
  </r>
  <r>
    <n v="55"/>
    <x v="1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s v="No"/>
    <n v="20"/>
    <n v="4"/>
    <n v="2"/>
    <n v="80"/>
    <n v="1"/>
    <n v="19"/>
    <s v="&gt;15"/>
    <n v="2"/>
    <n v="4"/>
    <n v="5"/>
    <n v="2"/>
    <n v="0"/>
    <n v="4"/>
  </r>
  <r>
    <n v="28"/>
    <x v="1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s v="No"/>
    <n v="19"/>
    <n v="3"/>
    <n v="4"/>
    <n v="80"/>
    <n v="1"/>
    <n v="1"/>
    <s v="0-5"/>
    <n v="3"/>
    <n v="3"/>
    <n v="1"/>
    <n v="0"/>
    <n v="0"/>
    <n v="0"/>
  </r>
  <r>
    <n v="30"/>
    <x v="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s v="No"/>
    <n v="13"/>
    <n v="3"/>
    <n v="3"/>
    <n v="80"/>
    <n v="0"/>
    <n v="1"/>
    <s v="0-5"/>
    <n v="3"/>
    <n v="2"/>
    <n v="1"/>
    <n v="0"/>
    <n v="0"/>
    <n v="0"/>
  </r>
  <r>
    <n v="22"/>
    <x v="0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s v="Yes"/>
    <n v="23"/>
    <n v="4"/>
    <n v="1"/>
    <n v="80"/>
    <n v="0"/>
    <n v="1"/>
    <s v="0-5"/>
    <n v="2"/>
    <n v="3"/>
    <n v="1"/>
    <n v="0"/>
    <n v="0"/>
    <n v="0"/>
  </r>
  <r>
    <n v="36"/>
    <x v="1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s v="Yes"/>
    <n v="13"/>
    <n v="3"/>
    <n v="1"/>
    <n v="80"/>
    <n v="1"/>
    <n v="10"/>
    <s v="6-15"/>
    <n v="4"/>
    <n v="3"/>
    <n v="10"/>
    <n v="9"/>
    <n v="1"/>
    <n v="7"/>
  </r>
  <r>
    <n v="31"/>
    <x v="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s v="No"/>
    <n v="11"/>
    <n v="3"/>
    <n v="1"/>
    <n v="80"/>
    <n v="1"/>
    <n v="10"/>
    <s v="6-15"/>
    <n v="2"/>
    <n v="3"/>
    <n v="10"/>
    <n v="8"/>
    <n v="0"/>
    <n v="2"/>
  </r>
  <r>
    <n v="34"/>
    <x v="1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s v="Yes"/>
    <n v="13"/>
    <n v="3"/>
    <n v="4"/>
    <n v="80"/>
    <n v="3"/>
    <n v="9"/>
    <s v="6-15"/>
    <n v="3"/>
    <n v="3"/>
    <n v="5"/>
    <n v="3"/>
    <n v="1"/>
    <n v="0"/>
  </r>
  <r>
    <n v="29"/>
    <x v="1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s v="No"/>
    <n v="14"/>
    <n v="3"/>
    <n v="2"/>
    <n v="80"/>
    <n v="0"/>
    <n v="11"/>
    <s v="6-15"/>
    <n v="2"/>
    <n v="3"/>
    <n v="3"/>
    <n v="2"/>
    <n v="1"/>
    <n v="2"/>
  </r>
  <r>
    <n v="37"/>
    <x v="1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s v="Yes"/>
    <n v="22"/>
    <n v="4"/>
    <n v="3"/>
    <n v="80"/>
    <n v="1"/>
    <n v="16"/>
    <s v="&gt;15"/>
    <n v="2"/>
    <n v="3"/>
    <n v="5"/>
    <n v="3"/>
    <n v="0"/>
    <n v="4"/>
  </r>
  <r>
    <n v="35"/>
    <x v="1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s v="Yes"/>
    <n v="11"/>
    <n v="3"/>
    <n v="4"/>
    <n v="80"/>
    <n v="0"/>
    <n v="4"/>
    <s v="0-5"/>
    <n v="2"/>
    <n v="3"/>
    <n v="3"/>
    <n v="2"/>
    <n v="0"/>
    <n v="2"/>
  </r>
  <r>
    <n v="45"/>
    <x v="1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s v="No"/>
    <n v="13"/>
    <n v="3"/>
    <n v="4"/>
    <n v="80"/>
    <n v="2"/>
    <n v="10"/>
    <s v="6-15"/>
    <n v="2"/>
    <n v="2"/>
    <n v="9"/>
    <n v="8"/>
    <n v="3"/>
    <n v="8"/>
  </r>
  <r>
    <n v="36"/>
    <x v="1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s v="No"/>
    <n v="21"/>
    <n v="4"/>
    <n v="4"/>
    <n v="80"/>
    <n v="0"/>
    <n v="10"/>
    <s v="6-15"/>
    <n v="2"/>
    <n v="2"/>
    <n v="10"/>
    <n v="1"/>
    <n v="0"/>
    <n v="8"/>
  </r>
  <r>
    <n v="40"/>
    <x v="1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s v="No"/>
    <n v="11"/>
    <n v="3"/>
    <n v="1"/>
    <n v="80"/>
    <n v="1"/>
    <n v="22"/>
    <s v="&gt;15"/>
    <n v="3"/>
    <n v="3"/>
    <n v="19"/>
    <n v="7"/>
    <n v="11"/>
    <n v="16"/>
  </r>
  <r>
    <n v="26"/>
    <x v="1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s v="Yes"/>
    <n v="13"/>
    <n v="3"/>
    <n v="3"/>
    <n v="80"/>
    <n v="1"/>
    <n v="1"/>
    <s v="0-5"/>
    <n v="3"/>
    <n v="2"/>
    <n v="1"/>
    <n v="0"/>
    <n v="1"/>
    <n v="0"/>
  </r>
  <r>
    <n v="27"/>
    <x v="1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s v="No"/>
    <n v="14"/>
    <n v="3"/>
    <n v="2"/>
    <n v="80"/>
    <n v="0"/>
    <n v="9"/>
    <s v="6-15"/>
    <n v="5"/>
    <n v="2"/>
    <n v="8"/>
    <n v="7"/>
    <n v="0"/>
    <n v="7"/>
  </r>
  <r>
    <n v="48"/>
    <x v="1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s v="No"/>
    <n v="11"/>
    <n v="3"/>
    <n v="2"/>
    <n v="80"/>
    <n v="1"/>
    <n v="24"/>
    <s v="&gt;15"/>
    <n v="3"/>
    <n v="3"/>
    <n v="22"/>
    <n v="17"/>
    <n v="4"/>
    <n v="7"/>
  </r>
  <r>
    <n v="44"/>
    <x v="1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s v="No"/>
    <n v="15"/>
    <n v="3"/>
    <n v="4"/>
    <n v="80"/>
    <n v="1"/>
    <n v="10"/>
    <s v="6-15"/>
    <n v="5"/>
    <n v="3"/>
    <n v="2"/>
    <n v="0"/>
    <n v="2"/>
    <n v="2"/>
  </r>
  <r>
    <n v="34"/>
    <x v="0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s v="Yes"/>
    <n v="23"/>
    <n v="4"/>
    <n v="2"/>
    <n v="80"/>
    <n v="1"/>
    <n v="5"/>
    <s v="0-5"/>
    <n v="2"/>
    <n v="3"/>
    <n v="5"/>
    <n v="2"/>
    <n v="3"/>
    <n v="0"/>
  </r>
  <r>
    <n v="56"/>
    <x v="0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s v="No"/>
    <n v="16"/>
    <n v="3"/>
    <n v="4"/>
    <n v="80"/>
    <n v="0"/>
    <n v="5"/>
    <s v="0-5"/>
    <n v="3"/>
    <n v="3"/>
    <n v="4"/>
    <n v="2"/>
    <n v="1"/>
    <n v="0"/>
  </r>
  <r>
    <n v="36"/>
    <x v="1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s v="No"/>
    <n v="16"/>
    <n v="3"/>
    <n v="3"/>
    <n v="80"/>
    <n v="2"/>
    <n v="12"/>
    <s v="6-15"/>
    <n v="1"/>
    <n v="1"/>
    <n v="4"/>
    <n v="2"/>
    <n v="1"/>
    <n v="3"/>
  </r>
  <r>
    <n v="41"/>
    <x v="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s v="No"/>
    <n v="21"/>
    <n v="4"/>
    <n v="3"/>
    <n v="80"/>
    <n v="1"/>
    <n v="14"/>
    <s v="6-15"/>
    <n v="3"/>
    <n v="3"/>
    <n v="5"/>
    <n v="4"/>
    <n v="1"/>
    <n v="4"/>
  </r>
  <r>
    <n v="42"/>
    <x v="1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s v="No"/>
    <n v="13"/>
    <n v="3"/>
    <n v="2"/>
    <n v="80"/>
    <n v="1"/>
    <n v="18"/>
    <s v="&gt;15"/>
    <n v="3"/>
    <n v="4"/>
    <n v="13"/>
    <n v="7"/>
    <n v="5"/>
    <n v="7"/>
  </r>
  <r>
    <n v="31"/>
    <x v="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s v="Yes"/>
    <n v="11"/>
    <n v="3"/>
    <n v="4"/>
    <n v="80"/>
    <n v="1"/>
    <n v="8"/>
    <s v="6-15"/>
    <n v="2"/>
    <n v="3"/>
    <n v="5"/>
    <n v="2"/>
    <n v="1"/>
    <n v="4"/>
  </r>
  <r>
    <n v="34"/>
    <x v="1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s v="Yes"/>
    <n v="12"/>
    <n v="3"/>
    <n v="3"/>
    <n v="80"/>
    <n v="0"/>
    <n v="9"/>
    <s v="6-15"/>
    <n v="3"/>
    <n v="2"/>
    <n v="4"/>
    <n v="2"/>
    <n v="0"/>
    <n v="1"/>
  </r>
  <r>
    <n v="31"/>
    <x v="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s v="No"/>
    <n v="12"/>
    <n v="3"/>
    <n v="2"/>
    <n v="80"/>
    <n v="1"/>
    <n v="4"/>
    <s v="0-5"/>
    <n v="0"/>
    <n v="2"/>
    <n v="2"/>
    <n v="2"/>
    <n v="2"/>
    <n v="2"/>
  </r>
  <r>
    <n v="26"/>
    <x v="1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s v="No"/>
    <n v="18"/>
    <n v="3"/>
    <n v="1"/>
    <n v="80"/>
    <n v="1"/>
    <n v="8"/>
    <s v="6-15"/>
    <n v="3"/>
    <n v="3"/>
    <n v="7"/>
    <n v="7"/>
    <n v="7"/>
    <n v="7"/>
  </r>
  <r>
    <n v="45"/>
    <x v="1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s v="No"/>
    <n v="12"/>
    <n v="3"/>
    <n v="3"/>
    <n v="80"/>
    <n v="0"/>
    <n v="12"/>
    <s v="6-15"/>
    <n v="3"/>
    <n v="3"/>
    <n v="4"/>
    <n v="2"/>
    <n v="0"/>
    <n v="3"/>
  </r>
  <r>
    <n v="33"/>
    <x v="1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s v="No"/>
    <n v="14"/>
    <n v="3"/>
    <n v="2"/>
    <n v="80"/>
    <n v="0"/>
    <n v="10"/>
    <s v="6-15"/>
    <n v="2"/>
    <n v="2"/>
    <n v="10"/>
    <n v="4"/>
    <n v="0"/>
    <n v="9"/>
  </r>
  <r>
    <n v="28"/>
    <x v="1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s v="Yes"/>
    <n v="12"/>
    <n v="3"/>
    <n v="3"/>
    <n v="80"/>
    <n v="1"/>
    <n v="7"/>
    <s v="6-15"/>
    <n v="2"/>
    <n v="3"/>
    <n v="7"/>
    <n v="7"/>
    <n v="0"/>
    <n v="7"/>
  </r>
  <r>
    <n v="29"/>
    <x v="0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s v="No"/>
    <n v="17"/>
    <n v="3"/>
    <n v="4"/>
    <n v="80"/>
    <n v="0"/>
    <n v="1"/>
    <s v="0-5"/>
    <n v="3"/>
    <n v="3"/>
    <n v="1"/>
    <n v="0"/>
    <n v="0"/>
    <n v="0"/>
  </r>
  <r>
    <n v="39"/>
    <x v="1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s v="No"/>
    <n v="19"/>
    <n v="3"/>
    <n v="3"/>
    <n v="80"/>
    <n v="1"/>
    <n v="10"/>
    <s v="6-15"/>
    <n v="1"/>
    <n v="3"/>
    <n v="3"/>
    <n v="2"/>
    <n v="1"/>
    <n v="2"/>
  </r>
  <r>
    <n v="27"/>
    <x v="1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s v="No"/>
    <n v="11"/>
    <n v="3"/>
    <n v="3"/>
    <n v="80"/>
    <n v="1"/>
    <n v="6"/>
    <s v="6-15"/>
    <n v="3"/>
    <n v="2"/>
    <n v="5"/>
    <n v="3"/>
    <n v="1"/>
    <n v="2"/>
  </r>
  <r>
    <n v="34"/>
    <x v="1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s v="Yes"/>
    <n v="15"/>
    <n v="3"/>
    <n v="2"/>
    <n v="80"/>
    <n v="0"/>
    <n v="16"/>
    <s v="&gt;15"/>
    <n v="3"/>
    <n v="3"/>
    <n v="15"/>
    <n v="10"/>
    <n v="6"/>
    <n v="11"/>
  </r>
  <r>
    <n v="28"/>
    <x v="0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s v="Yes"/>
    <n v="11"/>
    <n v="3"/>
    <n v="4"/>
    <n v="80"/>
    <n v="0"/>
    <n v="6"/>
    <s v="6-15"/>
    <n v="0"/>
    <n v="3"/>
    <n v="2"/>
    <n v="0"/>
    <n v="2"/>
    <n v="2"/>
  </r>
  <r>
    <n v="47"/>
    <x v="1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s v="No"/>
    <n v="18"/>
    <n v="3"/>
    <n v="3"/>
    <n v="80"/>
    <n v="1"/>
    <n v="16"/>
    <s v="&gt;15"/>
    <n v="4"/>
    <n v="4"/>
    <n v="8"/>
    <n v="7"/>
    <n v="1"/>
    <n v="7"/>
  </r>
  <r>
    <n v="56"/>
    <x v="1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s v="No"/>
    <n v="16"/>
    <n v="3"/>
    <n v="3"/>
    <n v="80"/>
    <n v="1"/>
    <n v="6"/>
    <s v="6-15"/>
    <n v="3"/>
    <n v="3"/>
    <n v="0"/>
    <n v="0"/>
    <n v="0"/>
    <n v="0"/>
  </r>
  <r>
    <n v="39"/>
    <x v="1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s v="No"/>
    <n v="25"/>
    <n v="4"/>
    <n v="4"/>
    <n v="80"/>
    <n v="1"/>
    <n v="10"/>
    <s v="6-15"/>
    <n v="3"/>
    <n v="3"/>
    <n v="10"/>
    <n v="0"/>
    <n v="7"/>
    <n v="9"/>
  </r>
  <r>
    <n v="38"/>
    <x v="1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s v="Yes"/>
    <n v="16"/>
    <n v="3"/>
    <n v="3"/>
    <n v="80"/>
    <n v="1"/>
    <n v="20"/>
    <s v="&gt;15"/>
    <n v="3"/>
    <n v="3"/>
    <n v="20"/>
    <n v="11"/>
    <n v="0"/>
    <n v="7"/>
  </r>
  <r>
    <n v="58"/>
    <x v="1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s v="Yes"/>
    <n v="13"/>
    <n v="3"/>
    <n v="3"/>
    <n v="80"/>
    <n v="1"/>
    <n v="29"/>
    <s v="&gt;15"/>
    <n v="2"/>
    <n v="2"/>
    <n v="1"/>
    <n v="0"/>
    <n v="0"/>
    <n v="0"/>
  </r>
  <r>
    <n v="32"/>
    <x v="0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s v="Yes"/>
    <n v="14"/>
    <n v="3"/>
    <n v="1"/>
    <n v="80"/>
    <n v="0"/>
    <n v="8"/>
    <s v="6-15"/>
    <n v="2"/>
    <n v="3"/>
    <n v="4"/>
    <n v="1"/>
    <n v="0"/>
    <n v="3"/>
  </r>
  <r>
    <n v="38"/>
    <x v="1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s v="No"/>
    <n v="19"/>
    <n v="3"/>
    <n v="4"/>
    <n v="80"/>
    <n v="2"/>
    <n v="10"/>
    <s v="6-15"/>
    <n v="0"/>
    <n v="4"/>
    <n v="5"/>
    <n v="2"/>
    <n v="0"/>
    <n v="3"/>
  </r>
  <r>
    <n v="49"/>
    <x v="1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s v="No"/>
    <n v="15"/>
    <n v="3"/>
    <n v="4"/>
    <n v="80"/>
    <n v="0"/>
    <n v="28"/>
    <s v="&gt;15"/>
    <n v="3"/>
    <n v="3"/>
    <n v="5"/>
    <n v="4"/>
    <n v="4"/>
    <n v="3"/>
  </r>
  <r>
    <n v="42"/>
    <x v="1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s v="Yes"/>
    <n v="12"/>
    <n v="3"/>
    <n v="3"/>
    <n v="80"/>
    <n v="2"/>
    <n v="14"/>
    <s v="6-15"/>
    <n v="4"/>
    <n v="3"/>
    <n v="0"/>
    <n v="0"/>
    <n v="0"/>
    <n v="0"/>
  </r>
  <r>
    <n v="27"/>
    <x v="0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s v="No"/>
    <n v="12"/>
    <n v="3"/>
    <n v="1"/>
    <n v="80"/>
    <n v="0"/>
    <n v="1"/>
    <s v="0-5"/>
    <n v="2"/>
    <n v="3"/>
    <n v="1"/>
    <n v="0"/>
    <n v="0"/>
    <n v="0"/>
  </r>
  <r>
    <n v="35"/>
    <x v="1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s v="No"/>
    <n v="16"/>
    <n v="3"/>
    <n v="4"/>
    <n v="80"/>
    <n v="1"/>
    <n v="6"/>
    <s v="6-15"/>
    <n v="2"/>
    <n v="1"/>
    <n v="5"/>
    <n v="3"/>
    <n v="0"/>
    <n v="4"/>
  </r>
  <r>
    <n v="28"/>
    <x v="1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s v="No"/>
    <n v="14"/>
    <n v="3"/>
    <n v="3"/>
    <n v="80"/>
    <n v="0"/>
    <n v="5"/>
    <s v="0-5"/>
    <n v="3"/>
    <n v="2"/>
    <n v="5"/>
    <n v="3"/>
    <n v="1"/>
    <n v="4"/>
  </r>
  <r>
    <n v="31"/>
    <x v="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s v="Yes"/>
    <n v="13"/>
    <n v="3"/>
    <n v="4"/>
    <n v="80"/>
    <n v="1"/>
    <n v="4"/>
    <s v="0-5"/>
    <n v="3"/>
    <n v="4"/>
    <n v="4"/>
    <n v="2"/>
    <n v="2"/>
    <n v="3"/>
  </r>
  <r>
    <n v="36"/>
    <x v="1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s v="No"/>
    <n v="22"/>
    <n v="4"/>
    <n v="2"/>
    <n v="80"/>
    <n v="0"/>
    <n v="5"/>
    <s v="0-5"/>
    <n v="3"/>
    <n v="3"/>
    <n v="5"/>
    <n v="4"/>
    <n v="0"/>
    <n v="2"/>
  </r>
  <r>
    <n v="34"/>
    <x v="1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s v="No"/>
    <n v="21"/>
    <n v="4"/>
    <n v="1"/>
    <n v="80"/>
    <n v="0"/>
    <n v="14"/>
    <s v="6-15"/>
    <n v="3"/>
    <n v="2"/>
    <n v="14"/>
    <n v="8"/>
    <n v="2"/>
    <n v="1"/>
  </r>
  <r>
    <n v="34"/>
    <x v="1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s v="No"/>
    <n v="18"/>
    <n v="3"/>
    <n v="3"/>
    <n v="80"/>
    <n v="1"/>
    <n v="9"/>
    <s v="6-15"/>
    <n v="2"/>
    <n v="2"/>
    <n v="8"/>
    <n v="7"/>
    <n v="1"/>
    <n v="1"/>
  </r>
  <r>
    <n v="26"/>
    <x v="1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s v="No"/>
    <n v="13"/>
    <n v="3"/>
    <n v="4"/>
    <n v="80"/>
    <n v="0"/>
    <n v="8"/>
    <s v="6-15"/>
    <n v="6"/>
    <n v="2"/>
    <n v="7"/>
    <n v="7"/>
    <n v="7"/>
    <n v="6"/>
  </r>
  <r>
    <n v="29"/>
    <x v="1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s v="No"/>
    <n v="12"/>
    <n v="3"/>
    <n v="1"/>
    <n v="80"/>
    <n v="1"/>
    <n v="6"/>
    <s v="6-15"/>
    <n v="5"/>
    <n v="2"/>
    <n v="5"/>
    <n v="3"/>
    <n v="0"/>
    <n v="2"/>
  </r>
  <r>
    <n v="32"/>
    <x v="1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s v="No"/>
    <n v="18"/>
    <n v="3"/>
    <n v="2"/>
    <n v="80"/>
    <n v="1"/>
    <n v="9"/>
    <s v="6-15"/>
    <n v="6"/>
    <n v="3"/>
    <n v="5"/>
    <n v="1"/>
    <n v="1"/>
    <n v="2"/>
  </r>
  <r>
    <n v="31"/>
    <x v="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s v="No"/>
    <n v="21"/>
    <n v="4"/>
    <n v="2"/>
    <n v="80"/>
    <n v="0"/>
    <n v="10"/>
    <s v="6-15"/>
    <n v="6"/>
    <n v="3"/>
    <n v="10"/>
    <n v="8"/>
    <n v="8"/>
    <n v="7"/>
  </r>
  <r>
    <n v="28"/>
    <x v="0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s v="No"/>
    <n v="12"/>
    <n v="3"/>
    <n v="1"/>
    <n v="80"/>
    <n v="1"/>
    <n v="6"/>
    <s v="6-15"/>
    <n v="2"/>
    <n v="2"/>
    <n v="4"/>
    <n v="1"/>
    <n v="0"/>
    <n v="3"/>
  </r>
  <r>
    <n v="38"/>
    <x v="1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s v="No"/>
    <n v="14"/>
    <n v="3"/>
    <n v="1"/>
    <n v="80"/>
    <n v="0"/>
    <n v="20"/>
    <s v="&gt;15"/>
    <n v="3"/>
    <n v="2"/>
    <n v="1"/>
    <n v="0"/>
    <n v="0"/>
    <n v="0"/>
  </r>
  <r>
    <n v="35"/>
    <x v="1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s v="Yes"/>
    <n v="11"/>
    <n v="3"/>
    <n v="4"/>
    <n v="80"/>
    <n v="0"/>
    <n v="10"/>
    <s v="6-15"/>
    <n v="2"/>
    <n v="3"/>
    <n v="10"/>
    <n v="8"/>
    <n v="0"/>
    <n v="9"/>
  </r>
  <r>
    <n v="27"/>
    <x v="1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s v="No"/>
    <n v="14"/>
    <n v="3"/>
    <n v="1"/>
    <n v="80"/>
    <n v="0"/>
    <n v="7"/>
    <s v="6-15"/>
    <n v="5"/>
    <n v="3"/>
    <n v="7"/>
    <n v="7"/>
    <n v="0"/>
    <n v="7"/>
  </r>
  <r>
    <n v="32"/>
    <x v="1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s v="No"/>
    <n v="24"/>
    <n v="4"/>
    <n v="2"/>
    <n v="80"/>
    <n v="0"/>
    <n v="8"/>
    <s v="6-15"/>
    <n v="1"/>
    <n v="3"/>
    <n v="1"/>
    <n v="0"/>
    <n v="0"/>
    <n v="0"/>
  </r>
  <r>
    <n v="31"/>
    <x v="0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s v="Yes"/>
    <n v="11"/>
    <n v="3"/>
    <n v="3"/>
    <n v="80"/>
    <n v="0"/>
    <n v="10"/>
    <s v="6-15"/>
    <n v="4"/>
    <n v="3"/>
    <n v="10"/>
    <n v="7"/>
    <n v="0"/>
    <n v="8"/>
  </r>
  <r>
    <n v="53"/>
    <x v="0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s v="Yes"/>
    <n v="13"/>
    <n v="3"/>
    <n v="2"/>
    <n v="80"/>
    <n v="0"/>
    <n v="15"/>
    <s v="6-15"/>
    <n v="2"/>
    <n v="2"/>
    <n v="2"/>
    <n v="2"/>
    <n v="2"/>
    <n v="2"/>
  </r>
  <r>
    <n v="54"/>
    <x v="1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s v="No"/>
    <n v="11"/>
    <n v="3"/>
    <n v="3"/>
    <n v="80"/>
    <n v="2"/>
    <n v="9"/>
    <s v="6-15"/>
    <n v="6"/>
    <n v="2"/>
    <n v="4"/>
    <n v="3"/>
    <n v="2"/>
    <n v="3"/>
  </r>
  <r>
    <n v="33"/>
    <x v="1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s v="No"/>
    <n v="20"/>
    <n v="4"/>
    <n v="3"/>
    <n v="80"/>
    <n v="3"/>
    <n v="9"/>
    <s v="6-15"/>
    <n v="2"/>
    <n v="3"/>
    <n v="9"/>
    <n v="7"/>
    <n v="2"/>
    <n v="8"/>
  </r>
  <r>
    <n v="43"/>
    <x v="1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s v="No"/>
    <n v="17"/>
    <n v="3"/>
    <n v="2"/>
    <n v="80"/>
    <n v="1"/>
    <n v="10"/>
    <s v="6-15"/>
    <n v="1"/>
    <n v="3"/>
    <n v="10"/>
    <n v="9"/>
    <n v="0"/>
    <n v="9"/>
  </r>
  <r>
    <n v="38"/>
    <x v="1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s v="Yes"/>
    <n v="11"/>
    <n v="3"/>
    <n v="2"/>
    <n v="80"/>
    <n v="1"/>
    <n v="7"/>
    <s v="6-15"/>
    <n v="2"/>
    <n v="3"/>
    <n v="6"/>
    <n v="2"/>
    <n v="1"/>
    <n v="2"/>
  </r>
  <r>
    <n v="55"/>
    <x v="1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s v="Yes"/>
    <n v="18"/>
    <n v="3"/>
    <n v="1"/>
    <n v="80"/>
    <n v="1"/>
    <n v="35"/>
    <s v="&gt;15"/>
    <n v="0"/>
    <n v="3"/>
    <n v="10"/>
    <n v="9"/>
    <n v="1"/>
    <n v="4"/>
  </r>
  <r>
    <n v="31"/>
    <x v="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s v="Yes"/>
    <n v="11"/>
    <n v="3"/>
    <n v="3"/>
    <n v="80"/>
    <n v="3"/>
    <n v="1"/>
    <s v="0-5"/>
    <n v="4"/>
    <n v="3"/>
    <n v="1"/>
    <n v="0"/>
    <n v="0"/>
    <n v="0"/>
  </r>
  <r>
    <n v="39"/>
    <x v="1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s v="No"/>
    <n v="12"/>
    <n v="3"/>
    <n v="1"/>
    <n v="80"/>
    <n v="0"/>
    <n v="21"/>
    <s v="&gt;15"/>
    <n v="3"/>
    <n v="3"/>
    <n v="20"/>
    <n v="8"/>
    <n v="11"/>
    <n v="10"/>
  </r>
  <r>
    <n v="42"/>
    <x v="1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s v="No"/>
    <n v="12"/>
    <n v="3"/>
    <n v="4"/>
    <n v="80"/>
    <n v="0"/>
    <n v="20"/>
    <s v="&gt;15"/>
    <n v="2"/>
    <n v="3"/>
    <n v="20"/>
    <n v="9"/>
    <n v="3"/>
    <n v="7"/>
  </r>
  <r>
    <n v="31"/>
    <x v="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s v="No"/>
    <n v="20"/>
    <n v="4"/>
    <n v="3"/>
    <n v="80"/>
    <n v="1"/>
    <n v="13"/>
    <s v="6-15"/>
    <n v="2"/>
    <n v="4"/>
    <n v="11"/>
    <n v="7"/>
    <n v="4"/>
    <n v="8"/>
  </r>
  <r>
    <n v="54"/>
    <x v="1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s v="Yes"/>
    <n v="19"/>
    <n v="3"/>
    <n v="4"/>
    <n v="80"/>
    <n v="0"/>
    <n v="9"/>
    <s v="6-15"/>
    <n v="3"/>
    <n v="3"/>
    <n v="5"/>
    <n v="2"/>
    <n v="1"/>
    <n v="4"/>
  </r>
  <r>
    <n v="24"/>
    <x v="1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s v="No"/>
    <n v="12"/>
    <n v="3"/>
    <n v="2"/>
    <n v="80"/>
    <n v="0"/>
    <n v="4"/>
    <s v="0-5"/>
    <n v="2"/>
    <n v="2"/>
    <n v="4"/>
    <n v="3"/>
    <n v="1"/>
    <n v="2"/>
  </r>
  <r>
    <n v="23"/>
    <x v="1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s v="No"/>
    <n v="13"/>
    <n v="3"/>
    <n v="3"/>
    <n v="80"/>
    <n v="0"/>
    <n v="5"/>
    <s v="0-5"/>
    <n v="6"/>
    <n v="4"/>
    <n v="5"/>
    <n v="2"/>
    <n v="1"/>
    <n v="4"/>
  </r>
  <r>
    <n v="40"/>
    <x v="1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s v="No"/>
    <n v="11"/>
    <n v="3"/>
    <n v="1"/>
    <n v="80"/>
    <n v="1"/>
    <n v="10"/>
    <s v="6-15"/>
    <n v="2"/>
    <n v="4"/>
    <n v="10"/>
    <n v="9"/>
    <n v="9"/>
    <n v="4"/>
  </r>
  <r>
    <n v="40"/>
    <x v="1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s v="No"/>
    <n v="14"/>
    <n v="3"/>
    <n v="3"/>
    <n v="80"/>
    <n v="1"/>
    <n v="15"/>
    <s v="6-15"/>
    <n v="4"/>
    <n v="3"/>
    <n v="11"/>
    <n v="8"/>
    <n v="5"/>
    <n v="10"/>
  </r>
  <r>
    <n v="25"/>
    <x v="1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s v="No"/>
    <n v="14"/>
    <n v="3"/>
    <n v="3"/>
    <n v="80"/>
    <n v="0"/>
    <n v="6"/>
    <s v="6-15"/>
    <n v="3"/>
    <n v="3"/>
    <n v="2"/>
    <n v="0"/>
    <n v="1"/>
    <n v="2"/>
  </r>
  <r>
    <n v="30"/>
    <x v="1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s v="No"/>
    <n v="13"/>
    <n v="3"/>
    <n v="3"/>
    <n v="80"/>
    <n v="0"/>
    <n v="12"/>
    <s v="6-15"/>
    <n v="6"/>
    <n v="2"/>
    <n v="12"/>
    <n v="8"/>
    <n v="1"/>
    <n v="7"/>
  </r>
  <r>
    <n v="25"/>
    <x v="1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s v="Yes"/>
    <n v="19"/>
    <n v="3"/>
    <n v="3"/>
    <n v="80"/>
    <n v="1"/>
    <n v="7"/>
    <s v="6-15"/>
    <n v="2"/>
    <n v="2"/>
    <n v="2"/>
    <n v="2"/>
    <n v="0"/>
    <n v="2"/>
  </r>
  <r>
    <n v="47"/>
    <x v="1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s v="No"/>
    <n v="23"/>
    <n v="4"/>
    <n v="2"/>
    <n v="80"/>
    <n v="0"/>
    <n v="25"/>
    <s v="&gt;15"/>
    <n v="3"/>
    <n v="3"/>
    <n v="17"/>
    <n v="14"/>
    <n v="12"/>
    <n v="11"/>
  </r>
  <r>
    <n v="33"/>
    <x v="1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s v="No"/>
    <n v="12"/>
    <n v="3"/>
    <n v="3"/>
    <n v="80"/>
    <n v="3"/>
    <n v="1"/>
    <s v="0-5"/>
    <n v="2"/>
    <n v="2"/>
    <n v="1"/>
    <n v="1"/>
    <n v="0"/>
    <n v="0"/>
  </r>
  <r>
    <n v="38"/>
    <x v="1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s v="No"/>
    <n v="15"/>
    <n v="3"/>
    <n v="1"/>
    <n v="80"/>
    <n v="2"/>
    <n v="16"/>
    <s v="&gt;15"/>
    <n v="3"/>
    <n v="3"/>
    <n v="15"/>
    <n v="13"/>
    <n v="5"/>
    <n v="8"/>
  </r>
  <r>
    <n v="31"/>
    <x v="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s v="No"/>
    <n v="19"/>
    <n v="3"/>
    <n v="3"/>
    <n v="80"/>
    <n v="1"/>
    <n v="3"/>
    <s v="0-5"/>
    <n v="1"/>
    <n v="3"/>
    <n v="2"/>
    <n v="2"/>
    <n v="1"/>
    <n v="2"/>
  </r>
  <r>
    <n v="38"/>
    <x v="1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s v="No"/>
    <n v="11"/>
    <n v="3"/>
    <n v="4"/>
    <n v="80"/>
    <n v="1"/>
    <n v="10"/>
    <s v="6-15"/>
    <n v="1"/>
    <n v="3"/>
    <n v="8"/>
    <n v="3"/>
    <n v="7"/>
    <n v="7"/>
  </r>
  <r>
    <n v="42"/>
    <x v="1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s v="Yes"/>
    <n v="17"/>
    <n v="3"/>
    <n v="3"/>
    <n v="80"/>
    <n v="1"/>
    <n v="9"/>
    <s v="6-15"/>
    <n v="3"/>
    <n v="2"/>
    <n v="4"/>
    <n v="3"/>
    <n v="1"/>
    <n v="2"/>
  </r>
  <r>
    <n v="41"/>
    <x v="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s v="No"/>
    <n v="22"/>
    <n v="4"/>
    <n v="1"/>
    <n v="80"/>
    <n v="1"/>
    <n v="12"/>
    <s v="6-15"/>
    <n v="3"/>
    <n v="3"/>
    <n v="5"/>
    <n v="3"/>
    <n v="1"/>
    <n v="0"/>
  </r>
  <r>
    <n v="47"/>
    <x v="1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s v="No"/>
    <n v="18"/>
    <n v="3"/>
    <n v="1"/>
    <n v="80"/>
    <n v="2"/>
    <n v="14"/>
    <s v="6-15"/>
    <n v="3"/>
    <n v="1"/>
    <n v="13"/>
    <n v="8"/>
    <n v="5"/>
    <n v="12"/>
  </r>
  <r>
    <n v="35"/>
    <x v="1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s v="Yes"/>
    <n v="11"/>
    <n v="3"/>
    <n v="3"/>
    <n v="80"/>
    <n v="1"/>
    <n v="5"/>
    <s v="0-5"/>
    <n v="3"/>
    <n v="3"/>
    <n v="2"/>
    <n v="2"/>
    <n v="2"/>
    <n v="2"/>
  </r>
  <r>
    <n v="22"/>
    <x v="1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s v="No"/>
    <n v="12"/>
    <n v="3"/>
    <n v="4"/>
    <n v="80"/>
    <n v="0"/>
    <n v="4"/>
    <s v="0-5"/>
    <n v="2"/>
    <n v="4"/>
    <n v="3"/>
    <n v="2"/>
    <n v="1"/>
    <n v="2"/>
  </r>
  <r>
    <n v="35"/>
    <x v="1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s v="No"/>
    <n v="19"/>
    <n v="3"/>
    <n v="2"/>
    <n v="80"/>
    <n v="0"/>
    <n v="10"/>
    <s v="6-15"/>
    <n v="5"/>
    <n v="3"/>
    <n v="10"/>
    <n v="7"/>
    <n v="0"/>
    <n v="8"/>
  </r>
  <r>
    <n v="33"/>
    <x v="1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s v="Yes"/>
    <n v="13"/>
    <n v="3"/>
    <n v="1"/>
    <n v="80"/>
    <n v="1"/>
    <n v="10"/>
    <s v="6-15"/>
    <n v="6"/>
    <n v="3"/>
    <n v="9"/>
    <n v="7"/>
    <n v="8"/>
    <n v="1"/>
  </r>
  <r>
    <n v="32"/>
    <x v="1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s v="No"/>
    <n v="13"/>
    <n v="3"/>
    <n v="3"/>
    <n v="80"/>
    <n v="0"/>
    <n v="6"/>
    <s v="6-15"/>
    <n v="3"/>
    <n v="3"/>
    <n v="6"/>
    <n v="2"/>
    <n v="4"/>
    <n v="1"/>
  </r>
  <r>
    <n v="40"/>
    <x v="1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s v="No"/>
    <n v="19"/>
    <n v="3"/>
    <n v="3"/>
    <n v="80"/>
    <n v="2"/>
    <n v="8"/>
    <s v="6-15"/>
    <n v="3"/>
    <n v="2"/>
    <n v="1"/>
    <n v="0"/>
    <n v="0"/>
    <n v="0"/>
  </r>
  <r>
    <n v="32"/>
    <x v="1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s v="No"/>
    <n v="14"/>
    <n v="3"/>
    <n v="2"/>
    <n v="80"/>
    <n v="1"/>
    <n v="3"/>
    <s v="0-5"/>
    <n v="2"/>
    <n v="3"/>
    <n v="2"/>
    <n v="2"/>
    <n v="2"/>
    <n v="2"/>
  </r>
  <r>
    <n v="39"/>
    <x v="1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s v="No"/>
    <n v="13"/>
    <n v="3"/>
    <n v="1"/>
    <n v="80"/>
    <n v="0"/>
    <n v="18"/>
    <s v="&gt;15"/>
    <n v="2"/>
    <n v="3"/>
    <n v="7"/>
    <n v="7"/>
    <n v="1"/>
    <n v="7"/>
  </r>
  <r>
    <n v="38"/>
    <x v="1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s v="No"/>
    <n v="12"/>
    <n v="3"/>
    <n v="1"/>
    <n v="80"/>
    <n v="1"/>
    <n v="20"/>
    <s v="&gt;15"/>
    <n v="3"/>
    <n v="3"/>
    <n v="18"/>
    <n v="16"/>
    <n v="1"/>
    <n v="11"/>
  </r>
  <r>
    <n v="32"/>
    <x v="1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s v="No"/>
    <n v="19"/>
    <n v="3"/>
    <n v="3"/>
    <n v="80"/>
    <n v="2"/>
    <n v="14"/>
    <s v="6-15"/>
    <n v="3"/>
    <n v="3"/>
    <n v="14"/>
    <n v="10"/>
    <n v="5"/>
    <n v="7"/>
  </r>
  <r>
    <n v="37"/>
    <x v="1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s v="Yes"/>
    <n v="25"/>
    <n v="4"/>
    <n v="1"/>
    <n v="80"/>
    <n v="1"/>
    <n v="16"/>
    <s v="&gt;15"/>
    <n v="2"/>
    <n v="3"/>
    <n v="16"/>
    <n v="11"/>
    <n v="6"/>
    <n v="8"/>
  </r>
  <r>
    <n v="25"/>
    <x v="1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s v="Yes"/>
    <n v="22"/>
    <n v="4"/>
    <n v="2"/>
    <n v="80"/>
    <n v="1"/>
    <n v="6"/>
    <s v="6-15"/>
    <n v="3"/>
    <n v="2"/>
    <n v="5"/>
    <n v="3"/>
    <n v="0"/>
    <n v="4"/>
  </r>
  <r>
    <n v="52"/>
    <x v="1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s v="No"/>
    <n v="15"/>
    <n v="3"/>
    <n v="2"/>
    <n v="80"/>
    <n v="2"/>
    <n v="16"/>
    <s v="&gt;15"/>
    <n v="3"/>
    <n v="2"/>
    <n v="9"/>
    <n v="8"/>
    <n v="0"/>
    <n v="0"/>
  </r>
  <r>
    <n v="44"/>
    <x v="1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s v="Yes"/>
    <n v="12"/>
    <n v="3"/>
    <n v="3"/>
    <n v="80"/>
    <n v="0"/>
    <n v="6"/>
    <s v="6-15"/>
    <n v="2"/>
    <n v="3"/>
    <n v="4"/>
    <n v="3"/>
    <n v="1"/>
    <n v="2"/>
  </r>
  <r>
    <n v="21"/>
    <x v="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s v="Yes"/>
    <n v="11"/>
    <n v="3"/>
    <n v="4"/>
    <n v="80"/>
    <n v="0"/>
    <n v="2"/>
    <s v="0-5"/>
    <n v="6"/>
    <n v="3"/>
    <n v="2"/>
    <n v="2"/>
    <n v="1"/>
    <n v="2"/>
  </r>
  <r>
    <n v="39"/>
    <x v="1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s v="No"/>
    <n v="13"/>
    <n v="3"/>
    <n v="3"/>
    <n v="80"/>
    <n v="0"/>
    <n v="21"/>
    <s v="&gt;15"/>
    <n v="3"/>
    <n v="2"/>
    <n v="6"/>
    <n v="0"/>
    <n v="1"/>
    <n v="3"/>
  </r>
  <r>
    <n v="23"/>
    <x v="0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s v="No"/>
    <n v="19"/>
    <n v="3"/>
    <n v="1"/>
    <n v="80"/>
    <n v="1"/>
    <n v="1"/>
    <s v="0-5"/>
    <n v="3"/>
    <n v="2"/>
    <n v="1"/>
    <n v="0"/>
    <n v="1"/>
    <n v="0"/>
  </r>
  <r>
    <n v="36"/>
    <x v="1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s v="No"/>
    <n v="19"/>
    <n v="3"/>
    <n v="3"/>
    <n v="80"/>
    <n v="2"/>
    <n v="10"/>
    <s v="6-15"/>
    <n v="2"/>
    <n v="3"/>
    <n v="9"/>
    <n v="7"/>
    <n v="3"/>
    <n v="4"/>
  </r>
  <r>
    <n v="36"/>
    <x v="1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s v="No"/>
    <n v="13"/>
    <n v="3"/>
    <n v="2"/>
    <n v="80"/>
    <n v="3"/>
    <n v="18"/>
    <s v="&gt;15"/>
    <n v="3"/>
    <n v="3"/>
    <n v="4"/>
    <n v="2"/>
    <n v="0"/>
    <n v="2"/>
  </r>
  <r>
    <n v="56"/>
    <x v="1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s v="No"/>
    <n v="21"/>
    <n v="4"/>
    <n v="1"/>
    <n v="80"/>
    <n v="1"/>
    <n v="13"/>
    <s v="6-15"/>
    <n v="2"/>
    <n v="2"/>
    <n v="13"/>
    <n v="12"/>
    <n v="1"/>
    <n v="9"/>
  </r>
  <r>
    <n v="29"/>
    <x v="0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s v="Yes"/>
    <n v="14"/>
    <n v="3"/>
    <n v="2"/>
    <n v="80"/>
    <n v="3"/>
    <n v="4"/>
    <s v="0-5"/>
    <n v="3"/>
    <n v="4"/>
    <n v="2"/>
    <n v="2"/>
    <n v="2"/>
    <n v="2"/>
  </r>
  <r>
    <n v="42"/>
    <x v="1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s v="No"/>
    <n v="11"/>
    <n v="3"/>
    <n v="1"/>
    <n v="80"/>
    <n v="0"/>
    <n v="24"/>
    <s v="&gt;15"/>
    <n v="2"/>
    <n v="2"/>
    <n v="22"/>
    <n v="6"/>
    <n v="4"/>
    <n v="14"/>
  </r>
  <r>
    <n v="56"/>
    <x v="0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s v="No"/>
    <n v="11"/>
    <n v="3"/>
    <n v="4"/>
    <n v="80"/>
    <n v="1"/>
    <n v="14"/>
    <s v="6-15"/>
    <n v="4"/>
    <n v="1"/>
    <n v="10"/>
    <n v="9"/>
    <n v="9"/>
    <n v="8"/>
  </r>
  <r>
    <n v="41"/>
    <x v="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s v="No"/>
    <n v="23"/>
    <n v="4"/>
    <n v="3"/>
    <n v="80"/>
    <n v="1"/>
    <n v="21"/>
    <s v="&gt;15"/>
    <n v="3"/>
    <n v="3"/>
    <n v="20"/>
    <n v="7"/>
    <n v="0"/>
    <n v="10"/>
  </r>
  <r>
    <n v="34"/>
    <x v="1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s v="No"/>
    <n v="21"/>
    <n v="4"/>
    <n v="4"/>
    <n v="80"/>
    <n v="2"/>
    <n v="8"/>
    <s v="6-15"/>
    <n v="2"/>
    <n v="3"/>
    <n v="8"/>
    <n v="7"/>
    <n v="1"/>
    <n v="7"/>
  </r>
  <r>
    <n v="36"/>
    <x v="1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s v="No"/>
    <n v="24"/>
    <n v="4"/>
    <n v="1"/>
    <n v="80"/>
    <n v="1"/>
    <n v="15"/>
    <s v="6-15"/>
    <n v="4"/>
    <n v="2"/>
    <n v="15"/>
    <n v="12"/>
    <n v="11"/>
    <n v="11"/>
  </r>
  <r>
    <n v="41"/>
    <x v="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s v="No"/>
    <n v="11"/>
    <n v="3"/>
    <n v="3"/>
    <n v="80"/>
    <n v="1"/>
    <n v="14"/>
    <s v="6-15"/>
    <n v="5"/>
    <n v="3"/>
    <n v="5"/>
    <n v="4"/>
    <n v="0"/>
    <n v="4"/>
  </r>
  <r>
    <n v="32"/>
    <x v="1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s v="No"/>
    <n v="14"/>
    <n v="3"/>
    <n v="4"/>
    <n v="80"/>
    <n v="0"/>
    <n v="4"/>
    <s v="0-5"/>
    <n v="4"/>
    <n v="3"/>
    <n v="4"/>
    <n v="2"/>
    <n v="1"/>
    <n v="2"/>
  </r>
  <r>
    <n v="35"/>
    <x v="1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s v="Yes"/>
    <n v="16"/>
    <n v="3"/>
    <n v="3"/>
    <n v="80"/>
    <n v="0"/>
    <n v="9"/>
    <s v="6-15"/>
    <n v="2"/>
    <n v="3"/>
    <n v="9"/>
    <n v="0"/>
    <n v="1"/>
    <n v="7"/>
  </r>
  <r>
    <n v="38"/>
    <x v="1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s v="No"/>
    <n v="11"/>
    <n v="3"/>
    <n v="3"/>
    <n v="80"/>
    <n v="1"/>
    <n v="10"/>
    <s v="6-15"/>
    <n v="1"/>
    <n v="3"/>
    <n v="10"/>
    <n v="7"/>
    <n v="1"/>
    <n v="9"/>
  </r>
  <r>
    <n v="50"/>
    <x v="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s v="No"/>
    <n v="12"/>
    <n v="3"/>
    <n v="4"/>
    <n v="80"/>
    <n v="2"/>
    <n v="12"/>
    <s v="6-15"/>
    <n v="3"/>
    <n v="3"/>
    <n v="6"/>
    <n v="3"/>
    <n v="0"/>
    <n v="1"/>
  </r>
  <r>
    <n v="36"/>
    <x v="1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s v="No"/>
    <n v="13"/>
    <n v="3"/>
    <n v="1"/>
    <n v="80"/>
    <n v="1"/>
    <n v="8"/>
    <s v="6-15"/>
    <n v="2"/>
    <n v="2"/>
    <n v="6"/>
    <n v="3"/>
    <n v="0"/>
    <n v="0"/>
  </r>
  <r>
    <n v="45"/>
    <x v="1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s v="No"/>
    <n v="15"/>
    <n v="3"/>
    <n v="3"/>
    <n v="80"/>
    <n v="0"/>
    <n v="8"/>
    <s v="6-15"/>
    <n v="3"/>
    <n v="3"/>
    <n v="5"/>
    <n v="3"/>
    <n v="0"/>
    <n v="1"/>
  </r>
  <r>
    <n v="40"/>
    <x v="1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s v="No"/>
    <n v="14"/>
    <n v="3"/>
    <n v="4"/>
    <n v="80"/>
    <n v="0"/>
    <n v="8"/>
    <s v="6-15"/>
    <n v="2"/>
    <n v="3"/>
    <n v="2"/>
    <n v="2"/>
    <n v="2"/>
    <n v="2"/>
  </r>
  <r>
    <n v="35"/>
    <x v="1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s v="Yes"/>
    <n v="14"/>
    <n v="3"/>
    <n v="4"/>
    <n v="80"/>
    <n v="2"/>
    <n v="10"/>
    <s v="6-15"/>
    <n v="2"/>
    <n v="4"/>
    <n v="10"/>
    <n v="2"/>
    <n v="0"/>
    <n v="2"/>
  </r>
  <r>
    <n v="40"/>
    <x v="1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s v="No"/>
    <n v="14"/>
    <n v="3"/>
    <n v="2"/>
    <n v="80"/>
    <n v="3"/>
    <n v="20"/>
    <s v="&gt;15"/>
    <n v="2"/>
    <n v="3"/>
    <n v="5"/>
    <n v="3"/>
    <n v="0"/>
    <n v="2"/>
  </r>
  <r>
    <n v="35"/>
    <x v="1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s v="No"/>
    <n v="12"/>
    <n v="3"/>
    <n v="4"/>
    <n v="80"/>
    <n v="1"/>
    <n v="4"/>
    <s v="0-5"/>
    <n v="5"/>
    <n v="3"/>
    <n v="4"/>
    <n v="3"/>
    <n v="1"/>
    <n v="1"/>
  </r>
  <r>
    <n v="29"/>
    <x v="1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s v="Yes"/>
    <n v="13"/>
    <n v="3"/>
    <n v="1"/>
    <n v="80"/>
    <n v="1"/>
    <n v="10"/>
    <s v="6-15"/>
    <n v="2"/>
    <n v="3"/>
    <n v="4"/>
    <n v="3"/>
    <n v="0"/>
    <n v="3"/>
  </r>
  <r>
    <n v="29"/>
    <x v="1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s v="No"/>
    <n v="14"/>
    <n v="3"/>
    <n v="2"/>
    <n v="80"/>
    <n v="0"/>
    <n v="5"/>
    <s v="0-5"/>
    <n v="3"/>
    <n v="1"/>
    <n v="5"/>
    <n v="4"/>
    <n v="0"/>
    <n v="4"/>
  </r>
  <r>
    <n v="50"/>
    <x v="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s v="Yes"/>
    <n v="13"/>
    <n v="3"/>
    <n v="2"/>
    <n v="80"/>
    <n v="1"/>
    <n v="20"/>
    <s v="&gt;15"/>
    <n v="3"/>
    <n v="3"/>
    <n v="3"/>
    <n v="2"/>
    <n v="2"/>
    <n v="0"/>
  </r>
  <r>
    <n v="39"/>
    <x v="1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s v="No"/>
    <n v="11"/>
    <n v="3"/>
    <n v="1"/>
    <n v="80"/>
    <n v="1"/>
    <n v="21"/>
    <s v="&gt;15"/>
    <n v="2"/>
    <n v="2"/>
    <n v="20"/>
    <n v="9"/>
    <n v="9"/>
    <n v="6"/>
  </r>
  <r>
    <n v="31"/>
    <x v="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s v="No"/>
    <n v="19"/>
    <n v="3"/>
    <n v="2"/>
    <n v="80"/>
    <n v="0"/>
    <n v="10"/>
    <s v="6-15"/>
    <n v="2"/>
    <n v="3"/>
    <n v="9"/>
    <n v="4"/>
    <n v="1"/>
    <n v="7"/>
  </r>
  <r>
    <n v="26"/>
    <x v="1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s v="No"/>
    <n v="18"/>
    <n v="3"/>
    <n v="4"/>
    <n v="80"/>
    <n v="0"/>
    <n v="5"/>
    <s v="0-5"/>
    <n v="2"/>
    <n v="3"/>
    <n v="4"/>
    <n v="2"/>
    <n v="0"/>
    <n v="0"/>
  </r>
  <r>
    <n v="36"/>
    <x v="1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s v="No"/>
    <n v="17"/>
    <n v="3"/>
    <n v="3"/>
    <n v="80"/>
    <n v="1"/>
    <n v="17"/>
    <s v="&gt;15"/>
    <n v="3"/>
    <n v="3"/>
    <n v="5"/>
    <n v="2"/>
    <n v="0"/>
    <n v="3"/>
  </r>
  <r>
    <n v="39"/>
    <x v="1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s v="No"/>
    <n v="15"/>
    <n v="3"/>
    <n v="1"/>
    <n v="80"/>
    <n v="1"/>
    <n v="9"/>
    <s v="6-15"/>
    <n v="5"/>
    <n v="3"/>
    <n v="7"/>
    <n v="7"/>
    <n v="1"/>
    <n v="7"/>
  </r>
  <r>
    <n v="27"/>
    <x v="1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s v="Yes"/>
    <n v="20"/>
    <n v="4"/>
    <n v="2"/>
    <n v="80"/>
    <n v="1"/>
    <n v="6"/>
    <s v="6-15"/>
    <n v="0"/>
    <n v="3"/>
    <n v="6"/>
    <n v="2"/>
    <n v="0"/>
    <n v="3"/>
  </r>
  <r>
    <n v="49"/>
    <x v="1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s v="No"/>
    <n v="14"/>
    <n v="3"/>
    <n v="4"/>
    <n v="80"/>
    <n v="0"/>
    <n v="17"/>
    <s v="&gt;15"/>
    <n v="3"/>
    <n v="2"/>
    <n v="9"/>
    <n v="6"/>
    <n v="0"/>
    <n v="8"/>
  </r>
  <r>
    <n v="34"/>
    <x v="1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s v="No"/>
    <n v="12"/>
    <n v="3"/>
    <n v="1"/>
    <n v="80"/>
    <n v="0"/>
    <n v="6"/>
    <s v="6-15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Yes"/>
    <s v="Travel_Rarely"/>
    <n v="1102"/>
    <x v="0"/>
    <n v="1"/>
    <n v="2"/>
    <s v="Life Sciences"/>
    <n v="1"/>
    <n v="1"/>
    <n v="2"/>
    <s v="Female"/>
    <n v="94"/>
    <n v="3"/>
    <x v="0"/>
    <x v="0"/>
    <n v="4"/>
    <s v="Single"/>
    <n v="5993"/>
    <n v="19479"/>
    <n v="8"/>
    <s v="Y"/>
    <s v="Yes"/>
    <s v="Yes"/>
    <n v="11"/>
    <n v="3"/>
    <n v="1"/>
    <n v="80"/>
    <n v="0"/>
    <n v="8"/>
    <s v="6-15"/>
    <n v="0"/>
    <n v="1"/>
    <n v="6"/>
    <n v="4"/>
    <n v="0"/>
    <n v="5"/>
  </r>
  <r>
    <n v="49"/>
    <x v="1"/>
    <s v="No"/>
    <s v="Travel_Frequently"/>
    <n v="279"/>
    <x v="1"/>
    <n v="8"/>
    <n v="1"/>
    <s v="Life Sciences"/>
    <n v="1"/>
    <n v="2"/>
    <n v="3"/>
    <s v="Male"/>
    <n v="61"/>
    <n v="2"/>
    <x v="0"/>
    <x v="1"/>
    <n v="2"/>
    <s v="Married"/>
    <n v="5130"/>
    <n v="24907"/>
    <n v="1"/>
    <s v="Y"/>
    <s v="No"/>
    <s v="No"/>
    <n v="23"/>
    <n v="4"/>
    <n v="4"/>
    <n v="80"/>
    <n v="1"/>
    <n v="10"/>
    <s v="6-15"/>
    <n v="3"/>
    <n v="3"/>
    <n v="10"/>
    <n v="7"/>
    <n v="1"/>
    <n v="7"/>
  </r>
  <r>
    <n v="37"/>
    <x v="0"/>
    <s v="Yes"/>
    <s v="Travel_Rarely"/>
    <n v="1373"/>
    <x v="1"/>
    <n v="2"/>
    <n v="2"/>
    <s v="Other"/>
    <n v="1"/>
    <n v="4"/>
    <n v="4"/>
    <s v="Male"/>
    <n v="92"/>
    <n v="2"/>
    <x v="1"/>
    <x v="2"/>
    <n v="3"/>
    <s v="Single"/>
    <n v="2090"/>
    <n v="2396"/>
    <n v="6"/>
    <s v="Y"/>
    <s v="Yes"/>
    <s v="Yes"/>
    <n v="15"/>
    <n v="3"/>
    <n v="2"/>
    <n v="80"/>
    <n v="0"/>
    <n v="7"/>
    <s v="6-15"/>
    <n v="3"/>
    <n v="3"/>
    <n v="0"/>
    <n v="0"/>
    <n v="0"/>
    <n v="0"/>
  </r>
  <r>
    <n v="33"/>
    <x v="1"/>
    <s v="No"/>
    <s v="Travel_Frequently"/>
    <n v="1392"/>
    <x v="1"/>
    <n v="3"/>
    <n v="4"/>
    <s v="Life Sciences"/>
    <n v="1"/>
    <n v="5"/>
    <n v="4"/>
    <s v="Female"/>
    <n v="56"/>
    <n v="3"/>
    <x v="1"/>
    <x v="1"/>
    <n v="3"/>
    <s v="Married"/>
    <n v="2909"/>
    <n v="23159"/>
    <n v="1"/>
    <s v="Y"/>
    <s v="Yes"/>
    <s v="Yes"/>
    <n v="11"/>
    <n v="3"/>
    <n v="3"/>
    <n v="80"/>
    <n v="0"/>
    <n v="8"/>
    <s v="6-15"/>
    <n v="3"/>
    <n v="3"/>
    <n v="8"/>
    <n v="7"/>
    <n v="3"/>
    <n v="0"/>
  </r>
  <r>
    <n v="27"/>
    <x v="1"/>
    <s v="No"/>
    <s v="Travel_Rarely"/>
    <n v="591"/>
    <x v="1"/>
    <n v="2"/>
    <n v="1"/>
    <s v="Medical"/>
    <n v="1"/>
    <n v="7"/>
    <n v="1"/>
    <s v="Male"/>
    <n v="40"/>
    <n v="3"/>
    <x v="1"/>
    <x v="2"/>
    <n v="2"/>
    <s v="Married"/>
    <n v="3468"/>
    <n v="16632"/>
    <n v="9"/>
    <s v="Y"/>
    <s v="No"/>
    <s v="No"/>
    <n v="12"/>
    <n v="3"/>
    <n v="4"/>
    <n v="80"/>
    <n v="1"/>
    <n v="6"/>
    <s v="6-15"/>
    <n v="3"/>
    <n v="3"/>
    <n v="2"/>
    <n v="2"/>
    <n v="2"/>
    <n v="2"/>
  </r>
  <r>
    <n v="32"/>
    <x v="1"/>
    <s v="No"/>
    <s v="Travel_Frequently"/>
    <n v="1005"/>
    <x v="1"/>
    <n v="2"/>
    <n v="2"/>
    <s v="Life Sciences"/>
    <n v="1"/>
    <n v="8"/>
    <n v="4"/>
    <s v="Male"/>
    <n v="79"/>
    <n v="3"/>
    <x v="1"/>
    <x v="2"/>
    <n v="4"/>
    <s v="Single"/>
    <n v="3068"/>
    <n v="11864"/>
    <n v="0"/>
    <s v="Y"/>
    <s v="No"/>
    <s v="No"/>
    <n v="13"/>
    <n v="3"/>
    <n v="3"/>
    <n v="80"/>
    <n v="0"/>
    <n v="8"/>
    <s v="6-15"/>
    <n v="2"/>
    <n v="2"/>
    <n v="7"/>
    <n v="7"/>
    <n v="3"/>
    <n v="6"/>
  </r>
  <r>
    <n v="59"/>
    <x v="1"/>
    <s v="No"/>
    <s v="Travel_Rarely"/>
    <n v="1324"/>
    <x v="1"/>
    <n v="3"/>
    <n v="3"/>
    <s v="Medical"/>
    <n v="1"/>
    <n v="10"/>
    <n v="3"/>
    <s v="Female"/>
    <n v="81"/>
    <n v="4"/>
    <x v="1"/>
    <x v="2"/>
    <n v="1"/>
    <s v="Married"/>
    <n v="2670"/>
    <n v="9964"/>
    <n v="4"/>
    <s v="Y"/>
    <s v="Yes"/>
    <s v="Yes"/>
    <n v="20"/>
    <n v="4"/>
    <n v="1"/>
    <n v="80"/>
    <n v="3"/>
    <n v="12"/>
    <s v="6-15"/>
    <n v="3"/>
    <n v="2"/>
    <n v="1"/>
    <n v="0"/>
    <n v="0"/>
    <n v="0"/>
  </r>
  <r>
    <n v="30"/>
    <x v="1"/>
    <s v="No"/>
    <s v="Travel_Rarely"/>
    <n v="1358"/>
    <x v="1"/>
    <n v="24"/>
    <n v="1"/>
    <s v="Life Sciences"/>
    <n v="1"/>
    <n v="11"/>
    <n v="4"/>
    <s v="Male"/>
    <n v="67"/>
    <n v="3"/>
    <x v="1"/>
    <x v="2"/>
    <n v="3"/>
    <s v="Divorced"/>
    <n v="2693"/>
    <n v="13335"/>
    <n v="1"/>
    <s v="Y"/>
    <s v="No"/>
    <s v="No"/>
    <n v="22"/>
    <n v="4"/>
    <n v="2"/>
    <n v="80"/>
    <n v="1"/>
    <n v="1"/>
    <s v="0-5"/>
    <n v="2"/>
    <n v="3"/>
    <n v="1"/>
    <n v="0"/>
    <n v="0"/>
    <n v="0"/>
  </r>
  <r>
    <n v="38"/>
    <x v="1"/>
    <s v="No"/>
    <s v="Travel_Frequently"/>
    <n v="216"/>
    <x v="1"/>
    <n v="23"/>
    <n v="3"/>
    <s v="Life Sciences"/>
    <n v="1"/>
    <n v="12"/>
    <n v="4"/>
    <s v="Male"/>
    <n v="44"/>
    <n v="2"/>
    <x v="2"/>
    <x v="3"/>
    <n v="3"/>
    <s v="Single"/>
    <n v="9526"/>
    <n v="8787"/>
    <n v="0"/>
    <s v="Y"/>
    <s v="No"/>
    <s v="No"/>
    <n v="21"/>
    <n v="4"/>
    <n v="2"/>
    <n v="80"/>
    <n v="0"/>
    <n v="10"/>
    <s v="6-15"/>
    <n v="2"/>
    <n v="3"/>
    <n v="9"/>
    <n v="7"/>
    <n v="1"/>
    <n v="8"/>
  </r>
  <r>
    <n v="36"/>
    <x v="1"/>
    <s v="No"/>
    <s v="Travel_Rarely"/>
    <n v="1299"/>
    <x v="1"/>
    <n v="27"/>
    <n v="3"/>
    <s v="Medical"/>
    <n v="1"/>
    <n v="13"/>
    <n v="3"/>
    <s v="Male"/>
    <n v="94"/>
    <n v="3"/>
    <x v="0"/>
    <x v="4"/>
    <n v="3"/>
    <s v="Married"/>
    <n v="5237"/>
    <n v="16577"/>
    <n v="6"/>
    <s v="Y"/>
    <s v="No"/>
    <s v="No"/>
    <n v="13"/>
    <n v="3"/>
    <n v="2"/>
    <n v="80"/>
    <n v="2"/>
    <n v="17"/>
    <s v="&gt;15"/>
    <n v="3"/>
    <n v="2"/>
    <n v="7"/>
    <n v="7"/>
    <n v="7"/>
    <n v="7"/>
  </r>
  <r>
    <n v="35"/>
    <x v="1"/>
    <s v="No"/>
    <s v="Travel_Rarely"/>
    <n v="809"/>
    <x v="1"/>
    <n v="16"/>
    <n v="3"/>
    <s v="Medical"/>
    <n v="1"/>
    <n v="14"/>
    <n v="1"/>
    <s v="Male"/>
    <n v="84"/>
    <n v="4"/>
    <x v="1"/>
    <x v="2"/>
    <n v="2"/>
    <s v="Married"/>
    <n v="2426"/>
    <n v="16479"/>
    <n v="0"/>
    <s v="Y"/>
    <s v="No"/>
    <s v="No"/>
    <n v="13"/>
    <n v="3"/>
    <n v="3"/>
    <n v="80"/>
    <n v="1"/>
    <n v="6"/>
    <s v="6-15"/>
    <n v="5"/>
    <n v="3"/>
    <n v="5"/>
    <n v="4"/>
    <n v="0"/>
    <n v="3"/>
  </r>
  <r>
    <n v="29"/>
    <x v="1"/>
    <s v="No"/>
    <s v="Travel_Rarely"/>
    <n v="153"/>
    <x v="1"/>
    <n v="15"/>
    <n v="2"/>
    <s v="Life Sciences"/>
    <n v="1"/>
    <n v="15"/>
    <n v="4"/>
    <s v="Female"/>
    <n v="49"/>
    <n v="2"/>
    <x v="0"/>
    <x v="2"/>
    <n v="3"/>
    <s v="Single"/>
    <n v="4193"/>
    <n v="12682"/>
    <n v="0"/>
    <s v="Y"/>
    <s v="Yes"/>
    <s v="Yes"/>
    <n v="12"/>
    <n v="3"/>
    <n v="4"/>
    <n v="80"/>
    <n v="0"/>
    <n v="10"/>
    <s v="6-15"/>
    <n v="3"/>
    <n v="3"/>
    <n v="9"/>
    <n v="5"/>
    <n v="0"/>
    <n v="8"/>
  </r>
  <r>
    <n v="31"/>
    <x v="1"/>
    <s v="No"/>
    <s v="Travel_Rarely"/>
    <n v="670"/>
    <x v="1"/>
    <n v="26"/>
    <n v="1"/>
    <s v="Life Sciences"/>
    <n v="1"/>
    <n v="16"/>
    <n v="1"/>
    <s v="Male"/>
    <n v="31"/>
    <n v="3"/>
    <x v="1"/>
    <x v="1"/>
    <n v="3"/>
    <s v="Divorced"/>
    <n v="2911"/>
    <n v="15170"/>
    <n v="1"/>
    <s v="Y"/>
    <s v="No"/>
    <s v="No"/>
    <n v="17"/>
    <n v="3"/>
    <n v="4"/>
    <n v="80"/>
    <n v="1"/>
    <n v="5"/>
    <s v="0-5"/>
    <n v="1"/>
    <n v="2"/>
    <n v="5"/>
    <n v="2"/>
    <n v="4"/>
    <n v="3"/>
  </r>
  <r>
    <n v="34"/>
    <x v="1"/>
    <s v="No"/>
    <s v="Travel_Rarely"/>
    <n v="1346"/>
    <x v="1"/>
    <n v="19"/>
    <n v="2"/>
    <s v="Medical"/>
    <n v="1"/>
    <n v="18"/>
    <n v="2"/>
    <s v="Male"/>
    <n v="93"/>
    <n v="3"/>
    <x v="1"/>
    <x v="2"/>
    <n v="4"/>
    <s v="Divorced"/>
    <n v="2661"/>
    <n v="8758"/>
    <n v="0"/>
    <s v="Y"/>
    <s v="No"/>
    <s v="No"/>
    <n v="11"/>
    <n v="3"/>
    <n v="3"/>
    <n v="80"/>
    <n v="1"/>
    <n v="3"/>
    <s v="0-5"/>
    <n v="2"/>
    <n v="3"/>
    <n v="2"/>
    <n v="2"/>
    <n v="1"/>
    <n v="2"/>
  </r>
  <r>
    <n v="28"/>
    <x v="0"/>
    <s v="Yes"/>
    <s v="Travel_Rarely"/>
    <n v="103"/>
    <x v="1"/>
    <n v="24"/>
    <n v="3"/>
    <s v="Life Sciences"/>
    <n v="1"/>
    <n v="19"/>
    <n v="3"/>
    <s v="Male"/>
    <n v="50"/>
    <n v="2"/>
    <x v="1"/>
    <x v="2"/>
    <n v="3"/>
    <s v="Single"/>
    <n v="2028"/>
    <n v="12947"/>
    <n v="5"/>
    <s v="Y"/>
    <s v="Yes"/>
    <s v="Yes"/>
    <n v="14"/>
    <n v="3"/>
    <n v="2"/>
    <n v="80"/>
    <n v="0"/>
    <n v="6"/>
    <s v="6-15"/>
    <n v="4"/>
    <n v="3"/>
    <n v="4"/>
    <n v="2"/>
    <n v="0"/>
    <n v="3"/>
  </r>
  <r>
    <n v="29"/>
    <x v="1"/>
    <s v="No"/>
    <s v="Travel_Rarely"/>
    <n v="1389"/>
    <x v="1"/>
    <n v="21"/>
    <n v="4"/>
    <s v="Life Sciences"/>
    <n v="1"/>
    <n v="20"/>
    <n v="2"/>
    <s v="Female"/>
    <n v="51"/>
    <n v="4"/>
    <x v="2"/>
    <x v="3"/>
    <n v="1"/>
    <s v="Divorced"/>
    <n v="9980"/>
    <n v="10195"/>
    <n v="1"/>
    <s v="Y"/>
    <s v="No"/>
    <s v="No"/>
    <n v="11"/>
    <n v="3"/>
    <n v="3"/>
    <n v="80"/>
    <n v="1"/>
    <n v="10"/>
    <s v="6-15"/>
    <n v="1"/>
    <n v="3"/>
    <n v="10"/>
    <n v="9"/>
    <n v="8"/>
    <n v="8"/>
  </r>
  <r>
    <n v="32"/>
    <x v="1"/>
    <s v="No"/>
    <s v="Travel_Rarely"/>
    <n v="334"/>
    <x v="1"/>
    <n v="5"/>
    <n v="2"/>
    <s v="Life Sciences"/>
    <n v="1"/>
    <n v="21"/>
    <n v="1"/>
    <s v="Male"/>
    <n v="80"/>
    <n v="4"/>
    <x v="1"/>
    <x v="1"/>
    <n v="2"/>
    <s v="Divorced"/>
    <n v="3298"/>
    <n v="15053"/>
    <n v="0"/>
    <s v="Y"/>
    <s v="Yes"/>
    <s v="Yes"/>
    <n v="12"/>
    <n v="3"/>
    <n v="4"/>
    <n v="80"/>
    <n v="2"/>
    <n v="7"/>
    <s v="6-15"/>
    <n v="5"/>
    <n v="2"/>
    <n v="6"/>
    <n v="2"/>
    <n v="0"/>
    <n v="5"/>
  </r>
  <r>
    <n v="22"/>
    <x v="1"/>
    <s v="No"/>
    <s v="Non-Travel"/>
    <n v="1123"/>
    <x v="1"/>
    <n v="16"/>
    <n v="2"/>
    <s v="Medical"/>
    <n v="1"/>
    <n v="22"/>
    <n v="4"/>
    <s v="Male"/>
    <n v="96"/>
    <n v="4"/>
    <x v="1"/>
    <x v="2"/>
    <n v="4"/>
    <s v="Divorced"/>
    <n v="2935"/>
    <n v="7324"/>
    <n v="1"/>
    <s v="Y"/>
    <s v="Yes"/>
    <s v="Yes"/>
    <n v="13"/>
    <n v="3"/>
    <n v="2"/>
    <n v="80"/>
    <n v="2"/>
    <n v="1"/>
    <s v="0-5"/>
    <n v="2"/>
    <n v="2"/>
    <n v="1"/>
    <n v="0"/>
    <n v="0"/>
    <n v="0"/>
  </r>
  <r>
    <n v="53"/>
    <x v="1"/>
    <s v="No"/>
    <s v="Travel_Rarely"/>
    <n v="1219"/>
    <x v="0"/>
    <n v="2"/>
    <n v="4"/>
    <s v="Life Sciences"/>
    <n v="1"/>
    <n v="23"/>
    <n v="1"/>
    <s v="Female"/>
    <n v="78"/>
    <n v="2"/>
    <x v="3"/>
    <x v="5"/>
    <n v="4"/>
    <s v="Married"/>
    <n v="15427"/>
    <n v="22021"/>
    <n v="2"/>
    <s v="Y"/>
    <s v="No"/>
    <s v="No"/>
    <n v="16"/>
    <n v="3"/>
    <n v="3"/>
    <n v="80"/>
    <n v="0"/>
    <n v="31"/>
    <s v="&gt;15"/>
    <n v="3"/>
    <n v="3"/>
    <n v="25"/>
    <n v="8"/>
    <n v="3"/>
    <n v="7"/>
  </r>
  <r>
    <n v="38"/>
    <x v="1"/>
    <s v="No"/>
    <s v="Travel_Rarely"/>
    <n v="371"/>
    <x v="1"/>
    <n v="2"/>
    <n v="3"/>
    <s v="Life Sciences"/>
    <n v="1"/>
    <n v="24"/>
    <n v="4"/>
    <s v="Male"/>
    <n v="45"/>
    <n v="3"/>
    <x v="1"/>
    <x v="1"/>
    <n v="4"/>
    <s v="Single"/>
    <n v="3944"/>
    <n v="4306"/>
    <n v="5"/>
    <s v="Y"/>
    <s v="Yes"/>
    <s v="Yes"/>
    <n v="11"/>
    <n v="3"/>
    <n v="3"/>
    <n v="80"/>
    <n v="0"/>
    <n v="6"/>
    <s v="6-15"/>
    <n v="3"/>
    <n v="3"/>
    <n v="3"/>
    <n v="2"/>
    <n v="1"/>
    <n v="2"/>
  </r>
  <r>
    <n v="24"/>
    <x v="1"/>
    <s v="No"/>
    <s v="Non-Travel"/>
    <n v="673"/>
    <x v="1"/>
    <n v="11"/>
    <n v="2"/>
    <s v="Other"/>
    <n v="1"/>
    <n v="26"/>
    <n v="1"/>
    <s v="Female"/>
    <n v="96"/>
    <n v="4"/>
    <x v="0"/>
    <x v="3"/>
    <n v="3"/>
    <s v="Divorced"/>
    <n v="4011"/>
    <n v="8232"/>
    <n v="0"/>
    <s v="Y"/>
    <s v="No"/>
    <s v="No"/>
    <n v="18"/>
    <n v="3"/>
    <n v="4"/>
    <n v="80"/>
    <n v="1"/>
    <n v="5"/>
    <s v="0-5"/>
    <n v="5"/>
    <n v="2"/>
    <n v="4"/>
    <n v="2"/>
    <n v="1"/>
    <n v="3"/>
  </r>
  <r>
    <n v="36"/>
    <x v="0"/>
    <s v="Yes"/>
    <s v="Travel_Rarely"/>
    <n v="1218"/>
    <x v="0"/>
    <n v="9"/>
    <n v="4"/>
    <s v="Life Sciences"/>
    <n v="1"/>
    <n v="27"/>
    <n v="3"/>
    <s v="Male"/>
    <n v="82"/>
    <n v="2"/>
    <x v="1"/>
    <x v="6"/>
    <n v="1"/>
    <s v="Single"/>
    <n v="3407"/>
    <n v="6986"/>
    <n v="7"/>
    <s v="Y"/>
    <s v="No"/>
    <s v="No"/>
    <n v="23"/>
    <n v="4"/>
    <n v="2"/>
    <n v="80"/>
    <n v="0"/>
    <n v="10"/>
    <s v="6-15"/>
    <n v="4"/>
    <n v="3"/>
    <n v="5"/>
    <n v="3"/>
    <n v="0"/>
    <n v="3"/>
  </r>
  <r>
    <n v="34"/>
    <x v="1"/>
    <s v="No"/>
    <s v="Travel_Rarely"/>
    <n v="419"/>
    <x v="1"/>
    <n v="7"/>
    <n v="4"/>
    <s v="Life Sciences"/>
    <n v="1"/>
    <n v="28"/>
    <n v="1"/>
    <s v="Female"/>
    <n v="53"/>
    <n v="3"/>
    <x v="2"/>
    <x v="7"/>
    <n v="2"/>
    <s v="Single"/>
    <n v="11994"/>
    <n v="21293"/>
    <n v="0"/>
    <s v="Y"/>
    <s v="No"/>
    <s v="No"/>
    <n v="11"/>
    <n v="3"/>
    <n v="3"/>
    <n v="80"/>
    <n v="0"/>
    <n v="13"/>
    <s v="6-15"/>
    <n v="4"/>
    <n v="3"/>
    <n v="12"/>
    <n v="6"/>
    <n v="2"/>
    <n v="11"/>
  </r>
  <r>
    <n v="21"/>
    <x v="1"/>
    <s v="No"/>
    <s v="Travel_Rarely"/>
    <n v="391"/>
    <x v="1"/>
    <n v="15"/>
    <n v="2"/>
    <s v="Life Sciences"/>
    <n v="1"/>
    <n v="30"/>
    <n v="3"/>
    <s v="Male"/>
    <n v="96"/>
    <n v="3"/>
    <x v="1"/>
    <x v="1"/>
    <n v="4"/>
    <s v="Single"/>
    <n v="1232"/>
    <n v="19281"/>
    <n v="1"/>
    <s v="Y"/>
    <s v="No"/>
    <s v="No"/>
    <n v="14"/>
    <n v="3"/>
    <n v="4"/>
    <n v="80"/>
    <n v="0"/>
    <n v="0"/>
    <s v="0-5"/>
    <n v="6"/>
    <n v="3"/>
    <n v="0"/>
    <n v="0"/>
    <n v="0"/>
    <n v="0"/>
  </r>
  <r>
    <n v="34"/>
    <x v="0"/>
    <s v="Yes"/>
    <s v="Travel_Rarely"/>
    <n v="699"/>
    <x v="1"/>
    <n v="6"/>
    <n v="1"/>
    <s v="Medical"/>
    <n v="1"/>
    <n v="31"/>
    <n v="2"/>
    <s v="Male"/>
    <n v="83"/>
    <n v="3"/>
    <x v="1"/>
    <x v="1"/>
    <n v="1"/>
    <s v="Single"/>
    <n v="2960"/>
    <n v="17102"/>
    <n v="2"/>
    <s v="Y"/>
    <s v="No"/>
    <s v="No"/>
    <n v="11"/>
    <n v="3"/>
    <n v="3"/>
    <n v="80"/>
    <n v="0"/>
    <n v="8"/>
    <s v="6-15"/>
    <n v="2"/>
    <n v="3"/>
    <n v="4"/>
    <n v="2"/>
    <n v="1"/>
    <n v="3"/>
  </r>
  <r>
    <n v="53"/>
    <x v="1"/>
    <s v="No"/>
    <s v="Travel_Rarely"/>
    <n v="1282"/>
    <x v="1"/>
    <n v="5"/>
    <n v="3"/>
    <s v="Other"/>
    <n v="1"/>
    <n v="32"/>
    <n v="3"/>
    <s v="Female"/>
    <n v="58"/>
    <n v="3"/>
    <x v="4"/>
    <x v="5"/>
    <n v="3"/>
    <s v="Divorced"/>
    <n v="19094"/>
    <n v="10735"/>
    <n v="4"/>
    <s v="Y"/>
    <s v="No"/>
    <s v="No"/>
    <n v="11"/>
    <n v="3"/>
    <n v="4"/>
    <n v="80"/>
    <n v="1"/>
    <n v="26"/>
    <s v="&gt;15"/>
    <n v="3"/>
    <n v="2"/>
    <n v="14"/>
    <n v="13"/>
    <n v="4"/>
    <n v="8"/>
  </r>
  <r>
    <n v="32"/>
    <x v="0"/>
    <s v="Yes"/>
    <s v="Travel_Frequently"/>
    <n v="1125"/>
    <x v="1"/>
    <n v="16"/>
    <n v="1"/>
    <s v="Life Sciences"/>
    <n v="1"/>
    <n v="33"/>
    <n v="2"/>
    <s v="Female"/>
    <n v="72"/>
    <n v="1"/>
    <x v="1"/>
    <x v="1"/>
    <n v="1"/>
    <s v="Single"/>
    <n v="3919"/>
    <n v="4681"/>
    <n v="1"/>
    <s v="Y"/>
    <s v="Yes"/>
    <s v="Yes"/>
    <n v="22"/>
    <n v="4"/>
    <n v="2"/>
    <n v="80"/>
    <n v="0"/>
    <n v="10"/>
    <s v="6-15"/>
    <n v="5"/>
    <n v="3"/>
    <n v="10"/>
    <n v="2"/>
    <n v="6"/>
    <n v="7"/>
  </r>
  <r>
    <n v="42"/>
    <x v="1"/>
    <s v="No"/>
    <s v="Travel_Rarely"/>
    <n v="691"/>
    <x v="0"/>
    <n v="8"/>
    <n v="4"/>
    <s v="Marketing"/>
    <n v="1"/>
    <n v="35"/>
    <n v="3"/>
    <s v="Male"/>
    <n v="48"/>
    <n v="3"/>
    <x v="0"/>
    <x v="0"/>
    <n v="2"/>
    <s v="Married"/>
    <n v="6825"/>
    <n v="21173"/>
    <n v="0"/>
    <s v="Y"/>
    <s v="No"/>
    <s v="No"/>
    <n v="11"/>
    <n v="3"/>
    <n v="4"/>
    <n v="80"/>
    <n v="1"/>
    <n v="10"/>
    <s v="6-15"/>
    <n v="2"/>
    <n v="3"/>
    <n v="9"/>
    <n v="7"/>
    <n v="4"/>
    <n v="2"/>
  </r>
  <r>
    <n v="44"/>
    <x v="1"/>
    <s v="No"/>
    <s v="Travel_Rarely"/>
    <n v="477"/>
    <x v="1"/>
    <n v="7"/>
    <n v="4"/>
    <s v="Medical"/>
    <n v="1"/>
    <n v="36"/>
    <n v="1"/>
    <s v="Female"/>
    <n v="42"/>
    <n v="2"/>
    <x v="2"/>
    <x v="4"/>
    <n v="4"/>
    <s v="Married"/>
    <n v="10248"/>
    <n v="2094"/>
    <n v="3"/>
    <s v="Y"/>
    <s v="No"/>
    <s v="No"/>
    <n v="14"/>
    <n v="3"/>
    <n v="4"/>
    <n v="80"/>
    <n v="1"/>
    <n v="24"/>
    <s v="&gt;15"/>
    <n v="4"/>
    <n v="3"/>
    <n v="22"/>
    <n v="6"/>
    <n v="5"/>
    <n v="17"/>
  </r>
  <r>
    <n v="46"/>
    <x v="1"/>
    <s v="No"/>
    <s v="Travel_Rarely"/>
    <n v="705"/>
    <x v="0"/>
    <n v="2"/>
    <n v="4"/>
    <s v="Marketing"/>
    <n v="1"/>
    <n v="38"/>
    <n v="2"/>
    <s v="Female"/>
    <n v="83"/>
    <n v="3"/>
    <x v="4"/>
    <x v="5"/>
    <n v="1"/>
    <s v="Single"/>
    <n v="18947"/>
    <n v="22822"/>
    <n v="3"/>
    <s v="Y"/>
    <s v="No"/>
    <s v="No"/>
    <n v="12"/>
    <n v="3"/>
    <n v="4"/>
    <n v="80"/>
    <n v="0"/>
    <n v="22"/>
    <s v="&gt;15"/>
    <n v="2"/>
    <n v="2"/>
    <n v="2"/>
    <n v="2"/>
    <n v="2"/>
    <n v="1"/>
  </r>
  <r>
    <n v="33"/>
    <x v="1"/>
    <s v="No"/>
    <s v="Travel_Rarely"/>
    <n v="924"/>
    <x v="1"/>
    <n v="2"/>
    <n v="3"/>
    <s v="Medical"/>
    <n v="1"/>
    <n v="39"/>
    <n v="3"/>
    <s v="Male"/>
    <n v="78"/>
    <n v="3"/>
    <x v="1"/>
    <x v="2"/>
    <n v="4"/>
    <s v="Single"/>
    <n v="2496"/>
    <n v="6670"/>
    <n v="4"/>
    <s v="Y"/>
    <s v="No"/>
    <s v="No"/>
    <n v="11"/>
    <n v="3"/>
    <n v="4"/>
    <n v="80"/>
    <n v="0"/>
    <n v="7"/>
    <s v="6-15"/>
    <n v="3"/>
    <n v="3"/>
    <n v="1"/>
    <n v="1"/>
    <n v="0"/>
    <n v="0"/>
  </r>
  <r>
    <n v="44"/>
    <x v="1"/>
    <s v="No"/>
    <s v="Travel_Rarely"/>
    <n v="1459"/>
    <x v="1"/>
    <n v="10"/>
    <n v="4"/>
    <s v="Other"/>
    <n v="1"/>
    <n v="40"/>
    <n v="4"/>
    <s v="Male"/>
    <n v="41"/>
    <n v="3"/>
    <x v="0"/>
    <x v="4"/>
    <n v="4"/>
    <s v="Married"/>
    <n v="6465"/>
    <n v="19121"/>
    <n v="2"/>
    <s v="Y"/>
    <s v="Yes"/>
    <s v="Yes"/>
    <n v="13"/>
    <n v="3"/>
    <n v="4"/>
    <n v="80"/>
    <n v="0"/>
    <n v="9"/>
    <s v="6-15"/>
    <n v="5"/>
    <n v="4"/>
    <n v="4"/>
    <n v="2"/>
    <n v="1"/>
    <n v="3"/>
  </r>
  <r>
    <n v="30"/>
    <x v="1"/>
    <s v="No"/>
    <s v="Travel_Rarely"/>
    <n v="125"/>
    <x v="1"/>
    <n v="9"/>
    <n v="2"/>
    <s v="Medical"/>
    <n v="1"/>
    <n v="41"/>
    <n v="4"/>
    <s v="Male"/>
    <n v="83"/>
    <n v="2"/>
    <x v="1"/>
    <x v="2"/>
    <n v="3"/>
    <s v="Single"/>
    <n v="2206"/>
    <n v="16117"/>
    <n v="1"/>
    <s v="Y"/>
    <s v="No"/>
    <s v="No"/>
    <n v="13"/>
    <n v="3"/>
    <n v="1"/>
    <n v="80"/>
    <n v="0"/>
    <n v="10"/>
    <s v="6-15"/>
    <n v="5"/>
    <n v="3"/>
    <n v="10"/>
    <n v="0"/>
    <n v="1"/>
    <n v="8"/>
  </r>
  <r>
    <n v="39"/>
    <x v="0"/>
    <s v="Yes"/>
    <s v="Travel_Rarely"/>
    <n v="895"/>
    <x v="0"/>
    <n v="5"/>
    <n v="3"/>
    <s v="Technical Degree"/>
    <n v="1"/>
    <n v="42"/>
    <n v="4"/>
    <s v="Male"/>
    <n v="56"/>
    <n v="3"/>
    <x v="0"/>
    <x v="6"/>
    <n v="4"/>
    <s v="Married"/>
    <n v="2086"/>
    <n v="3335"/>
    <n v="3"/>
    <s v="Y"/>
    <s v="No"/>
    <s v="No"/>
    <n v="14"/>
    <n v="3"/>
    <n v="3"/>
    <n v="80"/>
    <n v="1"/>
    <n v="19"/>
    <s v="&gt;15"/>
    <n v="6"/>
    <n v="4"/>
    <n v="1"/>
    <n v="0"/>
    <n v="0"/>
    <n v="0"/>
  </r>
  <r>
    <n v="24"/>
    <x v="0"/>
    <s v="Yes"/>
    <s v="Travel_Rarely"/>
    <n v="813"/>
    <x v="1"/>
    <n v="1"/>
    <n v="3"/>
    <s v="Medical"/>
    <n v="1"/>
    <n v="45"/>
    <n v="2"/>
    <s v="Male"/>
    <n v="61"/>
    <n v="3"/>
    <x v="1"/>
    <x v="1"/>
    <n v="4"/>
    <s v="Married"/>
    <n v="2293"/>
    <n v="3020"/>
    <n v="2"/>
    <s v="Y"/>
    <s v="Yes"/>
    <s v="Yes"/>
    <n v="16"/>
    <n v="3"/>
    <n v="1"/>
    <n v="80"/>
    <n v="1"/>
    <n v="6"/>
    <s v="6-15"/>
    <n v="2"/>
    <n v="2"/>
    <n v="2"/>
    <n v="0"/>
    <n v="2"/>
    <n v="0"/>
  </r>
  <r>
    <n v="43"/>
    <x v="1"/>
    <s v="No"/>
    <s v="Travel_Rarely"/>
    <n v="1273"/>
    <x v="1"/>
    <n v="2"/>
    <n v="2"/>
    <s v="Medical"/>
    <n v="1"/>
    <n v="46"/>
    <n v="4"/>
    <s v="Female"/>
    <n v="72"/>
    <n v="4"/>
    <x v="1"/>
    <x v="1"/>
    <n v="3"/>
    <s v="Divorced"/>
    <n v="2645"/>
    <n v="21923"/>
    <n v="1"/>
    <s v="Y"/>
    <s v="No"/>
    <s v="No"/>
    <n v="12"/>
    <n v="3"/>
    <n v="4"/>
    <n v="80"/>
    <n v="2"/>
    <n v="6"/>
    <s v="6-15"/>
    <n v="3"/>
    <n v="2"/>
    <n v="5"/>
    <n v="3"/>
    <n v="1"/>
    <n v="4"/>
  </r>
  <r>
    <n v="50"/>
    <x v="0"/>
    <s v="Yes"/>
    <s v="Travel_Rarely"/>
    <n v="869"/>
    <x v="0"/>
    <n v="3"/>
    <n v="2"/>
    <s v="Marketing"/>
    <n v="1"/>
    <n v="47"/>
    <n v="1"/>
    <s v="Male"/>
    <n v="86"/>
    <n v="2"/>
    <x v="1"/>
    <x v="6"/>
    <n v="3"/>
    <s v="Married"/>
    <n v="2683"/>
    <n v="3810"/>
    <n v="1"/>
    <s v="Y"/>
    <s v="Yes"/>
    <s v="Yes"/>
    <n v="14"/>
    <n v="3"/>
    <n v="3"/>
    <n v="80"/>
    <n v="0"/>
    <n v="3"/>
    <s v="0-5"/>
    <n v="2"/>
    <n v="3"/>
    <n v="3"/>
    <n v="2"/>
    <n v="0"/>
    <n v="2"/>
  </r>
  <r>
    <n v="35"/>
    <x v="1"/>
    <s v="No"/>
    <s v="Travel_Rarely"/>
    <n v="890"/>
    <x v="0"/>
    <n v="2"/>
    <n v="3"/>
    <s v="Marketing"/>
    <n v="1"/>
    <n v="49"/>
    <n v="4"/>
    <s v="Female"/>
    <n v="97"/>
    <n v="3"/>
    <x v="1"/>
    <x v="6"/>
    <n v="4"/>
    <s v="Married"/>
    <n v="2014"/>
    <n v="9687"/>
    <n v="1"/>
    <s v="Y"/>
    <s v="No"/>
    <s v="No"/>
    <n v="13"/>
    <n v="3"/>
    <n v="1"/>
    <n v="80"/>
    <n v="0"/>
    <n v="2"/>
    <s v="0-5"/>
    <n v="3"/>
    <n v="3"/>
    <n v="2"/>
    <n v="2"/>
    <n v="2"/>
    <n v="2"/>
  </r>
  <r>
    <n v="36"/>
    <x v="1"/>
    <s v="No"/>
    <s v="Travel_Rarely"/>
    <n v="852"/>
    <x v="1"/>
    <n v="5"/>
    <n v="4"/>
    <s v="Life Sciences"/>
    <n v="1"/>
    <n v="51"/>
    <n v="2"/>
    <s v="Female"/>
    <n v="82"/>
    <n v="2"/>
    <x v="1"/>
    <x v="1"/>
    <n v="1"/>
    <s v="Married"/>
    <n v="3419"/>
    <n v="13072"/>
    <n v="9"/>
    <s v="Y"/>
    <s v="Yes"/>
    <s v="Yes"/>
    <n v="14"/>
    <n v="3"/>
    <n v="4"/>
    <n v="80"/>
    <n v="1"/>
    <n v="6"/>
    <s v="6-15"/>
    <n v="3"/>
    <n v="4"/>
    <n v="1"/>
    <n v="1"/>
    <n v="0"/>
    <n v="0"/>
  </r>
  <r>
    <n v="33"/>
    <x v="1"/>
    <s v="No"/>
    <s v="Travel_Frequently"/>
    <n v="1141"/>
    <x v="0"/>
    <n v="1"/>
    <n v="3"/>
    <s v="Life Sciences"/>
    <n v="1"/>
    <n v="52"/>
    <n v="3"/>
    <s v="Female"/>
    <n v="42"/>
    <n v="4"/>
    <x v="0"/>
    <x v="0"/>
    <n v="1"/>
    <s v="Married"/>
    <n v="5376"/>
    <n v="3193"/>
    <n v="2"/>
    <s v="Y"/>
    <s v="No"/>
    <s v="No"/>
    <n v="19"/>
    <n v="3"/>
    <n v="1"/>
    <n v="80"/>
    <n v="2"/>
    <n v="10"/>
    <s v="6-15"/>
    <n v="3"/>
    <n v="3"/>
    <n v="5"/>
    <n v="3"/>
    <n v="1"/>
    <n v="3"/>
  </r>
  <r>
    <n v="35"/>
    <x v="1"/>
    <s v="No"/>
    <s v="Travel_Rarely"/>
    <n v="464"/>
    <x v="1"/>
    <n v="4"/>
    <n v="2"/>
    <s v="Other"/>
    <n v="1"/>
    <n v="53"/>
    <n v="3"/>
    <s v="Male"/>
    <n v="75"/>
    <n v="3"/>
    <x v="1"/>
    <x v="2"/>
    <n v="4"/>
    <s v="Divorced"/>
    <n v="1951"/>
    <n v="10910"/>
    <n v="1"/>
    <s v="Y"/>
    <s v="No"/>
    <s v="No"/>
    <n v="12"/>
    <n v="3"/>
    <n v="3"/>
    <n v="80"/>
    <n v="1"/>
    <n v="1"/>
    <s v="0-5"/>
    <n v="3"/>
    <n v="3"/>
    <n v="1"/>
    <n v="0"/>
    <n v="0"/>
    <n v="0"/>
  </r>
  <r>
    <n v="27"/>
    <x v="1"/>
    <s v="No"/>
    <s v="Travel_Rarely"/>
    <n v="1240"/>
    <x v="1"/>
    <n v="2"/>
    <n v="4"/>
    <s v="Life Sciences"/>
    <n v="1"/>
    <n v="54"/>
    <n v="4"/>
    <s v="Female"/>
    <n v="33"/>
    <n v="3"/>
    <x v="1"/>
    <x v="2"/>
    <n v="1"/>
    <s v="Divorced"/>
    <n v="2341"/>
    <n v="19715"/>
    <n v="1"/>
    <s v="Y"/>
    <s v="No"/>
    <s v="No"/>
    <n v="13"/>
    <n v="3"/>
    <n v="4"/>
    <n v="80"/>
    <n v="1"/>
    <n v="1"/>
    <s v="0-5"/>
    <n v="6"/>
    <n v="3"/>
    <n v="1"/>
    <n v="0"/>
    <n v="0"/>
    <n v="0"/>
  </r>
  <r>
    <n v="26"/>
    <x v="0"/>
    <s v="Yes"/>
    <s v="Travel_Rarely"/>
    <n v="1357"/>
    <x v="1"/>
    <n v="25"/>
    <n v="3"/>
    <s v="Life Sciences"/>
    <n v="1"/>
    <n v="55"/>
    <n v="1"/>
    <s v="Male"/>
    <n v="48"/>
    <n v="1"/>
    <x v="1"/>
    <x v="2"/>
    <n v="3"/>
    <s v="Single"/>
    <n v="2293"/>
    <n v="10558"/>
    <n v="1"/>
    <s v="Y"/>
    <s v="No"/>
    <s v="No"/>
    <n v="12"/>
    <n v="3"/>
    <n v="3"/>
    <n v="80"/>
    <n v="0"/>
    <n v="1"/>
    <s v="0-5"/>
    <n v="2"/>
    <n v="2"/>
    <n v="1"/>
    <n v="0"/>
    <n v="0"/>
    <n v="1"/>
  </r>
  <r>
    <n v="27"/>
    <x v="1"/>
    <s v="No"/>
    <s v="Travel_Frequently"/>
    <n v="994"/>
    <x v="0"/>
    <n v="8"/>
    <n v="3"/>
    <s v="Life Sciences"/>
    <n v="1"/>
    <n v="56"/>
    <n v="4"/>
    <s v="Male"/>
    <n v="37"/>
    <n v="3"/>
    <x v="2"/>
    <x v="0"/>
    <n v="3"/>
    <s v="Single"/>
    <n v="8726"/>
    <n v="2975"/>
    <n v="1"/>
    <s v="Y"/>
    <s v="No"/>
    <s v="No"/>
    <n v="15"/>
    <n v="3"/>
    <n v="4"/>
    <n v="80"/>
    <n v="0"/>
    <n v="9"/>
    <s v="6-15"/>
    <n v="0"/>
    <n v="3"/>
    <n v="9"/>
    <n v="8"/>
    <n v="1"/>
    <n v="7"/>
  </r>
  <r>
    <n v="30"/>
    <x v="1"/>
    <s v="No"/>
    <s v="Travel_Frequently"/>
    <n v="721"/>
    <x v="1"/>
    <n v="1"/>
    <n v="2"/>
    <s v="Medical"/>
    <n v="1"/>
    <n v="57"/>
    <n v="3"/>
    <s v="Female"/>
    <n v="58"/>
    <n v="3"/>
    <x v="0"/>
    <x v="2"/>
    <n v="4"/>
    <s v="Single"/>
    <n v="4011"/>
    <n v="10781"/>
    <n v="1"/>
    <s v="Y"/>
    <s v="No"/>
    <s v="No"/>
    <n v="23"/>
    <n v="4"/>
    <n v="4"/>
    <n v="80"/>
    <n v="0"/>
    <n v="12"/>
    <s v="6-15"/>
    <n v="2"/>
    <n v="3"/>
    <n v="12"/>
    <n v="8"/>
    <n v="3"/>
    <n v="7"/>
  </r>
  <r>
    <n v="41"/>
    <x v="0"/>
    <s v="Yes"/>
    <s v="Travel_Rarely"/>
    <n v="1360"/>
    <x v="1"/>
    <n v="12"/>
    <n v="3"/>
    <s v="Technical Degree"/>
    <n v="1"/>
    <n v="58"/>
    <n v="2"/>
    <s v="Female"/>
    <n v="49"/>
    <n v="3"/>
    <x v="4"/>
    <x v="7"/>
    <n v="3"/>
    <s v="Married"/>
    <n v="19545"/>
    <n v="16280"/>
    <n v="1"/>
    <s v="Y"/>
    <s v="No"/>
    <s v="No"/>
    <n v="12"/>
    <n v="3"/>
    <n v="4"/>
    <n v="80"/>
    <n v="0"/>
    <n v="23"/>
    <s v="&gt;15"/>
    <n v="0"/>
    <n v="3"/>
    <n v="22"/>
    <n v="15"/>
    <n v="15"/>
    <n v="8"/>
  </r>
  <r>
    <n v="34"/>
    <x v="1"/>
    <s v="No"/>
    <s v="Non-Travel"/>
    <n v="1065"/>
    <x v="0"/>
    <n v="23"/>
    <n v="4"/>
    <s v="Marketing"/>
    <n v="1"/>
    <n v="60"/>
    <n v="2"/>
    <s v="Male"/>
    <n v="72"/>
    <n v="3"/>
    <x v="0"/>
    <x v="0"/>
    <n v="3"/>
    <s v="Single"/>
    <n v="4568"/>
    <n v="10034"/>
    <n v="0"/>
    <s v="Y"/>
    <s v="No"/>
    <s v="No"/>
    <n v="20"/>
    <n v="4"/>
    <n v="3"/>
    <n v="80"/>
    <n v="0"/>
    <n v="10"/>
    <s v="6-15"/>
    <n v="2"/>
    <n v="3"/>
    <n v="9"/>
    <n v="5"/>
    <n v="8"/>
    <n v="7"/>
  </r>
  <r>
    <n v="37"/>
    <x v="1"/>
    <s v="No"/>
    <s v="Travel_Rarely"/>
    <n v="408"/>
    <x v="1"/>
    <n v="19"/>
    <n v="2"/>
    <s v="Life Sciences"/>
    <n v="1"/>
    <n v="61"/>
    <n v="2"/>
    <s v="Male"/>
    <n v="73"/>
    <n v="3"/>
    <x v="1"/>
    <x v="1"/>
    <n v="2"/>
    <s v="Married"/>
    <n v="3022"/>
    <n v="10227"/>
    <n v="4"/>
    <s v="Y"/>
    <s v="No"/>
    <s v="No"/>
    <n v="21"/>
    <n v="4"/>
    <n v="1"/>
    <n v="80"/>
    <n v="0"/>
    <n v="8"/>
    <s v="6-15"/>
    <n v="1"/>
    <n v="3"/>
    <n v="1"/>
    <n v="0"/>
    <n v="0"/>
    <n v="0"/>
  </r>
  <r>
    <n v="46"/>
    <x v="1"/>
    <s v="No"/>
    <s v="Travel_Frequently"/>
    <n v="1211"/>
    <x v="0"/>
    <n v="5"/>
    <n v="4"/>
    <s v="Marketing"/>
    <n v="1"/>
    <n v="62"/>
    <n v="1"/>
    <s v="Male"/>
    <n v="98"/>
    <n v="3"/>
    <x v="0"/>
    <x v="0"/>
    <n v="4"/>
    <s v="Single"/>
    <n v="5772"/>
    <n v="20445"/>
    <n v="4"/>
    <s v="Y"/>
    <s v="Yes"/>
    <s v="Yes"/>
    <n v="21"/>
    <n v="4"/>
    <n v="3"/>
    <n v="80"/>
    <n v="0"/>
    <n v="14"/>
    <s v="6-15"/>
    <n v="4"/>
    <n v="3"/>
    <n v="9"/>
    <n v="6"/>
    <n v="0"/>
    <n v="8"/>
  </r>
  <r>
    <n v="35"/>
    <x v="1"/>
    <s v="No"/>
    <s v="Travel_Rarely"/>
    <n v="1229"/>
    <x v="1"/>
    <n v="8"/>
    <n v="1"/>
    <s v="Life Sciences"/>
    <n v="1"/>
    <n v="63"/>
    <n v="4"/>
    <s v="Male"/>
    <n v="36"/>
    <n v="4"/>
    <x v="1"/>
    <x v="2"/>
    <n v="4"/>
    <s v="Married"/>
    <n v="2269"/>
    <n v="4892"/>
    <n v="1"/>
    <s v="Y"/>
    <s v="No"/>
    <s v="No"/>
    <n v="19"/>
    <n v="3"/>
    <n v="4"/>
    <n v="80"/>
    <n v="0"/>
    <n v="1"/>
    <s v="0-5"/>
    <n v="2"/>
    <n v="3"/>
    <n v="1"/>
    <n v="0"/>
    <n v="0"/>
    <n v="1"/>
  </r>
  <r>
    <n v="48"/>
    <x v="0"/>
    <s v="Yes"/>
    <s v="Travel_Rarely"/>
    <n v="626"/>
    <x v="1"/>
    <n v="1"/>
    <n v="2"/>
    <s v="Life Sciences"/>
    <n v="1"/>
    <n v="64"/>
    <n v="1"/>
    <s v="Male"/>
    <n v="98"/>
    <n v="2"/>
    <x v="2"/>
    <x v="2"/>
    <n v="3"/>
    <s v="Single"/>
    <n v="5381"/>
    <n v="19294"/>
    <n v="9"/>
    <s v="Y"/>
    <s v="Yes"/>
    <s v="Yes"/>
    <n v="13"/>
    <n v="3"/>
    <n v="4"/>
    <n v="80"/>
    <n v="0"/>
    <n v="23"/>
    <s v="&gt;15"/>
    <n v="2"/>
    <n v="3"/>
    <n v="1"/>
    <n v="0"/>
    <n v="0"/>
    <n v="0"/>
  </r>
  <r>
    <n v="28"/>
    <x v="0"/>
    <s v="Yes"/>
    <s v="Travel_Rarely"/>
    <n v="1434"/>
    <x v="1"/>
    <n v="5"/>
    <n v="4"/>
    <s v="Technical Degree"/>
    <n v="1"/>
    <n v="65"/>
    <n v="3"/>
    <s v="Male"/>
    <n v="50"/>
    <n v="3"/>
    <x v="1"/>
    <x v="2"/>
    <n v="3"/>
    <s v="Single"/>
    <n v="3441"/>
    <n v="11179"/>
    <n v="1"/>
    <s v="Y"/>
    <s v="Yes"/>
    <s v="Yes"/>
    <n v="13"/>
    <n v="3"/>
    <n v="3"/>
    <n v="80"/>
    <n v="0"/>
    <n v="2"/>
    <s v="0-5"/>
    <n v="3"/>
    <n v="2"/>
    <n v="2"/>
    <n v="2"/>
    <n v="2"/>
    <n v="2"/>
  </r>
  <r>
    <n v="44"/>
    <x v="1"/>
    <s v="No"/>
    <s v="Travel_Rarely"/>
    <n v="1488"/>
    <x v="0"/>
    <n v="1"/>
    <n v="5"/>
    <s v="Marketing"/>
    <n v="1"/>
    <n v="68"/>
    <n v="2"/>
    <s v="Female"/>
    <n v="75"/>
    <n v="3"/>
    <x v="0"/>
    <x v="0"/>
    <n v="1"/>
    <s v="Divorced"/>
    <n v="5454"/>
    <n v="4009"/>
    <n v="5"/>
    <s v="Y"/>
    <s v="Yes"/>
    <s v="Yes"/>
    <n v="21"/>
    <n v="4"/>
    <n v="3"/>
    <n v="80"/>
    <n v="1"/>
    <n v="9"/>
    <s v="6-15"/>
    <n v="2"/>
    <n v="2"/>
    <n v="4"/>
    <n v="3"/>
    <n v="1"/>
    <n v="3"/>
  </r>
  <r>
    <n v="35"/>
    <x v="1"/>
    <s v="No"/>
    <s v="Non-Travel"/>
    <n v="1097"/>
    <x v="1"/>
    <n v="11"/>
    <n v="2"/>
    <s v="Medical"/>
    <n v="1"/>
    <n v="70"/>
    <n v="3"/>
    <s v="Male"/>
    <n v="79"/>
    <n v="2"/>
    <x v="2"/>
    <x v="4"/>
    <n v="1"/>
    <s v="Married"/>
    <n v="9884"/>
    <n v="8302"/>
    <n v="2"/>
    <s v="Y"/>
    <s v="Yes"/>
    <s v="Yes"/>
    <n v="13"/>
    <n v="3"/>
    <n v="3"/>
    <n v="80"/>
    <n v="1"/>
    <n v="10"/>
    <s v="6-15"/>
    <n v="3"/>
    <n v="3"/>
    <n v="4"/>
    <n v="0"/>
    <n v="2"/>
    <n v="3"/>
  </r>
  <r>
    <n v="26"/>
    <x v="1"/>
    <s v="No"/>
    <s v="Travel_Rarely"/>
    <n v="1443"/>
    <x v="0"/>
    <n v="23"/>
    <n v="3"/>
    <s v="Marketing"/>
    <n v="1"/>
    <n v="72"/>
    <n v="3"/>
    <s v="Female"/>
    <n v="47"/>
    <n v="2"/>
    <x v="0"/>
    <x v="0"/>
    <n v="4"/>
    <s v="Married"/>
    <n v="4157"/>
    <n v="21436"/>
    <n v="7"/>
    <s v="Y"/>
    <s v="Yes"/>
    <s v="Yes"/>
    <n v="19"/>
    <n v="3"/>
    <n v="3"/>
    <n v="80"/>
    <n v="1"/>
    <n v="5"/>
    <s v="0-5"/>
    <n v="2"/>
    <n v="2"/>
    <n v="2"/>
    <n v="2"/>
    <n v="0"/>
    <n v="0"/>
  </r>
  <r>
    <n v="33"/>
    <x v="1"/>
    <s v="No"/>
    <s v="Travel_Frequently"/>
    <n v="515"/>
    <x v="1"/>
    <n v="1"/>
    <n v="2"/>
    <s v="Life Sciences"/>
    <n v="1"/>
    <n v="73"/>
    <n v="1"/>
    <s v="Female"/>
    <n v="98"/>
    <n v="3"/>
    <x v="2"/>
    <x v="7"/>
    <n v="4"/>
    <s v="Single"/>
    <n v="13458"/>
    <n v="15146"/>
    <n v="1"/>
    <s v="Y"/>
    <s v="Yes"/>
    <s v="Yes"/>
    <n v="12"/>
    <n v="3"/>
    <n v="3"/>
    <n v="80"/>
    <n v="0"/>
    <n v="15"/>
    <s v="6-15"/>
    <n v="1"/>
    <n v="3"/>
    <n v="15"/>
    <n v="14"/>
    <n v="8"/>
    <n v="12"/>
  </r>
  <r>
    <n v="35"/>
    <x v="1"/>
    <s v="No"/>
    <s v="Travel_Frequently"/>
    <n v="853"/>
    <x v="0"/>
    <n v="18"/>
    <n v="5"/>
    <s v="Life Sciences"/>
    <n v="1"/>
    <n v="74"/>
    <n v="2"/>
    <s v="Male"/>
    <n v="71"/>
    <n v="3"/>
    <x v="2"/>
    <x v="0"/>
    <n v="1"/>
    <s v="Married"/>
    <n v="9069"/>
    <n v="11031"/>
    <n v="1"/>
    <s v="Y"/>
    <s v="No"/>
    <s v="No"/>
    <n v="22"/>
    <n v="4"/>
    <n v="4"/>
    <n v="80"/>
    <n v="1"/>
    <n v="9"/>
    <s v="6-15"/>
    <n v="3"/>
    <n v="2"/>
    <n v="9"/>
    <n v="8"/>
    <n v="1"/>
    <n v="8"/>
  </r>
  <r>
    <n v="35"/>
    <x v="1"/>
    <s v="No"/>
    <s v="Travel_Rarely"/>
    <n v="1142"/>
    <x v="1"/>
    <n v="23"/>
    <n v="4"/>
    <s v="Medical"/>
    <n v="1"/>
    <n v="75"/>
    <n v="3"/>
    <s v="Female"/>
    <n v="30"/>
    <n v="3"/>
    <x v="1"/>
    <x v="2"/>
    <n v="1"/>
    <s v="Married"/>
    <n v="4014"/>
    <n v="16002"/>
    <n v="3"/>
    <s v="Y"/>
    <s v="Yes"/>
    <s v="Yes"/>
    <n v="15"/>
    <n v="3"/>
    <n v="3"/>
    <n v="80"/>
    <n v="1"/>
    <n v="4"/>
    <s v="0-5"/>
    <n v="3"/>
    <n v="3"/>
    <n v="2"/>
    <n v="2"/>
    <n v="2"/>
    <n v="2"/>
  </r>
  <r>
    <n v="31"/>
    <x v="1"/>
    <s v="No"/>
    <s v="Travel_Rarely"/>
    <n v="655"/>
    <x v="1"/>
    <n v="7"/>
    <n v="4"/>
    <s v="Life Sciences"/>
    <n v="1"/>
    <n v="76"/>
    <n v="4"/>
    <s v="Male"/>
    <n v="48"/>
    <n v="3"/>
    <x v="0"/>
    <x v="2"/>
    <n v="4"/>
    <s v="Divorced"/>
    <n v="5915"/>
    <n v="9528"/>
    <n v="3"/>
    <s v="Y"/>
    <s v="No"/>
    <s v="No"/>
    <n v="22"/>
    <n v="4"/>
    <n v="4"/>
    <n v="80"/>
    <n v="1"/>
    <n v="10"/>
    <s v="6-15"/>
    <n v="3"/>
    <n v="2"/>
    <n v="7"/>
    <n v="7"/>
    <n v="1"/>
    <n v="7"/>
  </r>
  <r>
    <n v="37"/>
    <x v="1"/>
    <s v="No"/>
    <s v="Travel_Rarely"/>
    <n v="1115"/>
    <x v="1"/>
    <n v="1"/>
    <n v="4"/>
    <s v="Life Sciences"/>
    <n v="1"/>
    <n v="77"/>
    <n v="1"/>
    <s v="Male"/>
    <n v="51"/>
    <n v="2"/>
    <x v="0"/>
    <x v="3"/>
    <n v="3"/>
    <s v="Divorced"/>
    <n v="5993"/>
    <n v="2689"/>
    <n v="1"/>
    <s v="Y"/>
    <s v="No"/>
    <s v="No"/>
    <n v="18"/>
    <n v="3"/>
    <n v="3"/>
    <n v="80"/>
    <n v="1"/>
    <n v="7"/>
    <s v="6-15"/>
    <n v="2"/>
    <n v="4"/>
    <n v="7"/>
    <n v="5"/>
    <n v="0"/>
    <n v="7"/>
  </r>
  <r>
    <n v="32"/>
    <x v="1"/>
    <s v="No"/>
    <s v="Travel_Rarely"/>
    <n v="427"/>
    <x v="1"/>
    <n v="1"/>
    <n v="3"/>
    <s v="Medical"/>
    <n v="1"/>
    <n v="78"/>
    <n v="1"/>
    <s v="Male"/>
    <n v="33"/>
    <n v="3"/>
    <x v="0"/>
    <x v="3"/>
    <n v="4"/>
    <s v="Married"/>
    <n v="6162"/>
    <n v="10877"/>
    <n v="1"/>
    <s v="Y"/>
    <s v="Yes"/>
    <s v="Yes"/>
    <n v="22"/>
    <n v="4"/>
    <n v="2"/>
    <n v="80"/>
    <n v="1"/>
    <n v="9"/>
    <s v="6-15"/>
    <n v="3"/>
    <n v="3"/>
    <n v="9"/>
    <n v="8"/>
    <n v="7"/>
    <n v="8"/>
  </r>
  <r>
    <n v="38"/>
    <x v="1"/>
    <s v="No"/>
    <s v="Travel_Frequently"/>
    <n v="653"/>
    <x v="1"/>
    <n v="29"/>
    <n v="5"/>
    <s v="Life Sciences"/>
    <n v="1"/>
    <n v="79"/>
    <n v="4"/>
    <s v="Female"/>
    <n v="50"/>
    <n v="3"/>
    <x v="0"/>
    <x v="2"/>
    <n v="4"/>
    <s v="Single"/>
    <n v="2406"/>
    <n v="5456"/>
    <n v="1"/>
    <s v="Y"/>
    <s v="No"/>
    <s v="No"/>
    <n v="11"/>
    <n v="3"/>
    <n v="4"/>
    <n v="80"/>
    <n v="0"/>
    <n v="10"/>
    <s v="6-15"/>
    <n v="2"/>
    <n v="3"/>
    <n v="10"/>
    <n v="3"/>
    <n v="9"/>
    <n v="9"/>
  </r>
  <r>
    <n v="50"/>
    <x v="1"/>
    <s v="No"/>
    <s v="Travel_Rarely"/>
    <n v="989"/>
    <x v="1"/>
    <n v="7"/>
    <n v="2"/>
    <s v="Medical"/>
    <n v="1"/>
    <n v="80"/>
    <n v="2"/>
    <s v="Female"/>
    <n v="43"/>
    <n v="2"/>
    <x v="4"/>
    <x v="7"/>
    <n v="3"/>
    <s v="Divorced"/>
    <n v="18740"/>
    <n v="16701"/>
    <n v="5"/>
    <s v="Y"/>
    <s v="Yes"/>
    <s v="Yes"/>
    <n v="12"/>
    <n v="3"/>
    <n v="4"/>
    <n v="80"/>
    <n v="1"/>
    <n v="29"/>
    <s v="&gt;15"/>
    <n v="2"/>
    <n v="2"/>
    <n v="27"/>
    <n v="3"/>
    <n v="13"/>
    <n v="8"/>
  </r>
  <r>
    <n v="59"/>
    <x v="1"/>
    <s v="No"/>
    <s v="Travel_Rarely"/>
    <n v="1435"/>
    <x v="0"/>
    <n v="25"/>
    <n v="3"/>
    <s v="Life Sciences"/>
    <n v="1"/>
    <n v="81"/>
    <n v="1"/>
    <s v="Female"/>
    <n v="99"/>
    <n v="3"/>
    <x v="2"/>
    <x v="0"/>
    <n v="1"/>
    <s v="Single"/>
    <n v="7637"/>
    <n v="2354"/>
    <n v="7"/>
    <s v="Y"/>
    <s v="No"/>
    <s v="No"/>
    <n v="11"/>
    <n v="3"/>
    <n v="4"/>
    <n v="80"/>
    <n v="0"/>
    <n v="28"/>
    <s v="&gt;15"/>
    <n v="3"/>
    <n v="2"/>
    <n v="21"/>
    <n v="16"/>
    <n v="7"/>
    <n v="9"/>
  </r>
  <r>
    <n v="36"/>
    <x v="1"/>
    <s v="No"/>
    <s v="Travel_Rarely"/>
    <n v="1223"/>
    <x v="1"/>
    <n v="8"/>
    <n v="3"/>
    <s v="Technical Degree"/>
    <n v="1"/>
    <n v="83"/>
    <n v="3"/>
    <s v="Female"/>
    <n v="59"/>
    <n v="3"/>
    <x v="2"/>
    <x v="4"/>
    <n v="3"/>
    <s v="Divorced"/>
    <n v="10096"/>
    <n v="8202"/>
    <n v="1"/>
    <s v="Y"/>
    <s v="No"/>
    <s v="No"/>
    <n v="13"/>
    <n v="3"/>
    <n v="2"/>
    <n v="80"/>
    <n v="3"/>
    <n v="17"/>
    <s v="&gt;15"/>
    <n v="2"/>
    <n v="3"/>
    <n v="17"/>
    <n v="14"/>
    <n v="12"/>
    <n v="8"/>
  </r>
  <r>
    <n v="55"/>
    <x v="1"/>
    <s v="No"/>
    <s v="Travel_Rarely"/>
    <n v="836"/>
    <x v="1"/>
    <n v="8"/>
    <n v="3"/>
    <s v="Medical"/>
    <n v="1"/>
    <n v="84"/>
    <n v="4"/>
    <s v="Female"/>
    <n v="33"/>
    <n v="3"/>
    <x v="3"/>
    <x v="5"/>
    <n v="3"/>
    <s v="Divorced"/>
    <n v="14756"/>
    <n v="19730"/>
    <n v="2"/>
    <s v="Y"/>
    <s v="Yes"/>
    <s v="Yes"/>
    <n v="14"/>
    <n v="3"/>
    <n v="3"/>
    <n v="80"/>
    <n v="3"/>
    <n v="21"/>
    <s v="&gt;15"/>
    <n v="2"/>
    <n v="3"/>
    <n v="5"/>
    <n v="0"/>
    <n v="0"/>
    <n v="2"/>
  </r>
  <r>
    <n v="36"/>
    <x v="1"/>
    <s v="No"/>
    <s v="Travel_Frequently"/>
    <n v="1195"/>
    <x v="1"/>
    <n v="11"/>
    <n v="3"/>
    <s v="Life Sciences"/>
    <n v="1"/>
    <n v="85"/>
    <n v="2"/>
    <s v="Male"/>
    <n v="95"/>
    <n v="2"/>
    <x v="0"/>
    <x v="3"/>
    <n v="2"/>
    <s v="Single"/>
    <n v="6499"/>
    <n v="22656"/>
    <n v="1"/>
    <s v="Y"/>
    <s v="No"/>
    <s v="No"/>
    <n v="13"/>
    <n v="3"/>
    <n v="3"/>
    <n v="80"/>
    <n v="0"/>
    <n v="6"/>
    <s v="6-15"/>
    <n v="3"/>
    <n v="3"/>
    <n v="6"/>
    <n v="5"/>
    <n v="0"/>
    <n v="3"/>
  </r>
  <r>
    <n v="45"/>
    <x v="1"/>
    <s v="No"/>
    <s v="Travel_Rarely"/>
    <n v="1339"/>
    <x v="1"/>
    <n v="7"/>
    <n v="3"/>
    <s v="Life Sciences"/>
    <n v="1"/>
    <n v="86"/>
    <n v="2"/>
    <s v="Male"/>
    <n v="59"/>
    <n v="3"/>
    <x v="2"/>
    <x v="1"/>
    <n v="1"/>
    <s v="Divorced"/>
    <n v="9724"/>
    <n v="18787"/>
    <n v="2"/>
    <s v="Y"/>
    <s v="No"/>
    <s v="No"/>
    <n v="17"/>
    <n v="3"/>
    <n v="3"/>
    <n v="80"/>
    <n v="1"/>
    <n v="25"/>
    <s v="&gt;15"/>
    <n v="2"/>
    <n v="3"/>
    <n v="1"/>
    <n v="0"/>
    <n v="0"/>
    <n v="0"/>
  </r>
  <r>
    <n v="35"/>
    <x v="1"/>
    <s v="No"/>
    <s v="Travel_Frequently"/>
    <n v="664"/>
    <x v="1"/>
    <n v="1"/>
    <n v="3"/>
    <s v="Medical"/>
    <n v="1"/>
    <n v="88"/>
    <n v="2"/>
    <s v="Male"/>
    <n v="79"/>
    <n v="3"/>
    <x v="1"/>
    <x v="1"/>
    <n v="1"/>
    <s v="Married"/>
    <n v="2194"/>
    <n v="5868"/>
    <n v="4"/>
    <s v="Y"/>
    <s v="No"/>
    <s v="No"/>
    <n v="13"/>
    <n v="3"/>
    <n v="4"/>
    <n v="80"/>
    <n v="1"/>
    <n v="5"/>
    <s v="0-5"/>
    <n v="2"/>
    <n v="2"/>
    <n v="3"/>
    <n v="2"/>
    <n v="1"/>
    <n v="2"/>
  </r>
  <r>
    <n v="36"/>
    <x v="0"/>
    <s v="Yes"/>
    <s v="Travel_Rarely"/>
    <n v="318"/>
    <x v="1"/>
    <n v="9"/>
    <n v="3"/>
    <s v="Medical"/>
    <n v="1"/>
    <n v="90"/>
    <n v="4"/>
    <s v="Male"/>
    <n v="79"/>
    <n v="2"/>
    <x v="1"/>
    <x v="1"/>
    <n v="3"/>
    <s v="Married"/>
    <n v="3388"/>
    <n v="21777"/>
    <n v="0"/>
    <s v="Y"/>
    <s v="Yes"/>
    <s v="Yes"/>
    <n v="17"/>
    <n v="3"/>
    <n v="1"/>
    <n v="80"/>
    <n v="1"/>
    <n v="2"/>
    <s v="0-5"/>
    <n v="0"/>
    <n v="2"/>
    <n v="1"/>
    <n v="0"/>
    <n v="0"/>
    <n v="0"/>
  </r>
  <r>
    <n v="59"/>
    <x v="1"/>
    <s v="No"/>
    <s v="Travel_Frequently"/>
    <n v="1225"/>
    <x v="0"/>
    <n v="1"/>
    <n v="1"/>
    <s v="Life Sciences"/>
    <n v="1"/>
    <n v="91"/>
    <n v="1"/>
    <s v="Female"/>
    <n v="57"/>
    <n v="2"/>
    <x v="0"/>
    <x v="0"/>
    <n v="3"/>
    <s v="Single"/>
    <n v="5473"/>
    <n v="24668"/>
    <n v="7"/>
    <s v="Y"/>
    <s v="No"/>
    <s v="No"/>
    <n v="11"/>
    <n v="3"/>
    <n v="4"/>
    <n v="80"/>
    <n v="0"/>
    <n v="20"/>
    <s v="&gt;15"/>
    <n v="2"/>
    <n v="2"/>
    <n v="4"/>
    <n v="3"/>
    <n v="1"/>
    <n v="3"/>
  </r>
  <r>
    <n v="29"/>
    <x v="1"/>
    <s v="No"/>
    <s v="Travel_Rarely"/>
    <n v="1328"/>
    <x v="1"/>
    <n v="2"/>
    <n v="3"/>
    <s v="Life Sciences"/>
    <n v="1"/>
    <n v="94"/>
    <n v="3"/>
    <s v="Male"/>
    <n v="76"/>
    <n v="3"/>
    <x v="1"/>
    <x v="1"/>
    <n v="2"/>
    <s v="Married"/>
    <n v="2703"/>
    <n v="4956"/>
    <n v="0"/>
    <s v="Y"/>
    <s v="No"/>
    <s v="No"/>
    <n v="23"/>
    <n v="4"/>
    <n v="4"/>
    <n v="80"/>
    <n v="1"/>
    <n v="6"/>
    <s v="6-15"/>
    <n v="3"/>
    <n v="3"/>
    <n v="5"/>
    <n v="4"/>
    <n v="0"/>
    <n v="4"/>
  </r>
  <r>
    <n v="31"/>
    <x v="1"/>
    <s v="No"/>
    <s v="Travel_Rarely"/>
    <n v="1082"/>
    <x v="1"/>
    <n v="1"/>
    <n v="4"/>
    <s v="Medical"/>
    <n v="1"/>
    <n v="95"/>
    <n v="3"/>
    <s v="Male"/>
    <n v="87"/>
    <n v="3"/>
    <x v="1"/>
    <x v="1"/>
    <n v="2"/>
    <s v="Single"/>
    <n v="2501"/>
    <n v="18775"/>
    <n v="1"/>
    <s v="Y"/>
    <s v="No"/>
    <s v="No"/>
    <n v="17"/>
    <n v="3"/>
    <n v="2"/>
    <n v="80"/>
    <n v="0"/>
    <n v="1"/>
    <s v="0-5"/>
    <n v="4"/>
    <n v="3"/>
    <n v="1"/>
    <n v="1"/>
    <n v="1"/>
    <n v="0"/>
  </r>
  <r>
    <n v="32"/>
    <x v="1"/>
    <s v="No"/>
    <s v="Travel_Rarely"/>
    <n v="548"/>
    <x v="1"/>
    <n v="1"/>
    <n v="3"/>
    <s v="Life Sciences"/>
    <n v="1"/>
    <n v="96"/>
    <n v="2"/>
    <s v="Male"/>
    <n v="66"/>
    <n v="3"/>
    <x v="0"/>
    <x v="1"/>
    <n v="2"/>
    <s v="Married"/>
    <n v="6220"/>
    <n v="7346"/>
    <n v="1"/>
    <s v="Y"/>
    <s v="No"/>
    <s v="No"/>
    <n v="17"/>
    <n v="3"/>
    <n v="2"/>
    <n v="80"/>
    <n v="2"/>
    <n v="10"/>
    <s v="6-15"/>
    <n v="3"/>
    <n v="3"/>
    <n v="10"/>
    <n v="4"/>
    <n v="0"/>
    <n v="9"/>
  </r>
  <r>
    <n v="36"/>
    <x v="1"/>
    <s v="No"/>
    <s v="Travel_Rarely"/>
    <n v="132"/>
    <x v="1"/>
    <n v="6"/>
    <n v="3"/>
    <s v="Life Sciences"/>
    <n v="1"/>
    <n v="97"/>
    <n v="2"/>
    <s v="Female"/>
    <n v="55"/>
    <n v="4"/>
    <x v="1"/>
    <x v="2"/>
    <n v="4"/>
    <s v="Married"/>
    <n v="3038"/>
    <n v="22002"/>
    <n v="3"/>
    <s v="Y"/>
    <s v="No"/>
    <s v="No"/>
    <n v="12"/>
    <n v="3"/>
    <n v="2"/>
    <n v="80"/>
    <n v="0"/>
    <n v="5"/>
    <s v="0-5"/>
    <n v="3"/>
    <n v="3"/>
    <n v="1"/>
    <n v="0"/>
    <n v="0"/>
    <n v="0"/>
  </r>
  <r>
    <n v="31"/>
    <x v="1"/>
    <s v="No"/>
    <s v="Travel_Rarely"/>
    <n v="746"/>
    <x v="1"/>
    <n v="8"/>
    <n v="4"/>
    <s v="Life Sciences"/>
    <n v="1"/>
    <n v="98"/>
    <n v="3"/>
    <s v="Female"/>
    <n v="61"/>
    <n v="3"/>
    <x v="0"/>
    <x v="3"/>
    <n v="4"/>
    <s v="Single"/>
    <n v="4424"/>
    <n v="20682"/>
    <n v="1"/>
    <s v="Y"/>
    <s v="No"/>
    <s v="No"/>
    <n v="23"/>
    <n v="4"/>
    <n v="4"/>
    <n v="80"/>
    <n v="0"/>
    <n v="11"/>
    <s v="6-15"/>
    <n v="2"/>
    <n v="3"/>
    <n v="11"/>
    <n v="7"/>
    <n v="1"/>
    <n v="8"/>
  </r>
  <r>
    <n v="35"/>
    <x v="1"/>
    <s v="No"/>
    <s v="Travel_Rarely"/>
    <n v="776"/>
    <x v="0"/>
    <n v="1"/>
    <n v="4"/>
    <s v="Marketing"/>
    <n v="1"/>
    <n v="100"/>
    <n v="3"/>
    <s v="Male"/>
    <n v="32"/>
    <n v="2"/>
    <x v="0"/>
    <x v="0"/>
    <n v="1"/>
    <s v="Single"/>
    <n v="4312"/>
    <n v="23016"/>
    <n v="0"/>
    <s v="Y"/>
    <s v="No"/>
    <s v="No"/>
    <n v="14"/>
    <n v="3"/>
    <n v="2"/>
    <n v="80"/>
    <n v="0"/>
    <n v="16"/>
    <s v="&gt;15"/>
    <n v="2"/>
    <n v="3"/>
    <n v="15"/>
    <n v="13"/>
    <n v="2"/>
    <n v="8"/>
  </r>
  <r>
    <n v="45"/>
    <x v="1"/>
    <s v="No"/>
    <s v="Travel_Rarely"/>
    <n v="193"/>
    <x v="1"/>
    <n v="6"/>
    <n v="4"/>
    <s v="Other"/>
    <n v="1"/>
    <n v="101"/>
    <n v="4"/>
    <s v="Male"/>
    <n v="52"/>
    <n v="3"/>
    <x v="2"/>
    <x v="7"/>
    <n v="1"/>
    <s v="Married"/>
    <n v="13245"/>
    <n v="15067"/>
    <n v="4"/>
    <s v="Y"/>
    <s v="Yes"/>
    <s v="Yes"/>
    <n v="14"/>
    <n v="3"/>
    <n v="2"/>
    <n v="80"/>
    <n v="0"/>
    <n v="17"/>
    <s v="&gt;15"/>
    <n v="3"/>
    <n v="4"/>
    <n v="0"/>
    <n v="0"/>
    <n v="0"/>
    <n v="0"/>
  </r>
  <r>
    <n v="37"/>
    <x v="1"/>
    <s v="No"/>
    <s v="Travel_Rarely"/>
    <n v="397"/>
    <x v="1"/>
    <n v="7"/>
    <n v="4"/>
    <s v="Medical"/>
    <n v="1"/>
    <n v="102"/>
    <n v="1"/>
    <s v="Male"/>
    <n v="30"/>
    <n v="3"/>
    <x v="2"/>
    <x v="7"/>
    <n v="3"/>
    <s v="Single"/>
    <n v="13664"/>
    <n v="25258"/>
    <n v="4"/>
    <s v="Y"/>
    <s v="No"/>
    <s v="No"/>
    <n v="13"/>
    <n v="3"/>
    <n v="1"/>
    <n v="80"/>
    <n v="0"/>
    <n v="16"/>
    <s v="&gt;15"/>
    <n v="3"/>
    <n v="4"/>
    <n v="5"/>
    <n v="2"/>
    <n v="0"/>
    <n v="2"/>
  </r>
  <r>
    <n v="46"/>
    <x v="1"/>
    <s v="No"/>
    <s v="Travel_Rarely"/>
    <n v="945"/>
    <x v="2"/>
    <n v="5"/>
    <n v="2"/>
    <s v="Medical"/>
    <n v="1"/>
    <n v="103"/>
    <n v="2"/>
    <s v="Male"/>
    <n v="80"/>
    <n v="3"/>
    <x v="0"/>
    <x v="8"/>
    <n v="2"/>
    <s v="Divorced"/>
    <n v="5021"/>
    <n v="10425"/>
    <n v="8"/>
    <s v="Y"/>
    <s v="Yes"/>
    <s v="Yes"/>
    <n v="22"/>
    <n v="4"/>
    <n v="4"/>
    <n v="80"/>
    <n v="1"/>
    <n v="16"/>
    <s v="&gt;15"/>
    <n v="2"/>
    <n v="3"/>
    <n v="4"/>
    <n v="2"/>
    <n v="0"/>
    <n v="2"/>
  </r>
  <r>
    <n v="30"/>
    <x v="1"/>
    <s v="No"/>
    <s v="Travel_Rarely"/>
    <n v="852"/>
    <x v="1"/>
    <n v="1"/>
    <n v="1"/>
    <s v="Life Sciences"/>
    <n v="1"/>
    <n v="104"/>
    <n v="4"/>
    <s v="Male"/>
    <n v="55"/>
    <n v="2"/>
    <x v="0"/>
    <x v="2"/>
    <n v="4"/>
    <s v="Married"/>
    <n v="5126"/>
    <n v="15998"/>
    <n v="1"/>
    <s v="Y"/>
    <s v="Yes"/>
    <s v="Yes"/>
    <n v="12"/>
    <n v="3"/>
    <n v="3"/>
    <n v="80"/>
    <n v="2"/>
    <n v="10"/>
    <s v="6-15"/>
    <n v="1"/>
    <n v="2"/>
    <n v="10"/>
    <n v="8"/>
    <n v="3"/>
    <n v="0"/>
  </r>
  <r>
    <n v="35"/>
    <x v="1"/>
    <s v="No"/>
    <s v="Travel_Rarely"/>
    <n v="1214"/>
    <x v="1"/>
    <n v="1"/>
    <n v="3"/>
    <s v="Medical"/>
    <n v="1"/>
    <n v="105"/>
    <n v="2"/>
    <s v="Male"/>
    <n v="30"/>
    <n v="2"/>
    <x v="1"/>
    <x v="1"/>
    <n v="3"/>
    <s v="Single"/>
    <n v="2859"/>
    <n v="26278"/>
    <n v="1"/>
    <s v="Y"/>
    <s v="No"/>
    <s v="No"/>
    <n v="18"/>
    <n v="3"/>
    <n v="1"/>
    <n v="80"/>
    <n v="0"/>
    <n v="6"/>
    <s v="6-15"/>
    <n v="3"/>
    <n v="3"/>
    <n v="6"/>
    <n v="4"/>
    <n v="0"/>
    <n v="4"/>
  </r>
  <r>
    <n v="55"/>
    <x v="1"/>
    <s v="No"/>
    <s v="Travel_Rarely"/>
    <n v="111"/>
    <x v="0"/>
    <n v="1"/>
    <n v="2"/>
    <s v="Life Sciences"/>
    <n v="1"/>
    <n v="106"/>
    <n v="1"/>
    <s v="Male"/>
    <n v="70"/>
    <n v="3"/>
    <x v="2"/>
    <x v="0"/>
    <n v="4"/>
    <s v="Married"/>
    <n v="10239"/>
    <n v="18092"/>
    <n v="3"/>
    <s v="Y"/>
    <s v="No"/>
    <s v="No"/>
    <n v="14"/>
    <n v="3"/>
    <n v="4"/>
    <n v="80"/>
    <n v="1"/>
    <n v="24"/>
    <s v="&gt;15"/>
    <n v="4"/>
    <n v="3"/>
    <n v="1"/>
    <n v="0"/>
    <n v="1"/>
    <n v="0"/>
  </r>
  <r>
    <n v="38"/>
    <x v="1"/>
    <s v="No"/>
    <s v="Non-Travel"/>
    <n v="573"/>
    <x v="1"/>
    <n v="6"/>
    <n v="3"/>
    <s v="Medical"/>
    <n v="1"/>
    <n v="107"/>
    <n v="2"/>
    <s v="Female"/>
    <n v="79"/>
    <n v="1"/>
    <x v="0"/>
    <x v="1"/>
    <n v="4"/>
    <s v="Divorced"/>
    <n v="5329"/>
    <n v="15717"/>
    <n v="7"/>
    <s v="Y"/>
    <s v="Yes"/>
    <s v="Yes"/>
    <n v="12"/>
    <n v="3"/>
    <n v="4"/>
    <n v="80"/>
    <n v="3"/>
    <n v="17"/>
    <s v="&gt;15"/>
    <n v="3"/>
    <n v="3"/>
    <n v="13"/>
    <n v="11"/>
    <n v="1"/>
    <n v="9"/>
  </r>
  <r>
    <n v="34"/>
    <x v="1"/>
    <s v="No"/>
    <s v="Travel_Rarely"/>
    <n v="1153"/>
    <x v="1"/>
    <n v="1"/>
    <n v="2"/>
    <s v="Medical"/>
    <n v="1"/>
    <n v="110"/>
    <n v="1"/>
    <s v="Male"/>
    <n v="94"/>
    <n v="3"/>
    <x v="0"/>
    <x v="3"/>
    <n v="2"/>
    <s v="Married"/>
    <n v="4325"/>
    <n v="17736"/>
    <n v="1"/>
    <s v="Y"/>
    <s v="No"/>
    <s v="No"/>
    <n v="15"/>
    <n v="3"/>
    <n v="3"/>
    <n v="80"/>
    <n v="0"/>
    <n v="5"/>
    <s v="0-5"/>
    <n v="2"/>
    <n v="3"/>
    <n v="5"/>
    <n v="2"/>
    <n v="1"/>
    <n v="3"/>
  </r>
  <r>
    <n v="56"/>
    <x v="1"/>
    <s v="No"/>
    <s v="Travel_Rarely"/>
    <n v="1400"/>
    <x v="1"/>
    <n v="7"/>
    <n v="3"/>
    <s v="Life Sciences"/>
    <n v="1"/>
    <n v="112"/>
    <n v="4"/>
    <s v="Male"/>
    <n v="49"/>
    <n v="1"/>
    <x v="2"/>
    <x v="3"/>
    <n v="4"/>
    <s v="Single"/>
    <n v="7260"/>
    <n v="21698"/>
    <n v="4"/>
    <s v="Y"/>
    <s v="No"/>
    <s v="No"/>
    <n v="11"/>
    <n v="3"/>
    <n v="1"/>
    <n v="80"/>
    <n v="0"/>
    <n v="37"/>
    <s v="&gt;15"/>
    <n v="3"/>
    <n v="2"/>
    <n v="6"/>
    <n v="4"/>
    <n v="0"/>
    <n v="2"/>
  </r>
  <r>
    <n v="23"/>
    <x v="1"/>
    <s v="No"/>
    <s v="Travel_Rarely"/>
    <n v="541"/>
    <x v="0"/>
    <n v="2"/>
    <n v="1"/>
    <s v="Technical Degree"/>
    <n v="1"/>
    <n v="113"/>
    <n v="3"/>
    <s v="Male"/>
    <n v="62"/>
    <n v="3"/>
    <x v="1"/>
    <x v="6"/>
    <n v="1"/>
    <s v="Divorced"/>
    <n v="2322"/>
    <n v="9518"/>
    <n v="3"/>
    <s v="Y"/>
    <s v="No"/>
    <s v="No"/>
    <n v="13"/>
    <n v="3"/>
    <n v="3"/>
    <n v="80"/>
    <n v="1"/>
    <n v="3"/>
    <s v="0-5"/>
    <n v="3"/>
    <n v="3"/>
    <n v="0"/>
    <n v="0"/>
    <n v="0"/>
    <n v="0"/>
  </r>
  <r>
    <n v="51"/>
    <x v="1"/>
    <s v="No"/>
    <s v="Travel_Rarely"/>
    <n v="432"/>
    <x v="1"/>
    <n v="9"/>
    <n v="4"/>
    <s v="Life Sciences"/>
    <n v="1"/>
    <n v="116"/>
    <n v="4"/>
    <s v="Male"/>
    <n v="96"/>
    <n v="3"/>
    <x v="1"/>
    <x v="2"/>
    <n v="4"/>
    <s v="Married"/>
    <n v="2075"/>
    <n v="18725"/>
    <n v="3"/>
    <s v="Y"/>
    <s v="No"/>
    <s v="No"/>
    <n v="23"/>
    <n v="4"/>
    <n v="2"/>
    <n v="80"/>
    <n v="2"/>
    <n v="10"/>
    <s v="6-15"/>
    <n v="4"/>
    <n v="3"/>
    <n v="4"/>
    <n v="2"/>
    <n v="0"/>
    <n v="3"/>
  </r>
  <r>
    <n v="30"/>
    <x v="1"/>
    <s v="No"/>
    <s v="Travel_Rarely"/>
    <n v="288"/>
    <x v="1"/>
    <n v="2"/>
    <n v="3"/>
    <s v="Life Sciences"/>
    <n v="1"/>
    <n v="117"/>
    <n v="3"/>
    <s v="Male"/>
    <n v="99"/>
    <n v="2"/>
    <x v="0"/>
    <x v="4"/>
    <n v="4"/>
    <s v="Married"/>
    <n v="4152"/>
    <n v="15830"/>
    <n v="1"/>
    <s v="Y"/>
    <s v="No"/>
    <s v="No"/>
    <n v="19"/>
    <n v="3"/>
    <n v="1"/>
    <n v="80"/>
    <n v="3"/>
    <n v="11"/>
    <s v="6-15"/>
    <n v="3"/>
    <n v="3"/>
    <n v="11"/>
    <n v="10"/>
    <n v="10"/>
    <n v="8"/>
  </r>
  <r>
    <n v="46"/>
    <x v="0"/>
    <s v="Yes"/>
    <s v="Travel_Rarely"/>
    <n v="669"/>
    <x v="0"/>
    <n v="9"/>
    <n v="2"/>
    <s v="Medical"/>
    <n v="1"/>
    <n v="118"/>
    <n v="3"/>
    <s v="Male"/>
    <n v="64"/>
    <n v="2"/>
    <x v="2"/>
    <x v="0"/>
    <n v="4"/>
    <s v="Single"/>
    <n v="9619"/>
    <n v="13596"/>
    <n v="1"/>
    <s v="Y"/>
    <s v="No"/>
    <s v="No"/>
    <n v="16"/>
    <n v="3"/>
    <n v="4"/>
    <n v="80"/>
    <n v="0"/>
    <n v="9"/>
    <s v="6-15"/>
    <n v="3"/>
    <n v="3"/>
    <n v="9"/>
    <n v="8"/>
    <n v="4"/>
    <n v="7"/>
  </r>
  <r>
    <n v="40"/>
    <x v="1"/>
    <s v="No"/>
    <s v="Travel_Frequently"/>
    <n v="530"/>
    <x v="1"/>
    <n v="1"/>
    <n v="4"/>
    <s v="Life Sciences"/>
    <n v="1"/>
    <n v="119"/>
    <n v="3"/>
    <s v="Male"/>
    <n v="78"/>
    <n v="2"/>
    <x v="3"/>
    <x v="4"/>
    <n v="2"/>
    <s v="Married"/>
    <n v="13503"/>
    <n v="14115"/>
    <n v="1"/>
    <s v="Y"/>
    <s v="No"/>
    <s v="No"/>
    <n v="22"/>
    <n v="4"/>
    <n v="4"/>
    <n v="80"/>
    <n v="1"/>
    <n v="22"/>
    <s v="&gt;15"/>
    <n v="3"/>
    <n v="2"/>
    <n v="22"/>
    <n v="3"/>
    <n v="11"/>
    <n v="11"/>
  </r>
  <r>
    <n v="51"/>
    <x v="1"/>
    <s v="No"/>
    <s v="Travel_Rarely"/>
    <n v="632"/>
    <x v="0"/>
    <n v="21"/>
    <n v="4"/>
    <s v="Marketing"/>
    <n v="1"/>
    <n v="120"/>
    <n v="3"/>
    <s v="Male"/>
    <n v="71"/>
    <n v="3"/>
    <x v="0"/>
    <x v="0"/>
    <n v="4"/>
    <s v="Single"/>
    <n v="5441"/>
    <n v="8423"/>
    <n v="0"/>
    <s v="Y"/>
    <s v="Yes"/>
    <s v="Yes"/>
    <n v="22"/>
    <n v="4"/>
    <n v="4"/>
    <n v="80"/>
    <n v="0"/>
    <n v="11"/>
    <s v="6-15"/>
    <n v="2"/>
    <n v="1"/>
    <n v="10"/>
    <n v="7"/>
    <n v="1"/>
    <n v="0"/>
  </r>
  <r>
    <n v="30"/>
    <x v="1"/>
    <s v="No"/>
    <s v="Travel_Rarely"/>
    <n v="1334"/>
    <x v="0"/>
    <n v="4"/>
    <n v="2"/>
    <s v="Medical"/>
    <n v="1"/>
    <n v="121"/>
    <n v="3"/>
    <s v="Female"/>
    <n v="63"/>
    <n v="2"/>
    <x v="0"/>
    <x v="0"/>
    <n v="2"/>
    <s v="Divorced"/>
    <n v="5209"/>
    <n v="19760"/>
    <n v="1"/>
    <s v="Y"/>
    <s v="Yes"/>
    <s v="Yes"/>
    <n v="12"/>
    <n v="3"/>
    <n v="2"/>
    <n v="80"/>
    <n v="3"/>
    <n v="11"/>
    <s v="6-15"/>
    <n v="4"/>
    <n v="2"/>
    <n v="11"/>
    <n v="8"/>
    <n v="2"/>
    <n v="7"/>
  </r>
  <r>
    <n v="46"/>
    <x v="1"/>
    <s v="No"/>
    <s v="Travel_Frequently"/>
    <n v="638"/>
    <x v="1"/>
    <n v="1"/>
    <n v="3"/>
    <s v="Medical"/>
    <n v="1"/>
    <n v="124"/>
    <n v="3"/>
    <s v="Male"/>
    <n v="40"/>
    <n v="2"/>
    <x v="2"/>
    <x v="4"/>
    <n v="1"/>
    <s v="Married"/>
    <n v="10673"/>
    <n v="3142"/>
    <n v="2"/>
    <s v="Y"/>
    <s v="Yes"/>
    <s v="Yes"/>
    <n v="13"/>
    <n v="3"/>
    <n v="3"/>
    <n v="80"/>
    <n v="1"/>
    <n v="21"/>
    <s v="&gt;15"/>
    <n v="5"/>
    <n v="2"/>
    <n v="10"/>
    <n v="9"/>
    <n v="9"/>
    <n v="5"/>
  </r>
  <r>
    <n v="32"/>
    <x v="1"/>
    <s v="No"/>
    <s v="Travel_Rarely"/>
    <n v="1093"/>
    <x v="0"/>
    <n v="6"/>
    <n v="4"/>
    <s v="Medical"/>
    <n v="1"/>
    <n v="125"/>
    <n v="2"/>
    <s v="Male"/>
    <n v="87"/>
    <n v="3"/>
    <x v="0"/>
    <x v="0"/>
    <n v="3"/>
    <s v="Single"/>
    <n v="5010"/>
    <n v="24301"/>
    <n v="1"/>
    <s v="Y"/>
    <s v="No"/>
    <s v="No"/>
    <n v="16"/>
    <n v="3"/>
    <n v="1"/>
    <n v="80"/>
    <n v="0"/>
    <n v="12"/>
    <s v="6-15"/>
    <n v="0"/>
    <n v="3"/>
    <n v="11"/>
    <n v="8"/>
    <n v="5"/>
    <n v="7"/>
  </r>
  <r>
    <n v="54"/>
    <x v="1"/>
    <s v="No"/>
    <s v="Travel_Rarely"/>
    <n v="1217"/>
    <x v="1"/>
    <n v="2"/>
    <n v="4"/>
    <s v="Technical Degree"/>
    <n v="1"/>
    <n v="126"/>
    <n v="1"/>
    <s v="Female"/>
    <n v="60"/>
    <n v="3"/>
    <x v="2"/>
    <x v="7"/>
    <n v="3"/>
    <s v="Married"/>
    <n v="13549"/>
    <n v="24001"/>
    <n v="9"/>
    <s v="Y"/>
    <s v="No"/>
    <s v="No"/>
    <n v="12"/>
    <n v="3"/>
    <n v="1"/>
    <n v="80"/>
    <n v="1"/>
    <n v="16"/>
    <s v="&gt;15"/>
    <n v="5"/>
    <n v="1"/>
    <n v="4"/>
    <n v="3"/>
    <n v="0"/>
    <n v="3"/>
  </r>
  <r>
    <n v="24"/>
    <x v="1"/>
    <s v="No"/>
    <s v="Travel_Rarely"/>
    <n v="1353"/>
    <x v="0"/>
    <n v="3"/>
    <n v="2"/>
    <s v="Other"/>
    <n v="1"/>
    <n v="128"/>
    <n v="1"/>
    <s v="Female"/>
    <n v="33"/>
    <n v="3"/>
    <x v="0"/>
    <x v="0"/>
    <n v="3"/>
    <s v="Married"/>
    <n v="4999"/>
    <n v="17519"/>
    <n v="0"/>
    <s v="Y"/>
    <s v="No"/>
    <s v="No"/>
    <n v="21"/>
    <n v="4"/>
    <n v="1"/>
    <n v="80"/>
    <n v="1"/>
    <n v="4"/>
    <s v="0-5"/>
    <n v="2"/>
    <n v="2"/>
    <n v="3"/>
    <n v="2"/>
    <n v="0"/>
    <n v="2"/>
  </r>
  <r>
    <n v="28"/>
    <x v="1"/>
    <s v="No"/>
    <s v="Non-Travel"/>
    <n v="120"/>
    <x v="0"/>
    <n v="4"/>
    <n v="3"/>
    <s v="Medical"/>
    <n v="1"/>
    <n v="129"/>
    <n v="2"/>
    <s v="Male"/>
    <n v="43"/>
    <n v="3"/>
    <x v="0"/>
    <x v="0"/>
    <n v="3"/>
    <s v="Married"/>
    <n v="4221"/>
    <n v="8863"/>
    <n v="1"/>
    <s v="Y"/>
    <s v="No"/>
    <s v="No"/>
    <n v="15"/>
    <n v="3"/>
    <n v="2"/>
    <n v="80"/>
    <n v="0"/>
    <n v="5"/>
    <s v="0-5"/>
    <n v="3"/>
    <n v="4"/>
    <n v="5"/>
    <n v="4"/>
    <n v="0"/>
    <n v="4"/>
  </r>
  <r>
    <n v="58"/>
    <x v="1"/>
    <s v="No"/>
    <s v="Travel_Rarely"/>
    <n v="682"/>
    <x v="0"/>
    <n v="10"/>
    <n v="4"/>
    <s v="Medical"/>
    <n v="1"/>
    <n v="131"/>
    <n v="4"/>
    <s v="Male"/>
    <n v="37"/>
    <n v="3"/>
    <x v="3"/>
    <x v="0"/>
    <n v="3"/>
    <s v="Single"/>
    <n v="13872"/>
    <n v="24409"/>
    <n v="0"/>
    <s v="Y"/>
    <s v="No"/>
    <s v="No"/>
    <n v="13"/>
    <n v="3"/>
    <n v="3"/>
    <n v="80"/>
    <n v="0"/>
    <n v="38"/>
    <s v="&gt;15"/>
    <n v="1"/>
    <n v="2"/>
    <n v="37"/>
    <n v="10"/>
    <n v="1"/>
    <n v="8"/>
  </r>
  <r>
    <n v="44"/>
    <x v="1"/>
    <s v="No"/>
    <s v="Non-Travel"/>
    <n v="489"/>
    <x v="1"/>
    <n v="23"/>
    <n v="3"/>
    <s v="Medical"/>
    <n v="1"/>
    <n v="132"/>
    <n v="2"/>
    <s v="Male"/>
    <n v="67"/>
    <n v="3"/>
    <x v="0"/>
    <x v="2"/>
    <n v="2"/>
    <s v="Married"/>
    <n v="2042"/>
    <n v="25043"/>
    <n v="4"/>
    <s v="Y"/>
    <s v="No"/>
    <s v="No"/>
    <n v="12"/>
    <n v="3"/>
    <n v="3"/>
    <n v="80"/>
    <n v="1"/>
    <n v="17"/>
    <s v="&gt;15"/>
    <n v="3"/>
    <n v="4"/>
    <n v="3"/>
    <n v="2"/>
    <n v="1"/>
    <n v="2"/>
  </r>
  <r>
    <n v="37"/>
    <x v="0"/>
    <s v="Yes"/>
    <s v="Travel_Rarely"/>
    <n v="807"/>
    <x v="2"/>
    <n v="6"/>
    <n v="4"/>
    <s v="Human Resources"/>
    <n v="1"/>
    <n v="133"/>
    <n v="3"/>
    <s v="Male"/>
    <n v="63"/>
    <n v="3"/>
    <x v="1"/>
    <x v="8"/>
    <n v="1"/>
    <s v="Divorced"/>
    <n v="2073"/>
    <n v="23648"/>
    <n v="4"/>
    <s v="Y"/>
    <s v="Yes"/>
    <s v="Yes"/>
    <n v="22"/>
    <n v="4"/>
    <n v="4"/>
    <n v="80"/>
    <n v="0"/>
    <n v="7"/>
    <s v="6-15"/>
    <n v="3"/>
    <n v="3"/>
    <n v="3"/>
    <n v="2"/>
    <n v="0"/>
    <n v="2"/>
  </r>
  <r>
    <n v="32"/>
    <x v="1"/>
    <s v="No"/>
    <s v="Travel_Rarely"/>
    <n v="827"/>
    <x v="1"/>
    <n v="1"/>
    <n v="1"/>
    <s v="Life Sciences"/>
    <n v="1"/>
    <n v="134"/>
    <n v="4"/>
    <s v="Male"/>
    <n v="71"/>
    <n v="3"/>
    <x v="1"/>
    <x v="1"/>
    <n v="1"/>
    <s v="Single"/>
    <n v="2956"/>
    <n v="15178"/>
    <n v="1"/>
    <s v="Y"/>
    <s v="No"/>
    <s v="No"/>
    <n v="13"/>
    <n v="3"/>
    <n v="4"/>
    <n v="80"/>
    <n v="0"/>
    <n v="1"/>
    <s v="0-5"/>
    <n v="2"/>
    <n v="3"/>
    <n v="1"/>
    <n v="0"/>
    <n v="0"/>
    <n v="0"/>
  </r>
  <r>
    <n v="20"/>
    <x v="0"/>
    <s v="Yes"/>
    <s v="Travel_Frequently"/>
    <n v="871"/>
    <x v="1"/>
    <n v="6"/>
    <n v="3"/>
    <s v="Life Sciences"/>
    <n v="1"/>
    <n v="137"/>
    <n v="4"/>
    <s v="Female"/>
    <n v="66"/>
    <n v="2"/>
    <x v="1"/>
    <x v="2"/>
    <n v="4"/>
    <s v="Single"/>
    <n v="2926"/>
    <n v="19783"/>
    <n v="1"/>
    <s v="Y"/>
    <s v="Yes"/>
    <s v="Yes"/>
    <n v="18"/>
    <n v="3"/>
    <n v="2"/>
    <n v="80"/>
    <n v="0"/>
    <n v="1"/>
    <s v="0-5"/>
    <n v="5"/>
    <n v="3"/>
    <n v="1"/>
    <n v="0"/>
    <n v="1"/>
    <n v="0"/>
  </r>
  <r>
    <n v="34"/>
    <x v="1"/>
    <s v="No"/>
    <s v="Travel_Rarely"/>
    <n v="665"/>
    <x v="1"/>
    <n v="6"/>
    <n v="4"/>
    <s v="Other"/>
    <n v="1"/>
    <n v="138"/>
    <n v="1"/>
    <s v="Female"/>
    <n v="41"/>
    <n v="3"/>
    <x v="0"/>
    <x v="1"/>
    <n v="3"/>
    <s v="Single"/>
    <n v="4809"/>
    <n v="12482"/>
    <n v="1"/>
    <s v="Y"/>
    <s v="No"/>
    <s v="No"/>
    <n v="14"/>
    <n v="3"/>
    <n v="3"/>
    <n v="80"/>
    <n v="0"/>
    <n v="16"/>
    <s v="&gt;15"/>
    <n v="3"/>
    <n v="3"/>
    <n v="16"/>
    <n v="13"/>
    <n v="2"/>
    <n v="10"/>
  </r>
  <r>
    <n v="37"/>
    <x v="1"/>
    <s v="No"/>
    <s v="Non-Travel"/>
    <n v="1040"/>
    <x v="1"/>
    <n v="2"/>
    <n v="2"/>
    <s v="Life Sciences"/>
    <n v="1"/>
    <n v="139"/>
    <n v="3"/>
    <s v="Male"/>
    <n v="100"/>
    <n v="2"/>
    <x v="0"/>
    <x v="4"/>
    <n v="4"/>
    <s v="Divorced"/>
    <n v="5163"/>
    <n v="15850"/>
    <n v="5"/>
    <s v="Y"/>
    <s v="No"/>
    <s v="No"/>
    <n v="14"/>
    <n v="3"/>
    <n v="4"/>
    <n v="80"/>
    <n v="1"/>
    <n v="17"/>
    <s v="&gt;15"/>
    <n v="2"/>
    <n v="4"/>
    <n v="1"/>
    <n v="0"/>
    <n v="0"/>
    <n v="0"/>
  </r>
  <r>
    <n v="59"/>
    <x v="1"/>
    <s v="No"/>
    <s v="Non-Travel"/>
    <n v="1420"/>
    <x v="2"/>
    <n v="2"/>
    <n v="4"/>
    <s v="Human Resources"/>
    <n v="1"/>
    <n v="140"/>
    <n v="3"/>
    <s v="Female"/>
    <n v="32"/>
    <n v="2"/>
    <x v="4"/>
    <x v="5"/>
    <n v="4"/>
    <s v="Married"/>
    <n v="18844"/>
    <n v="21922"/>
    <n v="9"/>
    <s v="Y"/>
    <s v="No"/>
    <s v="No"/>
    <n v="21"/>
    <n v="4"/>
    <n v="4"/>
    <n v="80"/>
    <n v="1"/>
    <n v="30"/>
    <s v="&gt;15"/>
    <n v="3"/>
    <n v="3"/>
    <n v="3"/>
    <n v="2"/>
    <n v="2"/>
    <n v="2"/>
  </r>
  <r>
    <n v="50"/>
    <x v="1"/>
    <s v="No"/>
    <s v="Travel_Frequently"/>
    <n v="1115"/>
    <x v="1"/>
    <n v="1"/>
    <n v="3"/>
    <s v="Life Sciences"/>
    <n v="1"/>
    <n v="141"/>
    <n v="1"/>
    <s v="Female"/>
    <n v="73"/>
    <n v="3"/>
    <x v="4"/>
    <x v="7"/>
    <n v="2"/>
    <s v="Married"/>
    <n v="18172"/>
    <n v="9755"/>
    <n v="3"/>
    <s v="Y"/>
    <s v="Yes"/>
    <s v="Yes"/>
    <n v="19"/>
    <n v="3"/>
    <n v="1"/>
    <n v="80"/>
    <n v="0"/>
    <n v="28"/>
    <s v="&gt;15"/>
    <n v="1"/>
    <n v="2"/>
    <n v="8"/>
    <n v="3"/>
    <n v="0"/>
    <n v="7"/>
  </r>
  <r>
    <n v="25"/>
    <x v="0"/>
    <s v="Yes"/>
    <s v="Travel_Rarely"/>
    <n v="240"/>
    <x v="0"/>
    <n v="5"/>
    <n v="3"/>
    <s v="Marketing"/>
    <n v="1"/>
    <n v="142"/>
    <n v="3"/>
    <s v="Male"/>
    <n v="46"/>
    <n v="2"/>
    <x v="0"/>
    <x v="0"/>
    <n v="3"/>
    <s v="Single"/>
    <n v="5744"/>
    <n v="26959"/>
    <n v="1"/>
    <s v="Y"/>
    <s v="Yes"/>
    <s v="Yes"/>
    <n v="11"/>
    <n v="3"/>
    <n v="4"/>
    <n v="80"/>
    <n v="0"/>
    <n v="6"/>
    <s v="6-15"/>
    <n v="1"/>
    <n v="3"/>
    <n v="6"/>
    <n v="4"/>
    <n v="0"/>
    <n v="3"/>
  </r>
  <r>
    <n v="25"/>
    <x v="1"/>
    <s v="No"/>
    <s v="Travel_Rarely"/>
    <n v="1280"/>
    <x v="1"/>
    <n v="7"/>
    <n v="1"/>
    <s v="Medical"/>
    <n v="1"/>
    <n v="143"/>
    <n v="4"/>
    <s v="Male"/>
    <n v="64"/>
    <n v="2"/>
    <x v="1"/>
    <x v="1"/>
    <n v="4"/>
    <s v="Married"/>
    <n v="2889"/>
    <n v="26897"/>
    <n v="1"/>
    <s v="Y"/>
    <s v="No"/>
    <s v="No"/>
    <n v="11"/>
    <n v="3"/>
    <n v="3"/>
    <n v="80"/>
    <n v="2"/>
    <n v="2"/>
    <s v="0-5"/>
    <n v="2"/>
    <n v="3"/>
    <n v="2"/>
    <n v="2"/>
    <n v="2"/>
    <n v="1"/>
  </r>
  <r>
    <n v="22"/>
    <x v="1"/>
    <s v="No"/>
    <s v="Travel_Rarely"/>
    <n v="534"/>
    <x v="1"/>
    <n v="15"/>
    <n v="3"/>
    <s v="Medical"/>
    <n v="1"/>
    <n v="144"/>
    <n v="2"/>
    <s v="Female"/>
    <n v="59"/>
    <n v="3"/>
    <x v="1"/>
    <x v="2"/>
    <n v="4"/>
    <s v="Single"/>
    <n v="2871"/>
    <n v="23785"/>
    <n v="1"/>
    <s v="Y"/>
    <s v="No"/>
    <s v="No"/>
    <n v="15"/>
    <n v="3"/>
    <n v="3"/>
    <n v="80"/>
    <n v="0"/>
    <n v="1"/>
    <s v="0-5"/>
    <n v="5"/>
    <n v="3"/>
    <n v="0"/>
    <n v="0"/>
    <n v="0"/>
    <n v="0"/>
  </r>
  <r>
    <n v="51"/>
    <x v="1"/>
    <s v="No"/>
    <s v="Travel_Frequently"/>
    <n v="1456"/>
    <x v="1"/>
    <n v="1"/>
    <n v="4"/>
    <s v="Medical"/>
    <n v="1"/>
    <n v="145"/>
    <n v="1"/>
    <s v="Female"/>
    <n v="30"/>
    <n v="2"/>
    <x v="2"/>
    <x v="4"/>
    <n v="1"/>
    <s v="Single"/>
    <n v="7484"/>
    <n v="25796"/>
    <n v="3"/>
    <s v="Y"/>
    <s v="No"/>
    <s v="No"/>
    <n v="20"/>
    <n v="4"/>
    <n v="3"/>
    <n v="80"/>
    <n v="0"/>
    <n v="23"/>
    <s v="&gt;15"/>
    <n v="1"/>
    <n v="2"/>
    <n v="13"/>
    <n v="12"/>
    <n v="12"/>
    <n v="8"/>
  </r>
  <r>
    <n v="34"/>
    <x v="0"/>
    <s v="Yes"/>
    <s v="Travel_Frequently"/>
    <n v="658"/>
    <x v="1"/>
    <n v="7"/>
    <n v="3"/>
    <s v="Life Sciences"/>
    <n v="1"/>
    <n v="147"/>
    <n v="1"/>
    <s v="Male"/>
    <n v="66"/>
    <n v="1"/>
    <x v="0"/>
    <x v="2"/>
    <n v="3"/>
    <s v="Single"/>
    <n v="6074"/>
    <n v="22887"/>
    <n v="1"/>
    <s v="Y"/>
    <s v="Yes"/>
    <s v="Yes"/>
    <n v="24"/>
    <n v="4"/>
    <n v="4"/>
    <n v="80"/>
    <n v="0"/>
    <n v="9"/>
    <s v="6-15"/>
    <n v="3"/>
    <n v="3"/>
    <n v="9"/>
    <n v="7"/>
    <n v="0"/>
    <n v="6"/>
  </r>
  <r>
    <n v="54"/>
    <x v="1"/>
    <s v="No"/>
    <s v="Non-Travel"/>
    <n v="142"/>
    <x v="2"/>
    <n v="26"/>
    <n v="3"/>
    <s v="Human Resources"/>
    <n v="1"/>
    <n v="148"/>
    <n v="4"/>
    <s v="Female"/>
    <n v="30"/>
    <n v="4"/>
    <x v="3"/>
    <x v="5"/>
    <n v="4"/>
    <s v="Single"/>
    <n v="17328"/>
    <n v="13871"/>
    <n v="2"/>
    <s v="Y"/>
    <s v="Yes"/>
    <s v="Yes"/>
    <n v="12"/>
    <n v="3"/>
    <n v="3"/>
    <n v="80"/>
    <n v="0"/>
    <n v="23"/>
    <s v="&gt;15"/>
    <n v="3"/>
    <n v="3"/>
    <n v="5"/>
    <n v="3"/>
    <n v="4"/>
    <n v="4"/>
  </r>
  <r>
    <n v="24"/>
    <x v="1"/>
    <s v="No"/>
    <s v="Travel_Rarely"/>
    <n v="1127"/>
    <x v="1"/>
    <n v="18"/>
    <n v="1"/>
    <s v="Life Sciences"/>
    <n v="1"/>
    <n v="150"/>
    <n v="2"/>
    <s v="Male"/>
    <n v="52"/>
    <n v="3"/>
    <x v="1"/>
    <x v="2"/>
    <n v="3"/>
    <s v="Married"/>
    <n v="2774"/>
    <n v="13257"/>
    <n v="0"/>
    <s v="Y"/>
    <s v="No"/>
    <s v="No"/>
    <n v="12"/>
    <n v="3"/>
    <n v="3"/>
    <n v="80"/>
    <n v="1"/>
    <n v="6"/>
    <s v="6-15"/>
    <n v="2"/>
    <n v="3"/>
    <n v="5"/>
    <n v="3"/>
    <n v="1"/>
    <n v="2"/>
  </r>
  <r>
    <n v="34"/>
    <x v="1"/>
    <s v="No"/>
    <s v="Travel_Rarely"/>
    <n v="1031"/>
    <x v="1"/>
    <n v="6"/>
    <n v="4"/>
    <s v="Life Sciences"/>
    <n v="1"/>
    <n v="151"/>
    <n v="3"/>
    <s v="Female"/>
    <n v="45"/>
    <n v="2"/>
    <x v="0"/>
    <x v="1"/>
    <n v="2"/>
    <s v="Divorced"/>
    <n v="4505"/>
    <n v="15000"/>
    <n v="6"/>
    <s v="Y"/>
    <s v="No"/>
    <s v="No"/>
    <n v="15"/>
    <n v="3"/>
    <n v="3"/>
    <n v="80"/>
    <n v="1"/>
    <n v="12"/>
    <s v="6-15"/>
    <n v="3"/>
    <n v="3"/>
    <n v="1"/>
    <n v="0"/>
    <n v="0"/>
    <n v="0"/>
  </r>
  <r>
    <n v="37"/>
    <x v="1"/>
    <s v="No"/>
    <s v="Travel_Rarely"/>
    <n v="1189"/>
    <x v="0"/>
    <n v="3"/>
    <n v="3"/>
    <s v="Life Sciences"/>
    <n v="1"/>
    <n v="152"/>
    <n v="3"/>
    <s v="Male"/>
    <n v="87"/>
    <n v="3"/>
    <x v="2"/>
    <x v="0"/>
    <n v="4"/>
    <s v="Single"/>
    <n v="7428"/>
    <n v="14506"/>
    <n v="2"/>
    <s v="Y"/>
    <s v="No"/>
    <s v="No"/>
    <n v="12"/>
    <n v="3"/>
    <n v="1"/>
    <n v="80"/>
    <n v="0"/>
    <n v="12"/>
    <s v="6-15"/>
    <n v="3"/>
    <n v="3"/>
    <n v="5"/>
    <n v="3"/>
    <n v="1"/>
    <n v="3"/>
  </r>
  <r>
    <n v="34"/>
    <x v="1"/>
    <s v="No"/>
    <s v="Travel_Rarely"/>
    <n v="1354"/>
    <x v="1"/>
    <n v="5"/>
    <n v="3"/>
    <s v="Medical"/>
    <n v="1"/>
    <n v="153"/>
    <n v="3"/>
    <s v="Female"/>
    <n v="45"/>
    <n v="2"/>
    <x v="2"/>
    <x v="5"/>
    <n v="1"/>
    <s v="Single"/>
    <n v="11631"/>
    <n v="5615"/>
    <n v="2"/>
    <s v="Y"/>
    <s v="No"/>
    <s v="No"/>
    <n v="12"/>
    <n v="3"/>
    <n v="4"/>
    <n v="80"/>
    <n v="0"/>
    <n v="14"/>
    <s v="6-15"/>
    <n v="6"/>
    <n v="3"/>
    <n v="11"/>
    <n v="10"/>
    <n v="5"/>
    <n v="8"/>
  </r>
  <r>
    <n v="36"/>
    <x v="1"/>
    <s v="No"/>
    <s v="Travel_Frequently"/>
    <n v="1467"/>
    <x v="0"/>
    <n v="11"/>
    <n v="2"/>
    <s v="Technical Degree"/>
    <n v="1"/>
    <n v="154"/>
    <n v="2"/>
    <s v="Female"/>
    <n v="92"/>
    <n v="3"/>
    <x v="2"/>
    <x v="0"/>
    <n v="4"/>
    <s v="Married"/>
    <n v="9738"/>
    <n v="22952"/>
    <n v="0"/>
    <s v="Y"/>
    <s v="No"/>
    <s v="No"/>
    <n v="14"/>
    <n v="3"/>
    <n v="3"/>
    <n v="80"/>
    <n v="1"/>
    <n v="10"/>
    <s v="6-15"/>
    <n v="6"/>
    <n v="3"/>
    <n v="9"/>
    <n v="7"/>
    <n v="2"/>
    <n v="8"/>
  </r>
  <r>
    <n v="36"/>
    <x v="1"/>
    <s v="No"/>
    <s v="Travel_Rarely"/>
    <n v="922"/>
    <x v="1"/>
    <n v="3"/>
    <n v="2"/>
    <s v="Life Sciences"/>
    <n v="1"/>
    <n v="155"/>
    <n v="1"/>
    <s v="Female"/>
    <n v="39"/>
    <n v="3"/>
    <x v="1"/>
    <x v="2"/>
    <n v="4"/>
    <s v="Divorced"/>
    <n v="2835"/>
    <n v="2561"/>
    <n v="5"/>
    <s v="Y"/>
    <s v="No"/>
    <s v="No"/>
    <n v="22"/>
    <n v="4"/>
    <n v="1"/>
    <n v="80"/>
    <n v="1"/>
    <n v="7"/>
    <s v="6-15"/>
    <n v="2"/>
    <n v="3"/>
    <n v="1"/>
    <n v="0"/>
    <n v="0"/>
    <n v="0"/>
  </r>
  <r>
    <n v="43"/>
    <x v="1"/>
    <s v="No"/>
    <s v="Travel_Frequently"/>
    <n v="394"/>
    <x v="0"/>
    <n v="26"/>
    <n v="2"/>
    <s v="Life Sciences"/>
    <n v="1"/>
    <n v="158"/>
    <n v="3"/>
    <s v="Male"/>
    <n v="92"/>
    <n v="3"/>
    <x v="3"/>
    <x v="5"/>
    <n v="4"/>
    <s v="Married"/>
    <n v="16959"/>
    <n v="19494"/>
    <n v="1"/>
    <s v="Y"/>
    <s v="Yes"/>
    <s v="Yes"/>
    <n v="12"/>
    <n v="3"/>
    <n v="4"/>
    <n v="80"/>
    <n v="2"/>
    <n v="25"/>
    <s v="&gt;15"/>
    <n v="3"/>
    <n v="4"/>
    <n v="25"/>
    <n v="12"/>
    <n v="4"/>
    <n v="12"/>
  </r>
  <r>
    <n v="30"/>
    <x v="1"/>
    <s v="No"/>
    <s v="Travel_Frequently"/>
    <n v="1312"/>
    <x v="1"/>
    <n v="23"/>
    <n v="3"/>
    <s v="Life Sciences"/>
    <n v="1"/>
    <n v="159"/>
    <n v="1"/>
    <s v="Male"/>
    <n v="96"/>
    <n v="1"/>
    <x v="1"/>
    <x v="1"/>
    <n v="3"/>
    <s v="Divorced"/>
    <n v="2613"/>
    <n v="22310"/>
    <n v="1"/>
    <s v="Y"/>
    <s v="No"/>
    <s v="No"/>
    <n v="25"/>
    <n v="4"/>
    <n v="3"/>
    <n v="80"/>
    <n v="3"/>
    <n v="10"/>
    <s v="6-15"/>
    <n v="2"/>
    <n v="2"/>
    <n v="10"/>
    <n v="7"/>
    <n v="0"/>
    <n v="9"/>
  </r>
  <r>
    <n v="33"/>
    <x v="1"/>
    <s v="No"/>
    <s v="Non-Travel"/>
    <n v="750"/>
    <x v="0"/>
    <n v="22"/>
    <n v="2"/>
    <s v="Marketing"/>
    <n v="1"/>
    <n v="160"/>
    <n v="3"/>
    <s v="Male"/>
    <n v="95"/>
    <n v="3"/>
    <x v="0"/>
    <x v="0"/>
    <n v="2"/>
    <s v="Married"/>
    <n v="6146"/>
    <n v="15480"/>
    <n v="0"/>
    <s v="Y"/>
    <s v="No"/>
    <s v="No"/>
    <n v="13"/>
    <n v="3"/>
    <n v="1"/>
    <n v="80"/>
    <n v="1"/>
    <n v="8"/>
    <s v="6-15"/>
    <n v="2"/>
    <n v="4"/>
    <n v="7"/>
    <n v="7"/>
    <n v="0"/>
    <n v="7"/>
  </r>
  <r>
    <n v="56"/>
    <x v="0"/>
    <s v="Yes"/>
    <s v="Travel_Rarely"/>
    <n v="441"/>
    <x v="1"/>
    <n v="14"/>
    <n v="4"/>
    <s v="Life Sciences"/>
    <n v="1"/>
    <n v="161"/>
    <n v="2"/>
    <s v="Female"/>
    <n v="72"/>
    <n v="3"/>
    <x v="1"/>
    <x v="1"/>
    <n v="2"/>
    <s v="Married"/>
    <n v="4963"/>
    <n v="4510"/>
    <n v="9"/>
    <s v="Y"/>
    <s v="Yes"/>
    <s v="Yes"/>
    <n v="18"/>
    <n v="3"/>
    <n v="1"/>
    <n v="80"/>
    <n v="3"/>
    <n v="7"/>
    <s v="6-15"/>
    <n v="2"/>
    <n v="3"/>
    <n v="5"/>
    <n v="4"/>
    <n v="4"/>
    <n v="3"/>
  </r>
  <r>
    <n v="51"/>
    <x v="1"/>
    <s v="No"/>
    <s v="Travel_Rarely"/>
    <n v="684"/>
    <x v="1"/>
    <n v="6"/>
    <n v="3"/>
    <s v="Life Sciences"/>
    <n v="1"/>
    <n v="162"/>
    <n v="1"/>
    <s v="Male"/>
    <n v="51"/>
    <n v="3"/>
    <x v="4"/>
    <x v="7"/>
    <n v="3"/>
    <s v="Single"/>
    <n v="19537"/>
    <n v="6462"/>
    <n v="7"/>
    <s v="Y"/>
    <s v="No"/>
    <s v="No"/>
    <n v="13"/>
    <n v="3"/>
    <n v="3"/>
    <n v="80"/>
    <n v="0"/>
    <n v="23"/>
    <s v="&gt;15"/>
    <n v="5"/>
    <n v="3"/>
    <n v="20"/>
    <n v="18"/>
    <n v="15"/>
    <n v="15"/>
  </r>
  <r>
    <n v="31"/>
    <x v="0"/>
    <s v="Yes"/>
    <s v="Travel_Rarely"/>
    <n v="249"/>
    <x v="0"/>
    <n v="6"/>
    <n v="4"/>
    <s v="Life Sciences"/>
    <n v="1"/>
    <n v="163"/>
    <n v="2"/>
    <s v="Male"/>
    <n v="76"/>
    <n v="1"/>
    <x v="0"/>
    <x v="0"/>
    <n v="3"/>
    <s v="Married"/>
    <n v="6172"/>
    <n v="20739"/>
    <n v="4"/>
    <s v="Y"/>
    <s v="Yes"/>
    <s v="Yes"/>
    <n v="18"/>
    <n v="3"/>
    <n v="2"/>
    <n v="80"/>
    <n v="0"/>
    <n v="12"/>
    <s v="6-15"/>
    <n v="3"/>
    <n v="2"/>
    <n v="7"/>
    <n v="7"/>
    <n v="7"/>
    <n v="7"/>
  </r>
  <r>
    <n v="26"/>
    <x v="1"/>
    <s v="No"/>
    <s v="Travel_Rarely"/>
    <n v="841"/>
    <x v="1"/>
    <n v="6"/>
    <n v="3"/>
    <s v="Other"/>
    <n v="1"/>
    <n v="164"/>
    <n v="3"/>
    <s v="Female"/>
    <n v="46"/>
    <n v="2"/>
    <x v="1"/>
    <x v="1"/>
    <n v="2"/>
    <s v="Married"/>
    <n v="2368"/>
    <n v="23300"/>
    <n v="1"/>
    <s v="Y"/>
    <s v="No"/>
    <s v="No"/>
    <n v="19"/>
    <n v="3"/>
    <n v="3"/>
    <n v="80"/>
    <n v="0"/>
    <n v="5"/>
    <s v="0-5"/>
    <n v="3"/>
    <n v="2"/>
    <n v="5"/>
    <n v="4"/>
    <n v="4"/>
    <n v="3"/>
  </r>
  <r>
    <n v="58"/>
    <x v="0"/>
    <s v="Yes"/>
    <s v="Travel_Rarely"/>
    <n v="147"/>
    <x v="1"/>
    <n v="23"/>
    <n v="4"/>
    <s v="Medical"/>
    <n v="1"/>
    <n v="165"/>
    <n v="4"/>
    <s v="Female"/>
    <n v="94"/>
    <n v="3"/>
    <x v="2"/>
    <x v="4"/>
    <n v="4"/>
    <s v="Married"/>
    <n v="10312"/>
    <n v="3465"/>
    <n v="1"/>
    <s v="Y"/>
    <s v="No"/>
    <s v="No"/>
    <n v="12"/>
    <n v="3"/>
    <n v="4"/>
    <n v="80"/>
    <n v="1"/>
    <n v="40"/>
    <s v="&gt;15"/>
    <n v="3"/>
    <n v="2"/>
    <n v="40"/>
    <n v="10"/>
    <n v="15"/>
    <n v="6"/>
  </r>
  <r>
    <n v="19"/>
    <x v="0"/>
    <s v="Yes"/>
    <s v="Travel_Rarely"/>
    <n v="528"/>
    <x v="0"/>
    <n v="22"/>
    <n v="1"/>
    <s v="Marketing"/>
    <n v="1"/>
    <n v="167"/>
    <n v="4"/>
    <s v="Male"/>
    <n v="50"/>
    <n v="3"/>
    <x v="1"/>
    <x v="6"/>
    <n v="3"/>
    <s v="Single"/>
    <n v="1675"/>
    <n v="26820"/>
    <n v="1"/>
    <s v="Y"/>
    <s v="Yes"/>
    <s v="Yes"/>
    <n v="19"/>
    <n v="3"/>
    <n v="4"/>
    <n v="80"/>
    <n v="0"/>
    <n v="0"/>
    <s v="0-5"/>
    <n v="2"/>
    <n v="2"/>
    <n v="0"/>
    <n v="0"/>
    <n v="0"/>
    <n v="0"/>
  </r>
  <r>
    <n v="22"/>
    <x v="1"/>
    <s v="No"/>
    <s v="Travel_Rarely"/>
    <n v="594"/>
    <x v="1"/>
    <n v="2"/>
    <n v="1"/>
    <s v="Technical Degree"/>
    <n v="1"/>
    <n v="169"/>
    <n v="3"/>
    <s v="Male"/>
    <n v="100"/>
    <n v="3"/>
    <x v="1"/>
    <x v="2"/>
    <n v="4"/>
    <s v="Married"/>
    <n v="2523"/>
    <n v="19299"/>
    <n v="0"/>
    <s v="Y"/>
    <s v="No"/>
    <s v="No"/>
    <n v="14"/>
    <n v="3"/>
    <n v="3"/>
    <n v="80"/>
    <n v="1"/>
    <n v="3"/>
    <s v="0-5"/>
    <n v="2"/>
    <n v="3"/>
    <n v="2"/>
    <n v="1"/>
    <n v="2"/>
    <n v="1"/>
  </r>
  <r>
    <n v="49"/>
    <x v="1"/>
    <s v="No"/>
    <s v="Travel_Rarely"/>
    <n v="470"/>
    <x v="1"/>
    <n v="20"/>
    <n v="4"/>
    <s v="Medical"/>
    <n v="1"/>
    <n v="170"/>
    <n v="3"/>
    <s v="Female"/>
    <n v="96"/>
    <n v="3"/>
    <x v="0"/>
    <x v="3"/>
    <n v="1"/>
    <s v="Married"/>
    <n v="6567"/>
    <n v="5549"/>
    <n v="1"/>
    <s v="Y"/>
    <s v="No"/>
    <s v="No"/>
    <n v="14"/>
    <n v="3"/>
    <n v="3"/>
    <n v="80"/>
    <n v="0"/>
    <n v="16"/>
    <s v="&gt;15"/>
    <n v="2"/>
    <n v="2"/>
    <n v="15"/>
    <n v="11"/>
    <n v="5"/>
    <n v="11"/>
  </r>
  <r>
    <n v="43"/>
    <x v="1"/>
    <s v="No"/>
    <s v="Travel_Frequently"/>
    <n v="957"/>
    <x v="1"/>
    <n v="28"/>
    <n v="3"/>
    <s v="Medical"/>
    <n v="1"/>
    <n v="171"/>
    <n v="2"/>
    <s v="Female"/>
    <n v="72"/>
    <n v="4"/>
    <x v="1"/>
    <x v="1"/>
    <n v="3"/>
    <s v="Single"/>
    <n v="4739"/>
    <n v="16090"/>
    <n v="4"/>
    <s v="Y"/>
    <s v="No"/>
    <s v="No"/>
    <n v="12"/>
    <n v="3"/>
    <n v="4"/>
    <n v="80"/>
    <n v="0"/>
    <n v="18"/>
    <s v="&gt;15"/>
    <n v="2"/>
    <n v="3"/>
    <n v="3"/>
    <n v="2"/>
    <n v="1"/>
    <n v="2"/>
  </r>
  <r>
    <n v="50"/>
    <x v="1"/>
    <s v="No"/>
    <s v="Travel_Frequently"/>
    <n v="809"/>
    <x v="0"/>
    <n v="12"/>
    <n v="3"/>
    <s v="Marketing"/>
    <n v="1"/>
    <n v="174"/>
    <n v="3"/>
    <s v="Female"/>
    <n v="77"/>
    <n v="3"/>
    <x v="2"/>
    <x v="0"/>
    <n v="4"/>
    <s v="Single"/>
    <n v="9208"/>
    <n v="6645"/>
    <n v="4"/>
    <s v="Y"/>
    <s v="No"/>
    <s v="No"/>
    <n v="11"/>
    <n v="3"/>
    <n v="4"/>
    <n v="80"/>
    <n v="0"/>
    <n v="16"/>
    <s v="&gt;15"/>
    <n v="3"/>
    <n v="3"/>
    <n v="2"/>
    <n v="2"/>
    <n v="2"/>
    <n v="1"/>
  </r>
  <r>
    <n v="31"/>
    <x v="0"/>
    <s v="Yes"/>
    <s v="Travel_Rarely"/>
    <n v="542"/>
    <x v="0"/>
    <n v="20"/>
    <n v="3"/>
    <s v="Life Sciences"/>
    <n v="1"/>
    <n v="175"/>
    <n v="2"/>
    <s v="Female"/>
    <n v="71"/>
    <n v="1"/>
    <x v="0"/>
    <x v="0"/>
    <n v="3"/>
    <s v="Married"/>
    <n v="4559"/>
    <n v="24788"/>
    <n v="3"/>
    <s v="Y"/>
    <s v="Yes"/>
    <s v="Yes"/>
    <n v="11"/>
    <n v="3"/>
    <n v="3"/>
    <n v="80"/>
    <n v="1"/>
    <n v="4"/>
    <s v="0-5"/>
    <n v="2"/>
    <n v="3"/>
    <n v="2"/>
    <n v="2"/>
    <n v="2"/>
    <n v="2"/>
  </r>
  <r>
    <n v="41"/>
    <x v="1"/>
    <s v="No"/>
    <s v="Travel_Rarely"/>
    <n v="802"/>
    <x v="0"/>
    <n v="9"/>
    <n v="1"/>
    <s v="Life Sciences"/>
    <n v="1"/>
    <n v="176"/>
    <n v="3"/>
    <s v="Male"/>
    <n v="96"/>
    <n v="3"/>
    <x v="2"/>
    <x v="0"/>
    <n v="3"/>
    <s v="Divorced"/>
    <n v="8189"/>
    <n v="21196"/>
    <n v="3"/>
    <s v="Y"/>
    <s v="Yes"/>
    <s v="Yes"/>
    <n v="13"/>
    <n v="3"/>
    <n v="3"/>
    <n v="80"/>
    <n v="1"/>
    <n v="12"/>
    <s v="6-15"/>
    <n v="2"/>
    <n v="3"/>
    <n v="9"/>
    <n v="7"/>
    <n v="0"/>
    <n v="7"/>
  </r>
  <r>
    <n v="26"/>
    <x v="1"/>
    <s v="No"/>
    <s v="Travel_Rarely"/>
    <n v="1355"/>
    <x v="2"/>
    <n v="25"/>
    <n v="1"/>
    <s v="Life Sciences"/>
    <n v="1"/>
    <n v="177"/>
    <n v="3"/>
    <s v="Female"/>
    <n v="61"/>
    <n v="3"/>
    <x v="1"/>
    <x v="8"/>
    <n v="3"/>
    <s v="Married"/>
    <n v="2942"/>
    <n v="8916"/>
    <n v="1"/>
    <s v="Y"/>
    <s v="No"/>
    <s v="No"/>
    <n v="23"/>
    <n v="4"/>
    <n v="4"/>
    <n v="80"/>
    <n v="1"/>
    <n v="8"/>
    <s v="6-15"/>
    <n v="3"/>
    <n v="3"/>
    <n v="8"/>
    <n v="7"/>
    <n v="5"/>
    <n v="7"/>
  </r>
  <r>
    <n v="36"/>
    <x v="1"/>
    <s v="No"/>
    <s v="Travel_Rarely"/>
    <n v="216"/>
    <x v="1"/>
    <n v="6"/>
    <n v="2"/>
    <s v="Medical"/>
    <n v="1"/>
    <n v="178"/>
    <n v="2"/>
    <s v="Male"/>
    <n v="84"/>
    <n v="3"/>
    <x v="0"/>
    <x v="3"/>
    <n v="2"/>
    <s v="Divorced"/>
    <n v="4941"/>
    <n v="2819"/>
    <n v="6"/>
    <s v="Y"/>
    <s v="No"/>
    <s v="No"/>
    <n v="20"/>
    <n v="4"/>
    <n v="4"/>
    <n v="80"/>
    <n v="2"/>
    <n v="7"/>
    <s v="6-15"/>
    <n v="0"/>
    <n v="3"/>
    <n v="3"/>
    <n v="2"/>
    <n v="0"/>
    <n v="1"/>
  </r>
  <r>
    <n v="51"/>
    <x v="0"/>
    <s v="Yes"/>
    <s v="Travel_Frequently"/>
    <n v="1150"/>
    <x v="1"/>
    <n v="8"/>
    <n v="4"/>
    <s v="Life Sciences"/>
    <n v="1"/>
    <n v="179"/>
    <n v="1"/>
    <s v="Male"/>
    <n v="53"/>
    <n v="1"/>
    <x v="2"/>
    <x v="3"/>
    <n v="4"/>
    <s v="Single"/>
    <n v="10650"/>
    <n v="25150"/>
    <n v="2"/>
    <s v="Y"/>
    <s v="No"/>
    <s v="No"/>
    <n v="15"/>
    <n v="3"/>
    <n v="4"/>
    <n v="80"/>
    <n v="0"/>
    <n v="18"/>
    <s v="&gt;15"/>
    <n v="2"/>
    <n v="3"/>
    <n v="4"/>
    <n v="2"/>
    <n v="0"/>
    <n v="3"/>
  </r>
  <r>
    <n v="39"/>
    <x v="1"/>
    <s v="No"/>
    <s v="Travel_Rarely"/>
    <n v="1329"/>
    <x v="0"/>
    <n v="4"/>
    <n v="4"/>
    <s v="Life Sciences"/>
    <n v="1"/>
    <n v="182"/>
    <n v="4"/>
    <s v="Female"/>
    <n v="47"/>
    <n v="2"/>
    <x v="0"/>
    <x v="0"/>
    <n v="3"/>
    <s v="Married"/>
    <n v="5902"/>
    <n v="14590"/>
    <n v="4"/>
    <s v="Y"/>
    <s v="No"/>
    <s v="No"/>
    <n v="14"/>
    <n v="3"/>
    <n v="3"/>
    <n v="80"/>
    <n v="1"/>
    <n v="17"/>
    <s v="&gt;15"/>
    <n v="1"/>
    <n v="4"/>
    <n v="15"/>
    <n v="11"/>
    <n v="5"/>
    <n v="9"/>
  </r>
  <r>
    <n v="25"/>
    <x v="1"/>
    <s v="No"/>
    <s v="Travel_Rarely"/>
    <n v="959"/>
    <x v="0"/>
    <n v="28"/>
    <n v="3"/>
    <s v="Life Sciences"/>
    <n v="1"/>
    <n v="183"/>
    <n v="1"/>
    <s v="Male"/>
    <n v="41"/>
    <n v="2"/>
    <x v="0"/>
    <x v="0"/>
    <n v="3"/>
    <s v="Married"/>
    <n v="8639"/>
    <n v="24835"/>
    <n v="2"/>
    <s v="Y"/>
    <s v="No"/>
    <s v="No"/>
    <n v="18"/>
    <n v="3"/>
    <n v="4"/>
    <n v="80"/>
    <n v="0"/>
    <n v="6"/>
    <s v="6-15"/>
    <n v="3"/>
    <n v="3"/>
    <n v="2"/>
    <n v="2"/>
    <n v="2"/>
    <n v="2"/>
  </r>
  <r>
    <n v="30"/>
    <x v="1"/>
    <s v="No"/>
    <s v="Travel_Rarely"/>
    <n v="1240"/>
    <x v="2"/>
    <n v="9"/>
    <n v="3"/>
    <s v="Human Resources"/>
    <n v="1"/>
    <n v="184"/>
    <n v="3"/>
    <s v="Male"/>
    <n v="48"/>
    <n v="3"/>
    <x v="0"/>
    <x v="8"/>
    <n v="4"/>
    <s v="Married"/>
    <n v="6347"/>
    <n v="13982"/>
    <n v="0"/>
    <s v="Y"/>
    <s v="Yes"/>
    <s v="Yes"/>
    <n v="19"/>
    <n v="3"/>
    <n v="4"/>
    <n v="80"/>
    <n v="0"/>
    <n v="12"/>
    <s v="6-15"/>
    <n v="2"/>
    <n v="1"/>
    <n v="11"/>
    <n v="9"/>
    <n v="4"/>
    <n v="7"/>
  </r>
  <r>
    <n v="32"/>
    <x v="0"/>
    <s v="Yes"/>
    <s v="Travel_Rarely"/>
    <n v="1033"/>
    <x v="1"/>
    <n v="9"/>
    <n v="3"/>
    <s v="Medical"/>
    <n v="1"/>
    <n v="190"/>
    <n v="1"/>
    <s v="Female"/>
    <n v="41"/>
    <n v="3"/>
    <x v="1"/>
    <x v="2"/>
    <n v="1"/>
    <s v="Single"/>
    <n v="4200"/>
    <n v="10224"/>
    <n v="7"/>
    <s v="Y"/>
    <s v="No"/>
    <s v="No"/>
    <n v="22"/>
    <n v="4"/>
    <n v="1"/>
    <n v="80"/>
    <n v="0"/>
    <n v="10"/>
    <s v="6-15"/>
    <n v="2"/>
    <n v="4"/>
    <n v="5"/>
    <n v="4"/>
    <n v="0"/>
    <n v="4"/>
  </r>
  <r>
    <n v="45"/>
    <x v="1"/>
    <s v="No"/>
    <s v="Travel_Rarely"/>
    <n v="1316"/>
    <x v="1"/>
    <n v="29"/>
    <n v="3"/>
    <s v="Medical"/>
    <n v="1"/>
    <n v="192"/>
    <n v="3"/>
    <s v="Male"/>
    <n v="83"/>
    <n v="3"/>
    <x v="1"/>
    <x v="1"/>
    <n v="4"/>
    <s v="Single"/>
    <n v="3452"/>
    <n v="9752"/>
    <n v="5"/>
    <s v="Y"/>
    <s v="No"/>
    <s v="No"/>
    <n v="13"/>
    <n v="3"/>
    <n v="2"/>
    <n v="80"/>
    <n v="0"/>
    <n v="9"/>
    <s v="6-15"/>
    <n v="2"/>
    <n v="2"/>
    <n v="6"/>
    <n v="5"/>
    <n v="0"/>
    <n v="3"/>
  </r>
  <r>
    <n v="38"/>
    <x v="1"/>
    <s v="No"/>
    <s v="Travel_Rarely"/>
    <n v="364"/>
    <x v="1"/>
    <n v="3"/>
    <n v="5"/>
    <s v="Technical Degree"/>
    <n v="1"/>
    <n v="193"/>
    <n v="4"/>
    <s v="Female"/>
    <n v="32"/>
    <n v="3"/>
    <x v="0"/>
    <x v="1"/>
    <n v="3"/>
    <s v="Single"/>
    <n v="4317"/>
    <n v="2302"/>
    <n v="3"/>
    <s v="Y"/>
    <s v="Yes"/>
    <s v="Yes"/>
    <n v="20"/>
    <n v="4"/>
    <n v="2"/>
    <n v="80"/>
    <n v="0"/>
    <n v="19"/>
    <s v="&gt;15"/>
    <n v="2"/>
    <n v="3"/>
    <n v="3"/>
    <n v="2"/>
    <n v="2"/>
    <n v="2"/>
  </r>
  <r>
    <n v="30"/>
    <x v="1"/>
    <s v="No"/>
    <s v="Travel_Rarely"/>
    <n v="438"/>
    <x v="1"/>
    <n v="18"/>
    <n v="3"/>
    <s v="Life Sciences"/>
    <n v="1"/>
    <n v="194"/>
    <n v="1"/>
    <s v="Female"/>
    <n v="75"/>
    <n v="3"/>
    <x v="1"/>
    <x v="1"/>
    <n v="3"/>
    <s v="Single"/>
    <n v="2632"/>
    <n v="23910"/>
    <n v="1"/>
    <s v="Y"/>
    <s v="No"/>
    <s v="No"/>
    <n v="14"/>
    <n v="3"/>
    <n v="3"/>
    <n v="80"/>
    <n v="0"/>
    <n v="5"/>
    <s v="0-5"/>
    <n v="4"/>
    <n v="2"/>
    <n v="5"/>
    <n v="4"/>
    <n v="0"/>
    <n v="4"/>
  </r>
  <r>
    <n v="32"/>
    <x v="1"/>
    <s v="No"/>
    <s v="Travel_Frequently"/>
    <n v="689"/>
    <x v="0"/>
    <n v="9"/>
    <n v="2"/>
    <s v="Medical"/>
    <n v="1"/>
    <n v="195"/>
    <n v="4"/>
    <s v="Male"/>
    <n v="35"/>
    <n v="1"/>
    <x v="0"/>
    <x v="0"/>
    <n v="4"/>
    <s v="Divorced"/>
    <n v="4668"/>
    <n v="22812"/>
    <n v="0"/>
    <s v="Y"/>
    <s v="No"/>
    <s v="No"/>
    <n v="17"/>
    <n v="3"/>
    <n v="4"/>
    <n v="80"/>
    <n v="3"/>
    <n v="9"/>
    <s v="6-15"/>
    <n v="2"/>
    <n v="4"/>
    <n v="8"/>
    <n v="7"/>
    <n v="0"/>
    <n v="7"/>
  </r>
  <r>
    <n v="30"/>
    <x v="1"/>
    <s v="No"/>
    <s v="Travel_Rarely"/>
    <n v="201"/>
    <x v="1"/>
    <n v="5"/>
    <n v="3"/>
    <s v="Technical Degree"/>
    <n v="1"/>
    <n v="197"/>
    <n v="4"/>
    <s v="Female"/>
    <n v="84"/>
    <n v="3"/>
    <x v="1"/>
    <x v="1"/>
    <n v="1"/>
    <s v="Divorced"/>
    <n v="3204"/>
    <n v="10415"/>
    <n v="5"/>
    <s v="Y"/>
    <s v="No"/>
    <s v="No"/>
    <n v="14"/>
    <n v="3"/>
    <n v="4"/>
    <n v="80"/>
    <n v="1"/>
    <n v="8"/>
    <s v="6-15"/>
    <n v="3"/>
    <n v="3"/>
    <n v="3"/>
    <n v="2"/>
    <n v="2"/>
    <n v="2"/>
  </r>
  <r>
    <n v="30"/>
    <x v="1"/>
    <s v="No"/>
    <s v="Travel_Rarely"/>
    <n v="1427"/>
    <x v="1"/>
    <n v="2"/>
    <n v="1"/>
    <s v="Medical"/>
    <n v="1"/>
    <n v="198"/>
    <n v="2"/>
    <s v="Male"/>
    <n v="35"/>
    <n v="2"/>
    <x v="1"/>
    <x v="2"/>
    <n v="4"/>
    <s v="Single"/>
    <n v="2720"/>
    <n v="11162"/>
    <n v="0"/>
    <s v="Y"/>
    <s v="No"/>
    <s v="No"/>
    <n v="13"/>
    <n v="3"/>
    <n v="4"/>
    <n v="80"/>
    <n v="0"/>
    <n v="6"/>
    <s v="6-15"/>
    <n v="3"/>
    <n v="3"/>
    <n v="5"/>
    <n v="3"/>
    <n v="1"/>
    <n v="2"/>
  </r>
  <r>
    <n v="41"/>
    <x v="1"/>
    <s v="No"/>
    <s v="Travel_Frequently"/>
    <n v="857"/>
    <x v="1"/>
    <n v="10"/>
    <n v="3"/>
    <s v="Life Sciences"/>
    <n v="1"/>
    <n v="199"/>
    <n v="4"/>
    <s v="Male"/>
    <n v="91"/>
    <n v="2"/>
    <x v="3"/>
    <x v="5"/>
    <n v="1"/>
    <s v="Divorced"/>
    <n v="17181"/>
    <n v="12888"/>
    <n v="4"/>
    <s v="Y"/>
    <s v="No"/>
    <s v="No"/>
    <n v="13"/>
    <n v="3"/>
    <n v="2"/>
    <n v="80"/>
    <n v="1"/>
    <n v="21"/>
    <s v="&gt;15"/>
    <n v="2"/>
    <n v="2"/>
    <n v="7"/>
    <n v="6"/>
    <n v="7"/>
    <n v="7"/>
  </r>
  <r>
    <n v="41"/>
    <x v="1"/>
    <s v="No"/>
    <s v="Travel_Rarely"/>
    <n v="933"/>
    <x v="1"/>
    <n v="9"/>
    <n v="4"/>
    <s v="Life Sciences"/>
    <n v="1"/>
    <n v="200"/>
    <n v="3"/>
    <s v="Male"/>
    <n v="94"/>
    <n v="3"/>
    <x v="1"/>
    <x v="2"/>
    <n v="1"/>
    <s v="Married"/>
    <n v="2238"/>
    <n v="6961"/>
    <n v="2"/>
    <s v="Y"/>
    <s v="No"/>
    <s v="No"/>
    <n v="21"/>
    <n v="4"/>
    <n v="4"/>
    <n v="80"/>
    <n v="1"/>
    <n v="7"/>
    <s v="6-15"/>
    <n v="2"/>
    <n v="3"/>
    <n v="5"/>
    <n v="0"/>
    <n v="1"/>
    <n v="4"/>
  </r>
  <r>
    <n v="19"/>
    <x v="1"/>
    <s v="No"/>
    <s v="Travel_Rarely"/>
    <n v="1181"/>
    <x v="1"/>
    <n v="3"/>
    <n v="1"/>
    <s v="Medical"/>
    <n v="1"/>
    <n v="201"/>
    <n v="2"/>
    <s v="Female"/>
    <n v="79"/>
    <n v="3"/>
    <x v="1"/>
    <x v="2"/>
    <n v="2"/>
    <s v="Single"/>
    <n v="1483"/>
    <n v="16102"/>
    <n v="1"/>
    <s v="Y"/>
    <s v="No"/>
    <s v="No"/>
    <n v="14"/>
    <n v="3"/>
    <n v="4"/>
    <n v="80"/>
    <n v="0"/>
    <n v="1"/>
    <s v="0-5"/>
    <n v="3"/>
    <n v="3"/>
    <n v="1"/>
    <n v="0"/>
    <n v="0"/>
    <n v="0"/>
  </r>
  <r>
    <n v="40"/>
    <x v="1"/>
    <s v="No"/>
    <s v="Travel_Frequently"/>
    <n v="1395"/>
    <x v="1"/>
    <n v="26"/>
    <n v="3"/>
    <s v="Medical"/>
    <n v="1"/>
    <n v="202"/>
    <n v="2"/>
    <s v="Female"/>
    <n v="54"/>
    <n v="3"/>
    <x v="0"/>
    <x v="1"/>
    <n v="2"/>
    <s v="Divorced"/>
    <n v="5605"/>
    <n v="8504"/>
    <n v="1"/>
    <s v="Y"/>
    <s v="No"/>
    <s v="No"/>
    <n v="11"/>
    <n v="3"/>
    <n v="1"/>
    <n v="80"/>
    <n v="1"/>
    <n v="20"/>
    <s v="&gt;15"/>
    <n v="2"/>
    <n v="3"/>
    <n v="20"/>
    <n v="7"/>
    <n v="2"/>
    <n v="13"/>
  </r>
  <r>
    <n v="35"/>
    <x v="1"/>
    <s v="No"/>
    <s v="Travel_Rarely"/>
    <n v="662"/>
    <x v="0"/>
    <n v="1"/>
    <n v="5"/>
    <s v="Marketing"/>
    <n v="1"/>
    <n v="204"/>
    <n v="3"/>
    <s v="Male"/>
    <n v="94"/>
    <n v="3"/>
    <x v="2"/>
    <x v="0"/>
    <n v="2"/>
    <s v="Married"/>
    <n v="7295"/>
    <n v="11439"/>
    <n v="1"/>
    <s v="Y"/>
    <s v="No"/>
    <s v="No"/>
    <n v="13"/>
    <n v="3"/>
    <n v="1"/>
    <n v="80"/>
    <n v="2"/>
    <n v="10"/>
    <s v="6-15"/>
    <n v="3"/>
    <n v="3"/>
    <n v="10"/>
    <n v="8"/>
    <n v="0"/>
    <n v="6"/>
  </r>
  <r>
    <n v="53"/>
    <x v="1"/>
    <s v="No"/>
    <s v="Travel_Rarely"/>
    <n v="1436"/>
    <x v="0"/>
    <n v="6"/>
    <n v="2"/>
    <s v="Marketing"/>
    <n v="1"/>
    <n v="205"/>
    <n v="2"/>
    <s v="Male"/>
    <n v="34"/>
    <n v="3"/>
    <x v="0"/>
    <x v="6"/>
    <n v="3"/>
    <s v="Married"/>
    <n v="2306"/>
    <n v="16047"/>
    <n v="2"/>
    <s v="Y"/>
    <s v="Yes"/>
    <s v="Yes"/>
    <n v="20"/>
    <n v="4"/>
    <n v="4"/>
    <n v="80"/>
    <n v="1"/>
    <n v="13"/>
    <s v="6-15"/>
    <n v="3"/>
    <n v="1"/>
    <n v="7"/>
    <n v="7"/>
    <n v="4"/>
    <n v="5"/>
  </r>
  <r>
    <n v="45"/>
    <x v="1"/>
    <s v="No"/>
    <s v="Travel_Rarely"/>
    <n v="194"/>
    <x v="1"/>
    <n v="9"/>
    <n v="3"/>
    <s v="Life Sciences"/>
    <n v="1"/>
    <n v="206"/>
    <n v="2"/>
    <s v="Male"/>
    <n v="60"/>
    <n v="3"/>
    <x v="0"/>
    <x v="2"/>
    <n v="2"/>
    <s v="Divorced"/>
    <n v="2348"/>
    <n v="10901"/>
    <n v="8"/>
    <s v="Y"/>
    <s v="No"/>
    <s v="No"/>
    <n v="18"/>
    <n v="3"/>
    <n v="3"/>
    <n v="80"/>
    <n v="1"/>
    <n v="20"/>
    <s v="&gt;15"/>
    <n v="2"/>
    <n v="1"/>
    <n v="17"/>
    <n v="9"/>
    <n v="0"/>
    <n v="15"/>
  </r>
  <r>
    <n v="32"/>
    <x v="1"/>
    <s v="No"/>
    <s v="Travel_Frequently"/>
    <n v="967"/>
    <x v="0"/>
    <n v="8"/>
    <n v="3"/>
    <s v="Marketing"/>
    <n v="1"/>
    <n v="207"/>
    <n v="2"/>
    <s v="Female"/>
    <n v="43"/>
    <n v="3"/>
    <x v="2"/>
    <x v="0"/>
    <n v="4"/>
    <s v="Single"/>
    <n v="8998"/>
    <n v="15589"/>
    <n v="1"/>
    <s v="Y"/>
    <s v="No"/>
    <s v="No"/>
    <n v="14"/>
    <n v="3"/>
    <n v="4"/>
    <n v="80"/>
    <n v="0"/>
    <n v="9"/>
    <s v="6-15"/>
    <n v="2"/>
    <n v="3"/>
    <n v="9"/>
    <n v="8"/>
    <n v="3"/>
    <n v="7"/>
  </r>
  <r>
    <n v="29"/>
    <x v="1"/>
    <s v="No"/>
    <s v="Non-Travel"/>
    <n v="1496"/>
    <x v="1"/>
    <n v="1"/>
    <n v="1"/>
    <s v="Technical Degree"/>
    <n v="1"/>
    <n v="208"/>
    <n v="4"/>
    <s v="Male"/>
    <n v="41"/>
    <n v="3"/>
    <x v="0"/>
    <x v="3"/>
    <n v="3"/>
    <s v="Married"/>
    <n v="4319"/>
    <n v="26283"/>
    <n v="1"/>
    <s v="Y"/>
    <s v="No"/>
    <s v="No"/>
    <n v="13"/>
    <n v="3"/>
    <n v="1"/>
    <n v="80"/>
    <n v="1"/>
    <n v="10"/>
    <s v="6-15"/>
    <n v="1"/>
    <n v="3"/>
    <n v="10"/>
    <n v="7"/>
    <n v="0"/>
    <n v="9"/>
  </r>
  <r>
    <n v="51"/>
    <x v="1"/>
    <s v="No"/>
    <s v="Travel_Rarely"/>
    <n v="1169"/>
    <x v="1"/>
    <n v="7"/>
    <n v="4"/>
    <s v="Medical"/>
    <n v="1"/>
    <n v="211"/>
    <n v="2"/>
    <s v="Male"/>
    <n v="34"/>
    <n v="2"/>
    <x v="0"/>
    <x v="3"/>
    <n v="3"/>
    <s v="Married"/>
    <n v="6132"/>
    <n v="13983"/>
    <n v="2"/>
    <s v="Y"/>
    <s v="No"/>
    <s v="No"/>
    <n v="17"/>
    <n v="3"/>
    <n v="3"/>
    <n v="80"/>
    <n v="0"/>
    <n v="10"/>
    <s v="6-15"/>
    <n v="2"/>
    <n v="3"/>
    <n v="1"/>
    <n v="0"/>
    <n v="0"/>
    <n v="0"/>
  </r>
  <r>
    <n v="58"/>
    <x v="1"/>
    <s v="No"/>
    <s v="Travel_Rarely"/>
    <n v="1145"/>
    <x v="1"/>
    <n v="9"/>
    <n v="3"/>
    <s v="Medical"/>
    <n v="1"/>
    <n v="214"/>
    <n v="2"/>
    <s v="Female"/>
    <n v="75"/>
    <n v="2"/>
    <x v="1"/>
    <x v="1"/>
    <n v="2"/>
    <s v="Married"/>
    <n v="3346"/>
    <n v="11873"/>
    <n v="4"/>
    <s v="Y"/>
    <s v="Yes"/>
    <s v="Yes"/>
    <n v="20"/>
    <n v="4"/>
    <n v="2"/>
    <n v="80"/>
    <n v="1"/>
    <n v="9"/>
    <s v="6-15"/>
    <n v="3"/>
    <n v="2"/>
    <n v="1"/>
    <n v="0"/>
    <n v="0"/>
    <n v="0"/>
  </r>
  <r>
    <n v="40"/>
    <x v="1"/>
    <s v="No"/>
    <s v="Travel_Rarely"/>
    <n v="630"/>
    <x v="0"/>
    <n v="4"/>
    <n v="4"/>
    <s v="Marketing"/>
    <n v="1"/>
    <n v="215"/>
    <n v="3"/>
    <s v="Male"/>
    <n v="67"/>
    <n v="2"/>
    <x v="2"/>
    <x v="0"/>
    <n v="4"/>
    <s v="Married"/>
    <n v="10855"/>
    <n v="8552"/>
    <n v="7"/>
    <s v="Y"/>
    <s v="No"/>
    <s v="No"/>
    <n v="11"/>
    <n v="3"/>
    <n v="1"/>
    <n v="80"/>
    <n v="1"/>
    <n v="15"/>
    <s v="6-15"/>
    <n v="2"/>
    <n v="2"/>
    <n v="12"/>
    <n v="11"/>
    <n v="2"/>
    <n v="11"/>
  </r>
  <r>
    <n v="34"/>
    <x v="1"/>
    <s v="No"/>
    <s v="Travel_Frequently"/>
    <n v="303"/>
    <x v="0"/>
    <n v="2"/>
    <n v="4"/>
    <s v="Marketing"/>
    <n v="1"/>
    <n v="216"/>
    <n v="3"/>
    <s v="Female"/>
    <n v="75"/>
    <n v="3"/>
    <x v="1"/>
    <x v="6"/>
    <n v="3"/>
    <s v="Married"/>
    <n v="2231"/>
    <n v="11314"/>
    <n v="6"/>
    <s v="Y"/>
    <s v="No"/>
    <s v="No"/>
    <n v="18"/>
    <n v="3"/>
    <n v="4"/>
    <n v="80"/>
    <n v="1"/>
    <n v="6"/>
    <s v="6-15"/>
    <n v="3"/>
    <n v="3"/>
    <n v="4"/>
    <n v="3"/>
    <n v="1"/>
    <n v="2"/>
  </r>
  <r>
    <n v="22"/>
    <x v="1"/>
    <s v="No"/>
    <s v="Travel_Rarely"/>
    <n v="1256"/>
    <x v="1"/>
    <n v="19"/>
    <n v="1"/>
    <s v="Medical"/>
    <n v="1"/>
    <n v="217"/>
    <n v="3"/>
    <s v="Male"/>
    <n v="80"/>
    <n v="3"/>
    <x v="1"/>
    <x v="1"/>
    <n v="4"/>
    <s v="Married"/>
    <n v="2323"/>
    <n v="11992"/>
    <n v="1"/>
    <s v="Y"/>
    <s v="No"/>
    <s v="No"/>
    <n v="24"/>
    <n v="4"/>
    <n v="1"/>
    <n v="80"/>
    <n v="2"/>
    <n v="2"/>
    <s v="0-5"/>
    <n v="6"/>
    <n v="3"/>
    <n v="2"/>
    <n v="2"/>
    <n v="2"/>
    <n v="2"/>
  </r>
  <r>
    <n v="27"/>
    <x v="1"/>
    <s v="No"/>
    <s v="Non-Travel"/>
    <n v="691"/>
    <x v="1"/>
    <n v="9"/>
    <n v="3"/>
    <s v="Medical"/>
    <n v="1"/>
    <n v="218"/>
    <n v="4"/>
    <s v="Male"/>
    <n v="57"/>
    <n v="3"/>
    <x v="1"/>
    <x v="1"/>
    <n v="2"/>
    <s v="Divorced"/>
    <n v="2024"/>
    <n v="5970"/>
    <n v="6"/>
    <s v="Y"/>
    <s v="No"/>
    <s v="No"/>
    <n v="18"/>
    <n v="3"/>
    <n v="4"/>
    <n v="80"/>
    <n v="1"/>
    <n v="6"/>
    <s v="6-15"/>
    <n v="1"/>
    <n v="1"/>
    <n v="2"/>
    <n v="2"/>
    <n v="2"/>
    <n v="2"/>
  </r>
  <r>
    <n v="28"/>
    <x v="1"/>
    <s v="No"/>
    <s v="Travel_Rarely"/>
    <n v="440"/>
    <x v="1"/>
    <n v="21"/>
    <n v="3"/>
    <s v="Medical"/>
    <n v="1"/>
    <n v="221"/>
    <n v="3"/>
    <s v="Male"/>
    <n v="42"/>
    <n v="3"/>
    <x v="1"/>
    <x v="1"/>
    <n v="4"/>
    <s v="Married"/>
    <n v="2713"/>
    <n v="6672"/>
    <n v="1"/>
    <s v="Y"/>
    <s v="No"/>
    <s v="No"/>
    <n v="11"/>
    <n v="3"/>
    <n v="3"/>
    <n v="80"/>
    <n v="1"/>
    <n v="5"/>
    <s v="0-5"/>
    <n v="2"/>
    <n v="1"/>
    <n v="5"/>
    <n v="2"/>
    <n v="0"/>
    <n v="2"/>
  </r>
  <r>
    <n v="57"/>
    <x v="1"/>
    <s v="No"/>
    <s v="Travel_Rarely"/>
    <n v="334"/>
    <x v="1"/>
    <n v="24"/>
    <n v="2"/>
    <s v="Life Sciences"/>
    <n v="1"/>
    <n v="223"/>
    <n v="3"/>
    <s v="Male"/>
    <n v="83"/>
    <n v="4"/>
    <x v="2"/>
    <x v="4"/>
    <n v="4"/>
    <s v="Divorced"/>
    <n v="9439"/>
    <n v="23402"/>
    <n v="3"/>
    <s v="Y"/>
    <s v="Yes"/>
    <s v="Yes"/>
    <n v="16"/>
    <n v="3"/>
    <n v="2"/>
    <n v="80"/>
    <n v="1"/>
    <n v="12"/>
    <s v="6-15"/>
    <n v="2"/>
    <n v="1"/>
    <n v="5"/>
    <n v="3"/>
    <n v="1"/>
    <n v="4"/>
  </r>
  <r>
    <n v="27"/>
    <x v="1"/>
    <s v="No"/>
    <s v="Non-Travel"/>
    <n v="1450"/>
    <x v="1"/>
    <n v="3"/>
    <n v="3"/>
    <s v="Medical"/>
    <n v="1"/>
    <n v="224"/>
    <n v="3"/>
    <s v="Male"/>
    <n v="79"/>
    <n v="2"/>
    <x v="1"/>
    <x v="1"/>
    <n v="3"/>
    <s v="Divorced"/>
    <n v="2566"/>
    <n v="25326"/>
    <n v="1"/>
    <s v="Y"/>
    <s v="Yes"/>
    <s v="Yes"/>
    <n v="15"/>
    <n v="3"/>
    <n v="4"/>
    <n v="80"/>
    <n v="1"/>
    <n v="1"/>
    <s v="0-5"/>
    <n v="2"/>
    <n v="2"/>
    <n v="1"/>
    <n v="1"/>
    <n v="0"/>
    <n v="1"/>
  </r>
  <r>
    <n v="50"/>
    <x v="1"/>
    <s v="No"/>
    <s v="Travel_Rarely"/>
    <n v="1452"/>
    <x v="1"/>
    <n v="11"/>
    <n v="3"/>
    <s v="Life Sciences"/>
    <n v="1"/>
    <n v="226"/>
    <n v="3"/>
    <s v="Female"/>
    <n v="53"/>
    <n v="3"/>
    <x v="4"/>
    <x v="5"/>
    <n v="2"/>
    <s v="Single"/>
    <n v="19926"/>
    <n v="17053"/>
    <n v="3"/>
    <s v="Y"/>
    <s v="No"/>
    <s v="No"/>
    <n v="15"/>
    <n v="3"/>
    <n v="2"/>
    <n v="80"/>
    <n v="0"/>
    <n v="21"/>
    <s v="&gt;15"/>
    <n v="5"/>
    <n v="3"/>
    <n v="5"/>
    <n v="4"/>
    <n v="4"/>
    <n v="4"/>
  </r>
  <r>
    <n v="41"/>
    <x v="1"/>
    <s v="No"/>
    <s v="Travel_Rarely"/>
    <n v="465"/>
    <x v="1"/>
    <n v="14"/>
    <n v="3"/>
    <s v="Life Sciences"/>
    <n v="1"/>
    <n v="227"/>
    <n v="1"/>
    <s v="Male"/>
    <n v="56"/>
    <n v="3"/>
    <x v="1"/>
    <x v="1"/>
    <n v="3"/>
    <s v="Divorced"/>
    <n v="2451"/>
    <n v="4609"/>
    <n v="4"/>
    <s v="Y"/>
    <s v="No"/>
    <s v="No"/>
    <n v="12"/>
    <n v="3"/>
    <n v="1"/>
    <n v="80"/>
    <n v="1"/>
    <n v="13"/>
    <s v="6-15"/>
    <n v="2"/>
    <n v="3"/>
    <n v="9"/>
    <n v="8"/>
    <n v="1"/>
    <n v="8"/>
  </r>
  <r>
    <n v="30"/>
    <x v="1"/>
    <s v="No"/>
    <s v="Travel_Rarely"/>
    <n v="1339"/>
    <x v="0"/>
    <n v="5"/>
    <n v="3"/>
    <s v="Life Sciences"/>
    <n v="1"/>
    <n v="228"/>
    <n v="2"/>
    <s v="Female"/>
    <n v="41"/>
    <n v="3"/>
    <x v="2"/>
    <x v="0"/>
    <n v="4"/>
    <s v="Married"/>
    <n v="9419"/>
    <n v="8053"/>
    <n v="2"/>
    <s v="Y"/>
    <s v="No"/>
    <s v="No"/>
    <n v="12"/>
    <n v="3"/>
    <n v="3"/>
    <n v="80"/>
    <n v="1"/>
    <n v="12"/>
    <s v="6-15"/>
    <n v="2"/>
    <n v="3"/>
    <n v="10"/>
    <n v="9"/>
    <n v="7"/>
    <n v="4"/>
  </r>
  <r>
    <n v="38"/>
    <x v="1"/>
    <s v="No"/>
    <s v="Travel_Rarely"/>
    <n v="702"/>
    <x v="0"/>
    <n v="1"/>
    <n v="4"/>
    <s v="Life Sciences"/>
    <n v="1"/>
    <n v="230"/>
    <n v="1"/>
    <s v="Female"/>
    <n v="59"/>
    <n v="2"/>
    <x v="0"/>
    <x v="0"/>
    <n v="4"/>
    <s v="Single"/>
    <n v="8686"/>
    <n v="12930"/>
    <n v="4"/>
    <s v="Y"/>
    <s v="No"/>
    <s v="No"/>
    <n v="22"/>
    <n v="4"/>
    <n v="3"/>
    <n v="80"/>
    <n v="0"/>
    <n v="12"/>
    <s v="6-15"/>
    <n v="2"/>
    <n v="4"/>
    <n v="8"/>
    <n v="3"/>
    <n v="0"/>
    <n v="7"/>
  </r>
  <r>
    <n v="32"/>
    <x v="1"/>
    <s v="No"/>
    <s v="Travel_Rarely"/>
    <n v="120"/>
    <x v="1"/>
    <n v="6"/>
    <n v="5"/>
    <s v="Life Sciences"/>
    <n v="1"/>
    <n v="231"/>
    <n v="3"/>
    <s v="Male"/>
    <n v="43"/>
    <n v="3"/>
    <x v="1"/>
    <x v="1"/>
    <n v="3"/>
    <s v="Single"/>
    <n v="3038"/>
    <n v="12430"/>
    <n v="3"/>
    <s v="Y"/>
    <s v="No"/>
    <s v="No"/>
    <n v="20"/>
    <n v="4"/>
    <n v="1"/>
    <n v="80"/>
    <n v="0"/>
    <n v="8"/>
    <s v="6-15"/>
    <n v="2"/>
    <n v="3"/>
    <n v="5"/>
    <n v="4"/>
    <n v="1"/>
    <n v="4"/>
  </r>
  <r>
    <n v="27"/>
    <x v="1"/>
    <s v="No"/>
    <s v="Travel_Rarely"/>
    <n v="1157"/>
    <x v="1"/>
    <n v="17"/>
    <n v="3"/>
    <s v="Technical Degree"/>
    <n v="1"/>
    <n v="233"/>
    <n v="3"/>
    <s v="Male"/>
    <n v="51"/>
    <n v="3"/>
    <x v="1"/>
    <x v="1"/>
    <n v="2"/>
    <s v="Married"/>
    <n v="3058"/>
    <n v="13364"/>
    <n v="0"/>
    <s v="Y"/>
    <s v="Yes"/>
    <s v="Yes"/>
    <n v="16"/>
    <n v="3"/>
    <n v="4"/>
    <n v="80"/>
    <n v="1"/>
    <n v="6"/>
    <s v="6-15"/>
    <n v="3"/>
    <n v="2"/>
    <n v="5"/>
    <n v="2"/>
    <n v="1"/>
    <n v="1"/>
  </r>
  <r>
    <n v="19"/>
    <x v="0"/>
    <s v="Yes"/>
    <s v="Travel_Frequently"/>
    <n v="602"/>
    <x v="0"/>
    <n v="1"/>
    <n v="1"/>
    <s v="Technical Degree"/>
    <n v="1"/>
    <n v="235"/>
    <n v="3"/>
    <s v="Female"/>
    <n v="100"/>
    <n v="1"/>
    <x v="1"/>
    <x v="6"/>
    <n v="1"/>
    <s v="Single"/>
    <n v="2325"/>
    <n v="20989"/>
    <n v="0"/>
    <s v="Y"/>
    <s v="No"/>
    <s v="No"/>
    <n v="21"/>
    <n v="4"/>
    <n v="1"/>
    <n v="80"/>
    <n v="0"/>
    <n v="1"/>
    <s v="0-5"/>
    <n v="5"/>
    <n v="4"/>
    <n v="0"/>
    <n v="0"/>
    <n v="0"/>
    <n v="0"/>
  </r>
  <r>
    <n v="36"/>
    <x v="1"/>
    <s v="No"/>
    <s v="Travel_Frequently"/>
    <n v="1480"/>
    <x v="1"/>
    <n v="3"/>
    <n v="2"/>
    <s v="Medical"/>
    <n v="1"/>
    <n v="238"/>
    <n v="4"/>
    <s v="Male"/>
    <n v="30"/>
    <n v="3"/>
    <x v="1"/>
    <x v="2"/>
    <n v="2"/>
    <s v="Single"/>
    <n v="2088"/>
    <n v="15062"/>
    <n v="4"/>
    <s v="Y"/>
    <s v="No"/>
    <s v="No"/>
    <n v="12"/>
    <n v="3"/>
    <n v="3"/>
    <n v="80"/>
    <n v="0"/>
    <n v="13"/>
    <s v="6-15"/>
    <n v="3"/>
    <n v="2"/>
    <n v="8"/>
    <n v="7"/>
    <n v="7"/>
    <n v="2"/>
  </r>
  <r>
    <n v="30"/>
    <x v="1"/>
    <s v="No"/>
    <s v="Non-Travel"/>
    <n v="111"/>
    <x v="1"/>
    <n v="9"/>
    <n v="3"/>
    <s v="Medical"/>
    <n v="1"/>
    <n v="239"/>
    <n v="3"/>
    <s v="Male"/>
    <n v="66"/>
    <n v="3"/>
    <x v="0"/>
    <x v="2"/>
    <n v="1"/>
    <s v="Divorced"/>
    <n v="3072"/>
    <n v="11012"/>
    <n v="1"/>
    <s v="Y"/>
    <s v="No"/>
    <s v="No"/>
    <n v="11"/>
    <n v="3"/>
    <n v="3"/>
    <n v="80"/>
    <n v="2"/>
    <n v="12"/>
    <s v="6-15"/>
    <n v="4"/>
    <n v="3"/>
    <n v="12"/>
    <n v="9"/>
    <n v="6"/>
    <n v="10"/>
  </r>
  <r>
    <n v="45"/>
    <x v="1"/>
    <s v="No"/>
    <s v="Travel_Rarely"/>
    <n v="1268"/>
    <x v="0"/>
    <n v="4"/>
    <n v="2"/>
    <s v="Life Sciences"/>
    <n v="1"/>
    <n v="240"/>
    <n v="3"/>
    <s v="Female"/>
    <n v="30"/>
    <n v="3"/>
    <x v="0"/>
    <x v="0"/>
    <n v="1"/>
    <s v="Divorced"/>
    <n v="5006"/>
    <n v="6319"/>
    <n v="4"/>
    <s v="Y"/>
    <s v="Yes"/>
    <s v="Yes"/>
    <n v="11"/>
    <n v="3"/>
    <n v="1"/>
    <n v="80"/>
    <n v="1"/>
    <n v="9"/>
    <s v="6-15"/>
    <n v="3"/>
    <n v="4"/>
    <n v="5"/>
    <n v="4"/>
    <n v="0"/>
    <n v="3"/>
  </r>
  <r>
    <n v="56"/>
    <x v="1"/>
    <s v="No"/>
    <s v="Travel_Rarely"/>
    <n v="713"/>
    <x v="1"/>
    <n v="8"/>
    <n v="3"/>
    <s v="Life Sciences"/>
    <n v="1"/>
    <n v="241"/>
    <n v="3"/>
    <s v="Female"/>
    <n v="67"/>
    <n v="3"/>
    <x v="1"/>
    <x v="1"/>
    <n v="1"/>
    <s v="Divorced"/>
    <n v="4257"/>
    <n v="13939"/>
    <n v="4"/>
    <s v="Y"/>
    <s v="Yes"/>
    <s v="Yes"/>
    <n v="18"/>
    <n v="3"/>
    <n v="3"/>
    <n v="80"/>
    <n v="1"/>
    <n v="19"/>
    <s v="&gt;15"/>
    <n v="3"/>
    <n v="3"/>
    <n v="2"/>
    <n v="2"/>
    <n v="2"/>
    <n v="2"/>
  </r>
  <r>
    <n v="33"/>
    <x v="1"/>
    <s v="No"/>
    <s v="Travel_Rarely"/>
    <n v="134"/>
    <x v="1"/>
    <n v="2"/>
    <n v="3"/>
    <s v="Life Sciences"/>
    <n v="1"/>
    <n v="242"/>
    <n v="3"/>
    <s v="Male"/>
    <n v="90"/>
    <n v="3"/>
    <x v="1"/>
    <x v="1"/>
    <n v="4"/>
    <s v="Single"/>
    <n v="2500"/>
    <n v="10515"/>
    <n v="0"/>
    <s v="Y"/>
    <s v="No"/>
    <s v="No"/>
    <n v="14"/>
    <n v="3"/>
    <n v="1"/>
    <n v="80"/>
    <n v="0"/>
    <n v="4"/>
    <s v="0-5"/>
    <n v="2"/>
    <n v="4"/>
    <n v="3"/>
    <n v="1"/>
    <n v="0"/>
    <n v="2"/>
  </r>
  <r>
    <n v="19"/>
    <x v="0"/>
    <s v="Yes"/>
    <s v="Travel_Rarely"/>
    <n v="303"/>
    <x v="1"/>
    <n v="2"/>
    <n v="3"/>
    <s v="Life Sciences"/>
    <n v="1"/>
    <n v="243"/>
    <n v="2"/>
    <s v="Male"/>
    <n v="47"/>
    <n v="2"/>
    <x v="1"/>
    <x v="2"/>
    <n v="4"/>
    <s v="Single"/>
    <n v="1102"/>
    <n v="9241"/>
    <n v="1"/>
    <s v="Y"/>
    <s v="No"/>
    <s v="No"/>
    <n v="22"/>
    <n v="4"/>
    <n v="3"/>
    <n v="80"/>
    <n v="0"/>
    <n v="1"/>
    <s v="0-5"/>
    <n v="3"/>
    <n v="2"/>
    <n v="1"/>
    <n v="0"/>
    <n v="1"/>
    <n v="0"/>
  </r>
  <r>
    <n v="46"/>
    <x v="1"/>
    <s v="No"/>
    <s v="Travel_Rarely"/>
    <n v="526"/>
    <x v="0"/>
    <n v="1"/>
    <n v="2"/>
    <s v="Marketing"/>
    <n v="1"/>
    <n v="244"/>
    <n v="2"/>
    <s v="Female"/>
    <n v="92"/>
    <n v="3"/>
    <x v="2"/>
    <x v="0"/>
    <n v="1"/>
    <s v="Divorced"/>
    <n v="10453"/>
    <n v="2137"/>
    <n v="1"/>
    <s v="Y"/>
    <s v="No"/>
    <s v="No"/>
    <n v="25"/>
    <n v="4"/>
    <n v="3"/>
    <n v="80"/>
    <n v="3"/>
    <n v="24"/>
    <s v="&gt;15"/>
    <n v="2"/>
    <n v="3"/>
    <n v="24"/>
    <n v="13"/>
    <n v="15"/>
    <n v="7"/>
  </r>
  <r>
    <n v="38"/>
    <x v="1"/>
    <s v="No"/>
    <s v="Travel_Rarely"/>
    <n v="1380"/>
    <x v="1"/>
    <n v="9"/>
    <n v="2"/>
    <s v="Life Sciences"/>
    <n v="1"/>
    <n v="245"/>
    <n v="3"/>
    <s v="Female"/>
    <n v="75"/>
    <n v="3"/>
    <x v="1"/>
    <x v="2"/>
    <n v="4"/>
    <s v="Single"/>
    <n v="2288"/>
    <n v="6319"/>
    <n v="1"/>
    <s v="Y"/>
    <s v="No"/>
    <s v="No"/>
    <n v="12"/>
    <n v="3"/>
    <n v="3"/>
    <n v="80"/>
    <n v="0"/>
    <n v="2"/>
    <s v="0-5"/>
    <n v="3"/>
    <n v="3"/>
    <n v="2"/>
    <n v="2"/>
    <n v="2"/>
    <n v="1"/>
  </r>
  <r>
    <n v="31"/>
    <x v="1"/>
    <s v="No"/>
    <s v="Travel_Rarely"/>
    <n v="140"/>
    <x v="1"/>
    <n v="12"/>
    <n v="1"/>
    <s v="Medical"/>
    <n v="1"/>
    <n v="246"/>
    <n v="3"/>
    <s v="Female"/>
    <n v="95"/>
    <n v="3"/>
    <x v="1"/>
    <x v="1"/>
    <n v="4"/>
    <s v="Married"/>
    <n v="3929"/>
    <n v="6984"/>
    <n v="8"/>
    <s v="Y"/>
    <s v="Yes"/>
    <s v="Yes"/>
    <n v="23"/>
    <n v="4"/>
    <n v="3"/>
    <n v="80"/>
    <n v="1"/>
    <n v="7"/>
    <s v="6-15"/>
    <n v="0"/>
    <n v="3"/>
    <n v="4"/>
    <n v="2"/>
    <n v="0"/>
    <n v="2"/>
  </r>
  <r>
    <n v="34"/>
    <x v="1"/>
    <s v="No"/>
    <s v="Travel_Rarely"/>
    <n v="629"/>
    <x v="1"/>
    <n v="27"/>
    <n v="2"/>
    <s v="Medical"/>
    <n v="1"/>
    <n v="247"/>
    <n v="4"/>
    <s v="Female"/>
    <n v="95"/>
    <n v="3"/>
    <x v="1"/>
    <x v="1"/>
    <n v="2"/>
    <s v="Single"/>
    <n v="2311"/>
    <n v="5711"/>
    <n v="2"/>
    <s v="Y"/>
    <s v="No"/>
    <s v="No"/>
    <n v="15"/>
    <n v="3"/>
    <n v="4"/>
    <n v="80"/>
    <n v="0"/>
    <n v="9"/>
    <s v="6-15"/>
    <n v="3"/>
    <n v="3"/>
    <n v="3"/>
    <n v="2"/>
    <n v="1"/>
    <n v="2"/>
  </r>
  <r>
    <n v="41"/>
    <x v="0"/>
    <s v="Yes"/>
    <s v="Travel_Rarely"/>
    <n v="1356"/>
    <x v="0"/>
    <n v="20"/>
    <n v="2"/>
    <s v="Marketing"/>
    <n v="1"/>
    <n v="248"/>
    <n v="2"/>
    <s v="Female"/>
    <n v="70"/>
    <n v="3"/>
    <x v="1"/>
    <x v="6"/>
    <n v="2"/>
    <s v="Single"/>
    <n v="3140"/>
    <n v="21728"/>
    <n v="1"/>
    <s v="Y"/>
    <s v="Yes"/>
    <s v="Yes"/>
    <n v="22"/>
    <n v="4"/>
    <n v="4"/>
    <n v="80"/>
    <n v="0"/>
    <n v="4"/>
    <s v="0-5"/>
    <n v="5"/>
    <n v="2"/>
    <n v="4"/>
    <n v="3"/>
    <n v="0"/>
    <n v="2"/>
  </r>
  <r>
    <n v="50"/>
    <x v="1"/>
    <s v="No"/>
    <s v="Travel_Rarely"/>
    <n v="328"/>
    <x v="1"/>
    <n v="1"/>
    <n v="3"/>
    <s v="Medical"/>
    <n v="1"/>
    <n v="249"/>
    <n v="3"/>
    <s v="Male"/>
    <n v="86"/>
    <n v="2"/>
    <x v="1"/>
    <x v="2"/>
    <n v="3"/>
    <s v="Married"/>
    <n v="3690"/>
    <n v="3425"/>
    <n v="2"/>
    <s v="Y"/>
    <s v="No"/>
    <s v="No"/>
    <n v="15"/>
    <n v="3"/>
    <n v="4"/>
    <n v="80"/>
    <n v="1"/>
    <n v="5"/>
    <s v="0-5"/>
    <n v="2"/>
    <n v="2"/>
    <n v="3"/>
    <n v="2"/>
    <n v="0"/>
    <n v="2"/>
  </r>
  <r>
    <n v="53"/>
    <x v="1"/>
    <s v="No"/>
    <s v="Travel_Rarely"/>
    <n v="1084"/>
    <x v="1"/>
    <n v="13"/>
    <n v="2"/>
    <s v="Medical"/>
    <n v="1"/>
    <n v="250"/>
    <n v="4"/>
    <s v="Female"/>
    <n v="57"/>
    <n v="4"/>
    <x v="0"/>
    <x v="3"/>
    <n v="1"/>
    <s v="Divorced"/>
    <n v="4450"/>
    <n v="26250"/>
    <n v="1"/>
    <s v="Y"/>
    <s v="No"/>
    <s v="No"/>
    <n v="11"/>
    <n v="3"/>
    <n v="3"/>
    <n v="80"/>
    <n v="2"/>
    <n v="5"/>
    <s v="0-5"/>
    <n v="3"/>
    <n v="3"/>
    <n v="4"/>
    <n v="2"/>
    <n v="1"/>
    <n v="3"/>
  </r>
  <r>
    <n v="33"/>
    <x v="1"/>
    <s v="No"/>
    <s v="Travel_Rarely"/>
    <n v="931"/>
    <x v="1"/>
    <n v="14"/>
    <n v="3"/>
    <s v="Medical"/>
    <n v="1"/>
    <n v="252"/>
    <n v="4"/>
    <s v="Female"/>
    <n v="72"/>
    <n v="3"/>
    <x v="1"/>
    <x v="1"/>
    <n v="2"/>
    <s v="Married"/>
    <n v="2756"/>
    <n v="4673"/>
    <n v="1"/>
    <s v="Y"/>
    <s v="No"/>
    <s v="No"/>
    <n v="13"/>
    <n v="3"/>
    <n v="4"/>
    <n v="80"/>
    <n v="1"/>
    <n v="8"/>
    <s v="6-15"/>
    <n v="5"/>
    <n v="3"/>
    <n v="8"/>
    <n v="7"/>
    <n v="1"/>
    <n v="6"/>
  </r>
  <r>
    <n v="40"/>
    <x v="1"/>
    <s v="No"/>
    <s v="Travel_Rarely"/>
    <n v="989"/>
    <x v="1"/>
    <n v="4"/>
    <n v="1"/>
    <s v="Medical"/>
    <n v="1"/>
    <n v="253"/>
    <n v="4"/>
    <s v="Female"/>
    <n v="46"/>
    <n v="3"/>
    <x v="4"/>
    <x v="5"/>
    <n v="3"/>
    <s v="Married"/>
    <n v="19033"/>
    <n v="6499"/>
    <n v="1"/>
    <s v="Y"/>
    <s v="No"/>
    <s v="No"/>
    <n v="14"/>
    <n v="3"/>
    <n v="2"/>
    <n v="80"/>
    <n v="1"/>
    <n v="21"/>
    <s v="&gt;15"/>
    <n v="2"/>
    <n v="3"/>
    <n v="20"/>
    <n v="8"/>
    <n v="9"/>
    <n v="9"/>
  </r>
  <r>
    <n v="55"/>
    <x v="1"/>
    <s v="No"/>
    <s v="Travel_Rarely"/>
    <n v="692"/>
    <x v="1"/>
    <n v="14"/>
    <n v="4"/>
    <s v="Medical"/>
    <n v="1"/>
    <n v="254"/>
    <n v="3"/>
    <s v="Male"/>
    <n v="61"/>
    <n v="4"/>
    <x v="4"/>
    <x v="7"/>
    <n v="2"/>
    <s v="Single"/>
    <n v="18722"/>
    <n v="13339"/>
    <n v="8"/>
    <s v="Y"/>
    <s v="No"/>
    <s v="No"/>
    <n v="11"/>
    <n v="3"/>
    <n v="4"/>
    <n v="80"/>
    <n v="0"/>
    <n v="36"/>
    <s v="&gt;15"/>
    <n v="3"/>
    <n v="3"/>
    <n v="24"/>
    <n v="15"/>
    <n v="2"/>
    <n v="15"/>
  </r>
  <r>
    <n v="34"/>
    <x v="1"/>
    <s v="No"/>
    <s v="Travel_Frequently"/>
    <n v="1069"/>
    <x v="1"/>
    <n v="2"/>
    <n v="1"/>
    <s v="Life Sciences"/>
    <n v="1"/>
    <n v="256"/>
    <n v="4"/>
    <s v="Male"/>
    <n v="45"/>
    <n v="2"/>
    <x v="0"/>
    <x v="3"/>
    <n v="3"/>
    <s v="Married"/>
    <n v="9547"/>
    <n v="14074"/>
    <n v="1"/>
    <s v="Y"/>
    <s v="No"/>
    <s v="No"/>
    <n v="17"/>
    <n v="3"/>
    <n v="3"/>
    <n v="80"/>
    <n v="0"/>
    <n v="10"/>
    <s v="6-15"/>
    <n v="2"/>
    <n v="2"/>
    <n v="10"/>
    <n v="9"/>
    <n v="1"/>
    <n v="9"/>
  </r>
  <r>
    <n v="51"/>
    <x v="1"/>
    <s v="No"/>
    <s v="Travel_Rarely"/>
    <n v="313"/>
    <x v="1"/>
    <n v="3"/>
    <n v="3"/>
    <s v="Medical"/>
    <n v="1"/>
    <n v="258"/>
    <n v="4"/>
    <s v="Female"/>
    <n v="98"/>
    <n v="3"/>
    <x v="3"/>
    <x v="4"/>
    <n v="2"/>
    <s v="Single"/>
    <n v="13734"/>
    <n v="7192"/>
    <n v="3"/>
    <s v="Y"/>
    <s v="No"/>
    <s v="No"/>
    <n v="18"/>
    <n v="3"/>
    <n v="3"/>
    <n v="80"/>
    <n v="0"/>
    <n v="21"/>
    <s v="&gt;15"/>
    <n v="6"/>
    <n v="3"/>
    <n v="7"/>
    <n v="7"/>
    <n v="1"/>
    <n v="0"/>
  </r>
  <r>
    <n v="52"/>
    <x v="1"/>
    <s v="No"/>
    <s v="Travel_Rarely"/>
    <n v="699"/>
    <x v="1"/>
    <n v="1"/>
    <n v="4"/>
    <s v="Life Sciences"/>
    <n v="1"/>
    <n v="259"/>
    <n v="3"/>
    <s v="Male"/>
    <n v="65"/>
    <n v="2"/>
    <x v="4"/>
    <x v="5"/>
    <n v="3"/>
    <s v="Married"/>
    <n v="19999"/>
    <n v="5678"/>
    <n v="0"/>
    <s v="Y"/>
    <s v="No"/>
    <s v="No"/>
    <n v="14"/>
    <n v="3"/>
    <n v="1"/>
    <n v="80"/>
    <n v="1"/>
    <n v="34"/>
    <s v="&gt;15"/>
    <n v="5"/>
    <n v="3"/>
    <n v="33"/>
    <n v="18"/>
    <n v="11"/>
    <n v="9"/>
  </r>
  <r>
    <n v="27"/>
    <x v="1"/>
    <s v="No"/>
    <s v="Travel_Rarely"/>
    <n v="894"/>
    <x v="1"/>
    <n v="9"/>
    <n v="3"/>
    <s v="Medical"/>
    <n v="1"/>
    <n v="260"/>
    <n v="4"/>
    <s v="Female"/>
    <n v="99"/>
    <n v="3"/>
    <x v="1"/>
    <x v="1"/>
    <n v="2"/>
    <s v="Single"/>
    <n v="2279"/>
    <n v="11781"/>
    <n v="1"/>
    <s v="Y"/>
    <s v="No"/>
    <s v="No"/>
    <n v="16"/>
    <n v="3"/>
    <n v="4"/>
    <n v="80"/>
    <n v="0"/>
    <n v="7"/>
    <s v="6-15"/>
    <n v="2"/>
    <n v="2"/>
    <n v="7"/>
    <n v="7"/>
    <n v="0"/>
    <n v="3"/>
  </r>
  <r>
    <n v="35"/>
    <x v="0"/>
    <s v="Yes"/>
    <s v="Travel_Rarely"/>
    <n v="556"/>
    <x v="1"/>
    <n v="23"/>
    <n v="2"/>
    <s v="Life Sciences"/>
    <n v="1"/>
    <n v="261"/>
    <n v="2"/>
    <s v="Male"/>
    <n v="50"/>
    <n v="2"/>
    <x v="0"/>
    <x v="3"/>
    <n v="3"/>
    <s v="Married"/>
    <n v="5916"/>
    <n v="15497"/>
    <n v="3"/>
    <s v="Y"/>
    <s v="Yes"/>
    <s v="Yes"/>
    <n v="13"/>
    <n v="3"/>
    <n v="1"/>
    <n v="80"/>
    <n v="0"/>
    <n v="8"/>
    <s v="6-15"/>
    <n v="1"/>
    <n v="3"/>
    <n v="1"/>
    <n v="0"/>
    <n v="0"/>
    <n v="1"/>
  </r>
  <r>
    <n v="43"/>
    <x v="1"/>
    <s v="No"/>
    <s v="Non-Travel"/>
    <n v="1344"/>
    <x v="1"/>
    <n v="7"/>
    <n v="3"/>
    <s v="Medical"/>
    <n v="1"/>
    <n v="262"/>
    <n v="4"/>
    <s v="Male"/>
    <n v="37"/>
    <n v="4"/>
    <x v="1"/>
    <x v="1"/>
    <n v="4"/>
    <s v="Divorced"/>
    <n v="2089"/>
    <n v="5228"/>
    <n v="4"/>
    <s v="Y"/>
    <s v="No"/>
    <s v="No"/>
    <n v="14"/>
    <n v="3"/>
    <n v="4"/>
    <n v="80"/>
    <n v="3"/>
    <n v="7"/>
    <s v="6-15"/>
    <n v="3"/>
    <n v="4"/>
    <n v="5"/>
    <n v="4"/>
    <n v="2"/>
    <n v="2"/>
  </r>
  <r>
    <n v="45"/>
    <x v="1"/>
    <s v="No"/>
    <s v="Non-Travel"/>
    <n v="1195"/>
    <x v="1"/>
    <n v="2"/>
    <n v="2"/>
    <s v="Medical"/>
    <n v="1"/>
    <n v="264"/>
    <n v="1"/>
    <s v="Male"/>
    <n v="65"/>
    <n v="2"/>
    <x v="3"/>
    <x v="5"/>
    <n v="4"/>
    <s v="Married"/>
    <n v="16792"/>
    <n v="20462"/>
    <n v="9"/>
    <s v="Y"/>
    <s v="No"/>
    <s v="No"/>
    <n v="23"/>
    <n v="4"/>
    <n v="4"/>
    <n v="80"/>
    <n v="1"/>
    <n v="22"/>
    <s v="&gt;15"/>
    <n v="1"/>
    <n v="3"/>
    <n v="20"/>
    <n v="8"/>
    <n v="11"/>
    <n v="8"/>
  </r>
  <r>
    <n v="37"/>
    <x v="1"/>
    <s v="No"/>
    <s v="Travel_Rarely"/>
    <n v="290"/>
    <x v="1"/>
    <n v="21"/>
    <n v="3"/>
    <s v="Life Sciences"/>
    <n v="1"/>
    <n v="267"/>
    <n v="2"/>
    <s v="Male"/>
    <n v="65"/>
    <n v="4"/>
    <x v="1"/>
    <x v="1"/>
    <n v="1"/>
    <s v="Married"/>
    <n v="3564"/>
    <n v="22977"/>
    <n v="1"/>
    <s v="Y"/>
    <s v="Yes"/>
    <s v="Yes"/>
    <n v="12"/>
    <n v="3"/>
    <n v="1"/>
    <n v="80"/>
    <n v="1"/>
    <n v="8"/>
    <s v="6-15"/>
    <n v="3"/>
    <n v="2"/>
    <n v="8"/>
    <n v="7"/>
    <n v="1"/>
    <n v="7"/>
  </r>
  <r>
    <n v="35"/>
    <x v="1"/>
    <s v="No"/>
    <s v="Travel_Frequently"/>
    <n v="138"/>
    <x v="1"/>
    <n v="2"/>
    <n v="3"/>
    <s v="Medical"/>
    <n v="1"/>
    <n v="269"/>
    <n v="2"/>
    <s v="Female"/>
    <n v="37"/>
    <n v="3"/>
    <x v="0"/>
    <x v="2"/>
    <n v="2"/>
    <s v="Single"/>
    <n v="4425"/>
    <n v="15986"/>
    <n v="5"/>
    <s v="Y"/>
    <s v="No"/>
    <s v="No"/>
    <n v="11"/>
    <n v="3"/>
    <n v="4"/>
    <n v="80"/>
    <n v="0"/>
    <n v="10"/>
    <s v="6-15"/>
    <n v="5"/>
    <n v="3"/>
    <n v="6"/>
    <n v="2"/>
    <n v="1"/>
    <n v="2"/>
  </r>
  <r>
    <n v="42"/>
    <x v="1"/>
    <s v="No"/>
    <s v="Non-Travel"/>
    <n v="926"/>
    <x v="1"/>
    <n v="21"/>
    <n v="2"/>
    <s v="Medical"/>
    <n v="1"/>
    <n v="270"/>
    <n v="3"/>
    <s v="Female"/>
    <n v="36"/>
    <n v="3"/>
    <x v="0"/>
    <x v="3"/>
    <n v="3"/>
    <s v="Divorced"/>
    <n v="5265"/>
    <n v="16439"/>
    <n v="2"/>
    <s v="Y"/>
    <s v="No"/>
    <s v="No"/>
    <n v="16"/>
    <n v="3"/>
    <n v="2"/>
    <n v="80"/>
    <n v="1"/>
    <n v="11"/>
    <s v="6-15"/>
    <n v="5"/>
    <n v="3"/>
    <n v="5"/>
    <n v="3"/>
    <n v="0"/>
    <n v="2"/>
  </r>
  <r>
    <n v="38"/>
    <x v="1"/>
    <s v="No"/>
    <s v="Travel_Rarely"/>
    <n v="1261"/>
    <x v="1"/>
    <n v="2"/>
    <n v="4"/>
    <s v="Life Sciences"/>
    <n v="1"/>
    <n v="271"/>
    <n v="4"/>
    <s v="Male"/>
    <n v="88"/>
    <n v="3"/>
    <x v="0"/>
    <x v="3"/>
    <n v="3"/>
    <s v="Married"/>
    <n v="6553"/>
    <n v="7259"/>
    <n v="9"/>
    <s v="Y"/>
    <s v="No"/>
    <s v="No"/>
    <n v="14"/>
    <n v="3"/>
    <n v="2"/>
    <n v="80"/>
    <n v="0"/>
    <n v="14"/>
    <s v="6-15"/>
    <n v="3"/>
    <n v="3"/>
    <n v="1"/>
    <n v="0"/>
    <n v="0"/>
    <n v="0"/>
  </r>
  <r>
    <n v="38"/>
    <x v="1"/>
    <s v="No"/>
    <s v="Travel_Rarely"/>
    <n v="1084"/>
    <x v="1"/>
    <n v="29"/>
    <n v="3"/>
    <s v="Technical Degree"/>
    <n v="1"/>
    <n v="273"/>
    <n v="4"/>
    <s v="Male"/>
    <n v="54"/>
    <n v="3"/>
    <x v="0"/>
    <x v="3"/>
    <n v="4"/>
    <s v="Married"/>
    <n v="6261"/>
    <n v="4185"/>
    <n v="3"/>
    <s v="Y"/>
    <s v="No"/>
    <s v="No"/>
    <n v="18"/>
    <n v="3"/>
    <n v="1"/>
    <n v="80"/>
    <n v="1"/>
    <n v="9"/>
    <s v="6-15"/>
    <n v="3"/>
    <n v="1"/>
    <n v="7"/>
    <n v="7"/>
    <n v="1"/>
    <n v="7"/>
  </r>
  <r>
    <n v="27"/>
    <x v="1"/>
    <s v="No"/>
    <s v="Travel_Frequently"/>
    <n v="472"/>
    <x v="1"/>
    <n v="1"/>
    <n v="1"/>
    <s v="Technical Degree"/>
    <n v="1"/>
    <n v="274"/>
    <n v="3"/>
    <s v="Male"/>
    <n v="60"/>
    <n v="2"/>
    <x v="0"/>
    <x v="3"/>
    <n v="1"/>
    <s v="Married"/>
    <n v="4298"/>
    <n v="9679"/>
    <n v="5"/>
    <s v="Y"/>
    <s v="No"/>
    <s v="No"/>
    <n v="19"/>
    <n v="3"/>
    <n v="3"/>
    <n v="80"/>
    <n v="1"/>
    <n v="6"/>
    <s v="6-15"/>
    <n v="1"/>
    <n v="3"/>
    <n v="2"/>
    <n v="2"/>
    <n v="2"/>
    <n v="0"/>
  </r>
  <r>
    <n v="49"/>
    <x v="1"/>
    <s v="No"/>
    <s v="Non-Travel"/>
    <n v="1002"/>
    <x v="1"/>
    <n v="18"/>
    <n v="4"/>
    <s v="Life Sciences"/>
    <n v="1"/>
    <n v="275"/>
    <n v="4"/>
    <s v="Male"/>
    <n v="92"/>
    <n v="3"/>
    <x v="0"/>
    <x v="3"/>
    <n v="4"/>
    <s v="Divorced"/>
    <n v="6804"/>
    <n v="23793"/>
    <n v="1"/>
    <s v="Y"/>
    <s v="Yes"/>
    <s v="Yes"/>
    <n v="15"/>
    <n v="3"/>
    <n v="1"/>
    <n v="80"/>
    <n v="2"/>
    <n v="7"/>
    <s v="6-15"/>
    <n v="0"/>
    <n v="3"/>
    <n v="7"/>
    <n v="7"/>
    <n v="1"/>
    <n v="7"/>
  </r>
  <r>
    <n v="34"/>
    <x v="1"/>
    <s v="No"/>
    <s v="Travel_Frequently"/>
    <n v="878"/>
    <x v="1"/>
    <n v="10"/>
    <n v="4"/>
    <s v="Medical"/>
    <n v="1"/>
    <n v="277"/>
    <n v="4"/>
    <s v="Male"/>
    <n v="43"/>
    <n v="3"/>
    <x v="1"/>
    <x v="1"/>
    <n v="3"/>
    <s v="Divorced"/>
    <n v="3815"/>
    <n v="5972"/>
    <n v="1"/>
    <s v="Y"/>
    <s v="Yes"/>
    <s v="Yes"/>
    <n v="17"/>
    <n v="3"/>
    <n v="4"/>
    <n v="80"/>
    <n v="1"/>
    <n v="5"/>
    <s v="0-5"/>
    <n v="4"/>
    <n v="4"/>
    <n v="5"/>
    <n v="3"/>
    <n v="2"/>
    <n v="0"/>
  </r>
  <r>
    <n v="40"/>
    <x v="1"/>
    <s v="No"/>
    <s v="Travel_Rarely"/>
    <n v="905"/>
    <x v="1"/>
    <n v="19"/>
    <n v="2"/>
    <s v="Medical"/>
    <n v="1"/>
    <n v="281"/>
    <n v="3"/>
    <s v="Male"/>
    <n v="99"/>
    <n v="3"/>
    <x v="0"/>
    <x v="2"/>
    <n v="4"/>
    <s v="Married"/>
    <n v="2741"/>
    <n v="16523"/>
    <n v="8"/>
    <s v="Y"/>
    <s v="Yes"/>
    <s v="Yes"/>
    <n v="15"/>
    <n v="3"/>
    <n v="3"/>
    <n v="80"/>
    <n v="1"/>
    <n v="15"/>
    <s v="6-15"/>
    <n v="2"/>
    <n v="4"/>
    <n v="7"/>
    <n v="2"/>
    <n v="3"/>
    <n v="7"/>
  </r>
  <r>
    <n v="38"/>
    <x v="0"/>
    <s v="Yes"/>
    <s v="Travel_Rarely"/>
    <n v="1180"/>
    <x v="1"/>
    <n v="29"/>
    <n v="1"/>
    <s v="Medical"/>
    <n v="1"/>
    <n v="282"/>
    <n v="2"/>
    <s v="Male"/>
    <n v="70"/>
    <n v="3"/>
    <x v="0"/>
    <x v="4"/>
    <n v="1"/>
    <s v="Married"/>
    <n v="6673"/>
    <n v="11354"/>
    <n v="7"/>
    <s v="Y"/>
    <s v="Yes"/>
    <s v="Yes"/>
    <n v="19"/>
    <n v="3"/>
    <n v="2"/>
    <n v="80"/>
    <n v="0"/>
    <n v="17"/>
    <s v="&gt;15"/>
    <n v="2"/>
    <n v="3"/>
    <n v="1"/>
    <n v="0"/>
    <n v="0"/>
    <n v="0"/>
  </r>
  <r>
    <n v="29"/>
    <x v="0"/>
    <s v="Yes"/>
    <s v="Travel_Rarely"/>
    <n v="121"/>
    <x v="0"/>
    <n v="27"/>
    <n v="3"/>
    <s v="Marketing"/>
    <n v="1"/>
    <n v="283"/>
    <n v="2"/>
    <s v="Female"/>
    <n v="35"/>
    <n v="3"/>
    <x v="2"/>
    <x v="0"/>
    <n v="4"/>
    <s v="Married"/>
    <n v="7639"/>
    <n v="24525"/>
    <n v="1"/>
    <s v="Y"/>
    <s v="No"/>
    <s v="No"/>
    <n v="22"/>
    <n v="4"/>
    <n v="4"/>
    <n v="80"/>
    <n v="3"/>
    <n v="10"/>
    <s v="6-15"/>
    <n v="3"/>
    <n v="2"/>
    <n v="10"/>
    <n v="4"/>
    <n v="1"/>
    <n v="9"/>
  </r>
  <r>
    <n v="22"/>
    <x v="1"/>
    <s v="No"/>
    <s v="Travel_Rarely"/>
    <n v="1136"/>
    <x v="1"/>
    <n v="5"/>
    <n v="3"/>
    <s v="Life Sciences"/>
    <n v="1"/>
    <n v="284"/>
    <n v="4"/>
    <s v="Male"/>
    <n v="60"/>
    <n v="4"/>
    <x v="1"/>
    <x v="1"/>
    <n v="2"/>
    <s v="Divorced"/>
    <n v="2328"/>
    <n v="12392"/>
    <n v="1"/>
    <s v="Y"/>
    <s v="Yes"/>
    <s v="Yes"/>
    <n v="16"/>
    <n v="3"/>
    <n v="1"/>
    <n v="80"/>
    <n v="1"/>
    <n v="4"/>
    <s v="0-5"/>
    <n v="2"/>
    <n v="2"/>
    <n v="4"/>
    <n v="2"/>
    <n v="2"/>
    <n v="2"/>
  </r>
  <r>
    <n v="36"/>
    <x v="1"/>
    <s v="No"/>
    <s v="Travel_Frequently"/>
    <n v="635"/>
    <x v="1"/>
    <n v="18"/>
    <n v="1"/>
    <s v="Medical"/>
    <n v="1"/>
    <n v="286"/>
    <n v="2"/>
    <s v="Female"/>
    <n v="73"/>
    <n v="3"/>
    <x v="1"/>
    <x v="2"/>
    <n v="4"/>
    <s v="Single"/>
    <n v="2153"/>
    <n v="7703"/>
    <n v="1"/>
    <s v="Y"/>
    <s v="No"/>
    <s v="No"/>
    <n v="13"/>
    <n v="3"/>
    <n v="1"/>
    <n v="80"/>
    <n v="0"/>
    <n v="8"/>
    <s v="6-15"/>
    <n v="2"/>
    <n v="3"/>
    <n v="8"/>
    <n v="1"/>
    <n v="1"/>
    <n v="7"/>
  </r>
  <r>
    <n v="40"/>
    <x v="1"/>
    <s v="No"/>
    <s v="Non-Travel"/>
    <n v="1151"/>
    <x v="1"/>
    <n v="9"/>
    <n v="5"/>
    <s v="Life Sciences"/>
    <n v="1"/>
    <n v="287"/>
    <n v="4"/>
    <s v="Male"/>
    <n v="63"/>
    <n v="2"/>
    <x v="0"/>
    <x v="4"/>
    <n v="4"/>
    <s v="Married"/>
    <n v="4876"/>
    <n v="14242"/>
    <n v="9"/>
    <s v="Y"/>
    <s v="No"/>
    <s v="No"/>
    <n v="14"/>
    <n v="3"/>
    <n v="4"/>
    <n v="80"/>
    <n v="1"/>
    <n v="5"/>
    <s v="0-5"/>
    <n v="5"/>
    <n v="1"/>
    <n v="3"/>
    <n v="2"/>
    <n v="0"/>
    <n v="2"/>
  </r>
  <r>
    <n v="46"/>
    <x v="1"/>
    <s v="No"/>
    <s v="Travel_Rarely"/>
    <n v="644"/>
    <x v="1"/>
    <n v="1"/>
    <n v="4"/>
    <s v="Medical"/>
    <n v="1"/>
    <n v="288"/>
    <n v="4"/>
    <s v="Male"/>
    <n v="97"/>
    <n v="3"/>
    <x v="2"/>
    <x v="4"/>
    <n v="1"/>
    <s v="Divorced"/>
    <n v="9396"/>
    <n v="12368"/>
    <n v="7"/>
    <s v="Y"/>
    <s v="No"/>
    <s v="No"/>
    <n v="16"/>
    <n v="3"/>
    <n v="3"/>
    <n v="80"/>
    <n v="1"/>
    <n v="17"/>
    <s v="&gt;15"/>
    <n v="3"/>
    <n v="3"/>
    <n v="4"/>
    <n v="2"/>
    <n v="0"/>
    <n v="3"/>
  </r>
  <r>
    <n v="32"/>
    <x v="0"/>
    <s v="Yes"/>
    <s v="Travel_Rarely"/>
    <n v="1045"/>
    <x v="0"/>
    <n v="4"/>
    <n v="4"/>
    <s v="Medical"/>
    <n v="1"/>
    <n v="291"/>
    <n v="4"/>
    <s v="Male"/>
    <n v="32"/>
    <n v="1"/>
    <x v="2"/>
    <x v="0"/>
    <n v="4"/>
    <s v="Married"/>
    <n v="10400"/>
    <n v="25812"/>
    <n v="1"/>
    <s v="Y"/>
    <s v="No"/>
    <s v="No"/>
    <n v="11"/>
    <n v="3"/>
    <n v="3"/>
    <n v="80"/>
    <n v="0"/>
    <n v="14"/>
    <s v="6-15"/>
    <n v="2"/>
    <n v="2"/>
    <n v="14"/>
    <n v="8"/>
    <n v="9"/>
    <n v="8"/>
  </r>
  <r>
    <n v="30"/>
    <x v="1"/>
    <s v="No"/>
    <s v="Non-Travel"/>
    <n v="829"/>
    <x v="1"/>
    <n v="1"/>
    <n v="1"/>
    <s v="Life Sciences"/>
    <n v="1"/>
    <n v="292"/>
    <n v="3"/>
    <s v="Male"/>
    <n v="88"/>
    <n v="2"/>
    <x v="2"/>
    <x v="3"/>
    <n v="3"/>
    <s v="Single"/>
    <n v="8474"/>
    <n v="20925"/>
    <n v="1"/>
    <s v="Y"/>
    <s v="No"/>
    <s v="No"/>
    <n v="22"/>
    <n v="4"/>
    <n v="3"/>
    <n v="80"/>
    <n v="0"/>
    <n v="12"/>
    <s v="6-15"/>
    <n v="2"/>
    <n v="3"/>
    <n v="11"/>
    <n v="8"/>
    <n v="5"/>
    <n v="8"/>
  </r>
  <r>
    <n v="27"/>
    <x v="1"/>
    <s v="No"/>
    <s v="Travel_Frequently"/>
    <n v="1242"/>
    <x v="0"/>
    <n v="20"/>
    <n v="3"/>
    <s v="Life Sciences"/>
    <n v="1"/>
    <n v="293"/>
    <n v="4"/>
    <s v="Female"/>
    <n v="90"/>
    <n v="3"/>
    <x v="0"/>
    <x v="0"/>
    <n v="3"/>
    <s v="Single"/>
    <n v="9981"/>
    <n v="12916"/>
    <n v="1"/>
    <s v="Y"/>
    <s v="No"/>
    <s v="No"/>
    <n v="14"/>
    <n v="3"/>
    <n v="4"/>
    <n v="80"/>
    <n v="0"/>
    <n v="7"/>
    <s v="6-15"/>
    <n v="2"/>
    <n v="3"/>
    <n v="7"/>
    <n v="7"/>
    <n v="0"/>
    <n v="7"/>
  </r>
  <r>
    <n v="51"/>
    <x v="1"/>
    <s v="No"/>
    <s v="Travel_Rarely"/>
    <n v="1469"/>
    <x v="1"/>
    <n v="8"/>
    <n v="4"/>
    <s v="Life Sciences"/>
    <n v="1"/>
    <n v="296"/>
    <n v="2"/>
    <s v="Male"/>
    <n v="81"/>
    <n v="2"/>
    <x v="2"/>
    <x v="7"/>
    <n v="2"/>
    <s v="Married"/>
    <n v="12490"/>
    <n v="15736"/>
    <n v="5"/>
    <s v="Y"/>
    <s v="No"/>
    <s v="No"/>
    <n v="16"/>
    <n v="3"/>
    <n v="4"/>
    <n v="80"/>
    <n v="2"/>
    <n v="16"/>
    <s v="&gt;15"/>
    <n v="5"/>
    <n v="1"/>
    <n v="10"/>
    <n v="9"/>
    <n v="4"/>
    <n v="7"/>
  </r>
  <r>
    <n v="30"/>
    <x v="0"/>
    <s v="Yes"/>
    <s v="Travel_Rarely"/>
    <n v="1005"/>
    <x v="1"/>
    <n v="3"/>
    <n v="3"/>
    <s v="Technical Degree"/>
    <n v="1"/>
    <n v="297"/>
    <n v="4"/>
    <s v="Female"/>
    <n v="88"/>
    <n v="3"/>
    <x v="1"/>
    <x v="1"/>
    <n v="1"/>
    <s v="Single"/>
    <n v="2657"/>
    <n v="8556"/>
    <n v="5"/>
    <s v="Y"/>
    <s v="Yes"/>
    <s v="Yes"/>
    <n v="11"/>
    <n v="3"/>
    <n v="3"/>
    <n v="80"/>
    <n v="0"/>
    <n v="8"/>
    <s v="6-15"/>
    <n v="5"/>
    <n v="3"/>
    <n v="5"/>
    <n v="2"/>
    <n v="0"/>
    <n v="4"/>
  </r>
  <r>
    <n v="41"/>
    <x v="1"/>
    <s v="No"/>
    <s v="Travel_Rarely"/>
    <n v="896"/>
    <x v="0"/>
    <n v="6"/>
    <n v="3"/>
    <s v="Life Sciences"/>
    <n v="1"/>
    <n v="298"/>
    <n v="4"/>
    <s v="Female"/>
    <n v="75"/>
    <n v="3"/>
    <x v="2"/>
    <x v="5"/>
    <n v="4"/>
    <s v="Single"/>
    <n v="13591"/>
    <n v="14674"/>
    <n v="3"/>
    <s v="Y"/>
    <s v="Yes"/>
    <s v="Yes"/>
    <n v="18"/>
    <n v="3"/>
    <n v="3"/>
    <n v="80"/>
    <n v="0"/>
    <n v="16"/>
    <s v="&gt;15"/>
    <n v="3"/>
    <n v="3"/>
    <n v="1"/>
    <n v="0"/>
    <n v="0"/>
    <n v="0"/>
  </r>
  <r>
    <n v="30"/>
    <x v="0"/>
    <s v="Yes"/>
    <s v="Travel_Frequently"/>
    <n v="334"/>
    <x v="0"/>
    <n v="26"/>
    <n v="4"/>
    <s v="Marketing"/>
    <n v="1"/>
    <n v="299"/>
    <n v="3"/>
    <s v="Female"/>
    <n v="52"/>
    <n v="2"/>
    <x v="0"/>
    <x v="0"/>
    <n v="1"/>
    <s v="Single"/>
    <n v="6696"/>
    <n v="22967"/>
    <n v="5"/>
    <s v="Y"/>
    <s v="No"/>
    <s v="No"/>
    <n v="15"/>
    <n v="3"/>
    <n v="3"/>
    <n v="80"/>
    <n v="0"/>
    <n v="9"/>
    <s v="6-15"/>
    <n v="5"/>
    <n v="2"/>
    <n v="6"/>
    <n v="3"/>
    <n v="0"/>
    <n v="1"/>
  </r>
  <r>
    <n v="29"/>
    <x v="0"/>
    <s v="Yes"/>
    <s v="Travel_Rarely"/>
    <n v="992"/>
    <x v="1"/>
    <n v="1"/>
    <n v="3"/>
    <s v="Technical Degree"/>
    <n v="1"/>
    <n v="300"/>
    <n v="3"/>
    <s v="Male"/>
    <n v="85"/>
    <n v="3"/>
    <x v="1"/>
    <x v="1"/>
    <n v="3"/>
    <s v="Single"/>
    <n v="2058"/>
    <n v="19757"/>
    <n v="0"/>
    <s v="Y"/>
    <s v="No"/>
    <s v="No"/>
    <n v="14"/>
    <n v="3"/>
    <n v="4"/>
    <n v="80"/>
    <n v="0"/>
    <n v="7"/>
    <s v="6-15"/>
    <n v="1"/>
    <n v="2"/>
    <n v="6"/>
    <n v="2"/>
    <n v="1"/>
    <n v="5"/>
  </r>
  <r>
    <n v="45"/>
    <x v="1"/>
    <s v="No"/>
    <s v="Non-Travel"/>
    <n v="1052"/>
    <x v="0"/>
    <n v="6"/>
    <n v="3"/>
    <s v="Medical"/>
    <n v="1"/>
    <n v="302"/>
    <n v="4"/>
    <s v="Female"/>
    <n v="57"/>
    <n v="2"/>
    <x v="2"/>
    <x v="0"/>
    <n v="4"/>
    <s v="Single"/>
    <n v="8865"/>
    <n v="16840"/>
    <n v="6"/>
    <s v="Y"/>
    <s v="No"/>
    <s v="No"/>
    <n v="12"/>
    <n v="3"/>
    <n v="4"/>
    <n v="80"/>
    <n v="0"/>
    <n v="23"/>
    <s v="&gt;15"/>
    <n v="2"/>
    <n v="3"/>
    <n v="19"/>
    <n v="7"/>
    <n v="12"/>
    <n v="8"/>
  </r>
  <r>
    <n v="54"/>
    <x v="1"/>
    <s v="No"/>
    <s v="Travel_Rarely"/>
    <n v="1147"/>
    <x v="0"/>
    <n v="3"/>
    <n v="3"/>
    <s v="Marketing"/>
    <n v="1"/>
    <n v="303"/>
    <n v="4"/>
    <s v="Female"/>
    <n v="52"/>
    <n v="3"/>
    <x v="0"/>
    <x v="0"/>
    <n v="1"/>
    <s v="Married"/>
    <n v="5940"/>
    <n v="17011"/>
    <n v="2"/>
    <s v="Y"/>
    <s v="No"/>
    <s v="No"/>
    <n v="14"/>
    <n v="3"/>
    <n v="4"/>
    <n v="80"/>
    <n v="1"/>
    <n v="16"/>
    <s v="&gt;15"/>
    <n v="4"/>
    <n v="3"/>
    <n v="6"/>
    <n v="2"/>
    <n v="0"/>
    <n v="5"/>
  </r>
  <r>
    <n v="36"/>
    <x v="1"/>
    <s v="No"/>
    <s v="Travel_Rarely"/>
    <n v="1396"/>
    <x v="1"/>
    <n v="5"/>
    <n v="2"/>
    <s v="Life Sciences"/>
    <n v="1"/>
    <n v="304"/>
    <n v="4"/>
    <s v="Male"/>
    <n v="62"/>
    <n v="3"/>
    <x v="0"/>
    <x v="2"/>
    <n v="2"/>
    <s v="Single"/>
    <n v="5914"/>
    <n v="9945"/>
    <n v="8"/>
    <s v="Y"/>
    <s v="No"/>
    <s v="No"/>
    <n v="16"/>
    <n v="3"/>
    <n v="4"/>
    <n v="80"/>
    <n v="0"/>
    <n v="16"/>
    <s v="&gt;15"/>
    <n v="3"/>
    <n v="4"/>
    <n v="13"/>
    <n v="11"/>
    <n v="3"/>
    <n v="7"/>
  </r>
  <r>
    <n v="33"/>
    <x v="1"/>
    <s v="No"/>
    <s v="Travel_Rarely"/>
    <n v="147"/>
    <x v="1"/>
    <n v="4"/>
    <n v="4"/>
    <s v="Medical"/>
    <n v="1"/>
    <n v="305"/>
    <n v="3"/>
    <s v="Female"/>
    <n v="47"/>
    <n v="2"/>
    <x v="1"/>
    <x v="1"/>
    <n v="2"/>
    <s v="Married"/>
    <n v="2622"/>
    <n v="13248"/>
    <n v="6"/>
    <s v="Y"/>
    <s v="No"/>
    <s v="No"/>
    <n v="21"/>
    <n v="4"/>
    <n v="4"/>
    <n v="80"/>
    <n v="0"/>
    <n v="7"/>
    <s v="6-15"/>
    <n v="3"/>
    <n v="3"/>
    <n v="3"/>
    <n v="2"/>
    <n v="1"/>
    <n v="1"/>
  </r>
  <r>
    <n v="37"/>
    <x v="1"/>
    <s v="No"/>
    <s v="Travel_Frequently"/>
    <n v="663"/>
    <x v="1"/>
    <n v="11"/>
    <n v="3"/>
    <s v="Other"/>
    <n v="1"/>
    <n v="306"/>
    <n v="2"/>
    <s v="Male"/>
    <n v="47"/>
    <n v="3"/>
    <x v="2"/>
    <x v="7"/>
    <n v="4"/>
    <s v="Divorced"/>
    <n v="12185"/>
    <n v="10056"/>
    <n v="1"/>
    <s v="Y"/>
    <s v="Yes"/>
    <s v="Yes"/>
    <n v="14"/>
    <n v="3"/>
    <n v="3"/>
    <n v="80"/>
    <n v="3"/>
    <n v="10"/>
    <s v="6-15"/>
    <n v="1"/>
    <n v="3"/>
    <n v="10"/>
    <n v="8"/>
    <n v="0"/>
    <n v="7"/>
  </r>
  <r>
    <n v="38"/>
    <x v="1"/>
    <s v="No"/>
    <s v="Travel_Rarely"/>
    <n v="119"/>
    <x v="0"/>
    <n v="3"/>
    <n v="3"/>
    <s v="Life Sciences"/>
    <n v="1"/>
    <n v="307"/>
    <n v="1"/>
    <s v="Male"/>
    <n v="76"/>
    <n v="3"/>
    <x v="2"/>
    <x v="0"/>
    <n v="3"/>
    <s v="Divorced"/>
    <n v="10609"/>
    <n v="9647"/>
    <n v="0"/>
    <s v="Y"/>
    <s v="No"/>
    <s v="No"/>
    <n v="12"/>
    <n v="3"/>
    <n v="3"/>
    <n v="80"/>
    <n v="2"/>
    <n v="17"/>
    <s v="&gt;15"/>
    <n v="6"/>
    <n v="2"/>
    <n v="16"/>
    <n v="10"/>
    <n v="5"/>
    <n v="13"/>
  </r>
  <r>
    <n v="31"/>
    <x v="1"/>
    <s v="No"/>
    <s v="Non-Travel"/>
    <n v="979"/>
    <x v="1"/>
    <n v="1"/>
    <n v="4"/>
    <s v="Medical"/>
    <n v="1"/>
    <n v="308"/>
    <n v="3"/>
    <s v="Male"/>
    <n v="90"/>
    <n v="1"/>
    <x v="0"/>
    <x v="3"/>
    <n v="3"/>
    <s v="Married"/>
    <n v="4345"/>
    <n v="4381"/>
    <n v="0"/>
    <s v="Y"/>
    <s v="No"/>
    <s v="No"/>
    <n v="12"/>
    <n v="3"/>
    <n v="4"/>
    <n v="80"/>
    <n v="1"/>
    <n v="6"/>
    <s v="6-15"/>
    <n v="2"/>
    <n v="3"/>
    <n v="5"/>
    <n v="4"/>
    <n v="1"/>
    <n v="4"/>
  </r>
  <r>
    <n v="59"/>
    <x v="1"/>
    <s v="No"/>
    <s v="Travel_Rarely"/>
    <n v="142"/>
    <x v="1"/>
    <n v="3"/>
    <n v="3"/>
    <s v="Life Sciences"/>
    <n v="1"/>
    <n v="309"/>
    <n v="3"/>
    <s v="Male"/>
    <n v="70"/>
    <n v="2"/>
    <x v="1"/>
    <x v="1"/>
    <n v="4"/>
    <s v="Married"/>
    <n v="2177"/>
    <n v="8456"/>
    <n v="3"/>
    <s v="Y"/>
    <s v="No"/>
    <s v="No"/>
    <n v="17"/>
    <n v="3"/>
    <n v="1"/>
    <n v="80"/>
    <n v="1"/>
    <n v="7"/>
    <s v="6-15"/>
    <n v="6"/>
    <n v="3"/>
    <n v="1"/>
    <n v="0"/>
    <n v="0"/>
    <n v="0"/>
  </r>
  <r>
    <n v="37"/>
    <x v="1"/>
    <s v="No"/>
    <s v="Travel_Frequently"/>
    <n v="319"/>
    <x v="0"/>
    <n v="4"/>
    <n v="4"/>
    <s v="Marketing"/>
    <n v="1"/>
    <n v="311"/>
    <n v="1"/>
    <s v="Male"/>
    <n v="41"/>
    <n v="3"/>
    <x v="1"/>
    <x v="6"/>
    <n v="4"/>
    <s v="Divorced"/>
    <n v="2793"/>
    <n v="2539"/>
    <n v="4"/>
    <s v="Y"/>
    <s v="No"/>
    <s v="No"/>
    <n v="17"/>
    <n v="3"/>
    <n v="3"/>
    <n v="80"/>
    <n v="1"/>
    <n v="13"/>
    <s v="6-15"/>
    <n v="2"/>
    <n v="3"/>
    <n v="9"/>
    <n v="8"/>
    <n v="5"/>
    <n v="8"/>
  </r>
  <r>
    <n v="29"/>
    <x v="1"/>
    <s v="No"/>
    <s v="Travel_Frequently"/>
    <n v="1413"/>
    <x v="0"/>
    <n v="1"/>
    <n v="1"/>
    <s v="Medical"/>
    <n v="1"/>
    <n v="312"/>
    <n v="2"/>
    <s v="Female"/>
    <n v="42"/>
    <n v="3"/>
    <x v="2"/>
    <x v="0"/>
    <n v="4"/>
    <s v="Married"/>
    <n v="7918"/>
    <n v="6599"/>
    <n v="1"/>
    <s v="Y"/>
    <s v="No"/>
    <s v="No"/>
    <n v="14"/>
    <n v="3"/>
    <n v="4"/>
    <n v="80"/>
    <n v="1"/>
    <n v="11"/>
    <s v="6-15"/>
    <n v="5"/>
    <n v="3"/>
    <n v="11"/>
    <n v="10"/>
    <n v="4"/>
    <n v="1"/>
  </r>
  <r>
    <n v="35"/>
    <x v="1"/>
    <s v="No"/>
    <s v="Travel_Frequently"/>
    <n v="944"/>
    <x v="0"/>
    <n v="1"/>
    <n v="3"/>
    <s v="Marketing"/>
    <n v="1"/>
    <n v="314"/>
    <n v="3"/>
    <s v="Female"/>
    <n v="92"/>
    <n v="3"/>
    <x v="2"/>
    <x v="0"/>
    <n v="3"/>
    <s v="Single"/>
    <n v="8789"/>
    <n v="9096"/>
    <n v="1"/>
    <s v="Y"/>
    <s v="No"/>
    <s v="No"/>
    <n v="14"/>
    <n v="3"/>
    <n v="1"/>
    <n v="80"/>
    <n v="0"/>
    <n v="10"/>
    <s v="6-15"/>
    <n v="3"/>
    <n v="4"/>
    <n v="10"/>
    <n v="7"/>
    <n v="0"/>
    <n v="8"/>
  </r>
  <r>
    <n v="29"/>
    <x v="0"/>
    <s v="Yes"/>
    <s v="Travel_Rarely"/>
    <n v="896"/>
    <x v="1"/>
    <n v="18"/>
    <n v="1"/>
    <s v="Medical"/>
    <n v="1"/>
    <n v="315"/>
    <n v="3"/>
    <s v="Male"/>
    <n v="86"/>
    <n v="2"/>
    <x v="1"/>
    <x v="1"/>
    <n v="4"/>
    <s v="Single"/>
    <n v="2389"/>
    <n v="14961"/>
    <n v="1"/>
    <s v="Y"/>
    <s v="Yes"/>
    <s v="Yes"/>
    <n v="13"/>
    <n v="3"/>
    <n v="3"/>
    <n v="80"/>
    <n v="0"/>
    <n v="4"/>
    <s v="0-5"/>
    <n v="3"/>
    <n v="2"/>
    <n v="4"/>
    <n v="3"/>
    <n v="0"/>
    <n v="1"/>
  </r>
  <r>
    <n v="52"/>
    <x v="1"/>
    <s v="No"/>
    <s v="Travel_Rarely"/>
    <n v="1323"/>
    <x v="1"/>
    <n v="2"/>
    <n v="3"/>
    <s v="Life Sciences"/>
    <n v="1"/>
    <n v="316"/>
    <n v="3"/>
    <s v="Female"/>
    <n v="89"/>
    <n v="2"/>
    <x v="1"/>
    <x v="2"/>
    <n v="4"/>
    <s v="Single"/>
    <n v="3212"/>
    <n v="3300"/>
    <n v="7"/>
    <s v="Y"/>
    <s v="No"/>
    <s v="No"/>
    <n v="15"/>
    <n v="3"/>
    <n v="2"/>
    <n v="80"/>
    <n v="0"/>
    <n v="6"/>
    <s v="6-15"/>
    <n v="3"/>
    <n v="2"/>
    <n v="2"/>
    <n v="2"/>
    <n v="2"/>
    <n v="2"/>
  </r>
  <r>
    <n v="42"/>
    <x v="1"/>
    <s v="No"/>
    <s v="Travel_Rarely"/>
    <n v="532"/>
    <x v="1"/>
    <n v="4"/>
    <n v="2"/>
    <s v="Technical Degree"/>
    <n v="1"/>
    <n v="319"/>
    <n v="3"/>
    <s v="Male"/>
    <n v="58"/>
    <n v="3"/>
    <x v="4"/>
    <x v="5"/>
    <n v="4"/>
    <s v="Married"/>
    <n v="19232"/>
    <n v="4933"/>
    <n v="1"/>
    <s v="Y"/>
    <s v="No"/>
    <s v="No"/>
    <n v="11"/>
    <n v="3"/>
    <n v="4"/>
    <n v="80"/>
    <n v="0"/>
    <n v="22"/>
    <s v="&gt;15"/>
    <n v="3"/>
    <n v="3"/>
    <n v="22"/>
    <n v="17"/>
    <n v="11"/>
    <n v="15"/>
  </r>
  <r>
    <n v="59"/>
    <x v="1"/>
    <s v="No"/>
    <s v="Travel_Rarely"/>
    <n v="818"/>
    <x v="2"/>
    <n v="6"/>
    <n v="2"/>
    <s v="Medical"/>
    <n v="1"/>
    <n v="321"/>
    <n v="2"/>
    <s v="Male"/>
    <n v="52"/>
    <n v="3"/>
    <x v="1"/>
    <x v="8"/>
    <n v="3"/>
    <s v="Married"/>
    <n v="2267"/>
    <n v="25657"/>
    <n v="8"/>
    <s v="Y"/>
    <s v="No"/>
    <s v="No"/>
    <n v="17"/>
    <n v="3"/>
    <n v="4"/>
    <n v="80"/>
    <n v="0"/>
    <n v="7"/>
    <s v="6-15"/>
    <n v="2"/>
    <n v="2"/>
    <n v="2"/>
    <n v="2"/>
    <n v="2"/>
    <n v="2"/>
  </r>
  <r>
    <n v="50"/>
    <x v="1"/>
    <s v="No"/>
    <s v="Travel_Rarely"/>
    <n v="854"/>
    <x v="0"/>
    <n v="1"/>
    <n v="4"/>
    <s v="Medical"/>
    <n v="1"/>
    <n v="323"/>
    <n v="4"/>
    <s v="Female"/>
    <n v="68"/>
    <n v="3"/>
    <x v="4"/>
    <x v="5"/>
    <n v="4"/>
    <s v="Divorced"/>
    <n v="19517"/>
    <n v="24118"/>
    <n v="3"/>
    <s v="Y"/>
    <s v="No"/>
    <s v="No"/>
    <n v="11"/>
    <n v="3"/>
    <n v="3"/>
    <n v="80"/>
    <n v="1"/>
    <n v="32"/>
    <s v="&gt;15"/>
    <n v="3"/>
    <n v="2"/>
    <n v="7"/>
    <n v="0"/>
    <n v="0"/>
    <n v="6"/>
  </r>
  <r>
    <n v="33"/>
    <x v="0"/>
    <s v="Yes"/>
    <s v="Travel_Rarely"/>
    <n v="813"/>
    <x v="1"/>
    <n v="14"/>
    <n v="3"/>
    <s v="Medical"/>
    <n v="1"/>
    <n v="325"/>
    <n v="3"/>
    <s v="Male"/>
    <n v="58"/>
    <n v="3"/>
    <x v="1"/>
    <x v="2"/>
    <n v="4"/>
    <s v="Married"/>
    <n v="2436"/>
    <n v="22149"/>
    <n v="5"/>
    <s v="Y"/>
    <s v="Yes"/>
    <s v="Yes"/>
    <n v="13"/>
    <n v="3"/>
    <n v="3"/>
    <n v="80"/>
    <n v="1"/>
    <n v="8"/>
    <s v="6-15"/>
    <n v="2"/>
    <n v="1"/>
    <n v="5"/>
    <n v="4"/>
    <n v="0"/>
    <n v="4"/>
  </r>
  <r>
    <n v="43"/>
    <x v="1"/>
    <s v="No"/>
    <s v="Travel_Rarely"/>
    <n v="1034"/>
    <x v="0"/>
    <n v="16"/>
    <n v="3"/>
    <s v="Marketing"/>
    <n v="1"/>
    <n v="327"/>
    <n v="4"/>
    <s v="Female"/>
    <n v="80"/>
    <n v="3"/>
    <x v="3"/>
    <x v="5"/>
    <n v="4"/>
    <s v="Married"/>
    <n v="16064"/>
    <n v="7744"/>
    <n v="5"/>
    <s v="Y"/>
    <s v="Yes"/>
    <s v="Yes"/>
    <n v="22"/>
    <n v="4"/>
    <n v="3"/>
    <n v="80"/>
    <n v="1"/>
    <n v="22"/>
    <s v="&gt;15"/>
    <n v="3"/>
    <n v="3"/>
    <n v="17"/>
    <n v="13"/>
    <n v="1"/>
    <n v="9"/>
  </r>
  <r>
    <n v="33"/>
    <x v="0"/>
    <s v="Yes"/>
    <s v="Travel_Rarely"/>
    <n v="465"/>
    <x v="1"/>
    <n v="2"/>
    <n v="2"/>
    <s v="Life Sciences"/>
    <n v="1"/>
    <n v="328"/>
    <n v="1"/>
    <s v="Female"/>
    <n v="39"/>
    <n v="3"/>
    <x v="1"/>
    <x v="2"/>
    <n v="1"/>
    <s v="Married"/>
    <n v="2707"/>
    <n v="21509"/>
    <n v="7"/>
    <s v="Y"/>
    <s v="No"/>
    <s v="No"/>
    <n v="20"/>
    <n v="4"/>
    <n v="1"/>
    <n v="80"/>
    <n v="0"/>
    <n v="13"/>
    <s v="6-15"/>
    <n v="3"/>
    <n v="4"/>
    <n v="9"/>
    <n v="7"/>
    <n v="1"/>
    <n v="7"/>
  </r>
  <r>
    <n v="52"/>
    <x v="1"/>
    <s v="No"/>
    <s v="Non-Travel"/>
    <n v="771"/>
    <x v="0"/>
    <n v="2"/>
    <n v="4"/>
    <s v="Life Sciences"/>
    <n v="1"/>
    <n v="329"/>
    <n v="1"/>
    <s v="Male"/>
    <n v="79"/>
    <n v="2"/>
    <x v="4"/>
    <x v="5"/>
    <n v="3"/>
    <s v="Single"/>
    <n v="19068"/>
    <n v="21030"/>
    <n v="1"/>
    <s v="Y"/>
    <s v="Yes"/>
    <s v="Yes"/>
    <n v="18"/>
    <n v="3"/>
    <n v="4"/>
    <n v="80"/>
    <n v="0"/>
    <n v="33"/>
    <s v="&gt;15"/>
    <n v="2"/>
    <n v="4"/>
    <n v="33"/>
    <n v="7"/>
    <n v="15"/>
    <n v="12"/>
  </r>
  <r>
    <n v="32"/>
    <x v="1"/>
    <s v="No"/>
    <s v="Travel_Rarely"/>
    <n v="1401"/>
    <x v="0"/>
    <n v="4"/>
    <n v="2"/>
    <s v="Life Sciences"/>
    <n v="1"/>
    <n v="330"/>
    <n v="3"/>
    <s v="Female"/>
    <n v="56"/>
    <n v="3"/>
    <x v="1"/>
    <x v="6"/>
    <n v="2"/>
    <s v="Married"/>
    <n v="3931"/>
    <n v="20990"/>
    <n v="2"/>
    <s v="Y"/>
    <s v="No"/>
    <s v="No"/>
    <n v="11"/>
    <n v="3"/>
    <n v="1"/>
    <n v="80"/>
    <n v="1"/>
    <n v="6"/>
    <s v="6-15"/>
    <n v="5"/>
    <n v="3"/>
    <n v="4"/>
    <n v="3"/>
    <n v="1"/>
    <n v="2"/>
  </r>
  <r>
    <n v="32"/>
    <x v="0"/>
    <s v="Yes"/>
    <s v="Travel_Rarely"/>
    <n v="515"/>
    <x v="1"/>
    <n v="1"/>
    <n v="3"/>
    <s v="Life Sciences"/>
    <n v="1"/>
    <n v="331"/>
    <n v="4"/>
    <s v="Male"/>
    <n v="62"/>
    <n v="2"/>
    <x v="1"/>
    <x v="2"/>
    <n v="3"/>
    <s v="Single"/>
    <n v="3730"/>
    <n v="9571"/>
    <n v="0"/>
    <s v="Y"/>
    <s v="Yes"/>
    <s v="Yes"/>
    <n v="14"/>
    <n v="3"/>
    <n v="4"/>
    <n v="80"/>
    <n v="0"/>
    <n v="4"/>
    <s v="0-5"/>
    <n v="2"/>
    <n v="1"/>
    <n v="3"/>
    <n v="2"/>
    <n v="1"/>
    <n v="2"/>
  </r>
  <r>
    <n v="39"/>
    <x v="1"/>
    <s v="No"/>
    <s v="Travel_Rarely"/>
    <n v="1431"/>
    <x v="1"/>
    <n v="1"/>
    <n v="4"/>
    <s v="Medical"/>
    <n v="1"/>
    <n v="332"/>
    <n v="3"/>
    <s v="Female"/>
    <n v="96"/>
    <n v="3"/>
    <x v="1"/>
    <x v="2"/>
    <n v="3"/>
    <s v="Divorced"/>
    <n v="2232"/>
    <n v="15417"/>
    <n v="7"/>
    <s v="Y"/>
    <s v="No"/>
    <s v="No"/>
    <n v="14"/>
    <n v="3"/>
    <n v="3"/>
    <n v="80"/>
    <n v="3"/>
    <n v="7"/>
    <s v="6-15"/>
    <n v="1"/>
    <n v="3"/>
    <n v="3"/>
    <n v="2"/>
    <n v="1"/>
    <n v="2"/>
  </r>
  <r>
    <n v="32"/>
    <x v="1"/>
    <s v="No"/>
    <s v="Non-Travel"/>
    <n v="976"/>
    <x v="0"/>
    <n v="26"/>
    <n v="4"/>
    <s v="Marketing"/>
    <n v="1"/>
    <n v="333"/>
    <n v="3"/>
    <s v="Male"/>
    <n v="100"/>
    <n v="3"/>
    <x v="0"/>
    <x v="0"/>
    <n v="4"/>
    <s v="Married"/>
    <n v="4465"/>
    <n v="12069"/>
    <n v="0"/>
    <s v="Y"/>
    <s v="No"/>
    <s v="No"/>
    <n v="18"/>
    <n v="3"/>
    <n v="1"/>
    <n v="80"/>
    <n v="0"/>
    <n v="4"/>
    <s v="0-5"/>
    <n v="2"/>
    <n v="3"/>
    <n v="3"/>
    <n v="2"/>
    <n v="2"/>
    <n v="2"/>
  </r>
  <r>
    <n v="41"/>
    <x v="1"/>
    <s v="No"/>
    <s v="Travel_Rarely"/>
    <n v="1411"/>
    <x v="1"/>
    <n v="19"/>
    <n v="2"/>
    <s v="Life Sciences"/>
    <n v="1"/>
    <n v="334"/>
    <n v="3"/>
    <s v="Male"/>
    <n v="36"/>
    <n v="3"/>
    <x v="0"/>
    <x v="1"/>
    <n v="1"/>
    <s v="Divorced"/>
    <n v="3072"/>
    <n v="19877"/>
    <n v="2"/>
    <s v="Y"/>
    <s v="No"/>
    <s v="No"/>
    <n v="16"/>
    <n v="3"/>
    <n v="1"/>
    <n v="80"/>
    <n v="2"/>
    <n v="17"/>
    <s v="&gt;15"/>
    <n v="2"/>
    <n v="2"/>
    <n v="1"/>
    <n v="0"/>
    <n v="0"/>
    <n v="0"/>
  </r>
  <r>
    <n v="40"/>
    <x v="1"/>
    <s v="No"/>
    <s v="Travel_Rarely"/>
    <n v="1300"/>
    <x v="1"/>
    <n v="24"/>
    <n v="2"/>
    <s v="Technical Degree"/>
    <n v="1"/>
    <n v="335"/>
    <n v="1"/>
    <s v="Male"/>
    <n v="62"/>
    <n v="3"/>
    <x v="0"/>
    <x v="1"/>
    <n v="4"/>
    <s v="Divorced"/>
    <n v="3319"/>
    <n v="24447"/>
    <n v="1"/>
    <s v="Y"/>
    <s v="No"/>
    <s v="No"/>
    <n v="17"/>
    <n v="3"/>
    <n v="1"/>
    <n v="80"/>
    <n v="2"/>
    <n v="9"/>
    <s v="6-15"/>
    <n v="3"/>
    <n v="3"/>
    <n v="9"/>
    <n v="8"/>
    <n v="4"/>
    <n v="7"/>
  </r>
  <r>
    <n v="45"/>
    <x v="1"/>
    <s v="No"/>
    <s v="Travel_Rarely"/>
    <n v="252"/>
    <x v="1"/>
    <n v="1"/>
    <n v="3"/>
    <s v="Other"/>
    <n v="1"/>
    <n v="336"/>
    <n v="3"/>
    <s v="Male"/>
    <n v="70"/>
    <n v="4"/>
    <x v="4"/>
    <x v="5"/>
    <n v="4"/>
    <s v="Married"/>
    <n v="19202"/>
    <n v="15970"/>
    <n v="0"/>
    <s v="Y"/>
    <s v="No"/>
    <s v="No"/>
    <n v="11"/>
    <n v="3"/>
    <n v="3"/>
    <n v="80"/>
    <n v="1"/>
    <n v="25"/>
    <s v="&gt;15"/>
    <n v="2"/>
    <n v="3"/>
    <n v="24"/>
    <n v="0"/>
    <n v="1"/>
    <n v="7"/>
  </r>
  <r>
    <n v="31"/>
    <x v="1"/>
    <s v="No"/>
    <s v="Travel_Frequently"/>
    <n v="1327"/>
    <x v="1"/>
    <n v="3"/>
    <n v="4"/>
    <s v="Medical"/>
    <n v="1"/>
    <n v="337"/>
    <n v="2"/>
    <s v="Male"/>
    <n v="73"/>
    <n v="3"/>
    <x v="2"/>
    <x v="7"/>
    <n v="3"/>
    <s v="Divorced"/>
    <n v="13675"/>
    <n v="13523"/>
    <n v="9"/>
    <s v="Y"/>
    <s v="No"/>
    <s v="No"/>
    <n v="12"/>
    <n v="3"/>
    <n v="1"/>
    <n v="80"/>
    <n v="1"/>
    <n v="9"/>
    <s v="6-15"/>
    <n v="3"/>
    <n v="3"/>
    <n v="2"/>
    <n v="2"/>
    <n v="2"/>
    <n v="2"/>
  </r>
  <r>
    <n v="33"/>
    <x v="1"/>
    <s v="No"/>
    <s v="Travel_Rarely"/>
    <n v="832"/>
    <x v="1"/>
    <n v="5"/>
    <n v="4"/>
    <s v="Life Sciences"/>
    <n v="1"/>
    <n v="338"/>
    <n v="3"/>
    <s v="Female"/>
    <n v="63"/>
    <n v="2"/>
    <x v="1"/>
    <x v="1"/>
    <n v="4"/>
    <s v="Married"/>
    <n v="2911"/>
    <n v="14776"/>
    <n v="1"/>
    <s v="Y"/>
    <s v="No"/>
    <s v="No"/>
    <n v="13"/>
    <n v="3"/>
    <n v="3"/>
    <n v="80"/>
    <n v="1"/>
    <n v="2"/>
    <s v="0-5"/>
    <n v="2"/>
    <n v="2"/>
    <n v="2"/>
    <n v="2"/>
    <n v="0"/>
    <n v="2"/>
  </r>
  <r>
    <n v="34"/>
    <x v="1"/>
    <s v="No"/>
    <s v="Travel_Rarely"/>
    <n v="470"/>
    <x v="1"/>
    <n v="2"/>
    <n v="4"/>
    <s v="Life Sciences"/>
    <n v="1"/>
    <n v="339"/>
    <n v="4"/>
    <s v="Male"/>
    <n v="84"/>
    <n v="2"/>
    <x v="0"/>
    <x v="3"/>
    <n v="1"/>
    <s v="Married"/>
    <n v="5957"/>
    <n v="23687"/>
    <n v="6"/>
    <s v="Y"/>
    <s v="No"/>
    <s v="No"/>
    <n v="13"/>
    <n v="3"/>
    <n v="2"/>
    <n v="80"/>
    <n v="1"/>
    <n v="13"/>
    <s v="6-15"/>
    <n v="3"/>
    <n v="3"/>
    <n v="11"/>
    <n v="9"/>
    <n v="5"/>
    <n v="9"/>
  </r>
  <r>
    <n v="37"/>
    <x v="1"/>
    <s v="No"/>
    <s v="Travel_Rarely"/>
    <n v="1017"/>
    <x v="1"/>
    <n v="1"/>
    <n v="2"/>
    <s v="Medical"/>
    <n v="1"/>
    <n v="340"/>
    <n v="3"/>
    <s v="Female"/>
    <n v="83"/>
    <n v="2"/>
    <x v="1"/>
    <x v="1"/>
    <n v="1"/>
    <s v="Married"/>
    <n v="3920"/>
    <n v="18697"/>
    <n v="2"/>
    <s v="Y"/>
    <s v="No"/>
    <s v="No"/>
    <n v="14"/>
    <n v="3"/>
    <n v="1"/>
    <n v="80"/>
    <n v="1"/>
    <n v="17"/>
    <s v="&gt;15"/>
    <n v="2"/>
    <n v="2"/>
    <n v="3"/>
    <n v="1"/>
    <n v="0"/>
    <n v="2"/>
  </r>
  <r>
    <n v="45"/>
    <x v="1"/>
    <s v="No"/>
    <s v="Travel_Frequently"/>
    <n v="1199"/>
    <x v="1"/>
    <n v="7"/>
    <n v="4"/>
    <s v="Life Sciences"/>
    <n v="1"/>
    <n v="341"/>
    <n v="1"/>
    <s v="Male"/>
    <n v="77"/>
    <n v="4"/>
    <x v="0"/>
    <x v="3"/>
    <n v="3"/>
    <s v="Married"/>
    <n v="6434"/>
    <n v="5118"/>
    <n v="4"/>
    <s v="Y"/>
    <s v="No"/>
    <s v="No"/>
    <n v="17"/>
    <n v="3"/>
    <n v="4"/>
    <n v="80"/>
    <n v="1"/>
    <n v="9"/>
    <s v="6-15"/>
    <n v="1"/>
    <n v="3"/>
    <n v="3"/>
    <n v="2"/>
    <n v="0"/>
    <n v="2"/>
  </r>
  <r>
    <n v="37"/>
    <x v="0"/>
    <s v="Yes"/>
    <s v="Travel_Frequently"/>
    <n v="504"/>
    <x v="1"/>
    <n v="10"/>
    <n v="3"/>
    <s v="Medical"/>
    <n v="1"/>
    <n v="342"/>
    <n v="1"/>
    <s v="Male"/>
    <n v="61"/>
    <n v="3"/>
    <x v="2"/>
    <x v="3"/>
    <n v="3"/>
    <s v="Divorced"/>
    <n v="10048"/>
    <n v="22573"/>
    <n v="6"/>
    <s v="Y"/>
    <s v="No"/>
    <s v="No"/>
    <n v="11"/>
    <n v="3"/>
    <n v="2"/>
    <n v="80"/>
    <n v="2"/>
    <n v="17"/>
    <s v="&gt;15"/>
    <n v="5"/>
    <n v="3"/>
    <n v="1"/>
    <n v="0"/>
    <n v="0"/>
    <n v="0"/>
  </r>
  <r>
    <n v="39"/>
    <x v="1"/>
    <s v="No"/>
    <s v="Travel_Frequently"/>
    <n v="505"/>
    <x v="1"/>
    <n v="2"/>
    <n v="4"/>
    <s v="Technical Degree"/>
    <n v="1"/>
    <n v="343"/>
    <n v="3"/>
    <s v="Female"/>
    <n v="64"/>
    <n v="3"/>
    <x v="2"/>
    <x v="4"/>
    <n v="3"/>
    <s v="Single"/>
    <n v="10938"/>
    <n v="6420"/>
    <n v="0"/>
    <s v="Y"/>
    <s v="No"/>
    <s v="No"/>
    <n v="25"/>
    <n v="4"/>
    <n v="4"/>
    <n v="80"/>
    <n v="0"/>
    <n v="20"/>
    <s v="&gt;15"/>
    <n v="1"/>
    <n v="3"/>
    <n v="19"/>
    <n v="6"/>
    <n v="11"/>
    <n v="8"/>
  </r>
  <r>
    <n v="29"/>
    <x v="1"/>
    <s v="No"/>
    <s v="Travel_Rarely"/>
    <n v="665"/>
    <x v="1"/>
    <n v="15"/>
    <n v="3"/>
    <s v="Life Sciences"/>
    <n v="1"/>
    <n v="346"/>
    <n v="3"/>
    <s v="Male"/>
    <n v="60"/>
    <n v="3"/>
    <x v="1"/>
    <x v="1"/>
    <n v="4"/>
    <s v="Single"/>
    <n v="2340"/>
    <n v="22673"/>
    <n v="1"/>
    <s v="Y"/>
    <s v="No"/>
    <s v="No"/>
    <n v="19"/>
    <n v="3"/>
    <n v="1"/>
    <n v="80"/>
    <n v="0"/>
    <n v="6"/>
    <s v="6-15"/>
    <n v="1"/>
    <n v="3"/>
    <n v="6"/>
    <n v="5"/>
    <n v="1"/>
    <n v="5"/>
  </r>
  <r>
    <n v="42"/>
    <x v="1"/>
    <s v="No"/>
    <s v="Travel_Rarely"/>
    <n v="916"/>
    <x v="1"/>
    <n v="17"/>
    <n v="2"/>
    <s v="Life Sciences"/>
    <n v="1"/>
    <n v="347"/>
    <n v="4"/>
    <s v="Female"/>
    <n v="82"/>
    <n v="4"/>
    <x v="0"/>
    <x v="1"/>
    <n v="1"/>
    <s v="Single"/>
    <n v="6545"/>
    <n v="23016"/>
    <n v="3"/>
    <s v="Y"/>
    <s v="Yes"/>
    <s v="Yes"/>
    <n v="13"/>
    <n v="3"/>
    <n v="3"/>
    <n v="80"/>
    <n v="0"/>
    <n v="10"/>
    <s v="6-15"/>
    <n v="1"/>
    <n v="3"/>
    <n v="3"/>
    <n v="2"/>
    <n v="0"/>
    <n v="2"/>
  </r>
  <r>
    <n v="29"/>
    <x v="1"/>
    <s v="No"/>
    <s v="Travel_Rarely"/>
    <n v="1247"/>
    <x v="0"/>
    <n v="20"/>
    <n v="2"/>
    <s v="Marketing"/>
    <n v="1"/>
    <n v="349"/>
    <n v="4"/>
    <s v="Male"/>
    <n v="45"/>
    <n v="3"/>
    <x v="0"/>
    <x v="0"/>
    <n v="4"/>
    <s v="Divorced"/>
    <n v="6931"/>
    <n v="10732"/>
    <n v="2"/>
    <s v="Y"/>
    <s v="No"/>
    <s v="No"/>
    <n v="14"/>
    <n v="3"/>
    <n v="4"/>
    <n v="80"/>
    <n v="1"/>
    <n v="10"/>
    <s v="6-15"/>
    <n v="2"/>
    <n v="3"/>
    <n v="3"/>
    <n v="2"/>
    <n v="0"/>
    <n v="2"/>
  </r>
  <r>
    <n v="25"/>
    <x v="1"/>
    <s v="No"/>
    <s v="Travel_Rarely"/>
    <n v="685"/>
    <x v="1"/>
    <n v="1"/>
    <n v="3"/>
    <s v="Life Sciences"/>
    <n v="1"/>
    <n v="350"/>
    <n v="1"/>
    <s v="Female"/>
    <n v="62"/>
    <n v="3"/>
    <x v="0"/>
    <x v="3"/>
    <n v="3"/>
    <s v="Married"/>
    <n v="4898"/>
    <n v="7505"/>
    <n v="0"/>
    <s v="Y"/>
    <s v="No"/>
    <s v="No"/>
    <n v="12"/>
    <n v="3"/>
    <n v="4"/>
    <n v="80"/>
    <n v="2"/>
    <n v="5"/>
    <s v="0-5"/>
    <n v="3"/>
    <n v="3"/>
    <n v="4"/>
    <n v="2"/>
    <n v="1"/>
    <n v="2"/>
  </r>
  <r>
    <n v="42"/>
    <x v="1"/>
    <s v="No"/>
    <s v="Travel_Rarely"/>
    <n v="269"/>
    <x v="1"/>
    <n v="2"/>
    <n v="3"/>
    <s v="Medical"/>
    <n v="1"/>
    <n v="351"/>
    <n v="4"/>
    <s v="Female"/>
    <n v="56"/>
    <n v="2"/>
    <x v="1"/>
    <x v="2"/>
    <n v="1"/>
    <s v="Divorced"/>
    <n v="2593"/>
    <n v="8007"/>
    <n v="0"/>
    <s v="Y"/>
    <s v="Yes"/>
    <s v="Yes"/>
    <n v="11"/>
    <n v="3"/>
    <n v="3"/>
    <n v="80"/>
    <n v="1"/>
    <n v="10"/>
    <s v="6-15"/>
    <n v="4"/>
    <n v="3"/>
    <n v="9"/>
    <n v="6"/>
    <n v="7"/>
    <n v="8"/>
  </r>
  <r>
    <n v="40"/>
    <x v="1"/>
    <s v="No"/>
    <s v="Travel_Rarely"/>
    <n v="1416"/>
    <x v="1"/>
    <n v="2"/>
    <n v="2"/>
    <s v="Medical"/>
    <n v="1"/>
    <n v="352"/>
    <n v="1"/>
    <s v="Male"/>
    <n v="49"/>
    <n v="3"/>
    <x v="4"/>
    <x v="7"/>
    <n v="3"/>
    <s v="Divorced"/>
    <n v="19436"/>
    <n v="5949"/>
    <n v="0"/>
    <s v="Y"/>
    <s v="No"/>
    <s v="No"/>
    <n v="19"/>
    <n v="3"/>
    <n v="4"/>
    <n v="80"/>
    <n v="1"/>
    <n v="22"/>
    <s v="&gt;15"/>
    <n v="5"/>
    <n v="3"/>
    <n v="21"/>
    <n v="7"/>
    <n v="3"/>
    <n v="9"/>
  </r>
  <r>
    <n v="51"/>
    <x v="1"/>
    <s v="No"/>
    <s v="Travel_Rarely"/>
    <n v="833"/>
    <x v="1"/>
    <n v="1"/>
    <n v="3"/>
    <s v="Life Sciences"/>
    <n v="1"/>
    <n v="353"/>
    <n v="3"/>
    <s v="Male"/>
    <n v="96"/>
    <n v="3"/>
    <x v="1"/>
    <x v="1"/>
    <n v="4"/>
    <s v="Married"/>
    <n v="2723"/>
    <n v="23231"/>
    <n v="1"/>
    <s v="Y"/>
    <s v="No"/>
    <s v="No"/>
    <n v="11"/>
    <n v="3"/>
    <n v="2"/>
    <n v="80"/>
    <n v="0"/>
    <n v="1"/>
    <s v="0-5"/>
    <n v="0"/>
    <n v="2"/>
    <n v="1"/>
    <n v="0"/>
    <n v="0"/>
    <n v="0"/>
  </r>
  <r>
    <n v="31"/>
    <x v="0"/>
    <s v="Yes"/>
    <s v="Travel_Frequently"/>
    <n v="307"/>
    <x v="1"/>
    <n v="29"/>
    <n v="2"/>
    <s v="Medical"/>
    <n v="1"/>
    <n v="355"/>
    <n v="3"/>
    <s v="Male"/>
    <n v="71"/>
    <n v="2"/>
    <x v="1"/>
    <x v="2"/>
    <n v="2"/>
    <s v="Single"/>
    <n v="3479"/>
    <n v="11652"/>
    <n v="0"/>
    <s v="Y"/>
    <s v="No"/>
    <s v="No"/>
    <n v="11"/>
    <n v="3"/>
    <n v="2"/>
    <n v="80"/>
    <n v="0"/>
    <n v="6"/>
    <s v="6-15"/>
    <n v="2"/>
    <n v="4"/>
    <n v="5"/>
    <n v="4"/>
    <n v="1"/>
    <n v="4"/>
  </r>
  <r>
    <n v="32"/>
    <x v="1"/>
    <s v="No"/>
    <s v="Travel_Frequently"/>
    <n v="1311"/>
    <x v="1"/>
    <n v="7"/>
    <n v="3"/>
    <s v="Life Sciences"/>
    <n v="1"/>
    <n v="359"/>
    <n v="2"/>
    <s v="Male"/>
    <n v="100"/>
    <n v="4"/>
    <x v="1"/>
    <x v="2"/>
    <n v="2"/>
    <s v="Married"/>
    <n v="2794"/>
    <n v="26062"/>
    <n v="1"/>
    <s v="Y"/>
    <s v="No"/>
    <s v="No"/>
    <n v="20"/>
    <n v="4"/>
    <n v="3"/>
    <n v="80"/>
    <n v="0"/>
    <n v="5"/>
    <s v="0-5"/>
    <n v="3"/>
    <n v="1"/>
    <n v="5"/>
    <n v="1"/>
    <n v="0"/>
    <n v="3"/>
  </r>
  <r>
    <n v="38"/>
    <x v="1"/>
    <s v="No"/>
    <s v="Non-Travel"/>
    <n v="1327"/>
    <x v="0"/>
    <n v="2"/>
    <n v="2"/>
    <s v="Life Sciences"/>
    <n v="1"/>
    <n v="361"/>
    <n v="4"/>
    <s v="Male"/>
    <n v="39"/>
    <n v="2"/>
    <x v="0"/>
    <x v="0"/>
    <n v="4"/>
    <s v="Married"/>
    <n v="5249"/>
    <n v="19682"/>
    <n v="3"/>
    <s v="Y"/>
    <s v="No"/>
    <s v="No"/>
    <n v="18"/>
    <n v="3"/>
    <n v="4"/>
    <n v="80"/>
    <n v="1"/>
    <n v="13"/>
    <s v="6-15"/>
    <n v="0"/>
    <n v="3"/>
    <n v="8"/>
    <n v="7"/>
    <n v="7"/>
    <n v="5"/>
  </r>
  <r>
    <n v="32"/>
    <x v="1"/>
    <s v="No"/>
    <s v="Travel_Rarely"/>
    <n v="128"/>
    <x v="1"/>
    <n v="2"/>
    <n v="1"/>
    <s v="Technical Degree"/>
    <n v="1"/>
    <n v="362"/>
    <n v="4"/>
    <s v="Male"/>
    <n v="84"/>
    <n v="2"/>
    <x v="0"/>
    <x v="2"/>
    <n v="1"/>
    <s v="Single"/>
    <n v="2176"/>
    <n v="19737"/>
    <n v="4"/>
    <s v="Y"/>
    <s v="No"/>
    <s v="No"/>
    <n v="13"/>
    <n v="3"/>
    <n v="4"/>
    <n v="80"/>
    <n v="0"/>
    <n v="9"/>
    <s v="6-15"/>
    <n v="5"/>
    <n v="3"/>
    <n v="6"/>
    <n v="2"/>
    <n v="0"/>
    <n v="4"/>
  </r>
  <r>
    <n v="46"/>
    <x v="1"/>
    <s v="No"/>
    <s v="Travel_Rarely"/>
    <n v="488"/>
    <x v="0"/>
    <n v="2"/>
    <n v="3"/>
    <s v="Technical Degree"/>
    <n v="1"/>
    <n v="363"/>
    <n v="3"/>
    <s v="Female"/>
    <n v="75"/>
    <n v="1"/>
    <x v="3"/>
    <x v="5"/>
    <n v="2"/>
    <s v="Married"/>
    <n v="16872"/>
    <n v="14977"/>
    <n v="3"/>
    <s v="Y"/>
    <s v="Yes"/>
    <s v="Yes"/>
    <n v="12"/>
    <n v="3"/>
    <n v="2"/>
    <n v="80"/>
    <n v="1"/>
    <n v="28"/>
    <s v="&gt;15"/>
    <n v="2"/>
    <n v="2"/>
    <n v="7"/>
    <n v="7"/>
    <n v="7"/>
    <n v="7"/>
  </r>
  <r>
    <n v="28"/>
    <x v="0"/>
    <s v="Yes"/>
    <s v="Travel_Rarely"/>
    <n v="529"/>
    <x v="1"/>
    <n v="2"/>
    <n v="4"/>
    <s v="Life Sciences"/>
    <n v="1"/>
    <n v="364"/>
    <n v="1"/>
    <s v="Male"/>
    <n v="79"/>
    <n v="3"/>
    <x v="1"/>
    <x v="2"/>
    <n v="3"/>
    <s v="Single"/>
    <n v="3485"/>
    <n v="14935"/>
    <n v="2"/>
    <s v="Y"/>
    <s v="No"/>
    <s v="No"/>
    <n v="11"/>
    <n v="3"/>
    <n v="3"/>
    <n v="80"/>
    <n v="0"/>
    <n v="5"/>
    <s v="0-5"/>
    <n v="5"/>
    <n v="1"/>
    <n v="0"/>
    <n v="0"/>
    <n v="0"/>
    <n v="0"/>
  </r>
  <r>
    <n v="29"/>
    <x v="1"/>
    <s v="No"/>
    <s v="Travel_Rarely"/>
    <n v="1210"/>
    <x v="0"/>
    <n v="2"/>
    <n v="3"/>
    <s v="Medical"/>
    <n v="1"/>
    <n v="366"/>
    <n v="1"/>
    <s v="Male"/>
    <n v="78"/>
    <n v="2"/>
    <x v="0"/>
    <x v="0"/>
    <n v="2"/>
    <s v="Married"/>
    <n v="6644"/>
    <n v="3687"/>
    <n v="2"/>
    <s v="Y"/>
    <s v="No"/>
    <s v="No"/>
    <n v="19"/>
    <n v="3"/>
    <n v="2"/>
    <n v="80"/>
    <n v="2"/>
    <n v="10"/>
    <s v="6-15"/>
    <n v="2"/>
    <n v="3"/>
    <n v="0"/>
    <n v="0"/>
    <n v="0"/>
    <n v="0"/>
  </r>
  <r>
    <n v="31"/>
    <x v="1"/>
    <s v="No"/>
    <s v="Travel_Rarely"/>
    <n v="1463"/>
    <x v="1"/>
    <n v="23"/>
    <n v="3"/>
    <s v="Medical"/>
    <n v="1"/>
    <n v="367"/>
    <n v="2"/>
    <s v="Male"/>
    <n v="64"/>
    <n v="2"/>
    <x v="0"/>
    <x v="4"/>
    <n v="4"/>
    <s v="Married"/>
    <n v="5582"/>
    <n v="14408"/>
    <n v="0"/>
    <s v="Y"/>
    <s v="No"/>
    <s v="No"/>
    <n v="21"/>
    <n v="4"/>
    <n v="2"/>
    <n v="80"/>
    <n v="1"/>
    <n v="10"/>
    <s v="6-15"/>
    <n v="2"/>
    <n v="3"/>
    <n v="9"/>
    <n v="0"/>
    <n v="7"/>
    <n v="8"/>
  </r>
  <r>
    <n v="25"/>
    <x v="1"/>
    <s v="No"/>
    <s v="Non-Travel"/>
    <n v="675"/>
    <x v="1"/>
    <n v="5"/>
    <n v="2"/>
    <s v="Life Sciences"/>
    <n v="1"/>
    <n v="369"/>
    <n v="2"/>
    <s v="Male"/>
    <n v="85"/>
    <n v="4"/>
    <x v="0"/>
    <x v="4"/>
    <n v="1"/>
    <s v="Divorced"/>
    <n v="4000"/>
    <n v="18384"/>
    <n v="1"/>
    <s v="Y"/>
    <s v="No"/>
    <s v="No"/>
    <n v="12"/>
    <n v="3"/>
    <n v="4"/>
    <n v="80"/>
    <n v="2"/>
    <n v="6"/>
    <s v="6-15"/>
    <n v="2"/>
    <n v="3"/>
    <n v="6"/>
    <n v="3"/>
    <n v="1"/>
    <n v="5"/>
  </r>
  <r>
    <n v="45"/>
    <x v="1"/>
    <s v="No"/>
    <s v="Travel_Rarely"/>
    <n v="1385"/>
    <x v="1"/>
    <n v="20"/>
    <n v="2"/>
    <s v="Medical"/>
    <n v="1"/>
    <n v="372"/>
    <n v="3"/>
    <s v="Male"/>
    <n v="79"/>
    <n v="3"/>
    <x v="3"/>
    <x v="4"/>
    <n v="4"/>
    <s v="Married"/>
    <n v="13496"/>
    <n v="7501"/>
    <n v="0"/>
    <s v="Y"/>
    <s v="Yes"/>
    <s v="Yes"/>
    <n v="14"/>
    <n v="3"/>
    <n v="2"/>
    <n v="80"/>
    <n v="0"/>
    <n v="21"/>
    <s v="&gt;15"/>
    <n v="2"/>
    <n v="3"/>
    <n v="20"/>
    <n v="7"/>
    <n v="4"/>
    <n v="10"/>
  </r>
  <r>
    <n v="36"/>
    <x v="1"/>
    <s v="No"/>
    <s v="Travel_Rarely"/>
    <n v="1403"/>
    <x v="1"/>
    <n v="6"/>
    <n v="3"/>
    <s v="Life Sciences"/>
    <n v="1"/>
    <n v="373"/>
    <n v="4"/>
    <s v="Male"/>
    <n v="47"/>
    <n v="3"/>
    <x v="1"/>
    <x v="2"/>
    <n v="4"/>
    <s v="Married"/>
    <n v="3210"/>
    <n v="20251"/>
    <n v="0"/>
    <s v="Y"/>
    <s v="No"/>
    <s v="No"/>
    <n v="11"/>
    <n v="3"/>
    <n v="3"/>
    <n v="80"/>
    <n v="1"/>
    <n v="16"/>
    <s v="&gt;15"/>
    <n v="4"/>
    <n v="3"/>
    <n v="15"/>
    <n v="13"/>
    <n v="10"/>
    <n v="11"/>
  </r>
  <r>
    <n v="55"/>
    <x v="1"/>
    <s v="No"/>
    <s v="Travel_Rarely"/>
    <n v="452"/>
    <x v="1"/>
    <n v="1"/>
    <n v="3"/>
    <s v="Medical"/>
    <n v="1"/>
    <n v="374"/>
    <n v="4"/>
    <s v="Male"/>
    <n v="81"/>
    <n v="3"/>
    <x v="4"/>
    <x v="5"/>
    <n v="1"/>
    <s v="Single"/>
    <n v="19045"/>
    <n v="18938"/>
    <n v="0"/>
    <s v="Y"/>
    <s v="Yes"/>
    <s v="Yes"/>
    <n v="14"/>
    <n v="3"/>
    <n v="3"/>
    <n v="80"/>
    <n v="0"/>
    <n v="37"/>
    <s v="&gt;15"/>
    <n v="2"/>
    <n v="3"/>
    <n v="36"/>
    <n v="10"/>
    <n v="4"/>
    <n v="13"/>
  </r>
  <r>
    <n v="47"/>
    <x v="0"/>
    <s v="Yes"/>
    <s v="Non-Travel"/>
    <n v="666"/>
    <x v="1"/>
    <n v="29"/>
    <n v="4"/>
    <s v="Life Sciences"/>
    <n v="1"/>
    <n v="376"/>
    <n v="1"/>
    <s v="Male"/>
    <n v="88"/>
    <n v="3"/>
    <x v="2"/>
    <x v="5"/>
    <n v="2"/>
    <s v="Married"/>
    <n v="11849"/>
    <n v="10268"/>
    <n v="1"/>
    <s v="Y"/>
    <s v="Yes"/>
    <s v="Yes"/>
    <n v="12"/>
    <n v="3"/>
    <n v="4"/>
    <n v="80"/>
    <n v="1"/>
    <n v="10"/>
    <s v="6-15"/>
    <n v="2"/>
    <n v="2"/>
    <n v="10"/>
    <n v="7"/>
    <n v="9"/>
    <n v="9"/>
  </r>
  <r>
    <n v="28"/>
    <x v="1"/>
    <s v="No"/>
    <s v="Travel_Rarely"/>
    <n v="1158"/>
    <x v="1"/>
    <n v="9"/>
    <n v="3"/>
    <s v="Medical"/>
    <n v="1"/>
    <n v="377"/>
    <n v="4"/>
    <s v="Male"/>
    <n v="94"/>
    <n v="3"/>
    <x v="1"/>
    <x v="1"/>
    <n v="4"/>
    <s v="Married"/>
    <n v="2070"/>
    <n v="2613"/>
    <n v="1"/>
    <s v="Y"/>
    <s v="No"/>
    <s v="No"/>
    <n v="23"/>
    <n v="4"/>
    <n v="4"/>
    <n v="80"/>
    <n v="1"/>
    <n v="5"/>
    <s v="0-5"/>
    <n v="3"/>
    <n v="2"/>
    <n v="5"/>
    <n v="2"/>
    <n v="0"/>
    <n v="4"/>
  </r>
  <r>
    <n v="37"/>
    <x v="1"/>
    <s v="No"/>
    <s v="Travel_Rarely"/>
    <n v="228"/>
    <x v="0"/>
    <n v="6"/>
    <n v="4"/>
    <s v="Medical"/>
    <n v="1"/>
    <n v="378"/>
    <n v="3"/>
    <s v="Male"/>
    <n v="98"/>
    <n v="3"/>
    <x v="0"/>
    <x v="0"/>
    <n v="4"/>
    <s v="Married"/>
    <n v="6502"/>
    <n v="22825"/>
    <n v="4"/>
    <s v="Y"/>
    <s v="No"/>
    <s v="No"/>
    <n v="14"/>
    <n v="3"/>
    <n v="2"/>
    <n v="80"/>
    <n v="1"/>
    <n v="7"/>
    <s v="6-15"/>
    <n v="5"/>
    <n v="4"/>
    <n v="5"/>
    <n v="4"/>
    <n v="0"/>
    <n v="1"/>
  </r>
  <r>
    <n v="21"/>
    <x v="1"/>
    <s v="No"/>
    <s v="Travel_Rarely"/>
    <n v="996"/>
    <x v="1"/>
    <n v="3"/>
    <n v="2"/>
    <s v="Medical"/>
    <n v="1"/>
    <n v="379"/>
    <n v="4"/>
    <s v="Male"/>
    <n v="100"/>
    <n v="2"/>
    <x v="1"/>
    <x v="1"/>
    <n v="3"/>
    <s v="Single"/>
    <n v="3230"/>
    <n v="10531"/>
    <n v="1"/>
    <s v="Y"/>
    <s v="No"/>
    <s v="No"/>
    <n v="17"/>
    <n v="3"/>
    <n v="1"/>
    <n v="80"/>
    <n v="0"/>
    <n v="3"/>
    <s v="0-5"/>
    <n v="4"/>
    <n v="4"/>
    <n v="3"/>
    <n v="2"/>
    <n v="1"/>
    <n v="0"/>
  </r>
  <r>
    <n v="37"/>
    <x v="1"/>
    <s v="No"/>
    <s v="Non-Travel"/>
    <n v="728"/>
    <x v="1"/>
    <n v="1"/>
    <n v="4"/>
    <s v="Medical"/>
    <n v="1"/>
    <n v="380"/>
    <n v="1"/>
    <s v="Female"/>
    <n v="80"/>
    <n v="3"/>
    <x v="2"/>
    <x v="7"/>
    <n v="4"/>
    <s v="Divorced"/>
    <n v="13603"/>
    <n v="11677"/>
    <n v="2"/>
    <s v="Y"/>
    <s v="Yes"/>
    <s v="Yes"/>
    <n v="18"/>
    <n v="3"/>
    <n v="1"/>
    <n v="80"/>
    <n v="2"/>
    <n v="15"/>
    <s v="6-15"/>
    <n v="2"/>
    <n v="3"/>
    <n v="5"/>
    <n v="2"/>
    <n v="0"/>
    <n v="2"/>
  </r>
  <r>
    <n v="35"/>
    <x v="1"/>
    <s v="No"/>
    <s v="Travel_Rarely"/>
    <n v="1315"/>
    <x v="1"/>
    <n v="22"/>
    <n v="3"/>
    <s v="Life Sciences"/>
    <n v="1"/>
    <n v="381"/>
    <n v="2"/>
    <s v="Female"/>
    <n v="71"/>
    <n v="4"/>
    <x v="2"/>
    <x v="5"/>
    <n v="2"/>
    <s v="Divorced"/>
    <n v="11996"/>
    <n v="19100"/>
    <n v="7"/>
    <s v="Y"/>
    <s v="No"/>
    <s v="No"/>
    <n v="18"/>
    <n v="3"/>
    <n v="2"/>
    <n v="80"/>
    <n v="1"/>
    <n v="10"/>
    <s v="6-15"/>
    <n v="6"/>
    <n v="2"/>
    <n v="7"/>
    <n v="7"/>
    <n v="6"/>
    <n v="2"/>
  </r>
  <r>
    <n v="38"/>
    <x v="1"/>
    <s v="No"/>
    <s v="Travel_Rarely"/>
    <n v="322"/>
    <x v="0"/>
    <n v="7"/>
    <n v="2"/>
    <s v="Medical"/>
    <n v="1"/>
    <n v="382"/>
    <n v="1"/>
    <s v="Female"/>
    <n v="44"/>
    <n v="4"/>
    <x v="0"/>
    <x v="0"/>
    <n v="1"/>
    <s v="Divorced"/>
    <n v="5605"/>
    <n v="19191"/>
    <n v="1"/>
    <s v="Y"/>
    <s v="Yes"/>
    <s v="Yes"/>
    <n v="24"/>
    <n v="4"/>
    <n v="3"/>
    <n v="80"/>
    <n v="1"/>
    <n v="8"/>
    <s v="6-15"/>
    <n v="3"/>
    <n v="3"/>
    <n v="8"/>
    <n v="0"/>
    <n v="7"/>
    <n v="7"/>
  </r>
  <r>
    <n v="26"/>
    <x v="1"/>
    <s v="No"/>
    <s v="Travel_Frequently"/>
    <n v="1479"/>
    <x v="1"/>
    <n v="1"/>
    <n v="3"/>
    <s v="Life Sciences"/>
    <n v="1"/>
    <n v="384"/>
    <n v="3"/>
    <s v="Female"/>
    <n v="84"/>
    <n v="3"/>
    <x v="0"/>
    <x v="3"/>
    <n v="2"/>
    <s v="Divorced"/>
    <n v="6397"/>
    <n v="26767"/>
    <n v="1"/>
    <s v="Y"/>
    <s v="No"/>
    <s v="No"/>
    <n v="20"/>
    <n v="4"/>
    <n v="1"/>
    <n v="80"/>
    <n v="1"/>
    <n v="6"/>
    <s v="6-15"/>
    <n v="6"/>
    <n v="1"/>
    <n v="6"/>
    <n v="5"/>
    <n v="1"/>
    <n v="4"/>
  </r>
  <r>
    <n v="50"/>
    <x v="1"/>
    <s v="No"/>
    <s v="Travel_Rarely"/>
    <n v="797"/>
    <x v="1"/>
    <n v="4"/>
    <n v="1"/>
    <s v="Life Sciences"/>
    <n v="1"/>
    <n v="385"/>
    <n v="1"/>
    <s v="Male"/>
    <n v="96"/>
    <n v="3"/>
    <x v="4"/>
    <x v="7"/>
    <n v="2"/>
    <s v="Divorced"/>
    <n v="19144"/>
    <n v="15815"/>
    <n v="3"/>
    <s v="Y"/>
    <s v="No"/>
    <s v="No"/>
    <n v="14"/>
    <n v="3"/>
    <n v="1"/>
    <n v="80"/>
    <n v="2"/>
    <n v="28"/>
    <s v="&gt;15"/>
    <n v="4"/>
    <n v="2"/>
    <n v="10"/>
    <n v="4"/>
    <n v="1"/>
    <n v="6"/>
  </r>
  <r>
    <n v="53"/>
    <x v="1"/>
    <s v="No"/>
    <s v="Travel_Rarely"/>
    <n v="1070"/>
    <x v="1"/>
    <n v="3"/>
    <n v="4"/>
    <s v="Medical"/>
    <n v="1"/>
    <n v="386"/>
    <n v="3"/>
    <s v="Male"/>
    <n v="45"/>
    <n v="3"/>
    <x v="3"/>
    <x v="7"/>
    <n v="3"/>
    <s v="Married"/>
    <n v="17584"/>
    <n v="21016"/>
    <n v="3"/>
    <s v="Y"/>
    <s v="Yes"/>
    <s v="Yes"/>
    <n v="16"/>
    <n v="3"/>
    <n v="4"/>
    <n v="80"/>
    <n v="3"/>
    <n v="21"/>
    <s v="&gt;15"/>
    <n v="5"/>
    <n v="2"/>
    <n v="5"/>
    <n v="3"/>
    <n v="1"/>
    <n v="3"/>
  </r>
  <r>
    <n v="42"/>
    <x v="1"/>
    <s v="No"/>
    <s v="Travel_Rarely"/>
    <n v="635"/>
    <x v="0"/>
    <n v="1"/>
    <n v="1"/>
    <s v="Life Sciences"/>
    <n v="1"/>
    <n v="387"/>
    <n v="2"/>
    <s v="Male"/>
    <n v="99"/>
    <n v="3"/>
    <x v="0"/>
    <x v="0"/>
    <n v="3"/>
    <s v="Married"/>
    <n v="4907"/>
    <n v="24532"/>
    <n v="1"/>
    <s v="Y"/>
    <s v="No"/>
    <s v="No"/>
    <n v="25"/>
    <n v="4"/>
    <n v="3"/>
    <n v="80"/>
    <n v="0"/>
    <n v="20"/>
    <s v="&gt;15"/>
    <n v="3"/>
    <n v="3"/>
    <n v="20"/>
    <n v="16"/>
    <n v="11"/>
    <n v="6"/>
  </r>
  <r>
    <n v="29"/>
    <x v="1"/>
    <s v="No"/>
    <s v="Travel_Frequently"/>
    <n v="442"/>
    <x v="0"/>
    <n v="2"/>
    <n v="2"/>
    <s v="Life Sciences"/>
    <n v="1"/>
    <n v="388"/>
    <n v="2"/>
    <s v="Male"/>
    <n v="44"/>
    <n v="3"/>
    <x v="0"/>
    <x v="0"/>
    <n v="4"/>
    <s v="Single"/>
    <n v="4554"/>
    <n v="20260"/>
    <n v="1"/>
    <s v="Y"/>
    <s v="No"/>
    <s v="No"/>
    <n v="18"/>
    <n v="3"/>
    <n v="1"/>
    <n v="80"/>
    <n v="0"/>
    <n v="10"/>
    <s v="6-15"/>
    <n v="3"/>
    <n v="2"/>
    <n v="10"/>
    <n v="7"/>
    <n v="0"/>
    <n v="9"/>
  </r>
  <r>
    <n v="55"/>
    <x v="1"/>
    <s v="No"/>
    <s v="Travel_Rarely"/>
    <n v="147"/>
    <x v="1"/>
    <n v="20"/>
    <n v="2"/>
    <s v="Technical Degree"/>
    <n v="1"/>
    <n v="389"/>
    <n v="2"/>
    <s v="Male"/>
    <n v="37"/>
    <n v="3"/>
    <x v="0"/>
    <x v="2"/>
    <n v="4"/>
    <s v="Married"/>
    <n v="5415"/>
    <n v="15972"/>
    <n v="3"/>
    <s v="Y"/>
    <s v="Yes"/>
    <s v="Yes"/>
    <n v="19"/>
    <n v="3"/>
    <n v="4"/>
    <n v="80"/>
    <n v="1"/>
    <n v="12"/>
    <s v="6-15"/>
    <n v="4"/>
    <n v="3"/>
    <n v="10"/>
    <n v="7"/>
    <n v="0"/>
    <n v="8"/>
  </r>
  <r>
    <n v="26"/>
    <x v="1"/>
    <s v="No"/>
    <s v="Travel_Frequently"/>
    <n v="496"/>
    <x v="1"/>
    <n v="11"/>
    <n v="2"/>
    <s v="Medical"/>
    <n v="1"/>
    <n v="390"/>
    <n v="1"/>
    <s v="Male"/>
    <n v="60"/>
    <n v="3"/>
    <x v="0"/>
    <x v="4"/>
    <n v="1"/>
    <s v="Married"/>
    <n v="4741"/>
    <n v="22722"/>
    <n v="1"/>
    <s v="Y"/>
    <s v="Yes"/>
    <s v="Yes"/>
    <n v="13"/>
    <n v="3"/>
    <n v="3"/>
    <n v="80"/>
    <n v="1"/>
    <n v="5"/>
    <s v="0-5"/>
    <n v="3"/>
    <n v="3"/>
    <n v="5"/>
    <n v="3"/>
    <n v="3"/>
    <n v="3"/>
  </r>
  <r>
    <n v="37"/>
    <x v="1"/>
    <s v="No"/>
    <s v="Travel_Rarely"/>
    <n v="1372"/>
    <x v="1"/>
    <n v="1"/>
    <n v="3"/>
    <s v="Life Sciences"/>
    <n v="1"/>
    <n v="391"/>
    <n v="4"/>
    <s v="Female"/>
    <n v="42"/>
    <n v="3"/>
    <x v="1"/>
    <x v="1"/>
    <n v="4"/>
    <s v="Single"/>
    <n v="2115"/>
    <n v="15881"/>
    <n v="1"/>
    <s v="Y"/>
    <s v="No"/>
    <s v="No"/>
    <n v="12"/>
    <n v="3"/>
    <n v="2"/>
    <n v="80"/>
    <n v="0"/>
    <n v="17"/>
    <s v="&gt;15"/>
    <n v="3"/>
    <n v="3"/>
    <n v="17"/>
    <n v="12"/>
    <n v="5"/>
    <n v="7"/>
  </r>
  <r>
    <n v="44"/>
    <x v="0"/>
    <s v="Yes"/>
    <s v="Travel_Frequently"/>
    <n v="920"/>
    <x v="1"/>
    <n v="24"/>
    <n v="3"/>
    <s v="Life Sciences"/>
    <n v="1"/>
    <n v="392"/>
    <n v="4"/>
    <s v="Male"/>
    <n v="43"/>
    <n v="3"/>
    <x v="1"/>
    <x v="2"/>
    <n v="3"/>
    <s v="Divorced"/>
    <n v="3161"/>
    <n v="19920"/>
    <n v="3"/>
    <s v="Y"/>
    <s v="Yes"/>
    <s v="Yes"/>
    <n v="22"/>
    <n v="4"/>
    <n v="4"/>
    <n v="80"/>
    <n v="1"/>
    <n v="19"/>
    <s v="&gt;15"/>
    <n v="0"/>
    <n v="1"/>
    <n v="1"/>
    <n v="0"/>
    <n v="0"/>
    <n v="0"/>
  </r>
  <r>
    <n v="38"/>
    <x v="1"/>
    <s v="No"/>
    <s v="Travel_Rarely"/>
    <n v="688"/>
    <x v="1"/>
    <n v="23"/>
    <n v="4"/>
    <s v="Life Sciences"/>
    <n v="1"/>
    <n v="393"/>
    <n v="4"/>
    <s v="Male"/>
    <n v="82"/>
    <n v="3"/>
    <x v="0"/>
    <x v="4"/>
    <n v="4"/>
    <s v="Divorced"/>
    <n v="5745"/>
    <n v="18899"/>
    <n v="9"/>
    <s v="Y"/>
    <s v="No"/>
    <s v="No"/>
    <n v="14"/>
    <n v="3"/>
    <n v="2"/>
    <n v="80"/>
    <n v="1"/>
    <n v="10"/>
    <s v="6-15"/>
    <n v="2"/>
    <n v="3"/>
    <n v="2"/>
    <n v="2"/>
    <n v="1"/>
    <n v="2"/>
  </r>
  <r>
    <n v="26"/>
    <x v="0"/>
    <s v="Yes"/>
    <s v="Travel_Rarely"/>
    <n v="1449"/>
    <x v="1"/>
    <n v="16"/>
    <n v="4"/>
    <s v="Medical"/>
    <n v="1"/>
    <n v="394"/>
    <n v="1"/>
    <s v="Male"/>
    <n v="45"/>
    <n v="3"/>
    <x v="1"/>
    <x v="2"/>
    <n v="2"/>
    <s v="Divorced"/>
    <n v="2373"/>
    <n v="14180"/>
    <n v="2"/>
    <s v="Y"/>
    <s v="Yes"/>
    <s v="Yes"/>
    <n v="13"/>
    <n v="3"/>
    <n v="4"/>
    <n v="80"/>
    <n v="1"/>
    <n v="5"/>
    <s v="0-5"/>
    <n v="2"/>
    <n v="3"/>
    <n v="3"/>
    <n v="2"/>
    <n v="0"/>
    <n v="2"/>
  </r>
  <r>
    <n v="28"/>
    <x v="1"/>
    <s v="No"/>
    <s v="Travel_Rarely"/>
    <n v="1117"/>
    <x v="1"/>
    <n v="8"/>
    <n v="2"/>
    <s v="Life Sciences"/>
    <n v="1"/>
    <n v="395"/>
    <n v="4"/>
    <s v="Female"/>
    <n v="66"/>
    <n v="3"/>
    <x v="1"/>
    <x v="1"/>
    <n v="4"/>
    <s v="Single"/>
    <n v="3310"/>
    <n v="4488"/>
    <n v="1"/>
    <s v="Y"/>
    <s v="No"/>
    <s v="No"/>
    <n v="21"/>
    <n v="4"/>
    <n v="4"/>
    <n v="80"/>
    <n v="0"/>
    <n v="5"/>
    <s v="0-5"/>
    <n v="3"/>
    <n v="3"/>
    <n v="5"/>
    <n v="3"/>
    <n v="0"/>
    <n v="2"/>
  </r>
  <r>
    <n v="49"/>
    <x v="1"/>
    <s v="No"/>
    <s v="Travel_Frequently"/>
    <n v="636"/>
    <x v="1"/>
    <n v="10"/>
    <n v="4"/>
    <s v="Life Sciences"/>
    <n v="1"/>
    <n v="396"/>
    <n v="3"/>
    <s v="Female"/>
    <n v="35"/>
    <n v="3"/>
    <x v="4"/>
    <x v="7"/>
    <n v="1"/>
    <s v="Single"/>
    <n v="18665"/>
    <n v="25594"/>
    <n v="9"/>
    <s v="Y"/>
    <s v="Yes"/>
    <s v="Yes"/>
    <n v="11"/>
    <n v="3"/>
    <n v="4"/>
    <n v="80"/>
    <n v="0"/>
    <n v="22"/>
    <s v="&gt;15"/>
    <n v="4"/>
    <n v="3"/>
    <n v="3"/>
    <n v="2"/>
    <n v="1"/>
    <n v="2"/>
  </r>
  <r>
    <n v="36"/>
    <x v="1"/>
    <s v="No"/>
    <s v="Travel_Rarely"/>
    <n v="506"/>
    <x v="1"/>
    <n v="3"/>
    <n v="3"/>
    <s v="Technical Degree"/>
    <n v="1"/>
    <n v="397"/>
    <n v="3"/>
    <s v="Male"/>
    <n v="30"/>
    <n v="3"/>
    <x v="0"/>
    <x v="1"/>
    <n v="2"/>
    <s v="Single"/>
    <n v="4485"/>
    <n v="26285"/>
    <n v="4"/>
    <s v="Y"/>
    <s v="No"/>
    <s v="No"/>
    <n v="12"/>
    <n v="3"/>
    <n v="4"/>
    <n v="80"/>
    <n v="0"/>
    <n v="10"/>
    <s v="6-15"/>
    <n v="2"/>
    <n v="3"/>
    <n v="8"/>
    <n v="0"/>
    <n v="7"/>
    <n v="7"/>
  </r>
  <r>
    <n v="31"/>
    <x v="1"/>
    <s v="No"/>
    <s v="Travel_Frequently"/>
    <n v="444"/>
    <x v="0"/>
    <n v="5"/>
    <n v="3"/>
    <s v="Marketing"/>
    <n v="1"/>
    <n v="399"/>
    <n v="4"/>
    <s v="Female"/>
    <n v="84"/>
    <n v="3"/>
    <x v="1"/>
    <x v="6"/>
    <n v="2"/>
    <s v="Divorced"/>
    <n v="2789"/>
    <n v="3909"/>
    <n v="1"/>
    <s v="Y"/>
    <s v="No"/>
    <s v="No"/>
    <n v="11"/>
    <n v="3"/>
    <n v="3"/>
    <n v="80"/>
    <n v="1"/>
    <n v="2"/>
    <s v="0-5"/>
    <n v="5"/>
    <n v="2"/>
    <n v="2"/>
    <n v="2"/>
    <n v="2"/>
    <n v="2"/>
  </r>
  <r>
    <n v="26"/>
    <x v="0"/>
    <s v="Yes"/>
    <s v="Travel_Rarely"/>
    <n v="950"/>
    <x v="0"/>
    <n v="4"/>
    <n v="4"/>
    <s v="Marketing"/>
    <n v="1"/>
    <n v="401"/>
    <n v="4"/>
    <s v="Male"/>
    <n v="48"/>
    <n v="2"/>
    <x v="0"/>
    <x v="0"/>
    <n v="4"/>
    <s v="Single"/>
    <n v="5828"/>
    <n v="8450"/>
    <n v="1"/>
    <s v="Y"/>
    <s v="Yes"/>
    <s v="Yes"/>
    <n v="12"/>
    <n v="3"/>
    <n v="2"/>
    <n v="80"/>
    <n v="0"/>
    <n v="8"/>
    <s v="6-15"/>
    <n v="0"/>
    <n v="3"/>
    <n v="8"/>
    <n v="7"/>
    <n v="7"/>
    <n v="4"/>
  </r>
  <r>
    <n v="37"/>
    <x v="1"/>
    <s v="No"/>
    <s v="Travel_Frequently"/>
    <n v="889"/>
    <x v="1"/>
    <n v="9"/>
    <n v="3"/>
    <s v="Medical"/>
    <n v="1"/>
    <n v="403"/>
    <n v="2"/>
    <s v="Male"/>
    <n v="53"/>
    <n v="3"/>
    <x v="1"/>
    <x v="1"/>
    <n v="4"/>
    <s v="Married"/>
    <n v="2326"/>
    <n v="11411"/>
    <n v="1"/>
    <s v="Y"/>
    <s v="Yes"/>
    <s v="Yes"/>
    <n v="12"/>
    <n v="3"/>
    <n v="3"/>
    <n v="80"/>
    <n v="3"/>
    <n v="4"/>
    <s v="0-5"/>
    <n v="3"/>
    <n v="2"/>
    <n v="4"/>
    <n v="2"/>
    <n v="1"/>
    <n v="2"/>
  </r>
  <r>
    <n v="42"/>
    <x v="1"/>
    <s v="No"/>
    <s v="Travel_Frequently"/>
    <n v="555"/>
    <x v="0"/>
    <n v="26"/>
    <n v="3"/>
    <s v="Marketing"/>
    <n v="1"/>
    <n v="404"/>
    <n v="3"/>
    <s v="Female"/>
    <n v="77"/>
    <n v="3"/>
    <x v="3"/>
    <x v="0"/>
    <n v="2"/>
    <s v="Married"/>
    <n v="13525"/>
    <n v="14864"/>
    <n v="5"/>
    <s v="Y"/>
    <s v="No"/>
    <s v="No"/>
    <n v="14"/>
    <n v="3"/>
    <n v="4"/>
    <n v="80"/>
    <n v="1"/>
    <n v="23"/>
    <s v="&gt;15"/>
    <n v="2"/>
    <n v="4"/>
    <n v="20"/>
    <n v="4"/>
    <n v="4"/>
    <n v="8"/>
  </r>
  <r>
    <n v="18"/>
    <x v="0"/>
    <s v="Yes"/>
    <s v="Travel_Rarely"/>
    <n v="230"/>
    <x v="1"/>
    <n v="3"/>
    <n v="3"/>
    <s v="Life Sciences"/>
    <n v="1"/>
    <n v="405"/>
    <n v="3"/>
    <s v="Male"/>
    <n v="54"/>
    <n v="3"/>
    <x v="1"/>
    <x v="2"/>
    <n v="3"/>
    <s v="Single"/>
    <n v="1420"/>
    <n v="25233"/>
    <n v="1"/>
    <s v="Y"/>
    <s v="No"/>
    <s v="No"/>
    <n v="13"/>
    <n v="3"/>
    <n v="3"/>
    <n v="80"/>
    <n v="0"/>
    <n v="0"/>
    <s v="0-5"/>
    <n v="2"/>
    <n v="3"/>
    <n v="0"/>
    <n v="0"/>
    <n v="0"/>
    <n v="0"/>
  </r>
  <r>
    <n v="35"/>
    <x v="1"/>
    <s v="No"/>
    <s v="Travel_Rarely"/>
    <n v="1232"/>
    <x v="0"/>
    <n v="16"/>
    <n v="3"/>
    <s v="Marketing"/>
    <n v="1"/>
    <n v="406"/>
    <n v="3"/>
    <s v="Male"/>
    <n v="96"/>
    <n v="3"/>
    <x v="2"/>
    <x v="0"/>
    <n v="2"/>
    <s v="Married"/>
    <n v="8020"/>
    <n v="5100"/>
    <n v="0"/>
    <s v="Y"/>
    <s v="No"/>
    <s v="No"/>
    <n v="15"/>
    <n v="3"/>
    <n v="3"/>
    <n v="80"/>
    <n v="2"/>
    <n v="12"/>
    <s v="6-15"/>
    <n v="3"/>
    <n v="2"/>
    <n v="11"/>
    <n v="9"/>
    <n v="6"/>
    <n v="9"/>
  </r>
  <r>
    <n v="36"/>
    <x v="1"/>
    <s v="No"/>
    <s v="Travel_Frequently"/>
    <n v="566"/>
    <x v="1"/>
    <n v="18"/>
    <n v="4"/>
    <s v="Life Sciences"/>
    <n v="1"/>
    <n v="407"/>
    <n v="3"/>
    <s v="Male"/>
    <n v="81"/>
    <n v="4"/>
    <x v="1"/>
    <x v="2"/>
    <n v="4"/>
    <s v="Married"/>
    <n v="3688"/>
    <n v="7122"/>
    <n v="4"/>
    <s v="Y"/>
    <s v="No"/>
    <s v="No"/>
    <n v="18"/>
    <n v="3"/>
    <n v="4"/>
    <n v="80"/>
    <n v="2"/>
    <n v="4"/>
    <s v="0-5"/>
    <n v="2"/>
    <n v="3"/>
    <n v="1"/>
    <n v="0"/>
    <n v="0"/>
    <n v="0"/>
  </r>
  <r>
    <n v="51"/>
    <x v="1"/>
    <s v="No"/>
    <s v="Travel_Rarely"/>
    <n v="1302"/>
    <x v="1"/>
    <n v="2"/>
    <n v="3"/>
    <s v="Medical"/>
    <n v="1"/>
    <n v="408"/>
    <n v="4"/>
    <s v="Male"/>
    <n v="84"/>
    <n v="1"/>
    <x v="0"/>
    <x v="3"/>
    <n v="2"/>
    <s v="Divorced"/>
    <n v="5482"/>
    <n v="16321"/>
    <n v="5"/>
    <s v="Y"/>
    <s v="No"/>
    <s v="No"/>
    <n v="18"/>
    <n v="3"/>
    <n v="4"/>
    <n v="80"/>
    <n v="1"/>
    <n v="13"/>
    <s v="6-15"/>
    <n v="3"/>
    <n v="3"/>
    <n v="4"/>
    <n v="1"/>
    <n v="1"/>
    <n v="2"/>
  </r>
  <r>
    <n v="41"/>
    <x v="1"/>
    <s v="No"/>
    <s v="Travel_Rarely"/>
    <n v="334"/>
    <x v="0"/>
    <n v="2"/>
    <n v="4"/>
    <s v="Life Sciences"/>
    <n v="1"/>
    <n v="410"/>
    <n v="4"/>
    <s v="Male"/>
    <n v="88"/>
    <n v="3"/>
    <x v="3"/>
    <x v="5"/>
    <n v="2"/>
    <s v="Single"/>
    <n v="16015"/>
    <n v="15896"/>
    <n v="1"/>
    <s v="Y"/>
    <s v="No"/>
    <s v="No"/>
    <n v="19"/>
    <n v="3"/>
    <n v="2"/>
    <n v="80"/>
    <n v="0"/>
    <n v="22"/>
    <s v="&gt;15"/>
    <n v="2"/>
    <n v="3"/>
    <n v="22"/>
    <n v="10"/>
    <n v="0"/>
    <n v="4"/>
  </r>
  <r>
    <n v="18"/>
    <x v="1"/>
    <s v="No"/>
    <s v="Travel_Rarely"/>
    <n v="812"/>
    <x v="0"/>
    <n v="10"/>
    <n v="3"/>
    <s v="Medical"/>
    <n v="1"/>
    <n v="411"/>
    <n v="4"/>
    <s v="Female"/>
    <n v="69"/>
    <n v="2"/>
    <x v="1"/>
    <x v="6"/>
    <n v="3"/>
    <s v="Single"/>
    <n v="1200"/>
    <n v="9724"/>
    <n v="1"/>
    <s v="Y"/>
    <s v="No"/>
    <s v="No"/>
    <n v="12"/>
    <n v="3"/>
    <n v="1"/>
    <n v="80"/>
    <n v="0"/>
    <n v="0"/>
    <s v="0-5"/>
    <n v="2"/>
    <n v="3"/>
    <n v="0"/>
    <n v="0"/>
    <n v="0"/>
    <n v="0"/>
  </r>
  <r>
    <n v="28"/>
    <x v="1"/>
    <s v="No"/>
    <s v="Travel_Rarely"/>
    <n v="1476"/>
    <x v="1"/>
    <n v="16"/>
    <n v="2"/>
    <s v="Medical"/>
    <n v="1"/>
    <n v="412"/>
    <n v="2"/>
    <s v="Male"/>
    <n v="68"/>
    <n v="4"/>
    <x v="0"/>
    <x v="4"/>
    <n v="1"/>
    <s v="Single"/>
    <n v="5661"/>
    <n v="4824"/>
    <n v="0"/>
    <s v="Y"/>
    <s v="No"/>
    <s v="No"/>
    <n v="19"/>
    <n v="3"/>
    <n v="3"/>
    <n v="80"/>
    <n v="0"/>
    <n v="9"/>
    <s v="6-15"/>
    <n v="2"/>
    <n v="3"/>
    <n v="8"/>
    <n v="3"/>
    <n v="0"/>
    <n v="7"/>
  </r>
  <r>
    <n v="31"/>
    <x v="1"/>
    <s v="No"/>
    <s v="Travel_Rarely"/>
    <n v="218"/>
    <x v="0"/>
    <n v="7"/>
    <n v="3"/>
    <s v="Technical Degree"/>
    <n v="1"/>
    <n v="416"/>
    <n v="2"/>
    <s v="Male"/>
    <n v="100"/>
    <n v="4"/>
    <x v="0"/>
    <x v="0"/>
    <n v="4"/>
    <s v="Married"/>
    <n v="6929"/>
    <n v="12241"/>
    <n v="4"/>
    <s v="Y"/>
    <s v="No"/>
    <s v="No"/>
    <n v="11"/>
    <n v="3"/>
    <n v="2"/>
    <n v="80"/>
    <n v="1"/>
    <n v="10"/>
    <s v="6-15"/>
    <n v="3"/>
    <n v="2"/>
    <n v="8"/>
    <n v="7"/>
    <n v="7"/>
    <n v="7"/>
  </r>
  <r>
    <n v="39"/>
    <x v="1"/>
    <s v="No"/>
    <s v="Travel_Rarely"/>
    <n v="1132"/>
    <x v="1"/>
    <n v="1"/>
    <n v="3"/>
    <s v="Medical"/>
    <n v="1"/>
    <n v="417"/>
    <n v="3"/>
    <s v="Male"/>
    <n v="48"/>
    <n v="4"/>
    <x v="2"/>
    <x v="4"/>
    <n v="4"/>
    <s v="Divorced"/>
    <n v="9613"/>
    <n v="10942"/>
    <n v="0"/>
    <s v="Y"/>
    <s v="No"/>
    <s v="No"/>
    <n v="17"/>
    <n v="3"/>
    <n v="1"/>
    <n v="80"/>
    <n v="3"/>
    <n v="19"/>
    <s v="&gt;15"/>
    <n v="5"/>
    <n v="2"/>
    <n v="18"/>
    <n v="10"/>
    <n v="3"/>
    <n v="7"/>
  </r>
  <r>
    <n v="36"/>
    <x v="1"/>
    <s v="No"/>
    <s v="Non-Travel"/>
    <n v="1105"/>
    <x v="1"/>
    <n v="24"/>
    <n v="4"/>
    <s v="Life Sciences"/>
    <n v="1"/>
    <n v="419"/>
    <n v="2"/>
    <s v="Female"/>
    <n v="47"/>
    <n v="3"/>
    <x v="0"/>
    <x v="2"/>
    <n v="2"/>
    <s v="Married"/>
    <n v="5674"/>
    <n v="6927"/>
    <n v="7"/>
    <s v="Y"/>
    <s v="No"/>
    <s v="No"/>
    <n v="15"/>
    <n v="3"/>
    <n v="3"/>
    <n v="80"/>
    <n v="1"/>
    <n v="11"/>
    <s v="6-15"/>
    <n v="3"/>
    <n v="3"/>
    <n v="9"/>
    <n v="8"/>
    <n v="0"/>
    <n v="8"/>
  </r>
  <r>
    <n v="32"/>
    <x v="1"/>
    <s v="No"/>
    <s v="Travel_Rarely"/>
    <n v="906"/>
    <x v="0"/>
    <n v="7"/>
    <n v="3"/>
    <s v="Life Sciences"/>
    <n v="1"/>
    <n v="420"/>
    <n v="4"/>
    <s v="Male"/>
    <n v="91"/>
    <n v="2"/>
    <x v="0"/>
    <x v="0"/>
    <n v="3"/>
    <s v="Married"/>
    <n v="5484"/>
    <n v="16985"/>
    <n v="1"/>
    <s v="Y"/>
    <s v="No"/>
    <s v="No"/>
    <n v="14"/>
    <n v="3"/>
    <n v="3"/>
    <n v="80"/>
    <n v="1"/>
    <n v="13"/>
    <s v="6-15"/>
    <n v="3"/>
    <n v="2"/>
    <n v="13"/>
    <n v="8"/>
    <n v="4"/>
    <n v="8"/>
  </r>
  <r>
    <n v="38"/>
    <x v="1"/>
    <s v="No"/>
    <s v="Travel_Rarely"/>
    <n v="849"/>
    <x v="1"/>
    <n v="25"/>
    <n v="2"/>
    <s v="Life Sciences"/>
    <n v="1"/>
    <n v="421"/>
    <n v="1"/>
    <s v="Female"/>
    <n v="81"/>
    <n v="2"/>
    <x v="2"/>
    <x v="7"/>
    <n v="2"/>
    <s v="Married"/>
    <n v="12061"/>
    <n v="26707"/>
    <n v="3"/>
    <s v="Y"/>
    <s v="No"/>
    <s v="No"/>
    <n v="17"/>
    <n v="3"/>
    <n v="3"/>
    <n v="80"/>
    <n v="1"/>
    <n v="19"/>
    <s v="&gt;15"/>
    <n v="2"/>
    <n v="3"/>
    <n v="10"/>
    <n v="8"/>
    <n v="0"/>
    <n v="1"/>
  </r>
  <r>
    <n v="58"/>
    <x v="1"/>
    <s v="No"/>
    <s v="Non-Travel"/>
    <n v="390"/>
    <x v="1"/>
    <n v="1"/>
    <n v="4"/>
    <s v="Life Sciences"/>
    <n v="1"/>
    <n v="422"/>
    <n v="4"/>
    <s v="Male"/>
    <n v="32"/>
    <n v="1"/>
    <x v="0"/>
    <x v="4"/>
    <n v="3"/>
    <s v="Divorced"/>
    <n v="5660"/>
    <n v="17056"/>
    <n v="2"/>
    <s v="Y"/>
    <s v="Yes"/>
    <s v="Yes"/>
    <n v="13"/>
    <n v="3"/>
    <n v="4"/>
    <n v="80"/>
    <n v="1"/>
    <n v="12"/>
    <s v="6-15"/>
    <n v="2"/>
    <n v="3"/>
    <n v="5"/>
    <n v="3"/>
    <n v="1"/>
    <n v="2"/>
  </r>
  <r>
    <n v="31"/>
    <x v="1"/>
    <s v="No"/>
    <s v="Travel_Rarely"/>
    <n v="691"/>
    <x v="1"/>
    <n v="5"/>
    <n v="4"/>
    <s v="Technical Degree"/>
    <n v="1"/>
    <n v="423"/>
    <n v="3"/>
    <s v="Male"/>
    <n v="86"/>
    <n v="3"/>
    <x v="1"/>
    <x v="1"/>
    <n v="4"/>
    <s v="Married"/>
    <n v="4821"/>
    <n v="10077"/>
    <n v="0"/>
    <s v="Y"/>
    <s v="Yes"/>
    <s v="Yes"/>
    <n v="12"/>
    <n v="3"/>
    <n v="3"/>
    <n v="80"/>
    <n v="1"/>
    <n v="6"/>
    <s v="6-15"/>
    <n v="4"/>
    <n v="3"/>
    <n v="5"/>
    <n v="2"/>
    <n v="0"/>
    <n v="3"/>
  </r>
  <r>
    <n v="31"/>
    <x v="1"/>
    <s v="No"/>
    <s v="Travel_Rarely"/>
    <n v="106"/>
    <x v="2"/>
    <n v="2"/>
    <n v="3"/>
    <s v="Human Resources"/>
    <n v="1"/>
    <n v="424"/>
    <n v="1"/>
    <s v="Male"/>
    <n v="62"/>
    <n v="2"/>
    <x v="0"/>
    <x v="8"/>
    <n v="1"/>
    <s v="Married"/>
    <n v="6410"/>
    <n v="17822"/>
    <n v="3"/>
    <s v="Y"/>
    <s v="No"/>
    <s v="No"/>
    <n v="12"/>
    <n v="3"/>
    <n v="4"/>
    <n v="80"/>
    <n v="0"/>
    <n v="9"/>
    <s v="6-15"/>
    <n v="1"/>
    <n v="3"/>
    <n v="2"/>
    <n v="2"/>
    <n v="1"/>
    <n v="0"/>
  </r>
  <r>
    <n v="45"/>
    <x v="1"/>
    <s v="No"/>
    <s v="Travel_Frequently"/>
    <n v="1249"/>
    <x v="1"/>
    <n v="7"/>
    <n v="3"/>
    <s v="Life Sciences"/>
    <n v="1"/>
    <n v="425"/>
    <n v="1"/>
    <s v="Male"/>
    <n v="97"/>
    <n v="3"/>
    <x v="2"/>
    <x v="2"/>
    <n v="1"/>
    <s v="Divorced"/>
    <n v="5210"/>
    <n v="20308"/>
    <n v="1"/>
    <s v="Y"/>
    <s v="No"/>
    <s v="No"/>
    <n v="18"/>
    <n v="3"/>
    <n v="1"/>
    <n v="80"/>
    <n v="1"/>
    <n v="24"/>
    <s v="&gt;15"/>
    <n v="2"/>
    <n v="3"/>
    <n v="24"/>
    <n v="9"/>
    <n v="9"/>
    <n v="11"/>
  </r>
  <r>
    <n v="31"/>
    <x v="1"/>
    <s v="No"/>
    <s v="Travel_Rarely"/>
    <n v="192"/>
    <x v="1"/>
    <n v="2"/>
    <n v="4"/>
    <s v="Life Sciences"/>
    <n v="1"/>
    <n v="426"/>
    <n v="3"/>
    <s v="Male"/>
    <n v="32"/>
    <n v="3"/>
    <x v="1"/>
    <x v="1"/>
    <n v="4"/>
    <s v="Divorced"/>
    <n v="2695"/>
    <n v="7747"/>
    <n v="0"/>
    <s v="Y"/>
    <s v="Yes"/>
    <s v="Yes"/>
    <n v="18"/>
    <n v="3"/>
    <n v="2"/>
    <n v="80"/>
    <n v="1"/>
    <n v="3"/>
    <s v="0-5"/>
    <n v="2"/>
    <n v="1"/>
    <n v="2"/>
    <n v="2"/>
    <n v="2"/>
    <n v="2"/>
  </r>
  <r>
    <n v="33"/>
    <x v="1"/>
    <s v="No"/>
    <s v="Travel_Frequently"/>
    <n v="553"/>
    <x v="1"/>
    <n v="5"/>
    <n v="4"/>
    <s v="Life Sciences"/>
    <n v="1"/>
    <n v="428"/>
    <n v="4"/>
    <s v="Female"/>
    <n v="74"/>
    <n v="3"/>
    <x v="2"/>
    <x v="5"/>
    <n v="2"/>
    <s v="Married"/>
    <n v="11878"/>
    <n v="23364"/>
    <n v="6"/>
    <s v="Y"/>
    <s v="No"/>
    <s v="No"/>
    <n v="11"/>
    <n v="3"/>
    <n v="2"/>
    <n v="80"/>
    <n v="2"/>
    <n v="12"/>
    <s v="6-15"/>
    <n v="2"/>
    <n v="3"/>
    <n v="10"/>
    <n v="6"/>
    <n v="8"/>
    <n v="8"/>
  </r>
  <r>
    <n v="39"/>
    <x v="1"/>
    <s v="No"/>
    <s v="Travel_Rarely"/>
    <n v="117"/>
    <x v="1"/>
    <n v="10"/>
    <n v="1"/>
    <s v="Medical"/>
    <n v="1"/>
    <n v="429"/>
    <n v="3"/>
    <s v="Male"/>
    <n v="99"/>
    <n v="3"/>
    <x v="3"/>
    <x v="5"/>
    <n v="1"/>
    <s v="Married"/>
    <n v="17068"/>
    <n v="5355"/>
    <n v="1"/>
    <s v="Y"/>
    <s v="Yes"/>
    <s v="Yes"/>
    <n v="14"/>
    <n v="3"/>
    <n v="4"/>
    <n v="80"/>
    <n v="0"/>
    <n v="21"/>
    <s v="&gt;15"/>
    <n v="3"/>
    <n v="3"/>
    <n v="21"/>
    <n v="9"/>
    <n v="11"/>
    <n v="10"/>
  </r>
  <r>
    <n v="43"/>
    <x v="1"/>
    <s v="No"/>
    <s v="Travel_Frequently"/>
    <n v="185"/>
    <x v="1"/>
    <n v="10"/>
    <n v="4"/>
    <s v="Life Sciences"/>
    <n v="1"/>
    <n v="430"/>
    <n v="3"/>
    <s v="Female"/>
    <n v="33"/>
    <n v="3"/>
    <x v="1"/>
    <x v="2"/>
    <n v="4"/>
    <s v="Single"/>
    <n v="2455"/>
    <n v="10675"/>
    <n v="0"/>
    <s v="Y"/>
    <s v="No"/>
    <s v="No"/>
    <n v="19"/>
    <n v="3"/>
    <n v="1"/>
    <n v="80"/>
    <n v="0"/>
    <n v="9"/>
    <s v="6-15"/>
    <n v="5"/>
    <n v="3"/>
    <n v="8"/>
    <n v="7"/>
    <n v="1"/>
    <n v="7"/>
  </r>
  <r>
    <n v="49"/>
    <x v="1"/>
    <s v="No"/>
    <s v="Travel_Rarely"/>
    <n v="1091"/>
    <x v="1"/>
    <n v="1"/>
    <n v="2"/>
    <s v="Technical Degree"/>
    <n v="1"/>
    <n v="431"/>
    <n v="3"/>
    <s v="Female"/>
    <n v="90"/>
    <n v="2"/>
    <x v="3"/>
    <x v="4"/>
    <n v="3"/>
    <s v="Single"/>
    <n v="13964"/>
    <n v="17810"/>
    <n v="7"/>
    <s v="Y"/>
    <s v="Yes"/>
    <s v="Yes"/>
    <n v="12"/>
    <n v="3"/>
    <n v="4"/>
    <n v="80"/>
    <n v="0"/>
    <n v="25"/>
    <s v="&gt;15"/>
    <n v="2"/>
    <n v="3"/>
    <n v="7"/>
    <n v="1"/>
    <n v="0"/>
    <n v="7"/>
  </r>
  <r>
    <n v="52"/>
    <x v="0"/>
    <s v="Yes"/>
    <s v="Travel_Rarely"/>
    <n v="723"/>
    <x v="1"/>
    <n v="8"/>
    <n v="4"/>
    <s v="Medical"/>
    <n v="1"/>
    <n v="433"/>
    <n v="3"/>
    <s v="Male"/>
    <n v="85"/>
    <n v="2"/>
    <x v="0"/>
    <x v="1"/>
    <n v="2"/>
    <s v="Married"/>
    <n v="4941"/>
    <n v="17747"/>
    <n v="2"/>
    <s v="Y"/>
    <s v="No"/>
    <s v="No"/>
    <n v="15"/>
    <n v="3"/>
    <n v="1"/>
    <n v="80"/>
    <n v="0"/>
    <n v="11"/>
    <s v="6-15"/>
    <n v="3"/>
    <n v="2"/>
    <n v="8"/>
    <n v="2"/>
    <n v="7"/>
    <n v="7"/>
  </r>
  <r>
    <n v="27"/>
    <x v="1"/>
    <s v="No"/>
    <s v="Travel_Rarely"/>
    <n v="1220"/>
    <x v="1"/>
    <n v="5"/>
    <n v="3"/>
    <s v="Life Sciences"/>
    <n v="1"/>
    <n v="434"/>
    <n v="3"/>
    <s v="Female"/>
    <n v="85"/>
    <n v="3"/>
    <x v="1"/>
    <x v="1"/>
    <n v="2"/>
    <s v="Single"/>
    <n v="2478"/>
    <n v="20938"/>
    <n v="1"/>
    <s v="Y"/>
    <s v="Yes"/>
    <s v="Yes"/>
    <n v="12"/>
    <n v="3"/>
    <n v="2"/>
    <n v="80"/>
    <n v="0"/>
    <n v="4"/>
    <s v="0-5"/>
    <n v="2"/>
    <n v="2"/>
    <n v="4"/>
    <n v="3"/>
    <n v="1"/>
    <n v="2"/>
  </r>
  <r>
    <n v="32"/>
    <x v="1"/>
    <s v="No"/>
    <s v="Travel_Rarely"/>
    <n v="588"/>
    <x v="0"/>
    <n v="8"/>
    <n v="2"/>
    <s v="Technical Degree"/>
    <n v="1"/>
    <n v="436"/>
    <n v="3"/>
    <s v="Female"/>
    <n v="65"/>
    <n v="2"/>
    <x v="0"/>
    <x v="0"/>
    <n v="2"/>
    <s v="Married"/>
    <n v="5228"/>
    <n v="24624"/>
    <n v="1"/>
    <s v="Y"/>
    <s v="Yes"/>
    <s v="Yes"/>
    <n v="11"/>
    <n v="3"/>
    <n v="4"/>
    <n v="80"/>
    <n v="0"/>
    <n v="13"/>
    <s v="6-15"/>
    <n v="2"/>
    <n v="3"/>
    <n v="13"/>
    <n v="12"/>
    <n v="11"/>
    <n v="9"/>
  </r>
  <r>
    <n v="27"/>
    <x v="1"/>
    <s v="No"/>
    <s v="Travel_Rarely"/>
    <n v="1377"/>
    <x v="0"/>
    <n v="2"/>
    <n v="3"/>
    <s v="Life Sciences"/>
    <n v="1"/>
    <n v="437"/>
    <n v="4"/>
    <s v="Male"/>
    <n v="74"/>
    <n v="3"/>
    <x v="0"/>
    <x v="0"/>
    <n v="3"/>
    <s v="Single"/>
    <n v="4478"/>
    <n v="5242"/>
    <n v="1"/>
    <s v="Y"/>
    <s v="Yes"/>
    <s v="Yes"/>
    <n v="11"/>
    <n v="3"/>
    <n v="1"/>
    <n v="80"/>
    <n v="0"/>
    <n v="5"/>
    <s v="0-5"/>
    <n v="3"/>
    <n v="3"/>
    <n v="5"/>
    <n v="4"/>
    <n v="0"/>
    <n v="4"/>
  </r>
  <r>
    <n v="31"/>
    <x v="1"/>
    <s v="No"/>
    <s v="Travel_Rarely"/>
    <n v="691"/>
    <x v="0"/>
    <n v="7"/>
    <n v="3"/>
    <s v="Marketing"/>
    <n v="1"/>
    <n v="438"/>
    <n v="4"/>
    <s v="Male"/>
    <n v="73"/>
    <n v="3"/>
    <x v="0"/>
    <x v="0"/>
    <n v="4"/>
    <s v="Divorced"/>
    <n v="7547"/>
    <n v="7143"/>
    <n v="4"/>
    <s v="Y"/>
    <s v="No"/>
    <s v="No"/>
    <n v="12"/>
    <n v="3"/>
    <n v="4"/>
    <n v="80"/>
    <n v="3"/>
    <n v="13"/>
    <s v="6-15"/>
    <n v="3"/>
    <n v="3"/>
    <n v="7"/>
    <n v="7"/>
    <n v="1"/>
    <n v="7"/>
  </r>
  <r>
    <n v="32"/>
    <x v="1"/>
    <s v="No"/>
    <s v="Travel_Rarely"/>
    <n v="1018"/>
    <x v="1"/>
    <n v="2"/>
    <n v="4"/>
    <s v="Medical"/>
    <n v="1"/>
    <n v="439"/>
    <n v="1"/>
    <s v="Female"/>
    <n v="74"/>
    <n v="4"/>
    <x v="0"/>
    <x v="1"/>
    <n v="4"/>
    <s v="Single"/>
    <n v="5055"/>
    <n v="10557"/>
    <n v="7"/>
    <s v="Y"/>
    <s v="No"/>
    <s v="No"/>
    <n v="16"/>
    <n v="3"/>
    <n v="3"/>
    <n v="80"/>
    <n v="0"/>
    <n v="10"/>
    <s v="6-15"/>
    <n v="0"/>
    <n v="2"/>
    <n v="7"/>
    <n v="7"/>
    <n v="0"/>
    <n v="7"/>
  </r>
  <r>
    <n v="28"/>
    <x v="0"/>
    <s v="Yes"/>
    <s v="Travel_Rarely"/>
    <n v="1157"/>
    <x v="1"/>
    <n v="2"/>
    <n v="4"/>
    <s v="Medical"/>
    <n v="1"/>
    <n v="440"/>
    <n v="1"/>
    <s v="Male"/>
    <n v="84"/>
    <n v="1"/>
    <x v="1"/>
    <x v="1"/>
    <n v="4"/>
    <s v="Married"/>
    <n v="3464"/>
    <n v="24737"/>
    <n v="5"/>
    <s v="Y"/>
    <s v="Yes"/>
    <s v="Yes"/>
    <n v="13"/>
    <n v="3"/>
    <n v="4"/>
    <n v="80"/>
    <n v="0"/>
    <n v="5"/>
    <s v="0-5"/>
    <n v="4"/>
    <n v="2"/>
    <n v="3"/>
    <n v="2"/>
    <n v="2"/>
    <n v="2"/>
  </r>
  <r>
    <n v="30"/>
    <x v="1"/>
    <s v="No"/>
    <s v="Travel_Rarely"/>
    <n v="1275"/>
    <x v="1"/>
    <n v="28"/>
    <n v="2"/>
    <s v="Medical"/>
    <n v="1"/>
    <n v="441"/>
    <n v="4"/>
    <s v="Female"/>
    <n v="64"/>
    <n v="3"/>
    <x v="0"/>
    <x v="1"/>
    <n v="4"/>
    <s v="Married"/>
    <n v="5775"/>
    <n v="11934"/>
    <n v="1"/>
    <s v="Y"/>
    <s v="No"/>
    <s v="No"/>
    <n v="13"/>
    <n v="3"/>
    <n v="4"/>
    <n v="80"/>
    <n v="2"/>
    <n v="11"/>
    <s v="6-15"/>
    <n v="2"/>
    <n v="3"/>
    <n v="10"/>
    <n v="8"/>
    <n v="1"/>
    <n v="9"/>
  </r>
  <r>
    <n v="31"/>
    <x v="1"/>
    <s v="No"/>
    <s v="Travel_Frequently"/>
    <n v="798"/>
    <x v="1"/>
    <n v="7"/>
    <n v="2"/>
    <s v="Life Sciences"/>
    <n v="1"/>
    <n v="442"/>
    <n v="3"/>
    <s v="Female"/>
    <n v="48"/>
    <n v="2"/>
    <x v="2"/>
    <x v="3"/>
    <n v="3"/>
    <s v="Married"/>
    <n v="8943"/>
    <n v="14034"/>
    <n v="1"/>
    <s v="Y"/>
    <s v="No"/>
    <s v="No"/>
    <n v="24"/>
    <n v="4"/>
    <n v="1"/>
    <n v="80"/>
    <n v="1"/>
    <n v="10"/>
    <s v="6-15"/>
    <n v="2"/>
    <n v="3"/>
    <n v="10"/>
    <n v="9"/>
    <n v="8"/>
    <n v="9"/>
  </r>
  <r>
    <n v="39"/>
    <x v="1"/>
    <s v="No"/>
    <s v="Travel_Frequently"/>
    <n v="672"/>
    <x v="1"/>
    <n v="7"/>
    <n v="2"/>
    <s v="Medical"/>
    <n v="1"/>
    <n v="444"/>
    <n v="3"/>
    <s v="Male"/>
    <n v="54"/>
    <n v="2"/>
    <x v="4"/>
    <x v="5"/>
    <n v="4"/>
    <s v="Married"/>
    <n v="19272"/>
    <n v="21141"/>
    <n v="1"/>
    <s v="Y"/>
    <s v="No"/>
    <s v="No"/>
    <n v="15"/>
    <n v="3"/>
    <n v="1"/>
    <n v="80"/>
    <n v="1"/>
    <n v="21"/>
    <s v="&gt;15"/>
    <n v="2"/>
    <n v="3"/>
    <n v="21"/>
    <n v="9"/>
    <n v="13"/>
    <n v="3"/>
  </r>
  <r>
    <n v="39"/>
    <x v="0"/>
    <s v="Yes"/>
    <s v="Travel_Rarely"/>
    <n v="1162"/>
    <x v="0"/>
    <n v="3"/>
    <n v="2"/>
    <s v="Medical"/>
    <n v="1"/>
    <n v="445"/>
    <n v="4"/>
    <s v="Female"/>
    <n v="41"/>
    <n v="3"/>
    <x v="0"/>
    <x v="0"/>
    <n v="3"/>
    <s v="Married"/>
    <n v="5238"/>
    <n v="17778"/>
    <n v="4"/>
    <s v="Y"/>
    <s v="Yes"/>
    <s v="Yes"/>
    <n v="18"/>
    <n v="3"/>
    <n v="1"/>
    <n v="80"/>
    <n v="0"/>
    <n v="12"/>
    <s v="6-15"/>
    <n v="3"/>
    <n v="2"/>
    <n v="1"/>
    <n v="0"/>
    <n v="0"/>
    <n v="0"/>
  </r>
  <r>
    <n v="33"/>
    <x v="1"/>
    <s v="No"/>
    <s v="Travel_Frequently"/>
    <n v="508"/>
    <x v="0"/>
    <n v="10"/>
    <n v="3"/>
    <s v="Marketing"/>
    <n v="1"/>
    <n v="446"/>
    <n v="2"/>
    <s v="Male"/>
    <n v="46"/>
    <n v="2"/>
    <x v="0"/>
    <x v="0"/>
    <n v="4"/>
    <s v="Single"/>
    <n v="4682"/>
    <n v="4317"/>
    <n v="3"/>
    <s v="Y"/>
    <s v="No"/>
    <s v="No"/>
    <n v="14"/>
    <n v="3"/>
    <n v="3"/>
    <n v="80"/>
    <n v="0"/>
    <n v="9"/>
    <s v="6-15"/>
    <n v="6"/>
    <n v="2"/>
    <n v="7"/>
    <n v="7"/>
    <n v="0"/>
    <n v="1"/>
  </r>
  <r>
    <n v="47"/>
    <x v="1"/>
    <s v="No"/>
    <s v="Travel_Rarely"/>
    <n v="1482"/>
    <x v="1"/>
    <n v="5"/>
    <n v="5"/>
    <s v="Life Sciences"/>
    <n v="1"/>
    <n v="447"/>
    <n v="4"/>
    <s v="Male"/>
    <n v="42"/>
    <n v="3"/>
    <x v="4"/>
    <x v="7"/>
    <n v="3"/>
    <s v="Married"/>
    <n v="18300"/>
    <n v="16375"/>
    <n v="4"/>
    <s v="Y"/>
    <s v="No"/>
    <s v="No"/>
    <n v="11"/>
    <n v="3"/>
    <n v="2"/>
    <n v="80"/>
    <n v="1"/>
    <n v="21"/>
    <s v="&gt;15"/>
    <n v="2"/>
    <n v="3"/>
    <n v="3"/>
    <n v="2"/>
    <n v="1"/>
    <n v="1"/>
  </r>
  <r>
    <n v="43"/>
    <x v="1"/>
    <s v="No"/>
    <s v="Travel_Frequently"/>
    <n v="559"/>
    <x v="1"/>
    <n v="10"/>
    <n v="4"/>
    <s v="Life Sciences"/>
    <n v="1"/>
    <n v="448"/>
    <n v="3"/>
    <s v="Female"/>
    <n v="82"/>
    <n v="2"/>
    <x v="0"/>
    <x v="2"/>
    <n v="3"/>
    <s v="Divorced"/>
    <n v="5257"/>
    <n v="6227"/>
    <n v="1"/>
    <s v="Y"/>
    <s v="No"/>
    <s v="No"/>
    <n v="11"/>
    <n v="3"/>
    <n v="2"/>
    <n v="80"/>
    <n v="1"/>
    <n v="9"/>
    <s v="6-15"/>
    <n v="3"/>
    <n v="4"/>
    <n v="9"/>
    <n v="7"/>
    <n v="0"/>
    <n v="0"/>
  </r>
  <r>
    <n v="27"/>
    <x v="1"/>
    <s v="No"/>
    <s v="Non-Travel"/>
    <n v="210"/>
    <x v="0"/>
    <n v="1"/>
    <n v="1"/>
    <s v="Marketing"/>
    <n v="1"/>
    <n v="449"/>
    <n v="3"/>
    <s v="Male"/>
    <n v="73"/>
    <n v="3"/>
    <x v="0"/>
    <x v="0"/>
    <n v="2"/>
    <s v="Married"/>
    <n v="6349"/>
    <n v="22107"/>
    <n v="0"/>
    <s v="Y"/>
    <s v="Yes"/>
    <s v="Yes"/>
    <n v="13"/>
    <n v="3"/>
    <n v="4"/>
    <n v="80"/>
    <n v="1"/>
    <n v="6"/>
    <s v="6-15"/>
    <n v="0"/>
    <n v="3"/>
    <n v="5"/>
    <n v="4"/>
    <n v="1"/>
    <n v="4"/>
  </r>
  <r>
    <n v="54"/>
    <x v="1"/>
    <s v="No"/>
    <s v="Travel_Frequently"/>
    <n v="928"/>
    <x v="1"/>
    <n v="20"/>
    <n v="4"/>
    <s v="Life Sciences"/>
    <n v="1"/>
    <n v="450"/>
    <n v="4"/>
    <s v="Female"/>
    <n v="31"/>
    <n v="3"/>
    <x v="0"/>
    <x v="1"/>
    <n v="3"/>
    <s v="Single"/>
    <n v="4869"/>
    <n v="16885"/>
    <n v="3"/>
    <s v="Y"/>
    <s v="No"/>
    <s v="No"/>
    <n v="12"/>
    <n v="3"/>
    <n v="4"/>
    <n v="80"/>
    <n v="0"/>
    <n v="20"/>
    <s v="&gt;15"/>
    <n v="4"/>
    <n v="2"/>
    <n v="4"/>
    <n v="3"/>
    <n v="0"/>
    <n v="3"/>
  </r>
  <r>
    <n v="43"/>
    <x v="1"/>
    <s v="No"/>
    <s v="Travel_Rarely"/>
    <n v="1001"/>
    <x v="1"/>
    <n v="7"/>
    <n v="3"/>
    <s v="Life Sciences"/>
    <n v="1"/>
    <n v="451"/>
    <n v="3"/>
    <s v="Female"/>
    <n v="43"/>
    <n v="3"/>
    <x v="2"/>
    <x v="4"/>
    <n v="1"/>
    <s v="Married"/>
    <n v="9985"/>
    <n v="9262"/>
    <n v="8"/>
    <s v="Y"/>
    <s v="No"/>
    <s v="No"/>
    <n v="16"/>
    <n v="3"/>
    <n v="1"/>
    <n v="80"/>
    <n v="1"/>
    <n v="10"/>
    <s v="6-15"/>
    <n v="1"/>
    <n v="2"/>
    <n v="1"/>
    <n v="0"/>
    <n v="0"/>
    <n v="0"/>
  </r>
  <r>
    <n v="45"/>
    <x v="1"/>
    <s v="No"/>
    <s v="Travel_Rarely"/>
    <n v="549"/>
    <x v="1"/>
    <n v="8"/>
    <n v="4"/>
    <s v="Other"/>
    <n v="1"/>
    <n v="452"/>
    <n v="4"/>
    <s v="Male"/>
    <n v="75"/>
    <n v="3"/>
    <x v="0"/>
    <x v="1"/>
    <n v="4"/>
    <s v="Married"/>
    <n v="3697"/>
    <n v="9278"/>
    <n v="9"/>
    <s v="Y"/>
    <s v="No"/>
    <s v="No"/>
    <n v="14"/>
    <n v="3"/>
    <n v="1"/>
    <n v="80"/>
    <n v="2"/>
    <n v="12"/>
    <s v="6-15"/>
    <n v="3"/>
    <n v="3"/>
    <n v="10"/>
    <n v="9"/>
    <n v="9"/>
    <n v="8"/>
  </r>
  <r>
    <n v="40"/>
    <x v="1"/>
    <s v="No"/>
    <s v="Travel_Rarely"/>
    <n v="1124"/>
    <x v="0"/>
    <n v="1"/>
    <n v="2"/>
    <s v="Medical"/>
    <n v="1"/>
    <n v="453"/>
    <n v="2"/>
    <s v="Male"/>
    <n v="57"/>
    <n v="1"/>
    <x v="0"/>
    <x v="0"/>
    <n v="4"/>
    <s v="Married"/>
    <n v="7457"/>
    <n v="13273"/>
    <n v="2"/>
    <s v="Y"/>
    <s v="Yes"/>
    <s v="Yes"/>
    <n v="22"/>
    <n v="4"/>
    <n v="3"/>
    <n v="80"/>
    <n v="3"/>
    <n v="6"/>
    <s v="6-15"/>
    <n v="2"/>
    <n v="2"/>
    <n v="4"/>
    <n v="3"/>
    <n v="0"/>
    <n v="2"/>
  </r>
  <r>
    <n v="29"/>
    <x v="0"/>
    <s v="Yes"/>
    <s v="Travel_Rarely"/>
    <n v="318"/>
    <x v="1"/>
    <n v="8"/>
    <n v="4"/>
    <s v="Other"/>
    <n v="1"/>
    <n v="454"/>
    <n v="2"/>
    <s v="Male"/>
    <n v="77"/>
    <n v="1"/>
    <x v="1"/>
    <x v="2"/>
    <n v="1"/>
    <s v="Married"/>
    <n v="2119"/>
    <n v="4759"/>
    <n v="1"/>
    <s v="Y"/>
    <s v="Yes"/>
    <s v="Yes"/>
    <n v="11"/>
    <n v="3"/>
    <n v="4"/>
    <n v="80"/>
    <n v="0"/>
    <n v="7"/>
    <s v="6-15"/>
    <n v="4"/>
    <n v="2"/>
    <n v="7"/>
    <n v="7"/>
    <n v="0"/>
    <n v="7"/>
  </r>
  <r>
    <n v="29"/>
    <x v="1"/>
    <s v="No"/>
    <s v="Travel_Rarely"/>
    <n v="738"/>
    <x v="1"/>
    <n v="9"/>
    <n v="5"/>
    <s v="Other"/>
    <n v="1"/>
    <n v="455"/>
    <n v="2"/>
    <s v="Male"/>
    <n v="30"/>
    <n v="2"/>
    <x v="1"/>
    <x v="2"/>
    <n v="4"/>
    <s v="Single"/>
    <n v="3983"/>
    <n v="7621"/>
    <n v="0"/>
    <s v="Y"/>
    <s v="No"/>
    <s v="No"/>
    <n v="17"/>
    <n v="3"/>
    <n v="3"/>
    <n v="80"/>
    <n v="0"/>
    <n v="4"/>
    <s v="0-5"/>
    <n v="2"/>
    <n v="3"/>
    <n v="3"/>
    <n v="2"/>
    <n v="2"/>
    <n v="2"/>
  </r>
  <r>
    <n v="30"/>
    <x v="1"/>
    <s v="No"/>
    <s v="Travel_Rarely"/>
    <n v="570"/>
    <x v="0"/>
    <n v="5"/>
    <n v="3"/>
    <s v="Marketing"/>
    <n v="1"/>
    <n v="456"/>
    <n v="4"/>
    <s v="Female"/>
    <n v="30"/>
    <n v="2"/>
    <x v="0"/>
    <x v="0"/>
    <n v="3"/>
    <s v="Divorced"/>
    <n v="6118"/>
    <n v="5431"/>
    <n v="1"/>
    <s v="Y"/>
    <s v="No"/>
    <s v="No"/>
    <n v="13"/>
    <n v="3"/>
    <n v="3"/>
    <n v="80"/>
    <n v="3"/>
    <n v="10"/>
    <s v="6-15"/>
    <n v="2"/>
    <n v="3"/>
    <n v="10"/>
    <n v="9"/>
    <n v="1"/>
    <n v="2"/>
  </r>
  <r>
    <n v="27"/>
    <x v="1"/>
    <s v="No"/>
    <s v="Travel_Rarely"/>
    <n v="1130"/>
    <x v="0"/>
    <n v="8"/>
    <n v="4"/>
    <s v="Marketing"/>
    <n v="1"/>
    <n v="458"/>
    <n v="2"/>
    <s v="Female"/>
    <n v="56"/>
    <n v="3"/>
    <x v="0"/>
    <x v="0"/>
    <n v="2"/>
    <s v="Married"/>
    <n v="6214"/>
    <n v="3415"/>
    <n v="1"/>
    <s v="Y"/>
    <s v="No"/>
    <s v="No"/>
    <n v="18"/>
    <n v="3"/>
    <n v="1"/>
    <n v="80"/>
    <n v="1"/>
    <n v="8"/>
    <s v="6-15"/>
    <n v="3"/>
    <n v="3"/>
    <n v="8"/>
    <n v="7"/>
    <n v="0"/>
    <n v="7"/>
  </r>
  <r>
    <n v="37"/>
    <x v="1"/>
    <s v="No"/>
    <s v="Travel_Rarely"/>
    <n v="1192"/>
    <x v="1"/>
    <n v="5"/>
    <n v="2"/>
    <s v="Medical"/>
    <n v="1"/>
    <n v="460"/>
    <n v="4"/>
    <s v="Male"/>
    <n v="61"/>
    <n v="3"/>
    <x v="0"/>
    <x v="3"/>
    <n v="4"/>
    <s v="Divorced"/>
    <n v="6347"/>
    <n v="23177"/>
    <n v="7"/>
    <s v="Y"/>
    <s v="No"/>
    <s v="No"/>
    <n v="16"/>
    <n v="3"/>
    <n v="3"/>
    <n v="80"/>
    <n v="2"/>
    <n v="8"/>
    <s v="6-15"/>
    <n v="2"/>
    <n v="2"/>
    <n v="6"/>
    <n v="2"/>
    <n v="0"/>
    <n v="4"/>
  </r>
  <r>
    <n v="38"/>
    <x v="1"/>
    <s v="No"/>
    <s v="Travel_Rarely"/>
    <n v="343"/>
    <x v="1"/>
    <n v="15"/>
    <n v="2"/>
    <s v="Life Sciences"/>
    <n v="1"/>
    <n v="461"/>
    <n v="3"/>
    <s v="Male"/>
    <n v="92"/>
    <n v="2"/>
    <x v="2"/>
    <x v="7"/>
    <n v="4"/>
    <s v="Divorced"/>
    <n v="11510"/>
    <n v="15682"/>
    <n v="0"/>
    <s v="Y"/>
    <s v="Yes"/>
    <s v="Yes"/>
    <n v="14"/>
    <n v="3"/>
    <n v="2"/>
    <n v="80"/>
    <n v="1"/>
    <n v="12"/>
    <s v="6-15"/>
    <n v="3"/>
    <n v="3"/>
    <n v="11"/>
    <n v="10"/>
    <n v="2"/>
    <n v="9"/>
  </r>
  <r>
    <n v="31"/>
    <x v="1"/>
    <s v="No"/>
    <s v="Travel_Rarely"/>
    <n v="1232"/>
    <x v="1"/>
    <n v="7"/>
    <n v="4"/>
    <s v="Medical"/>
    <n v="1"/>
    <n v="462"/>
    <n v="3"/>
    <s v="Female"/>
    <n v="39"/>
    <n v="3"/>
    <x v="2"/>
    <x v="3"/>
    <n v="4"/>
    <s v="Single"/>
    <n v="7143"/>
    <n v="25713"/>
    <n v="1"/>
    <s v="Y"/>
    <s v="Yes"/>
    <s v="Yes"/>
    <n v="14"/>
    <n v="3"/>
    <n v="3"/>
    <n v="80"/>
    <n v="0"/>
    <n v="11"/>
    <s v="6-15"/>
    <n v="2"/>
    <n v="2"/>
    <n v="11"/>
    <n v="9"/>
    <n v="4"/>
    <n v="10"/>
  </r>
  <r>
    <n v="29"/>
    <x v="1"/>
    <s v="No"/>
    <s v="Travel_Rarely"/>
    <n v="144"/>
    <x v="0"/>
    <n v="10"/>
    <n v="1"/>
    <s v="Marketing"/>
    <n v="1"/>
    <n v="463"/>
    <n v="4"/>
    <s v="Female"/>
    <n v="39"/>
    <n v="2"/>
    <x v="0"/>
    <x v="0"/>
    <n v="2"/>
    <s v="Divorced"/>
    <n v="8268"/>
    <n v="11866"/>
    <n v="1"/>
    <s v="Y"/>
    <s v="Yes"/>
    <s v="Yes"/>
    <n v="14"/>
    <n v="3"/>
    <n v="1"/>
    <n v="80"/>
    <n v="2"/>
    <n v="7"/>
    <s v="6-15"/>
    <n v="2"/>
    <n v="3"/>
    <n v="7"/>
    <n v="7"/>
    <n v="1"/>
    <n v="7"/>
  </r>
  <r>
    <n v="35"/>
    <x v="1"/>
    <s v="No"/>
    <s v="Travel_Rarely"/>
    <n v="1296"/>
    <x v="1"/>
    <n v="5"/>
    <n v="4"/>
    <s v="Technical Degree"/>
    <n v="1"/>
    <n v="464"/>
    <n v="3"/>
    <s v="Male"/>
    <n v="62"/>
    <n v="3"/>
    <x v="2"/>
    <x v="3"/>
    <n v="2"/>
    <s v="Single"/>
    <n v="8095"/>
    <n v="18264"/>
    <n v="0"/>
    <s v="Y"/>
    <s v="No"/>
    <s v="No"/>
    <n v="13"/>
    <n v="3"/>
    <n v="4"/>
    <n v="80"/>
    <n v="0"/>
    <n v="17"/>
    <s v="&gt;15"/>
    <n v="5"/>
    <n v="3"/>
    <n v="16"/>
    <n v="6"/>
    <n v="0"/>
    <n v="13"/>
  </r>
  <r>
    <n v="23"/>
    <x v="1"/>
    <s v="No"/>
    <s v="Travel_Rarely"/>
    <n v="1309"/>
    <x v="1"/>
    <n v="26"/>
    <n v="1"/>
    <s v="Life Sciences"/>
    <n v="1"/>
    <n v="465"/>
    <n v="3"/>
    <s v="Male"/>
    <n v="83"/>
    <n v="3"/>
    <x v="1"/>
    <x v="1"/>
    <n v="4"/>
    <s v="Divorced"/>
    <n v="2904"/>
    <n v="16092"/>
    <n v="1"/>
    <s v="Y"/>
    <s v="No"/>
    <s v="No"/>
    <n v="12"/>
    <n v="3"/>
    <n v="3"/>
    <n v="80"/>
    <n v="2"/>
    <n v="4"/>
    <s v="0-5"/>
    <n v="2"/>
    <n v="2"/>
    <n v="4"/>
    <n v="2"/>
    <n v="0"/>
    <n v="2"/>
  </r>
  <r>
    <n v="41"/>
    <x v="1"/>
    <s v="No"/>
    <s v="Travel_Rarely"/>
    <n v="483"/>
    <x v="1"/>
    <n v="6"/>
    <n v="3"/>
    <s v="Medical"/>
    <n v="1"/>
    <n v="466"/>
    <n v="4"/>
    <s v="Male"/>
    <n v="95"/>
    <n v="2"/>
    <x v="0"/>
    <x v="3"/>
    <n v="2"/>
    <s v="Single"/>
    <n v="6032"/>
    <n v="10110"/>
    <n v="6"/>
    <s v="Y"/>
    <s v="Yes"/>
    <s v="Yes"/>
    <n v="15"/>
    <n v="3"/>
    <n v="4"/>
    <n v="80"/>
    <n v="0"/>
    <n v="8"/>
    <s v="6-15"/>
    <n v="3"/>
    <n v="3"/>
    <n v="5"/>
    <n v="4"/>
    <n v="1"/>
    <n v="2"/>
  </r>
  <r>
    <n v="47"/>
    <x v="1"/>
    <s v="No"/>
    <s v="Travel_Frequently"/>
    <n v="1309"/>
    <x v="0"/>
    <n v="4"/>
    <n v="1"/>
    <s v="Medical"/>
    <n v="1"/>
    <n v="467"/>
    <n v="2"/>
    <s v="Male"/>
    <n v="99"/>
    <n v="3"/>
    <x v="0"/>
    <x v="6"/>
    <n v="3"/>
    <s v="Single"/>
    <n v="2976"/>
    <n v="25751"/>
    <n v="3"/>
    <s v="Y"/>
    <s v="No"/>
    <s v="No"/>
    <n v="19"/>
    <n v="3"/>
    <n v="1"/>
    <n v="80"/>
    <n v="0"/>
    <n v="5"/>
    <s v="0-5"/>
    <n v="3"/>
    <n v="3"/>
    <n v="0"/>
    <n v="0"/>
    <n v="0"/>
    <n v="0"/>
  </r>
  <r>
    <n v="42"/>
    <x v="1"/>
    <s v="No"/>
    <s v="Travel_Rarely"/>
    <n v="810"/>
    <x v="1"/>
    <n v="23"/>
    <n v="5"/>
    <s v="Life Sciences"/>
    <n v="1"/>
    <n v="468"/>
    <n v="1"/>
    <s v="Female"/>
    <n v="44"/>
    <n v="3"/>
    <x v="3"/>
    <x v="7"/>
    <n v="4"/>
    <s v="Single"/>
    <n v="15992"/>
    <n v="15901"/>
    <n v="2"/>
    <s v="Y"/>
    <s v="No"/>
    <s v="No"/>
    <n v="14"/>
    <n v="3"/>
    <n v="2"/>
    <n v="80"/>
    <n v="0"/>
    <n v="16"/>
    <s v="&gt;15"/>
    <n v="2"/>
    <n v="3"/>
    <n v="1"/>
    <n v="0"/>
    <n v="0"/>
    <n v="0"/>
  </r>
  <r>
    <n v="29"/>
    <x v="1"/>
    <s v="No"/>
    <s v="Non-Travel"/>
    <n v="746"/>
    <x v="0"/>
    <n v="2"/>
    <n v="3"/>
    <s v="Life Sciences"/>
    <n v="1"/>
    <n v="469"/>
    <n v="4"/>
    <s v="Male"/>
    <n v="61"/>
    <n v="3"/>
    <x v="0"/>
    <x v="0"/>
    <n v="3"/>
    <s v="Married"/>
    <n v="4649"/>
    <n v="16928"/>
    <n v="1"/>
    <s v="Y"/>
    <s v="No"/>
    <s v="No"/>
    <n v="14"/>
    <n v="3"/>
    <n v="1"/>
    <n v="80"/>
    <n v="1"/>
    <n v="4"/>
    <s v="0-5"/>
    <n v="3"/>
    <n v="2"/>
    <n v="4"/>
    <n v="3"/>
    <n v="0"/>
    <n v="2"/>
  </r>
  <r>
    <n v="42"/>
    <x v="1"/>
    <s v="No"/>
    <s v="Travel_Rarely"/>
    <n v="544"/>
    <x v="2"/>
    <n v="2"/>
    <n v="1"/>
    <s v="Technical Degree"/>
    <n v="1"/>
    <n v="470"/>
    <n v="3"/>
    <s v="Male"/>
    <n v="52"/>
    <n v="3"/>
    <x v="1"/>
    <x v="8"/>
    <n v="3"/>
    <s v="Divorced"/>
    <n v="2696"/>
    <n v="24017"/>
    <n v="0"/>
    <s v="Y"/>
    <s v="Yes"/>
    <s v="Yes"/>
    <n v="11"/>
    <n v="3"/>
    <n v="3"/>
    <n v="80"/>
    <n v="1"/>
    <n v="4"/>
    <s v="0-5"/>
    <n v="5"/>
    <n v="3"/>
    <n v="3"/>
    <n v="2"/>
    <n v="1"/>
    <n v="0"/>
  </r>
  <r>
    <n v="32"/>
    <x v="1"/>
    <s v="No"/>
    <s v="Travel_Rarely"/>
    <n v="1062"/>
    <x v="1"/>
    <n v="2"/>
    <n v="3"/>
    <s v="Medical"/>
    <n v="1"/>
    <n v="471"/>
    <n v="3"/>
    <s v="Female"/>
    <n v="75"/>
    <n v="3"/>
    <x v="1"/>
    <x v="2"/>
    <n v="2"/>
    <s v="Married"/>
    <n v="2370"/>
    <n v="3956"/>
    <n v="1"/>
    <s v="Y"/>
    <s v="No"/>
    <s v="No"/>
    <n v="13"/>
    <n v="3"/>
    <n v="3"/>
    <n v="80"/>
    <n v="1"/>
    <n v="8"/>
    <s v="6-15"/>
    <n v="4"/>
    <n v="3"/>
    <n v="8"/>
    <n v="0"/>
    <n v="0"/>
    <n v="7"/>
  </r>
  <r>
    <n v="48"/>
    <x v="1"/>
    <s v="No"/>
    <s v="Travel_Rarely"/>
    <n v="530"/>
    <x v="0"/>
    <n v="29"/>
    <n v="1"/>
    <s v="Medical"/>
    <n v="1"/>
    <n v="473"/>
    <n v="1"/>
    <s v="Female"/>
    <n v="91"/>
    <n v="3"/>
    <x v="2"/>
    <x v="5"/>
    <n v="3"/>
    <s v="Married"/>
    <n v="12504"/>
    <n v="23978"/>
    <n v="3"/>
    <s v="Y"/>
    <s v="No"/>
    <s v="No"/>
    <n v="21"/>
    <n v="4"/>
    <n v="2"/>
    <n v="80"/>
    <n v="1"/>
    <n v="15"/>
    <s v="6-15"/>
    <n v="3"/>
    <n v="1"/>
    <n v="0"/>
    <n v="0"/>
    <n v="0"/>
    <n v="0"/>
  </r>
  <r>
    <n v="37"/>
    <x v="1"/>
    <s v="No"/>
    <s v="Travel_Rarely"/>
    <n v="1319"/>
    <x v="1"/>
    <n v="6"/>
    <n v="3"/>
    <s v="Medical"/>
    <n v="1"/>
    <n v="474"/>
    <n v="3"/>
    <s v="Male"/>
    <n v="51"/>
    <n v="4"/>
    <x v="0"/>
    <x v="1"/>
    <n v="1"/>
    <s v="Divorced"/>
    <n v="5974"/>
    <n v="17001"/>
    <n v="4"/>
    <s v="Y"/>
    <s v="Yes"/>
    <s v="Yes"/>
    <n v="13"/>
    <n v="3"/>
    <n v="1"/>
    <n v="80"/>
    <n v="2"/>
    <n v="13"/>
    <s v="6-15"/>
    <n v="2"/>
    <n v="3"/>
    <n v="7"/>
    <n v="7"/>
    <n v="6"/>
    <n v="7"/>
  </r>
  <r>
    <n v="30"/>
    <x v="1"/>
    <s v="No"/>
    <s v="Non-Travel"/>
    <n v="641"/>
    <x v="0"/>
    <n v="25"/>
    <n v="2"/>
    <s v="Technical Degree"/>
    <n v="1"/>
    <n v="475"/>
    <n v="4"/>
    <s v="Female"/>
    <n v="85"/>
    <n v="3"/>
    <x v="0"/>
    <x v="0"/>
    <n v="3"/>
    <s v="Married"/>
    <n v="4736"/>
    <n v="6069"/>
    <n v="7"/>
    <s v="Y"/>
    <s v="Yes"/>
    <s v="Yes"/>
    <n v="12"/>
    <n v="3"/>
    <n v="2"/>
    <n v="80"/>
    <n v="1"/>
    <n v="4"/>
    <s v="0-5"/>
    <n v="2"/>
    <n v="4"/>
    <n v="2"/>
    <n v="2"/>
    <n v="2"/>
    <n v="2"/>
  </r>
  <r>
    <n v="26"/>
    <x v="1"/>
    <s v="No"/>
    <s v="Travel_Rarely"/>
    <n v="933"/>
    <x v="0"/>
    <n v="1"/>
    <n v="3"/>
    <s v="Life Sciences"/>
    <n v="1"/>
    <n v="476"/>
    <n v="3"/>
    <s v="Male"/>
    <n v="57"/>
    <n v="3"/>
    <x v="0"/>
    <x v="0"/>
    <n v="3"/>
    <s v="Married"/>
    <n v="5296"/>
    <n v="20156"/>
    <n v="1"/>
    <s v="Y"/>
    <s v="No"/>
    <s v="No"/>
    <n v="17"/>
    <n v="3"/>
    <n v="2"/>
    <n v="80"/>
    <n v="1"/>
    <n v="8"/>
    <s v="6-15"/>
    <n v="3"/>
    <n v="3"/>
    <n v="8"/>
    <n v="7"/>
    <n v="7"/>
    <n v="7"/>
  </r>
  <r>
    <n v="42"/>
    <x v="1"/>
    <s v="No"/>
    <s v="Travel_Rarely"/>
    <n v="1332"/>
    <x v="1"/>
    <n v="2"/>
    <n v="4"/>
    <s v="Other"/>
    <n v="1"/>
    <n v="477"/>
    <n v="1"/>
    <s v="Male"/>
    <n v="98"/>
    <n v="2"/>
    <x v="0"/>
    <x v="4"/>
    <n v="4"/>
    <s v="Single"/>
    <n v="6781"/>
    <n v="17078"/>
    <n v="3"/>
    <s v="Y"/>
    <s v="No"/>
    <s v="No"/>
    <n v="23"/>
    <n v="4"/>
    <n v="2"/>
    <n v="80"/>
    <n v="0"/>
    <n v="14"/>
    <s v="6-15"/>
    <n v="6"/>
    <n v="3"/>
    <n v="1"/>
    <n v="0"/>
    <n v="0"/>
    <n v="0"/>
  </r>
  <r>
    <n v="21"/>
    <x v="0"/>
    <s v="Yes"/>
    <s v="Travel_Frequently"/>
    <n v="756"/>
    <x v="0"/>
    <n v="1"/>
    <n v="1"/>
    <s v="Technical Degree"/>
    <n v="1"/>
    <n v="478"/>
    <n v="1"/>
    <s v="Female"/>
    <n v="99"/>
    <n v="2"/>
    <x v="1"/>
    <x v="6"/>
    <n v="2"/>
    <s v="Single"/>
    <n v="2174"/>
    <n v="9150"/>
    <n v="1"/>
    <s v="Y"/>
    <s v="Yes"/>
    <s v="Yes"/>
    <n v="11"/>
    <n v="3"/>
    <n v="3"/>
    <n v="80"/>
    <n v="0"/>
    <n v="3"/>
    <s v="0-5"/>
    <n v="3"/>
    <n v="3"/>
    <n v="3"/>
    <n v="2"/>
    <n v="1"/>
    <n v="2"/>
  </r>
  <r>
    <n v="36"/>
    <x v="1"/>
    <s v="No"/>
    <s v="Non-Travel"/>
    <n v="845"/>
    <x v="0"/>
    <n v="1"/>
    <n v="5"/>
    <s v="Medical"/>
    <n v="1"/>
    <n v="479"/>
    <n v="4"/>
    <s v="Female"/>
    <n v="45"/>
    <n v="3"/>
    <x v="0"/>
    <x v="0"/>
    <n v="4"/>
    <s v="Single"/>
    <n v="6653"/>
    <n v="15276"/>
    <n v="4"/>
    <s v="Y"/>
    <s v="No"/>
    <s v="No"/>
    <n v="15"/>
    <n v="3"/>
    <n v="2"/>
    <n v="80"/>
    <n v="0"/>
    <n v="7"/>
    <s v="6-15"/>
    <n v="6"/>
    <n v="3"/>
    <n v="1"/>
    <n v="0"/>
    <n v="0"/>
    <n v="0"/>
  </r>
  <r>
    <n v="36"/>
    <x v="1"/>
    <s v="No"/>
    <s v="Travel_Frequently"/>
    <n v="541"/>
    <x v="0"/>
    <n v="3"/>
    <n v="4"/>
    <s v="Medical"/>
    <n v="1"/>
    <n v="481"/>
    <n v="1"/>
    <s v="Male"/>
    <n v="48"/>
    <n v="2"/>
    <x v="2"/>
    <x v="0"/>
    <n v="4"/>
    <s v="Married"/>
    <n v="9699"/>
    <n v="7246"/>
    <n v="4"/>
    <s v="Y"/>
    <s v="No"/>
    <s v="No"/>
    <n v="11"/>
    <n v="3"/>
    <n v="1"/>
    <n v="80"/>
    <n v="1"/>
    <n v="16"/>
    <s v="&gt;15"/>
    <n v="2"/>
    <n v="3"/>
    <n v="13"/>
    <n v="9"/>
    <n v="1"/>
    <n v="12"/>
  </r>
  <r>
    <n v="57"/>
    <x v="1"/>
    <s v="No"/>
    <s v="Travel_Rarely"/>
    <n v="593"/>
    <x v="1"/>
    <n v="1"/>
    <n v="4"/>
    <s v="Medical"/>
    <n v="1"/>
    <n v="482"/>
    <n v="4"/>
    <s v="Male"/>
    <n v="88"/>
    <n v="3"/>
    <x v="0"/>
    <x v="4"/>
    <n v="3"/>
    <s v="Married"/>
    <n v="6755"/>
    <n v="2967"/>
    <n v="2"/>
    <s v="Y"/>
    <s v="No"/>
    <s v="No"/>
    <n v="11"/>
    <n v="3"/>
    <n v="3"/>
    <n v="80"/>
    <n v="0"/>
    <n v="15"/>
    <s v="6-15"/>
    <n v="2"/>
    <n v="3"/>
    <n v="3"/>
    <n v="2"/>
    <n v="1"/>
    <n v="2"/>
  </r>
  <r>
    <n v="40"/>
    <x v="1"/>
    <s v="No"/>
    <s v="Travel_Rarely"/>
    <n v="1171"/>
    <x v="1"/>
    <n v="10"/>
    <n v="4"/>
    <s v="Life Sciences"/>
    <n v="1"/>
    <n v="483"/>
    <n v="4"/>
    <s v="Female"/>
    <n v="46"/>
    <n v="4"/>
    <x v="1"/>
    <x v="2"/>
    <n v="3"/>
    <s v="Married"/>
    <n v="2213"/>
    <n v="22495"/>
    <n v="3"/>
    <s v="Y"/>
    <s v="Yes"/>
    <s v="Yes"/>
    <n v="13"/>
    <n v="3"/>
    <n v="3"/>
    <n v="80"/>
    <n v="1"/>
    <n v="10"/>
    <s v="6-15"/>
    <n v="3"/>
    <n v="3"/>
    <n v="7"/>
    <n v="7"/>
    <n v="1"/>
    <n v="7"/>
  </r>
  <r>
    <n v="21"/>
    <x v="1"/>
    <s v="No"/>
    <s v="Non-Travel"/>
    <n v="895"/>
    <x v="0"/>
    <n v="9"/>
    <n v="2"/>
    <s v="Medical"/>
    <n v="1"/>
    <n v="484"/>
    <n v="1"/>
    <s v="Male"/>
    <n v="39"/>
    <n v="3"/>
    <x v="1"/>
    <x v="6"/>
    <n v="4"/>
    <s v="Single"/>
    <n v="2610"/>
    <n v="2851"/>
    <n v="1"/>
    <s v="Y"/>
    <s v="No"/>
    <s v="No"/>
    <n v="24"/>
    <n v="4"/>
    <n v="3"/>
    <n v="80"/>
    <n v="0"/>
    <n v="3"/>
    <s v="0-5"/>
    <n v="3"/>
    <n v="2"/>
    <n v="3"/>
    <n v="2"/>
    <n v="2"/>
    <n v="2"/>
  </r>
  <r>
    <n v="33"/>
    <x v="0"/>
    <s v="Yes"/>
    <s v="Travel_Rarely"/>
    <n v="350"/>
    <x v="0"/>
    <n v="5"/>
    <n v="3"/>
    <s v="Marketing"/>
    <n v="1"/>
    <n v="485"/>
    <n v="4"/>
    <s v="Female"/>
    <n v="34"/>
    <n v="3"/>
    <x v="1"/>
    <x v="6"/>
    <n v="3"/>
    <s v="Single"/>
    <n v="2851"/>
    <n v="9150"/>
    <n v="1"/>
    <s v="Y"/>
    <s v="Yes"/>
    <s v="Yes"/>
    <n v="13"/>
    <n v="3"/>
    <n v="2"/>
    <n v="80"/>
    <n v="0"/>
    <n v="1"/>
    <s v="0-5"/>
    <n v="2"/>
    <n v="3"/>
    <n v="1"/>
    <n v="0"/>
    <n v="0"/>
    <n v="0"/>
  </r>
  <r>
    <n v="37"/>
    <x v="1"/>
    <s v="No"/>
    <s v="Travel_Rarely"/>
    <n v="921"/>
    <x v="1"/>
    <n v="10"/>
    <n v="3"/>
    <s v="Medical"/>
    <n v="1"/>
    <n v="486"/>
    <n v="3"/>
    <s v="Female"/>
    <n v="98"/>
    <n v="3"/>
    <x v="1"/>
    <x v="2"/>
    <n v="1"/>
    <s v="Married"/>
    <n v="3452"/>
    <n v="17663"/>
    <n v="6"/>
    <s v="Y"/>
    <s v="No"/>
    <s v="No"/>
    <n v="20"/>
    <n v="4"/>
    <n v="2"/>
    <n v="80"/>
    <n v="1"/>
    <n v="17"/>
    <s v="&gt;15"/>
    <n v="3"/>
    <n v="3"/>
    <n v="5"/>
    <n v="4"/>
    <n v="0"/>
    <n v="3"/>
  </r>
  <r>
    <n v="46"/>
    <x v="1"/>
    <s v="No"/>
    <s v="Non-Travel"/>
    <n v="1144"/>
    <x v="1"/>
    <n v="7"/>
    <n v="4"/>
    <s v="Medical"/>
    <n v="1"/>
    <n v="487"/>
    <n v="3"/>
    <s v="Female"/>
    <n v="30"/>
    <n v="3"/>
    <x v="0"/>
    <x v="3"/>
    <n v="3"/>
    <s v="Married"/>
    <n v="5258"/>
    <n v="16044"/>
    <n v="2"/>
    <s v="Y"/>
    <s v="No"/>
    <s v="No"/>
    <n v="14"/>
    <n v="3"/>
    <n v="3"/>
    <n v="80"/>
    <n v="0"/>
    <n v="7"/>
    <s v="6-15"/>
    <n v="2"/>
    <n v="4"/>
    <n v="1"/>
    <n v="0"/>
    <n v="0"/>
    <n v="0"/>
  </r>
  <r>
    <n v="41"/>
    <x v="0"/>
    <s v="Yes"/>
    <s v="Travel_Frequently"/>
    <n v="143"/>
    <x v="0"/>
    <n v="4"/>
    <n v="3"/>
    <s v="Marketing"/>
    <n v="1"/>
    <n v="488"/>
    <n v="1"/>
    <s v="Male"/>
    <n v="56"/>
    <n v="3"/>
    <x v="0"/>
    <x v="0"/>
    <n v="2"/>
    <s v="Single"/>
    <n v="9355"/>
    <n v="9558"/>
    <n v="1"/>
    <s v="Y"/>
    <s v="No"/>
    <s v="No"/>
    <n v="18"/>
    <n v="3"/>
    <n v="3"/>
    <n v="80"/>
    <n v="0"/>
    <n v="8"/>
    <s v="6-15"/>
    <n v="5"/>
    <n v="3"/>
    <n v="8"/>
    <n v="7"/>
    <n v="7"/>
    <n v="7"/>
  </r>
  <r>
    <n v="50"/>
    <x v="1"/>
    <s v="No"/>
    <s v="Travel_Rarely"/>
    <n v="1046"/>
    <x v="1"/>
    <n v="10"/>
    <n v="3"/>
    <s v="Technical Degree"/>
    <n v="1"/>
    <n v="491"/>
    <n v="4"/>
    <s v="Male"/>
    <n v="100"/>
    <n v="2"/>
    <x v="2"/>
    <x v="4"/>
    <n v="4"/>
    <s v="Single"/>
    <n v="10496"/>
    <n v="2755"/>
    <n v="6"/>
    <s v="Y"/>
    <s v="No"/>
    <s v="No"/>
    <n v="15"/>
    <n v="3"/>
    <n v="4"/>
    <n v="80"/>
    <n v="0"/>
    <n v="20"/>
    <s v="&gt;15"/>
    <n v="2"/>
    <n v="3"/>
    <n v="4"/>
    <n v="3"/>
    <n v="1"/>
    <n v="3"/>
  </r>
  <r>
    <n v="40"/>
    <x v="0"/>
    <s v="Yes"/>
    <s v="Travel_Rarely"/>
    <n v="575"/>
    <x v="0"/>
    <n v="22"/>
    <n v="2"/>
    <s v="Marketing"/>
    <n v="1"/>
    <n v="492"/>
    <n v="3"/>
    <s v="Male"/>
    <n v="68"/>
    <n v="2"/>
    <x v="0"/>
    <x v="0"/>
    <n v="3"/>
    <s v="Married"/>
    <n v="6380"/>
    <n v="6110"/>
    <n v="2"/>
    <s v="Y"/>
    <s v="Yes"/>
    <s v="Yes"/>
    <n v="12"/>
    <n v="3"/>
    <n v="1"/>
    <n v="80"/>
    <n v="2"/>
    <n v="8"/>
    <s v="6-15"/>
    <n v="6"/>
    <n v="3"/>
    <n v="6"/>
    <n v="4"/>
    <n v="1"/>
    <n v="0"/>
  </r>
  <r>
    <n v="31"/>
    <x v="1"/>
    <s v="No"/>
    <s v="Travel_Rarely"/>
    <n v="408"/>
    <x v="1"/>
    <n v="9"/>
    <n v="4"/>
    <s v="Life Sciences"/>
    <n v="1"/>
    <n v="493"/>
    <n v="3"/>
    <s v="Male"/>
    <n v="42"/>
    <n v="2"/>
    <x v="1"/>
    <x v="1"/>
    <n v="2"/>
    <s v="Single"/>
    <n v="2657"/>
    <n v="7551"/>
    <n v="0"/>
    <s v="Y"/>
    <s v="Yes"/>
    <s v="Yes"/>
    <n v="16"/>
    <n v="3"/>
    <n v="4"/>
    <n v="80"/>
    <n v="0"/>
    <n v="3"/>
    <s v="0-5"/>
    <n v="5"/>
    <n v="3"/>
    <n v="2"/>
    <n v="2"/>
    <n v="2"/>
    <n v="2"/>
  </r>
  <r>
    <n v="21"/>
    <x v="0"/>
    <s v="Yes"/>
    <s v="Travel_Rarely"/>
    <n v="156"/>
    <x v="0"/>
    <n v="12"/>
    <n v="3"/>
    <s v="Life Sciences"/>
    <n v="1"/>
    <n v="494"/>
    <n v="3"/>
    <s v="Female"/>
    <n v="90"/>
    <n v="4"/>
    <x v="1"/>
    <x v="6"/>
    <n v="2"/>
    <s v="Single"/>
    <n v="2716"/>
    <n v="25422"/>
    <n v="1"/>
    <s v="Y"/>
    <s v="No"/>
    <s v="No"/>
    <n v="15"/>
    <n v="3"/>
    <n v="4"/>
    <n v="80"/>
    <n v="0"/>
    <n v="1"/>
    <s v="0-5"/>
    <n v="0"/>
    <n v="3"/>
    <n v="1"/>
    <n v="0"/>
    <n v="0"/>
    <n v="0"/>
  </r>
  <r>
    <n v="29"/>
    <x v="1"/>
    <s v="No"/>
    <s v="Travel_Rarely"/>
    <n v="1283"/>
    <x v="1"/>
    <n v="23"/>
    <n v="3"/>
    <s v="Life Sciences"/>
    <n v="1"/>
    <n v="495"/>
    <n v="4"/>
    <s v="Male"/>
    <n v="54"/>
    <n v="3"/>
    <x v="1"/>
    <x v="1"/>
    <n v="4"/>
    <s v="Single"/>
    <n v="2201"/>
    <n v="18168"/>
    <n v="9"/>
    <s v="Y"/>
    <s v="No"/>
    <s v="No"/>
    <n v="16"/>
    <n v="3"/>
    <n v="4"/>
    <n v="80"/>
    <n v="0"/>
    <n v="6"/>
    <s v="6-15"/>
    <n v="4"/>
    <n v="3"/>
    <n v="3"/>
    <n v="2"/>
    <n v="1"/>
    <n v="2"/>
  </r>
  <r>
    <n v="35"/>
    <x v="1"/>
    <s v="No"/>
    <s v="Travel_Rarely"/>
    <n v="755"/>
    <x v="1"/>
    <n v="9"/>
    <n v="4"/>
    <s v="Life Sciences"/>
    <n v="1"/>
    <n v="496"/>
    <n v="3"/>
    <s v="Male"/>
    <n v="97"/>
    <n v="2"/>
    <x v="0"/>
    <x v="4"/>
    <n v="2"/>
    <s v="Single"/>
    <n v="6540"/>
    <n v="19394"/>
    <n v="9"/>
    <s v="Y"/>
    <s v="No"/>
    <s v="No"/>
    <n v="19"/>
    <n v="3"/>
    <n v="3"/>
    <n v="80"/>
    <n v="0"/>
    <n v="10"/>
    <s v="6-15"/>
    <n v="5"/>
    <n v="3"/>
    <n v="1"/>
    <n v="1"/>
    <n v="0"/>
    <n v="0"/>
  </r>
  <r>
    <n v="27"/>
    <x v="1"/>
    <s v="No"/>
    <s v="Travel_Rarely"/>
    <n v="1469"/>
    <x v="1"/>
    <n v="1"/>
    <n v="2"/>
    <s v="Medical"/>
    <n v="1"/>
    <n v="497"/>
    <n v="4"/>
    <s v="Male"/>
    <n v="82"/>
    <n v="3"/>
    <x v="1"/>
    <x v="2"/>
    <n v="2"/>
    <s v="Divorced"/>
    <n v="3816"/>
    <n v="17881"/>
    <n v="1"/>
    <s v="Y"/>
    <s v="No"/>
    <s v="No"/>
    <n v="11"/>
    <n v="3"/>
    <n v="2"/>
    <n v="80"/>
    <n v="1"/>
    <n v="5"/>
    <s v="0-5"/>
    <n v="2"/>
    <n v="3"/>
    <n v="5"/>
    <n v="2"/>
    <n v="0"/>
    <n v="4"/>
  </r>
  <r>
    <n v="28"/>
    <x v="1"/>
    <s v="No"/>
    <s v="Travel_Rarely"/>
    <n v="304"/>
    <x v="0"/>
    <n v="9"/>
    <n v="4"/>
    <s v="Life Sciences"/>
    <n v="1"/>
    <n v="498"/>
    <n v="2"/>
    <s v="Male"/>
    <n v="92"/>
    <n v="3"/>
    <x v="0"/>
    <x v="0"/>
    <n v="4"/>
    <s v="Single"/>
    <n v="5253"/>
    <n v="20750"/>
    <n v="1"/>
    <s v="Y"/>
    <s v="No"/>
    <s v="No"/>
    <n v="16"/>
    <n v="3"/>
    <n v="4"/>
    <n v="80"/>
    <n v="0"/>
    <n v="7"/>
    <s v="6-15"/>
    <n v="1"/>
    <n v="3"/>
    <n v="7"/>
    <n v="5"/>
    <n v="0"/>
    <n v="7"/>
  </r>
  <r>
    <n v="49"/>
    <x v="1"/>
    <s v="No"/>
    <s v="Travel_Rarely"/>
    <n v="1261"/>
    <x v="1"/>
    <n v="7"/>
    <n v="3"/>
    <s v="Other"/>
    <n v="1"/>
    <n v="499"/>
    <n v="2"/>
    <s v="Male"/>
    <n v="31"/>
    <n v="2"/>
    <x v="2"/>
    <x v="4"/>
    <n v="3"/>
    <s v="Single"/>
    <n v="10965"/>
    <n v="12066"/>
    <n v="8"/>
    <s v="Y"/>
    <s v="No"/>
    <s v="No"/>
    <n v="24"/>
    <n v="4"/>
    <n v="3"/>
    <n v="80"/>
    <n v="0"/>
    <n v="26"/>
    <s v="&gt;15"/>
    <n v="2"/>
    <n v="3"/>
    <n v="5"/>
    <n v="2"/>
    <n v="0"/>
    <n v="0"/>
  </r>
  <r>
    <n v="51"/>
    <x v="1"/>
    <s v="No"/>
    <s v="Travel_Rarely"/>
    <n v="1178"/>
    <x v="0"/>
    <n v="14"/>
    <n v="2"/>
    <s v="Life Sciences"/>
    <n v="1"/>
    <n v="500"/>
    <n v="3"/>
    <s v="Female"/>
    <n v="87"/>
    <n v="3"/>
    <x v="0"/>
    <x v="0"/>
    <n v="4"/>
    <s v="Married"/>
    <n v="4936"/>
    <n v="14862"/>
    <n v="4"/>
    <s v="Y"/>
    <s v="No"/>
    <s v="No"/>
    <n v="11"/>
    <n v="3"/>
    <n v="3"/>
    <n v="80"/>
    <n v="1"/>
    <n v="18"/>
    <s v="&gt;15"/>
    <n v="2"/>
    <n v="2"/>
    <n v="7"/>
    <n v="7"/>
    <n v="0"/>
    <n v="7"/>
  </r>
  <r>
    <n v="36"/>
    <x v="1"/>
    <s v="No"/>
    <s v="Travel_Rarely"/>
    <n v="329"/>
    <x v="1"/>
    <n v="2"/>
    <n v="3"/>
    <s v="Life Sciences"/>
    <n v="1"/>
    <n v="501"/>
    <n v="4"/>
    <s v="Female"/>
    <n v="96"/>
    <n v="3"/>
    <x v="1"/>
    <x v="1"/>
    <n v="3"/>
    <s v="Married"/>
    <n v="2543"/>
    <n v="11868"/>
    <n v="4"/>
    <s v="Y"/>
    <s v="No"/>
    <s v="No"/>
    <n v="13"/>
    <n v="3"/>
    <n v="2"/>
    <n v="80"/>
    <n v="1"/>
    <n v="6"/>
    <s v="6-15"/>
    <n v="3"/>
    <n v="3"/>
    <n v="2"/>
    <n v="2"/>
    <n v="2"/>
    <n v="2"/>
  </r>
  <r>
    <n v="34"/>
    <x v="0"/>
    <s v="Yes"/>
    <s v="Non-Travel"/>
    <n v="1362"/>
    <x v="0"/>
    <n v="19"/>
    <n v="3"/>
    <s v="Marketing"/>
    <n v="1"/>
    <n v="502"/>
    <n v="1"/>
    <s v="Male"/>
    <n v="67"/>
    <n v="4"/>
    <x v="0"/>
    <x v="0"/>
    <n v="4"/>
    <s v="Single"/>
    <n v="5304"/>
    <n v="4652"/>
    <n v="8"/>
    <s v="Y"/>
    <s v="Yes"/>
    <s v="Yes"/>
    <n v="13"/>
    <n v="3"/>
    <n v="2"/>
    <n v="80"/>
    <n v="0"/>
    <n v="9"/>
    <s v="6-15"/>
    <n v="3"/>
    <n v="2"/>
    <n v="5"/>
    <n v="2"/>
    <n v="0"/>
    <n v="4"/>
  </r>
  <r>
    <n v="55"/>
    <x v="1"/>
    <s v="No"/>
    <s v="Travel_Rarely"/>
    <n v="1311"/>
    <x v="1"/>
    <n v="2"/>
    <n v="3"/>
    <s v="Life Sciences"/>
    <n v="1"/>
    <n v="505"/>
    <n v="3"/>
    <s v="Female"/>
    <n v="97"/>
    <n v="3"/>
    <x v="3"/>
    <x v="5"/>
    <n v="4"/>
    <s v="Single"/>
    <n v="16659"/>
    <n v="23258"/>
    <n v="2"/>
    <s v="Y"/>
    <s v="Yes"/>
    <s v="Yes"/>
    <n v="13"/>
    <n v="3"/>
    <n v="3"/>
    <n v="80"/>
    <n v="0"/>
    <n v="30"/>
    <s v="&gt;15"/>
    <n v="2"/>
    <n v="3"/>
    <n v="5"/>
    <n v="4"/>
    <n v="1"/>
    <n v="2"/>
  </r>
  <r>
    <n v="24"/>
    <x v="1"/>
    <s v="No"/>
    <s v="Travel_Rarely"/>
    <n v="1371"/>
    <x v="0"/>
    <n v="10"/>
    <n v="4"/>
    <s v="Marketing"/>
    <n v="1"/>
    <n v="507"/>
    <n v="4"/>
    <s v="Female"/>
    <n v="77"/>
    <n v="3"/>
    <x v="0"/>
    <x v="0"/>
    <n v="3"/>
    <s v="Divorced"/>
    <n v="4260"/>
    <n v="5915"/>
    <n v="1"/>
    <s v="Y"/>
    <s v="Yes"/>
    <s v="Yes"/>
    <n v="12"/>
    <n v="3"/>
    <n v="4"/>
    <n v="80"/>
    <n v="1"/>
    <n v="5"/>
    <s v="0-5"/>
    <n v="2"/>
    <n v="4"/>
    <n v="5"/>
    <n v="2"/>
    <n v="0"/>
    <n v="3"/>
  </r>
  <r>
    <n v="30"/>
    <x v="1"/>
    <s v="No"/>
    <s v="Travel_Rarely"/>
    <n v="202"/>
    <x v="0"/>
    <n v="2"/>
    <n v="1"/>
    <s v="Technical Degree"/>
    <n v="1"/>
    <n v="508"/>
    <n v="3"/>
    <s v="Male"/>
    <n v="72"/>
    <n v="3"/>
    <x v="1"/>
    <x v="6"/>
    <n v="2"/>
    <s v="Married"/>
    <n v="2476"/>
    <n v="17434"/>
    <n v="1"/>
    <s v="Y"/>
    <s v="No"/>
    <s v="No"/>
    <n v="18"/>
    <n v="3"/>
    <n v="1"/>
    <n v="80"/>
    <n v="1"/>
    <n v="1"/>
    <s v="0-5"/>
    <n v="3"/>
    <n v="3"/>
    <n v="1"/>
    <n v="0"/>
    <n v="0"/>
    <n v="0"/>
  </r>
  <r>
    <n v="26"/>
    <x v="0"/>
    <s v="Yes"/>
    <s v="Travel_Frequently"/>
    <n v="575"/>
    <x v="1"/>
    <n v="3"/>
    <n v="1"/>
    <s v="Technical Degree"/>
    <n v="1"/>
    <n v="510"/>
    <n v="3"/>
    <s v="Male"/>
    <n v="73"/>
    <n v="3"/>
    <x v="1"/>
    <x v="1"/>
    <n v="1"/>
    <s v="Single"/>
    <n v="3102"/>
    <n v="6582"/>
    <n v="0"/>
    <s v="Y"/>
    <s v="No"/>
    <s v="No"/>
    <n v="22"/>
    <n v="4"/>
    <n v="3"/>
    <n v="80"/>
    <n v="0"/>
    <n v="7"/>
    <s v="6-15"/>
    <n v="2"/>
    <n v="3"/>
    <n v="6"/>
    <n v="4"/>
    <n v="0"/>
    <n v="4"/>
  </r>
  <r>
    <n v="22"/>
    <x v="1"/>
    <s v="No"/>
    <s v="Travel_Rarely"/>
    <n v="253"/>
    <x v="1"/>
    <n v="11"/>
    <n v="3"/>
    <s v="Medical"/>
    <n v="1"/>
    <n v="511"/>
    <n v="1"/>
    <s v="Female"/>
    <n v="43"/>
    <n v="3"/>
    <x v="1"/>
    <x v="1"/>
    <n v="2"/>
    <s v="Married"/>
    <n v="2244"/>
    <n v="24440"/>
    <n v="1"/>
    <s v="Y"/>
    <s v="No"/>
    <s v="No"/>
    <n v="13"/>
    <n v="3"/>
    <n v="4"/>
    <n v="80"/>
    <n v="1"/>
    <n v="2"/>
    <s v="0-5"/>
    <n v="1"/>
    <n v="3"/>
    <n v="2"/>
    <n v="1"/>
    <n v="1"/>
    <n v="2"/>
  </r>
  <r>
    <n v="36"/>
    <x v="1"/>
    <s v="No"/>
    <s v="Travel_Rarely"/>
    <n v="164"/>
    <x v="0"/>
    <n v="2"/>
    <n v="2"/>
    <s v="Medical"/>
    <n v="1"/>
    <n v="513"/>
    <n v="2"/>
    <s v="Male"/>
    <n v="61"/>
    <n v="2"/>
    <x v="2"/>
    <x v="0"/>
    <n v="3"/>
    <s v="Married"/>
    <n v="7596"/>
    <n v="3809"/>
    <n v="1"/>
    <s v="Y"/>
    <s v="No"/>
    <s v="No"/>
    <n v="13"/>
    <n v="3"/>
    <n v="2"/>
    <n v="80"/>
    <n v="2"/>
    <n v="10"/>
    <s v="6-15"/>
    <n v="2"/>
    <n v="3"/>
    <n v="10"/>
    <n v="9"/>
    <n v="9"/>
    <n v="0"/>
  </r>
  <r>
    <n v="30"/>
    <x v="0"/>
    <s v="Yes"/>
    <s v="Travel_Frequently"/>
    <n v="464"/>
    <x v="1"/>
    <n v="4"/>
    <n v="3"/>
    <s v="Technical Degree"/>
    <n v="1"/>
    <n v="514"/>
    <n v="3"/>
    <s v="Male"/>
    <n v="40"/>
    <n v="3"/>
    <x v="1"/>
    <x v="1"/>
    <n v="4"/>
    <s v="Single"/>
    <n v="2285"/>
    <n v="3427"/>
    <n v="9"/>
    <s v="Y"/>
    <s v="Yes"/>
    <s v="Yes"/>
    <n v="23"/>
    <n v="4"/>
    <n v="3"/>
    <n v="80"/>
    <n v="0"/>
    <n v="3"/>
    <s v="0-5"/>
    <n v="4"/>
    <n v="3"/>
    <n v="1"/>
    <n v="0"/>
    <n v="0"/>
    <n v="0"/>
  </r>
  <r>
    <n v="37"/>
    <x v="1"/>
    <s v="No"/>
    <s v="Travel_Rarely"/>
    <n v="1107"/>
    <x v="1"/>
    <n v="14"/>
    <n v="3"/>
    <s v="Life Sciences"/>
    <n v="1"/>
    <n v="515"/>
    <n v="4"/>
    <s v="Female"/>
    <n v="95"/>
    <n v="3"/>
    <x v="1"/>
    <x v="2"/>
    <n v="1"/>
    <s v="Divorced"/>
    <n v="3034"/>
    <n v="26914"/>
    <n v="1"/>
    <s v="Y"/>
    <s v="No"/>
    <s v="No"/>
    <n v="12"/>
    <n v="3"/>
    <n v="3"/>
    <n v="80"/>
    <n v="1"/>
    <n v="18"/>
    <s v="&gt;15"/>
    <n v="2"/>
    <n v="2"/>
    <n v="18"/>
    <n v="7"/>
    <n v="12"/>
    <n v="17"/>
  </r>
  <r>
    <n v="40"/>
    <x v="1"/>
    <s v="No"/>
    <s v="Travel_Rarely"/>
    <n v="759"/>
    <x v="0"/>
    <n v="2"/>
    <n v="2"/>
    <s v="Marketing"/>
    <n v="1"/>
    <n v="516"/>
    <n v="4"/>
    <s v="Female"/>
    <n v="46"/>
    <n v="3"/>
    <x v="0"/>
    <x v="0"/>
    <n v="2"/>
    <s v="Divorced"/>
    <n v="5715"/>
    <n v="22553"/>
    <n v="7"/>
    <s v="Y"/>
    <s v="No"/>
    <s v="No"/>
    <n v="12"/>
    <n v="3"/>
    <n v="3"/>
    <n v="80"/>
    <n v="2"/>
    <n v="8"/>
    <s v="6-15"/>
    <n v="5"/>
    <n v="3"/>
    <n v="5"/>
    <n v="4"/>
    <n v="1"/>
    <n v="3"/>
  </r>
  <r>
    <n v="42"/>
    <x v="1"/>
    <s v="No"/>
    <s v="Travel_Rarely"/>
    <n v="201"/>
    <x v="1"/>
    <n v="1"/>
    <n v="4"/>
    <s v="Life Sciences"/>
    <n v="1"/>
    <n v="517"/>
    <n v="2"/>
    <s v="Female"/>
    <n v="95"/>
    <n v="3"/>
    <x v="1"/>
    <x v="2"/>
    <n v="1"/>
    <s v="Divorced"/>
    <n v="2576"/>
    <n v="20490"/>
    <n v="3"/>
    <s v="Y"/>
    <s v="No"/>
    <s v="No"/>
    <n v="16"/>
    <n v="3"/>
    <n v="2"/>
    <n v="80"/>
    <n v="1"/>
    <n v="8"/>
    <s v="6-15"/>
    <n v="5"/>
    <n v="3"/>
    <n v="5"/>
    <n v="2"/>
    <n v="1"/>
    <n v="2"/>
  </r>
  <r>
    <n v="37"/>
    <x v="1"/>
    <s v="No"/>
    <s v="Travel_Rarely"/>
    <n v="1305"/>
    <x v="1"/>
    <n v="10"/>
    <n v="4"/>
    <s v="Life Sciences"/>
    <n v="1"/>
    <n v="518"/>
    <n v="3"/>
    <s v="Male"/>
    <n v="49"/>
    <n v="3"/>
    <x v="0"/>
    <x v="3"/>
    <n v="2"/>
    <s v="Single"/>
    <n v="4197"/>
    <n v="21123"/>
    <n v="2"/>
    <s v="Y"/>
    <s v="Yes"/>
    <s v="Yes"/>
    <n v="12"/>
    <n v="3"/>
    <n v="4"/>
    <n v="80"/>
    <n v="0"/>
    <n v="18"/>
    <s v="&gt;15"/>
    <n v="2"/>
    <n v="2"/>
    <n v="1"/>
    <n v="0"/>
    <n v="0"/>
    <n v="1"/>
  </r>
  <r>
    <n v="43"/>
    <x v="1"/>
    <s v="No"/>
    <s v="Travel_Rarely"/>
    <n v="982"/>
    <x v="1"/>
    <n v="12"/>
    <n v="3"/>
    <s v="Life Sciences"/>
    <n v="1"/>
    <n v="520"/>
    <n v="1"/>
    <s v="Male"/>
    <n v="59"/>
    <n v="2"/>
    <x v="3"/>
    <x v="7"/>
    <n v="2"/>
    <s v="Divorced"/>
    <n v="14336"/>
    <n v="4345"/>
    <n v="1"/>
    <s v="Y"/>
    <s v="No"/>
    <s v="No"/>
    <n v="11"/>
    <n v="3"/>
    <n v="3"/>
    <n v="80"/>
    <n v="1"/>
    <n v="25"/>
    <s v="&gt;15"/>
    <n v="3"/>
    <n v="3"/>
    <n v="25"/>
    <n v="10"/>
    <n v="3"/>
    <n v="9"/>
  </r>
  <r>
    <n v="40"/>
    <x v="1"/>
    <s v="No"/>
    <s v="Travel_Rarely"/>
    <n v="555"/>
    <x v="1"/>
    <n v="2"/>
    <n v="3"/>
    <s v="Medical"/>
    <n v="1"/>
    <n v="521"/>
    <n v="2"/>
    <s v="Female"/>
    <n v="78"/>
    <n v="2"/>
    <x v="0"/>
    <x v="2"/>
    <n v="3"/>
    <s v="Married"/>
    <n v="3448"/>
    <n v="13436"/>
    <n v="6"/>
    <s v="Y"/>
    <s v="No"/>
    <s v="No"/>
    <n v="22"/>
    <n v="4"/>
    <n v="2"/>
    <n v="80"/>
    <n v="1"/>
    <n v="20"/>
    <s v="&gt;15"/>
    <n v="3"/>
    <n v="3"/>
    <n v="1"/>
    <n v="0"/>
    <n v="0"/>
    <n v="0"/>
  </r>
  <r>
    <n v="54"/>
    <x v="1"/>
    <s v="No"/>
    <s v="Travel_Rarely"/>
    <n v="821"/>
    <x v="1"/>
    <n v="5"/>
    <n v="2"/>
    <s v="Medical"/>
    <n v="1"/>
    <n v="522"/>
    <n v="1"/>
    <s v="Male"/>
    <n v="86"/>
    <n v="3"/>
    <x v="4"/>
    <x v="7"/>
    <n v="1"/>
    <s v="Married"/>
    <n v="19406"/>
    <n v="8509"/>
    <n v="4"/>
    <s v="Y"/>
    <s v="No"/>
    <s v="No"/>
    <n v="11"/>
    <n v="3"/>
    <n v="3"/>
    <n v="80"/>
    <n v="1"/>
    <n v="24"/>
    <s v="&gt;15"/>
    <n v="4"/>
    <n v="2"/>
    <n v="4"/>
    <n v="2"/>
    <n v="1"/>
    <n v="2"/>
  </r>
  <r>
    <n v="34"/>
    <x v="1"/>
    <s v="No"/>
    <s v="Non-Travel"/>
    <n v="1381"/>
    <x v="0"/>
    <n v="4"/>
    <n v="4"/>
    <s v="Marketing"/>
    <n v="1"/>
    <n v="523"/>
    <n v="3"/>
    <s v="Female"/>
    <n v="72"/>
    <n v="3"/>
    <x v="0"/>
    <x v="0"/>
    <n v="3"/>
    <s v="Married"/>
    <n v="6538"/>
    <n v="12740"/>
    <n v="9"/>
    <s v="Y"/>
    <s v="No"/>
    <s v="No"/>
    <n v="15"/>
    <n v="3"/>
    <n v="1"/>
    <n v="80"/>
    <n v="1"/>
    <n v="6"/>
    <s v="6-15"/>
    <n v="3"/>
    <n v="3"/>
    <n v="3"/>
    <n v="2"/>
    <n v="1"/>
    <n v="2"/>
  </r>
  <r>
    <n v="31"/>
    <x v="1"/>
    <s v="No"/>
    <s v="Travel_Rarely"/>
    <n v="480"/>
    <x v="1"/>
    <n v="7"/>
    <n v="2"/>
    <s v="Medical"/>
    <n v="1"/>
    <n v="524"/>
    <n v="2"/>
    <s v="Female"/>
    <n v="31"/>
    <n v="3"/>
    <x v="0"/>
    <x v="3"/>
    <n v="1"/>
    <s v="Married"/>
    <n v="4306"/>
    <n v="4156"/>
    <n v="1"/>
    <s v="Y"/>
    <s v="No"/>
    <s v="No"/>
    <n v="12"/>
    <n v="3"/>
    <n v="2"/>
    <n v="80"/>
    <n v="1"/>
    <n v="13"/>
    <s v="6-15"/>
    <n v="5"/>
    <n v="1"/>
    <n v="13"/>
    <n v="10"/>
    <n v="3"/>
    <n v="12"/>
  </r>
  <r>
    <n v="43"/>
    <x v="1"/>
    <s v="No"/>
    <s v="Travel_Frequently"/>
    <n v="313"/>
    <x v="1"/>
    <n v="21"/>
    <n v="3"/>
    <s v="Medical"/>
    <n v="1"/>
    <n v="525"/>
    <n v="4"/>
    <s v="Male"/>
    <n v="61"/>
    <n v="3"/>
    <x v="1"/>
    <x v="2"/>
    <n v="4"/>
    <s v="Married"/>
    <n v="2258"/>
    <n v="15238"/>
    <n v="7"/>
    <s v="Y"/>
    <s v="No"/>
    <s v="No"/>
    <n v="20"/>
    <n v="4"/>
    <n v="1"/>
    <n v="80"/>
    <n v="1"/>
    <n v="8"/>
    <s v="6-15"/>
    <n v="1"/>
    <n v="3"/>
    <n v="3"/>
    <n v="2"/>
    <n v="1"/>
    <n v="2"/>
  </r>
  <r>
    <n v="43"/>
    <x v="1"/>
    <s v="No"/>
    <s v="Travel_Rarely"/>
    <n v="1473"/>
    <x v="1"/>
    <n v="8"/>
    <n v="4"/>
    <s v="Other"/>
    <n v="1"/>
    <n v="526"/>
    <n v="3"/>
    <s v="Female"/>
    <n v="74"/>
    <n v="3"/>
    <x v="0"/>
    <x v="4"/>
    <n v="3"/>
    <s v="Divorced"/>
    <n v="4522"/>
    <n v="2227"/>
    <n v="4"/>
    <s v="Y"/>
    <s v="Yes"/>
    <s v="Yes"/>
    <n v="14"/>
    <n v="3"/>
    <n v="4"/>
    <n v="80"/>
    <n v="0"/>
    <n v="8"/>
    <s v="6-15"/>
    <n v="3"/>
    <n v="3"/>
    <n v="5"/>
    <n v="2"/>
    <n v="0"/>
    <n v="2"/>
  </r>
  <r>
    <n v="25"/>
    <x v="1"/>
    <s v="No"/>
    <s v="Travel_Rarely"/>
    <n v="891"/>
    <x v="0"/>
    <n v="4"/>
    <n v="2"/>
    <s v="Life Sciences"/>
    <n v="1"/>
    <n v="527"/>
    <n v="2"/>
    <s v="Female"/>
    <n v="99"/>
    <n v="2"/>
    <x v="0"/>
    <x v="0"/>
    <n v="4"/>
    <s v="Single"/>
    <n v="4487"/>
    <n v="12090"/>
    <n v="1"/>
    <s v="Y"/>
    <s v="Yes"/>
    <s v="Yes"/>
    <n v="11"/>
    <n v="3"/>
    <n v="2"/>
    <n v="80"/>
    <n v="0"/>
    <n v="5"/>
    <s v="0-5"/>
    <n v="3"/>
    <n v="3"/>
    <n v="5"/>
    <n v="4"/>
    <n v="1"/>
    <n v="3"/>
  </r>
  <r>
    <n v="37"/>
    <x v="1"/>
    <s v="No"/>
    <s v="Non-Travel"/>
    <n v="1063"/>
    <x v="1"/>
    <n v="25"/>
    <n v="5"/>
    <s v="Medical"/>
    <n v="1"/>
    <n v="529"/>
    <n v="2"/>
    <s v="Female"/>
    <n v="72"/>
    <n v="3"/>
    <x v="0"/>
    <x v="1"/>
    <n v="3"/>
    <s v="Married"/>
    <n v="4449"/>
    <n v="23866"/>
    <n v="3"/>
    <s v="Y"/>
    <s v="Yes"/>
    <s v="Yes"/>
    <n v="15"/>
    <n v="3"/>
    <n v="1"/>
    <n v="80"/>
    <n v="2"/>
    <n v="15"/>
    <s v="6-15"/>
    <n v="2"/>
    <n v="3"/>
    <n v="13"/>
    <n v="11"/>
    <n v="10"/>
    <n v="7"/>
  </r>
  <r>
    <n v="31"/>
    <x v="1"/>
    <s v="No"/>
    <s v="Travel_Rarely"/>
    <n v="329"/>
    <x v="1"/>
    <n v="1"/>
    <n v="2"/>
    <s v="Life Sciences"/>
    <n v="1"/>
    <n v="530"/>
    <n v="4"/>
    <s v="Male"/>
    <n v="98"/>
    <n v="2"/>
    <x v="1"/>
    <x v="2"/>
    <n v="1"/>
    <s v="Married"/>
    <n v="2218"/>
    <n v="16193"/>
    <n v="1"/>
    <s v="Y"/>
    <s v="No"/>
    <s v="No"/>
    <n v="12"/>
    <n v="3"/>
    <n v="3"/>
    <n v="80"/>
    <n v="1"/>
    <n v="4"/>
    <s v="0-5"/>
    <n v="3"/>
    <n v="3"/>
    <n v="4"/>
    <n v="2"/>
    <n v="3"/>
    <n v="2"/>
  </r>
  <r>
    <n v="39"/>
    <x v="1"/>
    <s v="No"/>
    <s v="Travel_Frequently"/>
    <n v="1218"/>
    <x v="1"/>
    <n v="1"/>
    <n v="1"/>
    <s v="Life Sciences"/>
    <n v="1"/>
    <n v="531"/>
    <n v="2"/>
    <s v="Male"/>
    <n v="52"/>
    <n v="3"/>
    <x v="4"/>
    <x v="5"/>
    <n v="3"/>
    <s v="Divorced"/>
    <n v="19197"/>
    <n v="8213"/>
    <n v="1"/>
    <s v="Y"/>
    <s v="Yes"/>
    <s v="Yes"/>
    <n v="14"/>
    <n v="3"/>
    <n v="3"/>
    <n v="80"/>
    <n v="1"/>
    <n v="21"/>
    <s v="&gt;15"/>
    <n v="3"/>
    <n v="3"/>
    <n v="21"/>
    <n v="8"/>
    <n v="1"/>
    <n v="6"/>
  </r>
  <r>
    <n v="56"/>
    <x v="1"/>
    <s v="No"/>
    <s v="Travel_Frequently"/>
    <n v="906"/>
    <x v="0"/>
    <n v="6"/>
    <n v="3"/>
    <s v="Life Sciences"/>
    <n v="1"/>
    <n v="532"/>
    <n v="3"/>
    <s v="Female"/>
    <n v="86"/>
    <n v="4"/>
    <x v="3"/>
    <x v="0"/>
    <n v="1"/>
    <s v="Married"/>
    <n v="13212"/>
    <n v="18256"/>
    <n v="9"/>
    <s v="Y"/>
    <s v="No"/>
    <s v="No"/>
    <n v="11"/>
    <n v="3"/>
    <n v="4"/>
    <n v="80"/>
    <n v="3"/>
    <n v="36"/>
    <s v="&gt;15"/>
    <n v="0"/>
    <n v="2"/>
    <n v="7"/>
    <n v="7"/>
    <n v="7"/>
    <n v="7"/>
  </r>
  <r>
    <n v="30"/>
    <x v="1"/>
    <s v="No"/>
    <s v="Travel_Rarely"/>
    <n v="1082"/>
    <x v="0"/>
    <n v="12"/>
    <n v="3"/>
    <s v="Technical Degree"/>
    <n v="1"/>
    <n v="533"/>
    <n v="2"/>
    <s v="Female"/>
    <n v="83"/>
    <n v="3"/>
    <x v="0"/>
    <x v="0"/>
    <n v="3"/>
    <s v="Single"/>
    <n v="6577"/>
    <n v="19558"/>
    <n v="0"/>
    <s v="Y"/>
    <s v="No"/>
    <s v="No"/>
    <n v="11"/>
    <n v="3"/>
    <n v="2"/>
    <n v="80"/>
    <n v="0"/>
    <n v="6"/>
    <s v="6-15"/>
    <n v="6"/>
    <n v="3"/>
    <n v="5"/>
    <n v="4"/>
    <n v="4"/>
    <n v="4"/>
  </r>
  <r>
    <n v="41"/>
    <x v="1"/>
    <s v="No"/>
    <s v="Travel_Rarely"/>
    <n v="645"/>
    <x v="0"/>
    <n v="1"/>
    <n v="3"/>
    <s v="Marketing"/>
    <n v="1"/>
    <n v="534"/>
    <n v="2"/>
    <s v="Male"/>
    <n v="49"/>
    <n v="4"/>
    <x v="2"/>
    <x v="0"/>
    <n v="1"/>
    <s v="Married"/>
    <n v="8392"/>
    <n v="19566"/>
    <n v="1"/>
    <s v="Y"/>
    <s v="No"/>
    <s v="No"/>
    <n v="16"/>
    <n v="3"/>
    <n v="3"/>
    <n v="80"/>
    <n v="1"/>
    <n v="10"/>
    <s v="6-15"/>
    <n v="2"/>
    <n v="3"/>
    <n v="10"/>
    <n v="7"/>
    <n v="0"/>
    <n v="7"/>
  </r>
  <r>
    <n v="28"/>
    <x v="1"/>
    <s v="No"/>
    <s v="Travel_Rarely"/>
    <n v="1300"/>
    <x v="1"/>
    <n v="17"/>
    <n v="2"/>
    <s v="Medical"/>
    <n v="1"/>
    <n v="536"/>
    <n v="3"/>
    <s v="Male"/>
    <n v="79"/>
    <n v="3"/>
    <x v="0"/>
    <x v="2"/>
    <n v="1"/>
    <s v="Divorced"/>
    <n v="4558"/>
    <n v="13535"/>
    <n v="1"/>
    <s v="Y"/>
    <s v="No"/>
    <s v="No"/>
    <n v="12"/>
    <n v="3"/>
    <n v="4"/>
    <n v="80"/>
    <n v="1"/>
    <n v="10"/>
    <s v="6-15"/>
    <n v="2"/>
    <n v="3"/>
    <n v="10"/>
    <n v="0"/>
    <n v="1"/>
    <n v="8"/>
  </r>
  <r>
    <n v="25"/>
    <x v="0"/>
    <s v="Yes"/>
    <s v="Travel_Rarely"/>
    <n v="688"/>
    <x v="1"/>
    <n v="3"/>
    <n v="3"/>
    <s v="Medical"/>
    <n v="1"/>
    <n v="538"/>
    <n v="1"/>
    <s v="Male"/>
    <n v="91"/>
    <n v="3"/>
    <x v="1"/>
    <x v="2"/>
    <n v="1"/>
    <s v="Married"/>
    <n v="4031"/>
    <n v="9396"/>
    <n v="5"/>
    <s v="Y"/>
    <s v="No"/>
    <s v="No"/>
    <n v="13"/>
    <n v="3"/>
    <n v="3"/>
    <n v="80"/>
    <n v="1"/>
    <n v="6"/>
    <s v="6-15"/>
    <n v="5"/>
    <n v="3"/>
    <n v="2"/>
    <n v="2"/>
    <n v="0"/>
    <n v="2"/>
  </r>
  <r>
    <n v="52"/>
    <x v="1"/>
    <s v="No"/>
    <s v="Travel_Rarely"/>
    <n v="319"/>
    <x v="1"/>
    <n v="3"/>
    <n v="3"/>
    <s v="Medical"/>
    <n v="1"/>
    <n v="543"/>
    <n v="4"/>
    <s v="Male"/>
    <n v="39"/>
    <n v="2"/>
    <x v="2"/>
    <x v="3"/>
    <n v="3"/>
    <s v="Married"/>
    <n v="7969"/>
    <n v="19609"/>
    <n v="2"/>
    <s v="Y"/>
    <s v="Yes"/>
    <s v="Yes"/>
    <n v="14"/>
    <n v="3"/>
    <n v="3"/>
    <n v="80"/>
    <n v="0"/>
    <n v="28"/>
    <s v="&gt;15"/>
    <n v="4"/>
    <n v="3"/>
    <n v="5"/>
    <n v="4"/>
    <n v="0"/>
    <n v="4"/>
  </r>
  <r>
    <n v="45"/>
    <x v="1"/>
    <s v="No"/>
    <s v="Travel_Rarely"/>
    <n v="192"/>
    <x v="1"/>
    <n v="10"/>
    <n v="2"/>
    <s v="Life Sciences"/>
    <n v="1"/>
    <n v="544"/>
    <n v="1"/>
    <s v="Male"/>
    <n v="69"/>
    <n v="3"/>
    <x v="1"/>
    <x v="1"/>
    <n v="4"/>
    <s v="Married"/>
    <n v="2654"/>
    <n v="9655"/>
    <n v="3"/>
    <s v="Y"/>
    <s v="No"/>
    <s v="No"/>
    <n v="21"/>
    <n v="4"/>
    <n v="4"/>
    <n v="80"/>
    <n v="2"/>
    <n v="8"/>
    <s v="6-15"/>
    <n v="3"/>
    <n v="2"/>
    <n v="2"/>
    <n v="2"/>
    <n v="0"/>
    <n v="2"/>
  </r>
  <r>
    <n v="52"/>
    <x v="1"/>
    <s v="No"/>
    <s v="Travel_Rarely"/>
    <n v="1490"/>
    <x v="1"/>
    <n v="4"/>
    <n v="2"/>
    <s v="Life Sciences"/>
    <n v="1"/>
    <n v="546"/>
    <n v="4"/>
    <s v="Female"/>
    <n v="30"/>
    <n v="3"/>
    <x v="3"/>
    <x v="5"/>
    <n v="4"/>
    <s v="Married"/>
    <n v="16555"/>
    <n v="10310"/>
    <n v="2"/>
    <s v="Y"/>
    <s v="No"/>
    <s v="No"/>
    <n v="13"/>
    <n v="3"/>
    <n v="4"/>
    <n v="80"/>
    <n v="0"/>
    <n v="31"/>
    <s v="&gt;15"/>
    <n v="2"/>
    <n v="1"/>
    <n v="5"/>
    <n v="2"/>
    <n v="1"/>
    <n v="4"/>
  </r>
  <r>
    <n v="42"/>
    <x v="1"/>
    <s v="No"/>
    <s v="Travel_Frequently"/>
    <n v="532"/>
    <x v="1"/>
    <n v="29"/>
    <n v="2"/>
    <s v="Life Sciences"/>
    <n v="1"/>
    <n v="547"/>
    <n v="1"/>
    <s v="Female"/>
    <n v="92"/>
    <n v="3"/>
    <x v="0"/>
    <x v="1"/>
    <n v="3"/>
    <s v="Divorced"/>
    <n v="4556"/>
    <n v="12932"/>
    <n v="2"/>
    <s v="Y"/>
    <s v="No"/>
    <s v="No"/>
    <n v="11"/>
    <n v="3"/>
    <n v="2"/>
    <n v="80"/>
    <n v="1"/>
    <n v="19"/>
    <s v="&gt;15"/>
    <n v="3"/>
    <n v="3"/>
    <n v="5"/>
    <n v="4"/>
    <n v="0"/>
    <n v="2"/>
  </r>
  <r>
    <n v="30"/>
    <x v="1"/>
    <s v="No"/>
    <s v="Travel_Rarely"/>
    <n v="317"/>
    <x v="1"/>
    <n v="2"/>
    <n v="3"/>
    <s v="Life Sciences"/>
    <n v="1"/>
    <n v="548"/>
    <n v="3"/>
    <s v="Female"/>
    <n v="43"/>
    <n v="1"/>
    <x v="0"/>
    <x v="3"/>
    <n v="4"/>
    <s v="Single"/>
    <n v="6091"/>
    <n v="24793"/>
    <n v="2"/>
    <s v="Y"/>
    <s v="No"/>
    <s v="No"/>
    <n v="20"/>
    <n v="4"/>
    <n v="3"/>
    <n v="80"/>
    <n v="0"/>
    <n v="11"/>
    <s v="6-15"/>
    <n v="2"/>
    <n v="3"/>
    <n v="5"/>
    <n v="4"/>
    <n v="0"/>
    <n v="2"/>
  </r>
  <r>
    <n v="60"/>
    <x v="1"/>
    <s v="No"/>
    <s v="Travel_Rarely"/>
    <n v="422"/>
    <x v="1"/>
    <n v="7"/>
    <n v="3"/>
    <s v="Life Sciences"/>
    <n v="1"/>
    <n v="549"/>
    <n v="1"/>
    <s v="Female"/>
    <n v="41"/>
    <n v="3"/>
    <x v="4"/>
    <x v="5"/>
    <n v="1"/>
    <s v="Married"/>
    <n v="19566"/>
    <n v="3854"/>
    <n v="5"/>
    <s v="Y"/>
    <s v="No"/>
    <s v="No"/>
    <n v="11"/>
    <n v="3"/>
    <n v="4"/>
    <n v="80"/>
    <n v="0"/>
    <n v="33"/>
    <s v="&gt;15"/>
    <n v="5"/>
    <n v="1"/>
    <n v="29"/>
    <n v="8"/>
    <n v="11"/>
    <n v="10"/>
  </r>
  <r>
    <n v="46"/>
    <x v="1"/>
    <s v="No"/>
    <s v="Travel_Rarely"/>
    <n v="1485"/>
    <x v="1"/>
    <n v="18"/>
    <n v="3"/>
    <s v="Medical"/>
    <n v="1"/>
    <n v="550"/>
    <n v="3"/>
    <s v="Female"/>
    <n v="87"/>
    <n v="3"/>
    <x v="0"/>
    <x v="3"/>
    <n v="3"/>
    <s v="Divorced"/>
    <n v="4810"/>
    <n v="26314"/>
    <n v="2"/>
    <s v="Y"/>
    <s v="No"/>
    <s v="No"/>
    <n v="14"/>
    <n v="3"/>
    <n v="3"/>
    <n v="80"/>
    <n v="1"/>
    <n v="19"/>
    <s v="&gt;15"/>
    <n v="5"/>
    <n v="2"/>
    <n v="10"/>
    <n v="7"/>
    <n v="0"/>
    <n v="8"/>
  </r>
  <r>
    <n v="42"/>
    <x v="1"/>
    <s v="No"/>
    <s v="Travel_Frequently"/>
    <n v="1368"/>
    <x v="1"/>
    <n v="28"/>
    <n v="4"/>
    <s v="Technical Degree"/>
    <n v="1"/>
    <n v="551"/>
    <n v="4"/>
    <s v="Female"/>
    <n v="88"/>
    <n v="2"/>
    <x v="0"/>
    <x v="4"/>
    <n v="4"/>
    <s v="Married"/>
    <n v="4523"/>
    <n v="4386"/>
    <n v="0"/>
    <s v="Y"/>
    <s v="No"/>
    <s v="No"/>
    <n v="11"/>
    <n v="3"/>
    <n v="4"/>
    <n v="80"/>
    <n v="3"/>
    <n v="7"/>
    <s v="6-15"/>
    <n v="4"/>
    <n v="4"/>
    <n v="6"/>
    <n v="5"/>
    <n v="0"/>
    <n v="4"/>
  </r>
  <r>
    <n v="24"/>
    <x v="0"/>
    <s v="Yes"/>
    <s v="Travel_Rarely"/>
    <n v="1448"/>
    <x v="0"/>
    <n v="1"/>
    <n v="1"/>
    <s v="Technical Degree"/>
    <n v="1"/>
    <n v="554"/>
    <n v="1"/>
    <s v="Female"/>
    <n v="62"/>
    <n v="3"/>
    <x v="1"/>
    <x v="6"/>
    <n v="2"/>
    <s v="Single"/>
    <n v="3202"/>
    <n v="21972"/>
    <n v="1"/>
    <s v="Y"/>
    <s v="Yes"/>
    <s v="Yes"/>
    <n v="16"/>
    <n v="3"/>
    <n v="2"/>
    <n v="80"/>
    <n v="0"/>
    <n v="6"/>
    <s v="6-15"/>
    <n v="4"/>
    <n v="3"/>
    <n v="5"/>
    <n v="3"/>
    <n v="1"/>
    <n v="4"/>
  </r>
  <r>
    <n v="34"/>
    <x v="0"/>
    <s v="Yes"/>
    <s v="Travel_Frequently"/>
    <n v="296"/>
    <x v="0"/>
    <n v="6"/>
    <n v="2"/>
    <s v="Marketing"/>
    <n v="1"/>
    <n v="555"/>
    <n v="4"/>
    <s v="Female"/>
    <n v="33"/>
    <n v="1"/>
    <x v="1"/>
    <x v="6"/>
    <n v="3"/>
    <s v="Divorced"/>
    <n v="2351"/>
    <n v="12253"/>
    <n v="0"/>
    <s v="Y"/>
    <s v="No"/>
    <s v="No"/>
    <n v="16"/>
    <n v="3"/>
    <n v="4"/>
    <n v="80"/>
    <n v="1"/>
    <n v="3"/>
    <s v="0-5"/>
    <n v="3"/>
    <n v="2"/>
    <n v="2"/>
    <n v="2"/>
    <n v="1"/>
    <n v="0"/>
  </r>
  <r>
    <n v="38"/>
    <x v="1"/>
    <s v="No"/>
    <s v="Travel_Frequently"/>
    <n v="1490"/>
    <x v="1"/>
    <n v="2"/>
    <n v="2"/>
    <s v="Life Sciences"/>
    <n v="1"/>
    <n v="556"/>
    <n v="4"/>
    <s v="Male"/>
    <n v="42"/>
    <n v="3"/>
    <x v="1"/>
    <x v="2"/>
    <n v="4"/>
    <s v="Married"/>
    <n v="1702"/>
    <n v="12106"/>
    <n v="1"/>
    <s v="Y"/>
    <s v="Yes"/>
    <s v="Yes"/>
    <n v="23"/>
    <n v="4"/>
    <n v="3"/>
    <n v="80"/>
    <n v="1"/>
    <n v="1"/>
    <s v="0-5"/>
    <n v="3"/>
    <n v="3"/>
    <n v="1"/>
    <n v="0"/>
    <n v="0"/>
    <n v="0"/>
  </r>
  <r>
    <n v="40"/>
    <x v="1"/>
    <s v="No"/>
    <s v="Travel_Rarely"/>
    <n v="1398"/>
    <x v="0"/>
    <n v="2"/>
    <n v="4"/>
    <s v="Life Sciences"/>
    <n v="1"/>
    <n v="558"/>
    <n v="3"/>
    <s v="Female"/>
    <n v="79"/>
    <n v="3"/>
    <x v="4"/>
    <x v="5"/>
    <n v="3"/>
    <s v="Married"/>
    <n v="18041"/>
    <n v="13022"/>
    <n v="0"/>
    <s v="Y"/>
    <s v="No"/>
    <s v="No"/>
    <n v="14"/>
    <n v="3"/>
    <n v="4"/>
    <n v="80"/>
    <n v="0"/>
    <n v="21"/>
    <s v="&gt;15"/>
    <n v="2"/>
    <n v="3"/>
    <n v="20"/>
    <n v="15"/>
    <n v="1"/>
    <n v="12"/>
  </r>
  <r>
    <n v="26"/>
    <x v="1"/>
    <s v="No"/>
    <s v="Travel_Rarely"/>
    <n v="1349"/>
    <x v="1"/>
    <n v="23"/>
    <n v="3"/>
    <s v="Life Sciences"/>
    <n v="1"/>
    <n v="560"/>
    <n v="1"/>
    <s v="Female"/>
    <n v="90"/>
    <n v="3"/>
    <x v="1"/>
    <x v="1"/>
    <n v="4"/>
    <s v="Divorced"/>
    <n v="2886"/>
    <n v="3032"/>
    <n v="1"/>
    <s v="Y"/>
    <s v="No"/>
    <s v="No"/>
    <n v="22"/>
    <n v="4"/>
    <n v="2"/>
    <n v="80"/>
    <n v="2"/>
    <n v="3"/>
    <s v="0-5"/>
    <n v="3"/>
    <n v="1"/>
    <n v="3"/>
    <n v="2"/>
    <n v="0"/>
    <n v="2"/>
  </r>
  <r>
    <n v="30"/>
    <x v="1"/>
    <s v="No"/>
    <s v="Non-Travel"/>
    <n v="1400"/>
    <x v="1"/>
    <n v="3"/>
    <n v="3"/>
    <s v="Life Sciences"/>
    <n v="1"/>
    <n v="562"/>
    <n v="3"/>
    <s v="Male"/>
    <n v="53"/>
    <n v="3"/>
    <x v="1"/>
    <x v="2"/>
    <n v="4"/>
    <s v="Married"/>
    <n v="2097"/>
    <n v="16734"/>
    <n v="4"/>
    <s v="Y"/>
    <s v="No"/>
    <s v="No"/>
    <n v="15"/>
    <n v="3"/>
    <n v="3"/>
    <n v="80"/>
    <n v="1"/>
    <n v="9"/>
    <s v="6-15"/>
    <n v="3"/>
    <n v="1"/>
    <n v="5"/>
    <n v="3"/>
    <n v="1"/>
    <n v="4"/>
  </r>
  <r>
    <n v="29"/>
    <x v="1"/>
    <s v="No"/>
    <s v="Travel_Rarely"/>
    <n v="986"/>
    <x v="1"/>
    <n v="3"/>
    <n v="4"/>
    <s v="Medical"/>
    <n v="1"/>
    <n v="564"/>
    <n v="2"/>
    <s v="Male"/>
    <n v="93"/>
    <n v="2"/>
    <x v="2"/>
    <x v="7"/>
    <n v="3"/>
    <s v="Married"/>
    <n v="11935"/>
    <n v="21526"/>
    <n v="1"/>
    <s v="Y"/>
    <s v="No"/>
    <s v="No"/>
    <n v="18"/>
    <n v="3"/>
    <n v="3"/>
    <n v="80"/>
    <n v="0"/>
    <n v="10"/>
    <s v="6-15"/>
    <n v="2"/>
    <n v="3"/>
    <n v="10"/>
    <n v="2"/>
    <n v="0"/>
    <n v="7"/>
  </r>
  <r>
    <n v="29"/>
    <x v="0"/>
    <s v="Yes"/>
    <s v="Travel_Rarely"/>
    <n v="408"/>
    <x v="1"/>
    <n v="25"/>
    <n v="5"/>
    <s v="Technical Degree"/>
    <n v="1"/>
    <n v="565"/>
    <n v="3"/>
    <s v="Female"/>
    <n v="71"/>
    <n v="2"/>
    <x v="1"/>
    <x v="1"/>
    <n v="2"/>
    <s v="Married"/>
    <n v="2546"/>
    <n v="18300"/>
    <n v="5"/>
    <s v="Y"/>
    <s v="No"/>
    <s v="No"/>
    <n v="16"/>
    <n v="3"/>
    <n v="2"/>
    <n v="80"/>
    <n v="0"/>
    <n v="6"/>
    <s v="6-15"/>
    <n v="2"/>
    <n v="4"/>
    <n v="2"/>
    <n v="2"/>
    <n v="1"/>
    <n v="1"/>
  </r>
  <r>
    <n v="19"/>
    <x v="0"/>
    <s v="Yes"/>
    <s v="Travel_Rarely"/>
    <n v="489"/>
    <x v="2"/>
    <n v="2"/>
    <n v="2"/>
    <s v="Technical Degree"/>
    <n v="1"/>
    <n v="566"/>
    <n v="1"/>
    <s v="Male"/>
    <n v="52"/>
    <n v="2"/>
    <x v="1"/>
    <x v="8"/>
    <n v="4"/>
    <s v="Single"/>
    <n v="2564"/>
    <n v="18437"/>
    <n v="1"/>
    <s v="Y"/>
    <s v="No"/>
    <s v="No"/>
    <n v="12"/>
    <n v="3"/>
    <n v="3"/>
    <n v="80"/>
    <n v="0"/>
    <n v="1"/>
    <s v="0-5"/>
    <n v="3"/>
    <n v="4"/>
    <n v="1"/>
    <n v="0"/>
    <n v="0"/>
    <n v="0"/>
  </r>
  <r>
    <n v="30"/>
    <x v="1"/>
    <s v="No"/>
    <s v="Non-Travel"/>
    <n v="1398"/>
    <x v="0"/>
    <n v="22"/>
    <n v="4"/>
    <s v="Other"/>
    <n v="1"/>
    <n v="567"/>
    <n v="3"/>
    <s v="Female"/>
    <n v="69"/>
    <n v="3"/>
    <x v="2"/>
    <x v="0"/>
    <n v="1"/>
    <s v="Married"/>
    <n v="8412"/>
    <n v="2890"/>
    <n v="0"/>
    <s v="Y"/>
    <s v="No"/>
    <s v="No"/>
    <n v="11"/>
    <n v="3"/>
    <n v="3"/>
    <n v="80"/>
    <n v="0"/>
    <n v="10"/>
    <s v="6-15"/>
    <n v="3"/>
    <n v="3"/>
    <n v="9"/>
    <n v="8"/>
    <n v="7"/>
    <n v="8"/>
  </r>
  <r>
    <n v="57"/>
    <x v="1"/>
    <s v="No"/>
    <s v="Travel_Rarely"/>
    <n v="210"/>
    <x v="0"/>
    <n v="29"/>
    <n v="3"/>
    <s v="Marketing"/>
    <n v="1"/>
    <n v="568"/>
    <n v="1"/>
    <s v="Male"/>
    <n v="56"/>
    <n v="2"/>
    <x v="3"/>
    <x v="5"/>
    <n v="4"/>
    <s v="Divorced"/>
    <n v="14118"/>
    <n v="22102"/>
    <n v="3"/>
    <s v="Y"/>
    <s v="No"/>
    <s v="No"/>
    <n v="12"/>
    <n v="3"/>
    <n v="3"/>
    <n v="80"/>
    <n v="1"/>
    <n v="32"/>
    <s v="&gt;15"/>
    <n v="3"/>
    <n v="2"/>
    <n v="1"/>
    <n v="0"/>
    <n v="0"/>
    <n v="0"/>
  </r>
  <r>
    <n v="50"/>
    <x v="1"/>
    <s v="No"/>
    <s v="Travel_Rarely"/>
    <n v="1099"/>
    <x v="1"/>
    <n v="29"/>
    <n v="4"/>
    <s v="Life Sciences"/>
    <n v="1"/>
    <n v="569"/>
    <n v="2"/>
    <s v="Male"/>
    <n v="88"/>
    <n v="2"/>
    <x v="3"/>
    <x v="5"/>
    <n v="3"/>
    <s v="Married"/>
    <n v="17046"/>
    <n v="9314"/>
    <n v="0"/>
    <s v="Y"/>
    <s v="No"/>
    <s v="No"/>
    <n v="15"/>
    <n v="3"/>
    <n v="2"/>
    <n v="80"/>
    <n v="1"/>
    <n v="28"/>
    <s v="&gt;15"/>
    <n v="2"/>
    <n v="3"/>
    <n v="27"/>
    <n v="10"/>
    <n v="15"/>
    <n v="7"/>
  </r>
  <r>
    <n v="30"/>
    <x v="1"/>
    <s v="No"/>
    <s v="Non-Travel"/>
    <n v="1116"/>
    <x v="1"/>
    <n v="2"/>
    <n v="3"/>
    <s v="Medical"/>
    <n v="1"/>
    <n v="571"/>
    <n v="3"/>
    <s v="Female"/>
    <n v="49"/>
    <n v="3"/>
    <x v="1"/>
    <x v="2"/>
    <n v="4"/>
    <s v="Single"/>
    <n v="2564"/>
    <n v="7181"/>
    <n v="0"/>
    <s v="Y"/>
    <s v="No"/>
    <s v="No"/>
    <n v="14"/>
    <n v="3"/>
    <n v="3"/>
    <n v="80"/>
    <n v="0"/>
    <n v="12"/>
    <s v="6-15"/>
    <n v="2"/>
    <n v="2"/>
    <n v="11"/>
    <n v="7"/>
    <n v="6"/>
    <n v="7"/>
  </r>
  <r>
    <n v="60"/>
    <x v="1"/>
    <s v="No"/>
    <s v="Travel_Frequently"/>
    <n v="1499"/>
    <x v="0"/>
    <n v="28"/>
    <n v="3"/>
    <s v="Marketing"/>
    <n v="1"/>
    <n v="573"/>
    <n v="3"/>
    <s v="Female"/>
    <n v="80"/>
    <n v="2"/>
    <x v="2"/>
    <x v="0"/>
    <n v="1"/>
    <s v="Married"/>
    <n v="10266"/>
    <n v="2845"/>
    <n v="4"/>
    <s v="Y"/>
    <s v="No"/>
    <s v="No"/>
    <n v="19"/>
    <n v="3"/>
    <n v="4"/>
    <n v="80"/>
    <n v="0"/>
    <n v="22"/>
    <s v="&gt;15"/>
    <n v="5"/>
    <n v="4"/>
    <n v="18"/>
    <n v="13"/>
    <n v="13"/>
    <n v="11"/>
  </r>
  <r>
    <n v="47"/>
    <x v="1"/>
    <s v="No"/>
    <s v="Travel_Rarely"/>
    <n v="983"/>
    <x v="1"/>
    <n v="2"/>
    <n v="2"/>
    <s v="Medical"/>
    <n v="1"/>
    <n v="574"/>
    <n v="1"/>
    <s v="Female"/>
    <n v="65"/>
    <n v="3"/>
    <x v="0"/>
    <x v="3"/>
    <n v="4"/>
    <s v="Divorced"/>
    <n v="5070"/>
    <n v="7389"/>
    <n v="5"/>
    <s v="Y"/>
    <s v="No"/>
    <s v="No"/>
    <n v="13"/>
    <n v="3"/>
    <n v="3"/>
    <n v="80"/>
    <n v="3"/>
    <n v="20"/>
    <s v="&gt;15"/>
    <n v="2"/>
    <n v="3"/>
    <n v="5"/>
    <n v="0"/>
    <n v="0"/>
    <n v="4"/>
  </r>
  <r>
    <n v="46"/>
    <x v="1"/>
    <s v="No"/>
    <s v="Travel_Rarely"/>
    <n v="1009"/>
    <x v="1"/>
    <n v="2"/>
    <n v="3"/>
    <s v="Life Sciences"/>
    <n v="1"/>
    <n v="575"/>
    <n v="1"/>
    <s v="Male"/>
    <n v="51"/>
    <n v="3"/>
    <x v="3"/>
    <x v="7"/>
    <n v="3"/>
    <s v="Married"/>
    <n v="17861"/>
    <n v="2288"/>
    <n v="6"/>
    <s v="Y"/>
    <s v="No"/>
    <s v="No"/>
    <n v="13"/>
    <n v="3"/>
    <n v="3"/>
    <n v="80"/>
    <n v="0"/>
    <n v="26"/>
    <s v="&gt;15"/>
    <n v="2"/>
    <n v="1"/>
    <n v="3"/>
    <n v="2"/>
    <n v="0"/>
    <n v="1"/>
  </r>
  <r>
    <n v="35"/>
    <x v="1"/>
    <s v="No"/>
    <s v="Travel_Rarely"/>
    <n v="144"/>
    <x v="1"/>
    <n v="22"/>
    <n v="3"/>
    <s v="Life Sciences"/>
    <n v="1"/>
    <n v="577"/>
    <n v="4"/>
    <s v="Male"/>
    <n v="46"/>
    <n v="1"/>
    <x v="1"/>
    <x v="2"/>
    <n v="3"/>
    <s v="Single"/>
    <n v="4230"/>
    <n v="19225"/>
    <n v="0"/>
    <s v="Y"/>
    <s v="No"/>
    <s v="No"/>
    <n v="15"/>
    <n v="3"/>
    <n v="3"/>
    <n v="80"/>
    <n v="0"/>
    <n v="6"/>
    <s v="6-15"/>
    <n v="2"/>
    <n v="3"/>
    <n v="5"/>
    <n v="4"/>
    <n v="4"/>
    <n v="3"/>
  </r>
  <r>
    <n v="54"/>
    <x v="1"/>
    <s v="No"/>
    <s v="Travel_Rarely"/>
    <n v="548"/>
    <x v="1"/>
    <n v="8"/>
    <n v="4"/>
    <s v="Life Sciences"/>
    <n v="1"/>
    <n v="578"/>
    <n v="3"/>
    <s v="Female"/>
    <n v="42"/>
    <n v="3"/>
    <x v="0"/>
    <x v="2"/>
    <n v="3"/>
    <s v="Single"/>
    <n v="3780"/>
    <n v="23428"/>
    <n v="7"/>
    <s v="Y"/>
    <s v="No"/>
    <s v="No"/>
    <n v="11"/>
    <n v="3"/>
    <n v="3"/>
    <n v="80"/>
    <n v="0"/>
    <n v="19"/>
    <s v="&gt;15"/>
    <n v="3"/>
    <n v="3"/>
    <n v="1"/>
    <n v="0"/>
    <n v="0"/>
    <n v="0"/>
  </r>
  <r>
    <n v="34"/>
    <x v="1"/>
    <s v="No"/>
    <s v="Travel_Rarely"/>
    <n v="1303"/>
    <x v="1"/>
    <n v="2"/>
    <n v="4"/>
    <s v="Life Sciences"/>
    <n v="1"/>
    <n v="579"/>
    <n v="4"/>
    <s v="Male"/>
    <n v="62"/>
    <n v="2"/>
    <x v="1"/>
    <x v="1"/>
    <n v="3"/>
    <s v="Divorced"/>
    <n v="2768"/>
    <n v="8416"/>
    <n v="3"/>
    <s v="Y"/>
    <s v="No"/>
    <s v="No"/>
    <n v="12"/>
    <n v="3"/>
    <n v="3"/>
    <n v="80"/>
    <n v="1"/>
    <n v="14"/>
    <s v="6-15"/>
    <n v="3"/>
    <n v="3"/>
    <n v="7"/>
    <n v="3"/>
    <n v="5"/>
    <n v="7"/>
  </r>
  <r>
    <n v="46"/>
    <x v="1"/>
    <s v="No"/>
    <s v="Travel_Rarely"/>
    <n v="1125"/>
    <x v="0"/>
    <n v="10"/>
    <n v="3"/>
    <s v="Marketing"/>
    <n v="1"/>
    <n v="580"/>
    <n v="3"/>
    <s v="Female"/>
    <n v="94"/>
    <n v="2"/>
    <x v="2"/>
    <x v="0"/>
    <n v="4"/>
    <s v="Married"/>
    <n v="9071"/>
    <n v="11563"/>
    <n v="2"/>
    <s v="Y"/>
    <s v="Yes"/>
    <s v="Yes"/>
    <n v="19"/>
    <n v="3"/>
    <n v="3"/>
    <n v="80"/>
    <n v="1"/>
    <n v="15"/>
    <s v="6-15"/>
    <n v="3"/>
    <n v="3"/>
    <n v="3"/>
    <n v="2"/>
    <n v="1"/>
    <n v="2"/>
  </r>
  <r>
    <n v="31"/>
    <x v="1"/>
    <s v="No"/>
    <s v="Travel_Rarely"/>
    <n v="1274"/>
    <x v="1"/>
    <n v="9"/>
    <n v="1"/>
    <s v="Life Sciences"/>
    <n v="1"/>
    <n v="581"/>
    <n v="3"/>
    <s v="Male"/>
    <n v="33"/>
    <n v="3"/>
    <x v="2"/>
    <x v="3"/>
    <n v="2"/>
    <s v="Divorced"/>
    <n v="10648"/>
    <n v="14394"/>
    <n v="1"/>
    <s v="Y"/>
    <s v="No"/>
    <s v="No"/>
    <n v="25"/>
    <n v="4"/>
    <n v="4"/>
    <n v="80"/>
    <n v="1"/>
    <n v="13"/>
    <s v="6-15"/>
    <n v="6"/>
    <n v="4"/>
    <n v="13"/>
    <n v="8"/>
    <n v="0"/>
    <n v="8"/>
  </r>
  <r>
    <n v="33"/>
    <x v="0"/>
    <s v="Yes"/>
    <s v="Travel_Rarely"/>
    <n v="1277"/>
    <x v="1"/>
    <n v="15"/>
    <n v="1"/>
    <s v="Medical"/>
    <n v="1"/>
    <n v="582"/>
    <n v="2"/>
    <s v="Male"/>
    <n v="56"/>
    <n v="3"/>
    <x v="2"/>
    <x v="5"/>
    <n v="3"/>
    <s v="Married"/>
    <n v="13610"/>
    <n v="24619"/>
    <n v="7"/>
    <s v="Y"/>
    <s v="Yes"/>
    <s v="Yes"/>
    <n v="12"/>
    <n v="3"/>
    <n v="4"/>
    <n v="80"/>
    <n v="0"/>
    <n v="15"/>
    <s v="6-15"/>
    <n v="2"/>
    <n v="4"/>
    <n v="7"/>
    <n v="6"/>
    <n v="7"/>
    <n v="7"/>
  </r>
  <r>
    <n v="33"/>
    <x v="0"/>
    <s v="Yes"/>
    <s v="Travel_Rarely"/>
    <n v="587"/>
    <x v="1"/>
    <n v="10"/>
    <n v="1"/>
    <s v="Medical"/>
    <n v="1"/>
    <n v="584"/>
    <n v="1"/>
    <s v="Male"/>
    <n v="38"/>
    <n v="1"/>
    <x v="1"/>
    <x v="2"/>
    <n v="4"/>
    <s v="Divorced"/>
    <n v="3408"/>
    <n v="6705"/>
    <n v="7"/>
    <s v="Y"/>
    <s v="No"/>
    <s v="No"/>
    <n v="13"/>
    <n v="3"/>
    <n v="1"/>
    <n v="80"/>
    <n v="3"/>
    <n v="8"/>
    <s v="6-15"/>
    <n v="2"/>
    <n v="3"/>
    <n v="4"/>
    <n v="3"/>
    <n v="1"/>
    <n v="3"/>
  </r>
  <r>
    <n v="30"/>
    <x v="1"/>
    <s v="No"/>
    <s v="Travel_Rarely"/>
    <n v="413"/>
    <x v="0"/>
    <n v="7"/>
    <n v="1"/>
    <s v="Marketing"/>
    <n v="1"/>
    <n v="585"/>
    <n v="4"/>
    <s v="Male"/>
    <n v="57"/>
    <n v="3"/>
    <x v="1"/>
    <x v="6"/>
    <n v="2"/>
    <s v="Single"/>
    <n v="2983"/>
    <n v="18398"/>
    <n v="0"/>
    <s v="Y"/>
    <s v="No"/>
    <s v="No"/>
    <n v="14"/>
    <n v="3"/>
    <n v="1"/>
    <n v="80"/>
    <n v="0"/>
    <n v="4"/>
    <s v="0-5"/>
    <n v="3"/>
    <n v="3"/>
    <n v="3"/>
    <n v="2"/>
    <n v="1"/>
    <n v="2"/>
  </r>
  <r>
    <n v="35"/>
    <x v="1"/>
    <s v="No"/>
    <s v="Travel_Rarely"/>
    <n v="1276"/>
    <x v="1"/>
    <n v="16"/>
    <n v="3"/>
    <s v="Life Sciences"/>
    <n v="1"/>
    <n v="586"/>
    <n v="4"/>
    <s v="Male"/>
    <n v="72"/>
    <n v="3"/>
    <x v="2"/>
    <x v="4"/>
    <n v="3"/>
    <s v="Married"/>
    <n v="7632"/>
    <n v="14295"/>
    <n v="4"/>
    <s v="Y"/>
    <s v="Yes"/>
    <s v="Yes"/>
    <n v="12"/>
    <n v="3"/>
    <n v="3"/>
    <n v="80"/>
    <n v="0"/>
    <n v="10"/>
    <s v="6-15"/>
    <n v="2"/>
    <n v="3"/>
    <n v="8"/>
    <n v="7"/>
    <n v="0"/>
    <n v="0"/>
  </r>
  <r>
    <n v="31"/>
    <x v="0"/>
    <s v="Yes"/>
    <s v="Travel_Frequently"/>
    <n v="534"/>
    <x v="1"/>
    <n v="20"/>
    <n v="3"/>
    <s v="Life Sciences"/>
    <n v="1"/>
    <n v="587"/>
    <n v="1"/>
    <s v="Male"/>
    <n v="66"/>
    <n v="3"/>
    <x v="2"/>
    <x v="4"/>
    <n v="3"/>
    <s v="Married"/>
    <n v="9824"/>
    <n v="22908"/>
    <n v="3"/>
    <s v="Y"/>
    <s v="No"/>
    <s v="No"/>
    <n v="12"/>
    <n v="3"/>
    <n v="1"/>
    <n v="80"/>
    <n v="0"/>
    <n v="12"/>
    <s v="6-15"/>
    <n v="2"/>
    <n v="3"/>
    <n v="1"/>
    <n v="0"/>
    <n v="0"/>
    <n v="0"/>
  </r>
  <r>
    <n v="34"/>
    <x v="0"/>
    <s v="Yes"/>
    <s v="Travel_Frequently"/>
    <n v="988"/>
    <x v="2"/>
    <n v="23"/>
    <n v="3"/>
    <s v="Human Resources"/>
    <n v="1"/>
    <n v="590"/>
    <n v="2"/>
    <s v="Female"/>
    <n v="43"/>
    <n v="3"/>
    <x v="2"/>
    <x v="8"/>
    <n v="1"/>
    <s v="Divorced"/>
    <n v="9950"/>
    <n v="11533"/>
    <n v="9"/>
    <s v="Y"/>
    <s v="Yes"/>
    <s v="Yes"/>
    <n v="15"/>
    <n v="3"/>
    <n v="3"/>
    <n v="80"/>
    <n v="3"/>
    <n v="11"/>
    <s v="6-15"/>
    <n v="2"/>
    <n v="3"/>
    <n v="3"/>
    <n v="2"/>
    <n v="0"/>
    <n v="2"/>
  </r>
  <r>
    <n v="42"/>
    <x v="1"/>
    <s v="No"/>
    <s v="Travel_Frequently"/>
    <n v="1474"/>
    <x v="1"/>
    <n v="5"/>
    <n v="2"/>
    <s v="Other"/>
    <n v="1"/>
    <n v="591"/>
    <n v="2"/>
    <s v="Male"/>
    <n v="97"/>
    <n v="3"/>
    <x v="1"/>
    <x v="2"/>
    <n v="3"/>
    <s v="Married"/>
    <n v="2093"/>
    <n v="9260"/>
    <n v="4"/>
    <s v="Y"/>
    <s v="No"/>
    <s v="No"/>
    <n v="17"/>
    <n v="3"/>
    <n v="4"/>
    <n v="80"/>
    <n v="1"/>
    <n v="8"/>
    <s v="6-15"/>
    <n v="4"/>
    <n v="3"/>
    <n v="2"/>
    <n v="2"/>
    <n v="2"/>
    <n v="0"/>
  </r>
  <r>
    <n v="36"/>
    <x v="1"/>
    <s v="No"/>
    <s v="Non-Travel"/>
    <n v="635"/>
    <x v="0"/>
    <n v="10"/>
    <n v="4"/>
    <s v="Medical"/>
    <n v="1"/>
    <n v="592"/>
    <n v="2"/>
    <s v="Male"/>
    <n v="32"/>
    <n v="3"/>
    <x v="2"/>
    <x v="0"/>
    <n v="4"/>
    <s v="Single"/>
    <n v="9980"/>
    <n v="15318"/>
    <n v="1"/>
    <s v="Y"/>
    <s v="No"/>
    <s v="No"/>
    <n v="14"/>
    <n v="3"/>
    <n v="4"/>
    <n v="80"/>
    <n v="0"/>
    <n v="10"/>
    <s v="6-15"/>
    <n v="3"/>
    <n v="2"/>
    <n v="10"/>
    <n v="3"/>
    <n v="9"/>
    <n v="7"/>
  </r>
  <r>
    <n v="22"/>
    <x v="0"/>
    <s v="Yes"/>
    <s v="Travel_Frequently"/>
    <n v="1368"/>
    <x v="1"/>
    <n v="4"/>
    <n v="1"/>
    <s v="Technical Degree"/>
    <n v="1"/>
    <n v="593"/>
    <n v="3"/>
    <s v="Male"/>
    <n v="99"/>
    <n v="2"/>
    <x v="1"/>
    <x v="2"/>
    <n v="3"/>
    <s v="Single"/>
    <n v="3894"/>
    <n v="9129"/>
    <n v="5"/>
    <s v="Y"/>
    <s v="No"/>
    <s v="No"/>
    <n v="16"/>
    <n v="3"/>
    <n v="3"/>
    <n v="80"/>
    <n v="0"/>
    <n v="4"/>
    <s v="0-5"/>
    <n v="3"/>
    <n v="3"/>
    <n v="2"/>
    <n v="2"/>
    <n v="1"/>
    <n v="2"/>
  </r>
  <r>
    <n v="48"/>
    <x v="1"/>
    <s v="No"/>
    <s v="Travel_Rarely"/>
    <n v="163"/>
    <x v="0"/>
    <n v="2"/>
    <n v="5"/>
    <s v="Marketing"/>
    <n v="1"/>
    <n v="595"/>
    <n v="2"/>
    <s v="Female"/>
    <n v="37"/>
    <n v="3"/>
    <x v="0"/>
    <x v="0"/>
    <n v="4"/>
    <s v="Married"/>
    <n v="4051"/>
    <n v="19658"/>
    <n v="2"/>
    <s v="Y"/>
    <s v="No"/>
    <s v="No"/>
    <n v="14"/>
    <n v="3"/>
    <n v="1"/>
    <n v="80"/>
    <n v="1"/>
    <n v="14"/>
    <s v="6-15"/>
    <n v="2"/>
    <n v="3"/>
    <n v="9"/>
    <n v="7"/>
    <n v="6"/>
    <n v="7"/>
  </r>
  <r>
    <n v="55"/>
    <x v="1"/>
    <s v="No"/>
    <s v="Travel_Rarely"/>
    <n v="1117"/>
    <x v="0"/>
    <n v="18"/>
    <n v="5"/>
    <s v="Life Sciences"/>
    <n v="1"/>
    <n v="597"/>
    <n v="1"/>
    <s v="Female"/>
    <n v="83"/>
    <n v="3"/>
    <x v="3"/>
    <x v="5"/>
    <n v="2"/>
    <s v="Single"/>
    <n v="16835"/>
    <n v="9873"/>
    <n v="3"/>
    <s v="Y"/>
    <s v="No"/>
    <s v="No"/>
    <n v="23"/>
    <n v="4"/>
    <n v="4"/>
    <n v="80"/>
    <n v="0"/>
    <n v="37"/>
    <s v="&gt;15"/>
    <n v="2"/>
    <n v="3"/>
    <n v="10"/>
    <n v="9"/>
    <n v="7"/>
    <n v="7"/>
  </r>
  <r>
    <n v="41"/>
    <x v="1"/>
    <s v="No"/>
    <s v="Non-Travel"/>
    <n v="267"/>
    <x v="0"/>
    <n v="10"/>
    <n v="2"/>
    <s v="Life Sciences"/>
    <n v="1"/>
    <n v="599"/>
    <n v="4"/>
    <s v="Male"/>
    <n v="56"/>
    <n v="3"/>
    <x v="0"/>
    <x v="0"/>
    <n v="4"/>
    <s v="Single"/>
    <n v="6230"/>
    <n v="13430"/>
    <n v="7"/>
    <s v="Y"/>
    <s v="No"/>
    <s v="No"/>
    <n v="14"/>
    <n v="3"/>
    <n v="4"/>
    <n v="80"/>
    <n v="0"/>
    <n v="16"/>
    <s v="&gt;15"/>
    <n v="3"/>
    <n v="3"/>
    <n v="14"/>
    <n v="3"/>
    <n v="1"/>
    <n v="10"/>
  </r>
  <r>
    <n v="35"/>
    <x v="1"/>
    <s v="No"/>
    <s v="Travel_Rarely"/>
    <n v="619"/>
    <x v="0"/>
    <n v="1"/>
    <n v="3"/>
    <s v="Marketing"/>
    <n v="1"/>
    <n v="600"/>
    <n v="2"/>
    <s v="Male"/>
    <n v="85"/>
    <n v="3"/>
    <x v="0"/>
    <x v="0"/>
    <n v="3"/>
    <s v="Married"/>
    <n v="4717"/>
    <n v="18659"/>
    <n v="9"/>
    <s v="Y"/>
    <s v="No"/>
    <s v="No"/>
    <n v="11"/>
    <n v="3"/>
    <n v="3"/>
    <n v="80"/>
    <n v="0"/>
    <n v="15"/>
    <s v="6-15"/>
    <n v="2"/>
    <n v="3"/>
    <n v="11"/>
    <n v="9"/>
    <n v="6"/>
    <n v="9"/>
  </r>
  <r>
    <n v="40"/>
    <x v="1"/>
    <s v="No"/>
    <s v="Travel_Rarely"/>
    <n v="302"/>
    <x v="1"/>
    <n v="6"/>
    <n v="3"/>
    <s v="Life Sciences"/>
    <n v="1"/>
    <n v="601"/>
    <n v="2"/>
    <s v="Female"/>
    <n v="75"/>
    <n v="3"/>
    <x v="3"/>
    <x v="3"/>
    <n v="3"/>
    <s v="Single"/>
    <n v="13237"/>
    <n v="20364"/>
    <n v="7"/>
    <s v="Y"/>
    <s v="No"/>
    <s v="No"/>
    <n v="15"/>
    <n v="3"/>
    <n v="3"/>
    <n v="80"/>
    <n v="0"/>
    <n v="22"/>
    <s v="&gt;15"/>
    <n v="3"/>
    <n v="3"/>
    <n v="20"/>
    <n v="6"/>
    <n v="5"/>
    <n v="13"/>
  </r>
  <r>
    <n v="39"/>
    <x v="1"/>
    <s v="No"/>
    <s v="Travel_Frequently"/>
    <n v="443"/>
    <x v="1"/>
    <n v="8"/>
    <n v="1"/>
    <s v="Life Sciences"/>
    <n v="1"/>
    <n v="602"/>
    <n v="3"/>
    <s v="Female"/>
    <n v="48"/>
    <n v="3"/>
    <x v="1"/>
    <x v="2"/>
    <n v="3"/>
    <s v="Married"/>
    <n v="3755"/>
    <n v="17872"/>
    <n v="1"/>
    <s v="Y"/>
    <s v="No"/>
    <s v="No"/>
    <n v="11"/>
    <n v="3"/>
    <n v="1"/>
    <n v="80"/>
    <n v="1"/>
    <n v="8"/>
    <s v="6-15"/>
    <n v="3"/>
    <n v="3"/>
    <n v="8"/>
    <n v="3"/>
    <n v="0"/>
    <n v="7"/>
  </r>
  <r>
    <n v="31"/>
    <x v="1"/>
    <s v="No"/>
    <s v="Travel_Rarely"/>
    <n v="828"/>
    <x v="0"/>
    <n v="2"/>
    <n v="1"/>
    <s v="Life Sciences"/>
    <n v="1"/>
    <n v="604"/>
    <n v="2"/>
    <s v="Male"/>
    <n v="77"/>
    <n v="3"/>
    <x v="0"/>
    <x v="0"/>
    <n v="4"/>
    <s v="Single"/>
    <n v="6582"/>
    <n v="8346"/>
    <n v="4"/>
    <s v="Y"/>
    <s v="Yes"/>
    <s v="Yes"/>
    <n v="13"/>
    <n v="3"/>
    <n v="3"/>
    <n v="80"/>
    <n v="0"/>
    <n v="10"/>
    <s v="6-15"/>
    <n v="2"/>
    <n v="4"/>
    <n v="6"/>
    <n v="5"/>
    <n v="0"/>
    <n v="5"/>
  </r>
  <r>
    <n v="42"/>
    <x v="1"/>
    <s v="No"/>
    <s v="Travel_Rarely"/>
    <n v="319"/>
    <x v="1"/>
    <n v="24"/>
    <n v="3"/>
    <s v="Medical"/>
    <n v="1"/>
    <n v="605"/>
    <n v="4"/>
    <s v="Male"/>
    <n v="56"/>
    <n v="3"/>
    <x v="2"/>
    <x v="3"/>
    <n v="1"/>
    <s v="Married"/>
    <n v="7406"/>
    <n v="6950"/>
    <n v="1"/>
    <s v="Y"/>
    <s v="Yes"/>
    <s v="Yes"/>
    <n v="21"/>
    <n v="4"/>
    <n v="4"/>
    <n v="80"/>
    <n v="1"/>
    <n v="10"/>
    <s v="6-15"/>
    <n v="5"/>
    <n v="2"/>
    <n v="10"/>
    <n v="9"/>
    <n v="5"/>
    <n v="8"/>
  </r>
  <r>
    <n v="45"/>
    <x v="1"/>
    <s v="No"/>
    <s v="Travel_Rarely"/>
    <n v="561"/>
    <x v="0"/>
    <n v="2"/>
    <n v="3"/>
    <s v="Other"/>
    <n v="1"/>
    <n v="606"/>
    <n v="4"/>
    <s v="Male"/>
    <n v="61"/>
    <n v="3"/>
    <x v="0"/>
    <x v="0"/>
    <n v="2"/>
    <s v="Married"/>
    <n v="4805"/>
    <n v="16177"/>
    <n v="0"/>
    <s v="Y"/>
    <s v="No"/>
    <s v="No"/>
    <n v="19"/>
    <n v="3"/>
    <n v="2"/>
    <n v="80"/>
    <n v="1"/>
    <n v="9"/>
    <s v="6-15"/>
    <n v="3"/>
    <n v="4"/>
    <n v="8"/>
    <n v="7"/>
    <n v="3"/>
    <n v="7"/>
  </r>
  <r>
    <n v="26"/>
    <x v="0"/>
    <s v="Yes"/>
    <s v="Travel_Frequently"/>
    <n v="426"/>
    <x v="2"/>
    <n v="17"/>
    <n v="4"/>
    <s v="Life Sciences"/>
    <n v="1"/>
    <n v="608"/>
    <n v="2"/>
    <s v="Female"/>
    <n v="58"/>
    <n v="3"/>
    <x v="1"/>
    <x v="8"/>
    <n v="3"/>
    <s v="Divorced"/>
    <n v="2741"/>
    <n v="22808"/>
    <n v="0"/>
    <s v="Y"/>
    <s v="Yes"/>
    <s v="Yes"/>
    <n v="11"/>
    <n v="3"/>
    <n v="2"/>
    <n v="80"/>
    <n v="1"/>
    <n v="8"/>
    <s v="6-15"/>
    <n v="2"/>
    <n v="2"/>
    <n v="7"/>
    <n v="7"/>
    <n v="1"/>
    <n v="0"/>
  </r>
  <r>
    <n v="29"/>
    <x v="1"/>
    <s v="No"/>
    <s v="Travel_Rarely"/>
    <n v="232"/>
    <x v="1"/>
    <n v="19"/>
    <n v="3"/>
    <s v="Technical Degree"/>
    <n v="1"/>
    <n v="611"/>
    <n v="4"/>
    <s v="Male"/>
    <n v="34"/>
    <n v="3"/>
    <x v="0"/>
    <x v="3"/>
    <n v="4"/>
    <s v="Divorced"/>
    <n v="4262"/>
    <n v="22645"/>
    <n v="4"/>
    <s v="Y"/>
    <s v="No"/>
    <s v="No"/>
    <n v="12"/>
    <n v="3"/>
    <n v="2"/>
    <n v="80"/>
    <n v="2"/>
    <n v="8"/>
    <s v="6-15"/>
    <n v="2"/>
    <n v="4"/>
    <n v="3"/>
    <n v="2"/>
    <n v="1"/>
    <n v="2"/>
  </r>
  <r>
    <n v="33"/>
    <x v="1"/>
    <s v="No"/>
    <s v="Travel_Rarely"/>
    <n v="922"/>
    <x v="1"/>
    <n v="1"/>
    <n v="5"/>
    <s v="Medical"/>
    <n v="1"/>
    <n v="612"/>
    <n v="1"/>
    <s v="Female"/>
    <n v="95"/>
    <n v="4"/>
    <x v="3"/>
    <x v="7"/>
    <n v="3"/>
    <s v="Divorced"/>
    <n v="16184"/>
    <n v="22578"/>
    <n v="4"/>
    <s v="Y"/>
    <s v="No"/>
    <s v="No"/>
    <n v="19"/>
    <n v="3"/>
    <n v="3"/>
    <n v="80"/>
    <n v="1"/>
    <n v="10"/>
    <s v="6-15"/>
    <n v="2"/>
    <n v="3"/>
    <n v="6"/>
    <n v="1"/>
    <n v="0"/>
    <n v="5"/>
  </r>
  <r>
    <n v="31"/>
    <x v="1"/>
    <s v="No"/>
    <s v="Travel_Rarely"/>
    <n v="688"/>
    <x v="0"/>
    <n v="7"/>
    <n v="3"/>
    <s v="Life Sciences"/>
    <n v="1"/>
    <n v="613"/>
    <n v="3"/>
    <s v="Male"/>
    <n v="44"/>
    <n v="2"/>
    <x v="2"/>
    <x v="5"/>
    <n v="4"/>
    <s v="Divorced"/>
    <n v="11557"/>
    <n v="25291"/>
    <n v="9"/>
    <s v="Y"/>
    <s v="No"/>
    <s v="No"/>
    <n v="21"/>
    <n v="4"/>
    <n v="3"/>
    <n v="80"/>
    <n v="1"/>
    <n v="10"/>
    <s v="6-15"/>
    <n v="3"/>
    <n v="2"/>
    <n v="5"/>
    <n v="4"/>
    <n v="0"/>
    <n v="1"/>
  </r>
  <r>
    <n v="18"/>
    <x v="0"/>
    <s v="Yes"/>
    <s v="Travel_Frequently"/>
    <n v="1306"/>
    <x v="0"/>
    <n v="5"/>
    <n v="3"/>
    <s v="Marketing"/>
    <n v="1"/>
    <n v="614"/>
    <n v="2"/>
    <s v="Male"/>
    <n v="69"/>
    <n v="3"/>
    <x v="1"/>
    <x v="6"/>
    <n v="2"/>
    <s v="Single"/>
    <n v="1878"/>
    <n v="8059"/>
    <n v="1"/>
    <s v="Y"/>
    <s v="Yes"/>
    <s v="Yes"/>
    <n v="14"/>
    <n v="3"/>
    <n v="4"/>
    <n v="80"/>
    <n v="0"/>
    <n v="0"/>
    <s v="0-5"/>
    <n v="3"/>
    <n v="3"/>
    <n v="0"/>
    <n v="0"/>
    <n v="0"/>
    <n v="0"/>
  </r>
  <r>
    <n v="40"/>
    <x v="1"/>
    <s v="No"/>
    <s v="Non-Travel"/>
    <n v="1094"/>
    <x v="0"/>
    <n v="28"/>
    <n v="3"/>
    <s v="Other"/>
    <n v="1"/>
    <n v="615"/>
    <n v="3"/>
    <s v="Male"/>
    <n v="58"/>
    <n v="1"/>
    <x v="2"/>
    <x v="0"/>
    <n v="1"/>
    <s v="Divorced"/>
    <n v="10932"/>
    <n v="11373"/>
    <n v="3"/>
    <s v="Y"/>
    <s v="No"/>
    <s v="No"/>
    <n v="15"/>
    <n v="3"/>
    <n v="3"/>
    <n v="80"/>
    <n v="1"/>
    <n v="20"/>
    <s v="&gt;15"/>
    <n v="2"/>
    <n v="3"/>
    <n v="1"/>
    <n v="0"/>
    <n v="0"/>
    <n v="1"/>
  </r>
  <r>
    <n v="41"/>
    <x v="1"/>
    <s v="No"/>
    <s v="Non-Travel"/>
    <n v="509"/>
    <x v="1"/>
    <n v="2"/>
    <n v="4"/>
    <s v="Other"/>
    <n v="1"/>
    <n v="616"/>
    <n v="1"/>
    <s v="Female"/>
    <n v="62"/>
    <n v="2"/>
    <x v="0"/>
    <x v="4"/>
    <n v="3"/>
    <s v="Single"/>
    <n v="6811"/>
    <n v="2112"/>
    <n v="2"/>
    <s v="Y"/>
    <s v="Yes"/>
    <s v="Yes"/>
    <n v="17"/>
    <n v="3"/>
    <n v="1"/>
    <n v="80"/>
    <n v="0"/>
    <n v="10"/>
    <s v="6-15"/>
    <n v="3"/>
    <n v="3"/>
    <n v="8"/>
    <n v="7"/>
    <n v="0"/>
    <n v="7"/>
  </r>
  <r>
    <n v="26"/>
    <x v="1"/>
    <s v="No"/>
    <s v="Travel_Rarely"/>
    <n v="775"/>
    <x v="0"/>
    <n v="29"/>
    <n v="2"/>
    <s v="Medical"/>
    <n v="1"/>
    <n v="618"/>
    <n v="1"/>
    <s v="Male"/>
    <n v="45"/>
    <n v="3"/>
    <x v="0"/>
    <x v="0"/>
    <n v="3"/>
    <s v="Divorced"/>
    <n v="4306"/>
    <n v="4267"/>
    <n v="5"/>
    <s v="Y"/>
    <s v="No"/>
    <s v="No"/>
    <n v="12"/>
    <n v="3"/>
    <n v="1"/>
    <n v="80"/>
    <n v="2"/>
    <n v="8"/>
    <s v="6-15"/>
    <n v="5"/>
    <n v="3"/>
    <n v="0"/>
    <n v="0"/>
    <n v="0"/>
    <n v="0"/>
  </r>
  <r>
    <n v="35"/>
    <x v="1"/>
    <s v="No"/>
    <s v="Travel_Rarely"/>
    <n v="195"/>
    <x v="0"/>
    <n v="1"/>
    <n v="3"/>
    <s v="Medical"/>
    <n v="1"/>
    <n v="620"/>
    <n v="1"/>
    <s v="Female"/>
    <n v="80"/>
    <n v="3"/>
    <x v="0"/>
    <x v="0"/>
    <n v="3"/>
    <s v="Single"/>
    <n v="4859"/>
    <n v="6698"/>
    <n v="1"/>
    <s v="Y"/>
    <s v="No"/>
    <s v="No"/>
    <n v="16"/>
    <n v="3"/>
    <n v="4"/>
    <n v="80"/>
    <n v="0"/>
    <n v="5"/>
    <s v="0-5"/>
    <n v="3"/>
    <n v="3"/>
    <n v="5"/>
    <n v="4"/>
    <n v="0"/>
    <n v="3"/>
  </r>
  <r>
    <n v="34"/>
    <x v="1"/>
    <s v="No"/>
    <s v="Travel_Rarely"/>
    <n v="258"/>
    <x v="0"/>
    <n v="21"/>
    <n v="4"/>
    <s v="Life Sciences"/>
    <n v="1"/>
    <n v="621"/>
    <n v="4"/>
    <s v="Male"/>
    <n v="74"/>
    <n v="4"/>
    <x v="0"/>
    <x v="0"/>
    <n v="4"/>
    <s v="Single"/>
    <n v="5337"/>
    <n v="19921"/>
    <n v="1"/>
    <s v="Y"/>
    <s v="No"/>
    <s v="No"/>
    <n v="12"/>
    <n v="3"/>
    <n v="4"/>
    <n v="80"/>
    <n v="0"/>
    <n v="10"/>
    <s v="6-15"/>
    <n v="3"/>
    <n v="3"/>
    <n v="10"/>
    <n v="7"/>
    <n v="5"/>
    <n v="7"/>
  </r>
  <r>
    <n v="26"/>
    <x v="0"/>
    <s v="Yes"/>
    <s v="Travel_Rarely"/>
    <n v="471"/>
    <x v="1"/>
    <n v="24"/>
    <n v="3"/>
    <s v="Technical Degree"/>
    <n v="1"/>
    <n v="622"/>
    <n v="3"/>
    <s v="Male"/>
    <n v="66"/>
    <n v="1"/>
    <x v="1"/>
    <x v="2"/>
    <n v="4"/>
    <s v="Single"/>
    <n v="2340"/>
    <n v="23213"/>
    <n v="1"/>
    <s v="Y"/>
    <s v="Yes"/>
    <s v="Yes"/>
    <n v="18"/>
    <n v="3"/>
    <n v="2"/>
    <n v="80"/>
    <n v="0"/>
    <n v="1"/>
    <s v="0-5"/>
    <n v="3"/>
    <n v="1"/>
    <n v="1"/>
    <n v="0"/>
    <n v="0"/>
    <n v="0"/>
  </r>
  <r>
    <n v="37"/>
    <x v="1"/>
    <s v="No"/>
    <s v="Travel_Rarely"/>
    <n v="799"/>
    <x v="1"/>
    <n v="1"/>
    <n v="3"/>
    <s v="Technical Degree"/>
    <n v="1"/>
    <n v="623"/>
    <n v="2"/>
    <s v="Female"/>
    <n v="59"/>
    <n v="3"/>
    <x v="2"/>
    <x v="3"/>
    <n v="4"/>
    <s v="Single"/>
    <n v="7491"/>
    <n v="23848"/>
    <n v="4"/>
    <s v="Y"/>
    <s v="No"/>
    <s v="No"/>
    <n v="17"/>
    <n v="3"/>
    <n v="4"/>
    <n v="80"/>
    <n v="0"/>
    <n v="12"/>
    <s v="6-15"/>
    <n v="3"/>
    <n v="4"/>
    <n v="6"/>
    <n v="5"/>
    <n v="1"/>
    <n v="2"/>
  </r>
  <r>
    <n v="46"/>
    <x v="1"/>
    <s v="No"/>
    <s v="Travel_Frequently"/>
    <n v="1034"/>
    <x v="1"/>
    <n v="18"/>
    <n v="1"/>
    <s v="Medical"/>
    <n v="1"/>
    <n v="624"/>
    <n v="1"/>
    <s v="Female"/>
    <n v="86"/>
    <n v="3"/>
    <x v="2"/>
    <x v="4"/>
    <n v="3"/>
    <s v="Married"/>
    <n v="10527"/>
    <n v="8984"/>
    <n v="5"/>
    <s v="Y"/>
    <s v="No"/>
    <s v="No"/>
    <n v="11"/>
    <n v="3"/>
    <n v="4"/>
    <n v="80"/>
    <n v="0"/>
    <n v="28"/>
    <s v="&gt;15"/>
    <n v="3"/>
    <n v="2"/>
    <n v="2"/>
    <n v="2"/>
    <n v="1"/>
    <n v="2"/>
  </r>
  <r>
    <n v="41"/>
    <x v="1"/>
    <s v="No"/>
    <s v="Travel_Rarely"/>
    <n v="1276"/>
    <x v="0"/>
    <n v="2"/>
    <n v="5"/>
    <s v="Life Sciences"/>
    <n v="1"/>
    <n v="625"/>
    <n v="2"/>
    <s v="Female"/>
    <n v="91"/>
    <n v="3"/>
    <x v="3"/>
    <x v="5"/>
    <n v="1"/>
    <s v="Married"/>
    <n v="16595"/>
    <n v="5626"/>
    <n v="7"/>
    <s v="Y"/>
    <s v="No"/>
    <s v="No"/>
    <n v="16"/>
    <n v="3"/>
    <n v="2"/>
    <n v="80"/>
    <n v="1"/>
    <n v="22"/>
    <s v="&gt;15"/>
    <n v="2"/>
    <n v="3"/>
    <n v="18"/>
    <n v="16"/>
    <n v="11"/>
    <n v="8"/>
  </r>
  <r>
    <n v="37"/>
    <x v="1"/>
    <s v="No"/>
    <s v="Non-Travel"/>
    <n v="142"/>
    <x v="0"/>
    <n v="9"/>
    <n v="4"/>
    <s v="Medical"/>
    <n v="1"/>
    <n v="626"/>
    <n v="1"/>
    <s v="Male"/>
    <n v="69"/>
    <n v="3"/>
    <x v="2"/>
    <x v="0"/>
    <n v="2"/>
    <s v="Divorced"/>
    <n v="8834"/>
    <n v="24666"/>
    <n v="1"/>
    <s v="Y"/>
    <s v="No"/>
    <s v="No"/>
    <n v="13"/>
    <n v="3"/>
    <n v="4"/>
    <n v="80"/>
    <n v="1"/>
    <n v="9"/>
    <s v="6-15"/>
    <n v="6"/>
    <n v="3"/>
    <n v="9"/>
    <n v="5"/>
    <n v="7"/>
    <n v="7"/>
  </r>
  <r>
    <n v="52"/>
    <x v="1"/>
    <s v="No"/>
    <s v="Travel_Rarely"/>
    <n v="956"/>
    <x v="1"/>
    <n v="6"/>
    <n v="2"/>
    <s v="Technical Degree"/>
    <n v="1"/>
    <n v="630"/>
    <n v="4"/>
    <s v="Male"/>
    <n v="78"/>
    <n v="3"/>
    <x v="0"/>
    <x v="1"/>
    <n v="1"/>
    <s v="Divorced"/>
    <n v="5577"/>
    <n v="22087"/>
    <n v="3"/>
    <s v="Y"/>
    <s v="Yes"/>
    <s v="Yes"/>
    <n v="12"/>
    <n v="3"/>
    <n v="2"/>
    <n v="80"/>
    <n v="2"/>
    <n v="18"/>
    <s v="&gt;15"/>
    <n v="3"/>
    <n v="3"/>
    <n v="10"/>
    <n v="9"/>
    <n v="6"/>
    <n v="9"/>
  </r>
  <r>
    <n v="32"/>
    <x v="0"/>
    <s v="Yes"/>
    <s v="Non-Travel"/>
    <n v="1474"/>
    <x v="0"/>
    <n v="11"/>
    <n v="4"/>
    <s v="Other"/>
    <n v="1"/>
    <n v="631"/>
    <n v="4"/>
    <s v="Male"/>
    <n v="60"/>
    <n v="4"/>
    <x v="0"/>
    <x v="0"/>
    <n v="3"/>
    <s v="Married"/>
    <n v="4707"/>
    <n v="23914"/>
    <n v="8"/>
    <s v="Y"/>
    <s v="No"/>
    <s v="No"/>
    <n v="12"/>
    <n v="3"/>
    <n v="4"/>
    <n v="80"/>
    <n v="0"/>
    <n v="6"/>
    <s v="6-15"/>
    <n v="2"/>
    <n v="3"/>
    <n v="4"/>
    <n v="2"/>
    <n v="1"/>
    <n v="2"/>
  </r>
  <r>
    <n v="24"/>
    <x v="1"/>
    <s v="No"/>
    <s v="Travel_Frequently"/>
    <n v="535"/>
    <x v="0"/>
    <n v="24"/>
    <n v="3"/>
    <s v="Medical"/>
    <n v="1"/>
    <n v="632"/>
    <n v="4"/>
    <s v="Male"/>
    <n v="38"/>
    <n v="3"/>
    <x v="1"/>
    <x v="6"/>
    <n v="4"/>
    <s v="Married"/>
    <n v="2400"/>
    <n v="5530"/>
    <n v="0"/>
    <s v="Y"/>
    <s v="No"/>
    <s v="No"/>
    <n v="13"/>
    <n v="3"/>
    <n v="3"/>
    <n v="80"/>
    <n v="2"/>
    <n v="3"/>
    <s v="0-5"/>
    <n v="3"/>
    <n v="3"/>
    <n v="2"/>
    <n v="2"/>
    <n v="2"/>
    <n v="1"/>
  </r>
  <r>
    <n v="38"/>
    <x v="1"/>
    <s v="No"/>
    <s v="Travel_Rarely"/>
    <n v="1495"/>
    <x v="1"/>
    <n v="10"/>
    <n v="3"/>
    <s v="Medical"/>
    <n v="1"/>
    <n v="634"/>
    <n v="3"/>
    <s v="Female"/>
    <n v="76"/>
    <n v="3"/>
    <x v="0"/>
    <x v="4"/>
    <n v="3"/>
    <s v="Married"/>
    <n v="9824"/>
    <n v="22174"/>
    <n v="3"/>
    <s v="Y"/>
    <s v="No"/>
    <s v="No"/>
    <n v="19"/>
    <n v="3"/>
    <n v="3"/>
    <n v="80"/>
    <n v="1"/>
    <n v="18"/>
    <s v="&gt;15"/>
    <n v="4"/>
    <n v="3"/>
    <n v="1"/>
    <n v="0"/>
    <n v="0"/>
    <n v="0"/>
  </r>
  <r>
    <n v="37"/>
    <x v="1"/>
    <s v="No"/>
    <s v="Travel_Rarely"/>
    <n v="446"/>
    <x v="1"/>
    <n v="1"/>
    <n v="4"/>
    <s v="Life Sciences"/>
    <n v="1"/>
    <n v="635"/>
    <n v="2"/>
    <s v="Female"/>
    <n v="65"/>
    <n v="3"/>
    <x v="0"/>
    <x v="3"/>
    <n v="2"/>
    <s v="Married"/>
    <n v="6447"/>
    <n v="15701"/>
    <n v="6"/>
    <s v="Y"/>
    <s v="No"/>
    <s v="No"/>
    <n v="12"/>
    <n v="3"/>
    <n v="2"/>
    <n v="80"/>
    <n v="1"/>
    <n v="8"/>
    <s v="6-15"/>
    <n v="2"/>
    <n v="2"/>
    <n v="6"/>
    <n v="5"/>
    <n v="4"/>
    <n v="3"/>
  </r>
  <r>
    <n v="49"/>
    <x v="1"/>
    <s v="No"/>
    <s v="Travel_Rarely"/>
    <n v="1245"/>
    <x v="1"/>
    <n v="18"/>
    <n v="4"/>
    <s v="Life Sciences"/>
    <n v="1"/>
    <n v="638"/>
    <n v="4"/>
    <s v="Male"/>
    <n v="58"/>
    <n v="2"/>
    <x v="4"/>
    <x v="7"/>
    <n v="3"/>
    <s v="Divorced"/>
    <n v="19502"/>
    <n v="2125"/>
    <n v="1"/>
    <s v="Y"/>
    <s v="Yes"/>
    <s v="Yes"/>
    <n v="17"/>
    <n v="3"/>
    <n v="3"/>
    <n v="80"/>
    <n v="1"/>
    <n v="31"/>
    <s v="&gt;15"/>
    <n v="5"/>
    <n v="3"/>
    <n v="31"/>
    <n v="9"/>
    <n v="0"/>
    <n v="9"/>
  </r>
  <r>
    <n v="24"/>
    <x v="1"/>
    <s v="No"/>
    <s v="Travel_Rarely"/>
    <n v="691"/>
    <x v="1"/>
    <n v="23"/>
    <n v="3"/>
    <s v="Medical"/>
    <n v="1"/>
    <n v="639"/>
    <n v="2"/>
    <s v="Male"/>
    <n v="89"/>
    <n v="4"/>
    <x v="1"/>
    <x v="1"/>
    <n v="4"/>
    <s v="Married"/>
    <n v="2725"/>
    <n v="21630"/>
    <n v="1"/>
    <s v="Y"/>
    <s v="Yes"/>
    <s v="Yes"/>
    <n v="11"/>
    <n v="3"/>
    <n v="2"/>
    <n v="80"/>
    <n v="2"/>
    <n v="6"/>
    <s v="6-15"/>
    <n v="3"/>
    <n v="3"/>
    <n v="6"/>
    <n v="5"/>
    <n v="1"/>
    <n v="4"/>
  </r>
  <r>
    <n v="26"/>
    <x v="1"/>
    <s v="No"/>
    <s v="Travel_Rarely"/>
    <n v="703"/>
    <x v="0"/>
    <n v="28"/>
    <n v="2"/>
    <s v="Marketing"/>
    <n v="1"/>
    <n v="641"/>
    <n v="1"/>
    <s v="Male"/>
    <n v="66"/>
    <n v="3"/>
    <x v="0"/>
    <x v="0"/>
    <n v="2"/>
    <s v="Married"/>
    <n v="6272"/>
    <n v="7428"/>
    <n v="1"/>
    <s v="Y"/>
    <s v="No"/>
    <s v="No"/>
    <n v="20"/>
    <n v="4"/>
    <n v="4"/>
    <n v="80"/>
    <n v="2"/>
    <n v="6"/>
    <s v="6-15"/>
    <n v="5"/>
    <n v="4"/>
    <n v="5"/>
    <n v="3"/>
    <n v="1"/>
    <n v="4"/>
  </r>
  <r>
    <n v="24"/>
    <x v="1"/>
    <s v="No"/>
    <s v="Travel_Rarely"/>
    <n v="823"/>
    <x v="1"/>
    <n v="17"/>
    <n v="2"/>
    <s v="Other"/>
    <n v="1"/>
    <n v="643"/>
    <n v="4"/>
    <s v="Male"/>
    <n v="94"/>
    <n v="2"/>
    <x v="1"/>
    <x v="2"/>
    <n v="2"/>
    <s v="Married"/>
    <n v="2127"/>
    <n v="9100"/>
    <n v="1"/>
    <s v="Y"/>
    <s v="No"/>
    <s v="No"/>
    <n v="21"/>
    <n v="4"/>
    <n v="4"/>
    <n v="80"/>
    <n v="1"/>
    <n v="1"/>
    <s v="0-5"/>
    <n v="2"/>
    <n v="3"/>
    <n v="1"/>
    <n v="0"/>
    <n v="0"/>
    <n v="0"/>
  </r>
  <r>
    <n v="50"/>
    <x v="1"/>
    <s v="No"/>
    <s v="Travel_Frequently"/>
    <n v="1246"/>
    <x v="2"/>
    <n v="3"/>
    <n v="3"/>
    <s v="Medical"/>
    <n v="1"/>
    <n v="644"/>
    <n v="1"/>
    <s v="Male"/>
    <n v="99"/>
    <n v="3"/>
    <x v="4"/>
    <x v="5"/>
    <n v="2"/>
    <s v="Married"/>
    <n v="18200"/>
    <n v="7999"/>
    <n v="1"/>
    <s v="Y"/>
    <s v="No"/>
    <s v="No"/>
    <n v="11"/>
    <n v="3"/>
    <n v="3"/>
    <n v="80"/>
    <n v="1"/>
    <n v="32"/>
    <s v="&gt;15"/>
    <n v="2"/>
    <n v="3"/>
    <n v="32"/>
    <n v="5"/>
    <n v="10"/>
    <n v="7"/>
  </r>
  <r>
    <n v="25"/>
    <x v="1"/>
    <s v="No"/>
    <s v="Travel_Rarely"/>
    <n v="622"/>
    <x v="0"/>
    <n v="13"/>
    <n v="1"/>
    <s v="Medical"/>
    <n v="1"/>
    <n v="645"/>
    <n v="2"/>
    <s v="Male"/>
    <n v="40"/>
    <n v="3"/>
    <x v="1"/>
    <x v="6"/>
    <n v="3"/>
    <s v="Married"/>
    <n v="2096"/>
    <n v="26376"/>
    <n v="1"/>
    <s v="Y"/>
    <s v="No"/>
    <s v="No"/>
    <n v="11"/>
    <n v="3"/>
    <n v="3"/>
    <n v="80"/>
    <n v="0"/>
    <n v="7"/>
    <s v="6-15"/>
    <n v="1"/>
    <n v="3"/>
    <n v="7"/>
    <n v="4"/>
    <n v="0"/>
    <n v="6"/>
  </r>
  <r>
    <n v="24"/>
    <x v="0"/>
    <s v="Yes"/>
    <s v="Travel_Frequently"/>
    <n v="1287"/>
    <x v="1"/>
    <n v="7"/>
    <n v="3"/>
    <s v="Life Sciences"/>
    <n v="1"/>
    <n v="647"/>
    <n v="1"/>
    <s v="Female"/>
    <n v="55"/>
    <n v="3"/>
    <x v="1"/>
    <x v="2"/>
    <n v="3"/>
    <s v="Married"/>
    <n v="2886"/>
    <n v="14168"/>
    <n v="1"/>
    <s v="Y"/>
    <s v="Yes"/>
    <s v="Yes"/>
    <n v="16"/>
    <n v="3"/>
    <n v="4"/>
    <n v="80"/>
    <n v="1"/>
    <n v="6"/>
    <s v="6-15"/>
    <n v="4"/>
    <n v="3"/>
    <n v="6"/>
    <n v="3"/>
    <n v="1"/>
    <n v="2"/>
  </r>
  <r>
    <n v="30"/>
    <x v="0"/>
    <s v="Yes"/>
    <s v="Travel_Frequently"/>
    <n v="448"/>
    <x v="0"/>
    <n v="12"/>
    <n v="4"/>
    <s v="Life Sciences"/>
    <n v="1"/>
    <n v="648"/>
    <n v="2"/>
    <s v="Male"/>
    <n v="74"/>
    <n v="2"/>
    <x v="1"/>
    <x v="6"/>
    <n v="1"/>
    <s v="Married"/>
    <n v="2033"/>
    <n v="14470"/>
    <n v="1"/>
    <s v="Y"/>
    <s v="No"/>
    <s v="No"/>
    <n v="18"/>
    <n v="3"/>
    <n v="3"/>
    <n v="80"/>
    <n v="1"/>
    <n v="1"/>
    <s v="0-5"/>
    <n v="2"/>
    <n v="4"/>
    <n v="1"/>
    <n v="0"/>
    <n v="0"/>
    <n v="0"/>
  </r>
  <r>
    <n v="34"/>
    <x v="1"/>
    <s v="No"/>
    <s v="Travel_Rarely"/>
    <n v="254"/>
    <x v="1"/>
    <n v="1"/>
    <n v="2"/>
    <s v="Life Sciences"/>
    <n v="1"/>
    <n v="649"/>
    <n v="2"/>
    <s v="Male"/>
    <n v="83"/>
    <n v="2"/>
    <x v="1"/>
    <x v="1"/>
    <n v="4"/>
    <s v="Married"/>
    <n v="3622"/>
    <n v="22794"/>
    <n v="1"/>
    <s v="Y"/>
    <s v="Yes"/>
    <s v="Yes"/>
    <n v="13"/>
    <n v="3"/>
    <n v="4"/>
    <n v="80"/>
    <n v="1"/>
    <n v="6"/>
    <s v="6-15"/>
    <n v="3"/>
    <n v="3"/>
    <n v="6"/>
    <n v="5"/>
    <n v="1"/>
    <n v="3"/>
  </r>
  <r>
    <n v="31"/>
    <x v="0"/>
    <s v="Yes"/>
    <s v="Travel_Rarely"/>
    <n v="1365"/>
    <x v="0"/>
    <n v="13"/>
    <n v="4"/>
    <s v="Medical"/>
    <n v="1"/>
    <n v="650"/>
    <n v="2"/>
    <s v="Male"/>
    <n v="46"/>
    <n v="3"/>
    <x v="0"/>
    <x v="0"/>
    <n v="1"/>
    <s v="Divorced"/>
    <n v="4233"/>
    <n v="11512"/>
    <n v="2"/>
    <s v="Y"/>
    <s v="No"/>
    <s v="No"/>
    <n v="17"/>
    <n v="3"/>
    <n v="3"/>
    <n v="80"/>
    <n v="0"/>
    <n v="9"/>
    <s v="6-15"/>
    <n v="2"/>
    <n v="1"/>
    <n v="3"/>
    <n v="1"/>
    <n v="1"/>
    <n v="2"/>
  </r>
  <r>
    <n v="35"/>
    <x v="1"/>
    <s v="No"/>
    <s v="Travel_Rarely"/>
    <n v="538"/>
    <x v="1"/>
    <n v="25"/>
    <n v="2"/>
    <s v="Other"/>
    <n v="1"/>
    <n v="652"/>
    <n v="1"/>
    <s v="Male"/>
    <n v="54"/>
    <n v="2"/>
    <x v="0"/>
    <x v="2"/>
    <n v="4"/>
    <s v="Single"/>
    <n v="3681"/>
    <n v="14004"/>
    <n v="4"/>
    <s v="Y"/>
    <s v="No"/>
    <s v="No"/>
    <n v="14"/>
    <n v="3"/>
    <n v="4"/>
    <n v="80"/>
    <n v="0"/>
    <n v="9"/>
    <s v="6-15"/>
    <n v="3"/>
    <n v="3"/>
    <n v="3"/>
    <n v="2"/>
    <n v="0"/>
    <n v="2"/>
  </r>
  <r>
    <n v="31"/>
    <x v="1"/>
    <s v="No"/>
    <s v="Travel_Rarely"/>
    <n v="525"/>
    <x v="0"/>
    <n v="6"/>
    <n v="4"/>
    <s v="Medical"/>
    <n v="1"/>
    <n v="653"/>
    <n v="1"/>
    <s v="Male"/>
    <n v="66"/>
    <n v="4"/>
    <x v="0"/>
    <x v="0"/>
    <n v="4"/>
    <s v="Divorced"/>
    <n v="5460"/>
    <n v="6219"/>
    <n v="4"/>
    <s v="Y"/>
    <s v="No"/>
    <s v="No"/>
    <n v="22"/>
    <n v="4"/>
    <n v="4"/>
    <n v="80"/>
    <n v="2"/>
    <n v="13"/>
    <s v="6-15"/>
    <n v="4"/>
    <n v="4"/>
    <n v="7"/>
    <n v="7"/>
    <n v="5"/>
    <n v="7"/>
  </r>
  <r>
    <n v="27"/>
    <x v="1"/>
    <s v="No"/>
    <s v="Travel_Rarely"/>
    <n v="798"/>
    <x v="1"/>
    <n v="6"/>
    <n v="4"/>
    <s v="Medical"/>
    <n v="1"/>
    <n v="655"/>
    <n v="1"/>
    <s v="Female"/>
    <n v="66"/>
    <n v="2"/>
    <x v="1"/>
    <x v="1"/>
    <n v="3"/>
    <s v="Divorced"/>
    <n v="2187"/>
    <n v="5013"/>
    <n v="0"/>
    <s v="Y"/>
    <s v="No"/>
    <s v="No"/>
    <n v="12"/>
    <n v="3"/>
    <n v="3"/>
    <n v="80"/>
    <n v="2"/>
    <n v="6"/>
    <s v="6-15"/>
    <n v="5"/>
    <n v="2"/>
    <n v="5"/>
    <n v="3"/>
    <n v="0"/>
    <n v="3"/>
  </r>
  <r>
    <n v="37"/>
    <x v="1"/>
    <s v="No"/>
    <s v="Travel_Rarely"/>
    <n v="558"/>
    <x v="0"/>
    <n v="2"/>
    <n v="3"/>
    <s v="Marketing"/>
    <n v="1"/>
    <n v="656"/>
    <n v="4"/>
    <s v="Male"/>
    <n v="75"/>
    <n v="3"/>
    <x v="0"/>
    <x v="0"/>
    <n v="3"/>
    <s v="Married"/>
    <n v="9602"/>
    <n v="3010"/>
    <n v="4"/>
    <s v="Y"/>
    <s v="Yes"/>
    <s v="Yes"/>
    <n v="11"/>
    <n v="3"/>
    <n v="3"/>
    <n v="80"/>
    <n v="1"/>
    <n v="17"/>
    <s v="&gt;15"/>
    <n v="3"/>
    <n v="2"/>
    <n v="3"/>
    <n v="0"/>
    <n v="1"/>
    <n v="0"/>
  </r>
  <r>
    <n v="20"/>
    <x v="1"/>
    <s v="No"/>
    <s v="Travel_Rarely"/>
    <n v="959"/>
    <x v="1"/>
    <n v="1"/>
    <n v="3"/>
    <s v="Life Sciences"/>
    <n v="1"/>
    <n v="657"/>
    <n v="4"/>
    <s v="Female"/>
    <n v="83"/>
    <n v="2"/>
    <x v="1"/>
    <x v="1"/>
    <n v="2"/>
    <s v="Single"/>
    <n v="2836"/>
    <n v="11757"/>
    <n v="1"/>
    <s v="Y"/>
    <s v="No"/>
    <s v="No"/>
    <n v="13"/>
    <n v="3"/>
    <n v="4"/>
    <n v="80"/>
    <n v="0"/>
    <n v="1"/>
    <s v="0-5"/>
    <n v="0"/>
    <n v="4"/>
    <n v="1"/>
    <n v="0"/>
    <n v="0"/>
    <n v="0"/>
  </r>
  <r>
    <n v="42"/>
    <x v="1"/>
    <s v="No"/>
    <s v="Travel_Rarely"/>
    <n v="622"/>
    <x v="1"/>
    <n v="2"/>
    <n v="4"/>
    <s v="Life Sciences"/>
    <n v="1"/>
    <n v="659"/>
    <n v="3"/>
    <s v="Female"/>
    <n v="81"/>
    <n v="3"/>
    <x v="0"/>
    <x v="4"/>
    <n v="4"/>
    <s v="Married"/>
    <n v="4089"/>
    <n v="5718"/>
    <n v="1"/>
    <s v="Y"/>
    <s v="No"/>
    <s v="No"/>
    <n v="13"/>
    <n v="3"/>
    <n v="2"/>
    <n v="80"/>
    <n v="2"/>
    <n v="10"/>
    <s v="6-15"/>
    <n v="4"/>
    <n v="3"/>
    <n v="10"/>
    <n v="2"/>
    <n v="2"/>
    <n v="2"/>
  </r>
  <r>
    <n v="43"/>
    <x v="1"/>
    <s v="No"/>
    <s v="Travel_Rarely"/>
    <n v="782"/>
    <x v="1"/>
    <n v="6"/>
    <n v="4"/>
    <s v="Other"/>
    <n v="1"/>
    <n v="661"/>
    <n v="2"/>
    <s v="Male"/>
    <n v="50"/>
    <n v="2"/>
    <x v="3"/>
    <x v="7"/>
    <n v="4"/>
    <s v="Divorced"/>
    <n v="16627"/>
    <n v="2671"/>
    <n v="4"/>
    <s v="Y"/>
    <s v="Yes"/>
    <s v="Yes"/>
    <n v="14"/>
    <n v="3"/>
    <n v="3"/>
    <n v="80"/>
    <n v="1"/>
    <n v="21"/>
    <s v="&gt;15"/>
    <n v="3"/>
    <n v="2"/>
    <n v="1"/>
    <n v="0"/>
    <n v="0"/>
    <n v="0"/>
  </r>
  <r>
    <n v="38"/>
    <x v="1"/>
    <s v="No"/>
    <s v="Travel_Rarely"/>
    <n v="362"/>
    <x v="1"/>
    <n v="1"/>
    <n v="1"/>
    <s v="Life Sciences"/>
    <n v="1"/>
    <n v="662"/>
    <n v="3"/>
    <s v="Female"/>
    <n v="43"/>
    <n v="3"/>
    <x v="1"/>
    <x v="1"/>
    <n v="1"/>
    <s v="Single"/>
    <n v="2619"/>
    <n v="14561"/>
    <n v="3"/>
    <s v="Y"/>
    <s v="No"/>
    <s v="No"/>
    <n v="17"/>
    <n v="3"/>
    <n v="4"/>
    <n v="80"/>
    <n v="0"/>
    <n v="8"/>
    <s v="6-15"/>
    <n v="3"/>
    <n v="2"/>
    <n v="0"/>
    <n v="0"/>
    <n v="0"/>
    <n v="0"/>
  </r>
  <r>
    <n v="43"/>
    <x v="1"/>
    <s v="No"/>
    <s v="Travel_Frequently"/>
    <n v="1001"/>
    <x v="1"/>
    <n v="9"/>
    <n v="5"/>
    <s v="Medical"/>
    <n v="1"/>
    <n v="663"/>
    <n v="4"/>
    <s v="Male"/>
    <n v="72"/>
    <n v="3"/>
    <x v="0"/>
    <x v="2"/>
    <n v="3"/>
    <s v="Divorced"/>
    <n v="5679"/>
    <n v="19627"/>
    <n v="3"/>
    <s v="Y"/>
    <s v="Yes"/>
    <s v="Yes"/>
    <n v="13"/>
    <n v="3"/>
    <n v="2"/>
    <n v="80"/>
    <n v="1"/>
    <n v="10"/>
    <s v="6-15"/>
    <n v="3"/>
    <n v="3"/>
    <n v="8"/>
    <n v="7"/>
    <n v="4"/>
    <n v="7"/>
  </r>
  <r>
    <n v="48"/>
    <x v="1"/>
    <s v="No"/>
    <s v="Travel_Rarely"/>
    <n v="1236"/>
    <x v="1"/>
    <n v="1"/>
    <n v="4"/>
    <s v="Life Sciences"/>
    <n v="1"/>
    <n v="664"/>
    <n v="4"/>
    <s v="Female"/>
    <n v="40"/>
    <n v="2"/>
    <x v="3"/>
    <x v="5"/>
    <n v="1"/>
    <s v="Married"/>
    <n v="15402"/>
    <n v="17997"/>
    <n v="7"/>
    <s v="Y"/>
    <s v="No"/>
    <s v="No"/>
    <n v="11"/>
    <n v="3"/>
    <n v="1"/>
    <n v="80"/>
    <n v="1"/>
    <n v="21"/>
    <s v="&gt;15"/>
    <n v="3"/>
    <n v="1"/>
    <n v="3"/>
    <n v="2"/>
    <n v="0"/>
    <n v="2"/>
  </r>
  <r>
    <n v="44"/>
    <x v="1"/>
    <s v="No"/>
    <s v="Travel_Rarely"/>
    <n v="1112"/>
    <x v="2"/>
    <n v="1"/>
    <n v="4"/>
    <s v="Life Sciences"/>
    <n v="1"/>
    <n v="665"/>
    <n v="1"/>
    <s v="Female"/>
    <n v="50"/>
    <n v="2"/>
    <x v="0"/>
    <x v="8"/>
    <n v="3"/>
    <s v="Single"/>
    <n v="5985"/>
    <n v="26894"/>
    <n v="4"/>
    <s v="Y"/>
    <s v="No"/>
    <s v="No"/>
    <n v="11"/>
    <n v="3"/>
    <n v="2"/>
    <n v="80"/>
    <n v="0"/>
    <n v="10"/>
    <s v="6-15"/>
    <n v="1"/>
    <n v="4"/>
    <n v="2"/>
    <n v="2"/>
    <n v="0"/>
    <n v="2"/>
  </r>
  <r>
    <n v="34"/>
    <x v="1"/>
    <s v="No"/>
    <s v="Travel_Rarely"/>
    <n v="204"/>
    <x v="0"/>
    <n v="14"/>
    <n v="3"/>
    <s v="Technical Degree"/>
    <n v="1"/>
    <n v="666"/>
    <n v="3"/>
    <s v="Female"/>
    <n v="31"/>
    <n v="3"/>
    <x v="1"/>
    <x v="6"/>
    <n v="3"/>
    <s v="Divorced"/>
    <n v="2579"/>
    <n v="2912"/>
    <n v="1"/>
    <s v="Y"/>
    <s v="Yes"/>
    <s v="Yes"/>
    <n v="18"/>
    <n v="3"/>
    <n v="4"/>
    <n v="80"/>
    <n v="2"/>
    <n v="8"/>
    <s v="6-15"/>
    <n v="3"/>
    <n v="3"/>
    <n v="8"/>
    <n v="2"/>
    <n v="0"/>
    <n v="6"/>
  </r>
  <r>
    <n v="27"/>
    <x v="0"/>
    <s v="Yes"/>
    <s v="Travel_Rarely"/>
    <n v="1420"/>
    <x v="0"/>
    <n v="2"/>
    <n v="1"/>
    <s v="Marketing"/>
    <n v="1"/>
    <n v="667"/>
    <n v="3"/>
    <s v="Male"/>
    <n v="85"/>
    <n v="3"/>
    <x v="1"/>
    <x v="6"/>
    <n v="1"/>
    <s v="Divorced"/>
    <n v="3041"/>
    <n v="16346"/>
    <n v="0"/>
    <s v="Y"/>
    <s v="No"/>
    <s v="No"/>
    <n v="11"/>
    <n v="3"/>
    <n v="2"/>
    <n v="80"/>
    <n v="1"/>
    <n v="5"/>
    <s v="0-5"/>
    <n v="3"/>
    <n v="3"/>
    <n v="4"/>
    <n v="3"/>
    <n v="0"/>
    <n v="2"/>
  </r>
  <r>
    <n v="21"/>
    <x v="1"/>
    <s v="No"/>
    <s v="Travel_Rarely"/>
    <n v="1343"/>
    <x v="0"/>
    <n v="22"/>
    <n v="1"/>
    <s v="Technical Degree"/>
    <n v="1"/>
    <n v="669"/>
    <n v="3"/>
    <s v="Male"/>
    <n v="49"/>
    <n v="3"/>
    <x v="1"/>
    <x v="6"/>
    <n v="3"/>
    <s v="Single"/>
    <n v="3447"/>
    <n v="24444"/>
    <n v="1"/>
    <s v="Y"/>
    <s v="No"/>
    <s v="No"/>
    <n v="11"/>
    <n v="3"/>
    <n v="3"/>
    <n v="80"/>
    <n v="0"/>
    <n v="3"/>
    <s v="0-5"/>
    <n v="2"/>
    <n v="3"/>
    <n v="3"/>
    <n v="2"/>
    <n v="1"/>
    <n v="2"/>
  </r>
  <r>
    <n v="44"/>
    <x v="1"/>
    <s v="No"/>
    <s v="Travel_Rarely"/>
    <n v="1315"/>
    <x v="1"/>
    <n v="3"/>
    <n v="4"/>
    <s v="Other"/>
    <n v="1"/>
    <n v="671"/>
    <n v="4"/>
    <s v="Male"/>
    <n v="35"/>
    <n v="3"/>
    <x v="4"/>
    <x v="5"/>
    <n v="4"/>
    <s v="Married"/>
    <n v="19513"/>
    <n v="9358"/>
    <n v="4"/>
    <s v="Y"/>
    <s v="Yes"/>
    <s v="Yes"/>
    <n v="12"/>
    <n v="3"/>
    <n v="1"/>
    <n v="80"/>
    <n v="1"/>
    <n v="26"/>
    <s v="&gt;15"/>
    <n v="2"/>
    <n v="4"/>
    <n v="2"/>
    <n v="2"/>
    <n v="0"/>
    <n v="1"/>
  </r>
  <r>
    <n v="22"/>
    <x v="1"/>
    <s v="No"/>
    <s v="Travel_Rarely"/>
    <n v="604"/>
    <x v="1"/>
    <n v="6"/>
    <n v="1"/>
    <s v="Medical"/>
    <n v="1"/>
    <n v="675"/>
    <n v="1"/>
    <s v="Male"/>
    <n v="69"/>
    <n v="3"/>
    <x v="1"/>
    <x v="1"/>
    <n v="3"/>
    <s v="Married"/>
    <n v="2773"/>
    <n v="12145"/>
    <n v="0"/>
    <s v="Y"/>
    <s v="No"/>
    <s v="No"/>
    <n v="20"/>
    <n v="4"/>
    <n v="4"/>
    <n v="80"/>
    <n v="0"/>
    <n v="3"/>
    <s v="0-5"/>
    <n v="3"/>
    <n v="3"/>
    <n v="2"/>
    <n v="2"/>
    <n v="2"/>
    <n v="2"/>
  </r>
  <r>
    <n v="33"/>
    <x v="1"/>
    <s v="No"/>
    <s v="Travel_Rarely"/>
    <n v="1216"/>
    <x v="0"/>
    <n v="8"/>
    <n v="4"/>
    <s v="Marketing"/>
    <n v="1"/>
    <n v="677"/>
    <n v="3"/>
    <s v="Male"/>
    <n v="39"/>
    <n v="3"/>
    <x v="0"/>
    <x v="0"/>
    <n v="3"/>
    <s v="Divorced"/>
    <n v="7104"/>
    <n v="20431"/>
    <n v="0"/>
    <s v="Y"/>
    <s v="No"/>
    <s v="No"/>
    <n v="12"/>
    <n v="3"/>
    <n v="4"/>
    <n v="80"/>
    <n v="0"/>
    <n v="6"/>
    <s v="6-15"/>
    <n v="3"/>
    <n v="3"/>
    <n v="5"/>
    <n v="0"/>
    <n v="1"/>
    <n v="2"/>
  </r>
  <r>
    <n v="32"/>
    <x v="1"/>
    <s v="No"/>
    <s v="Travel_Rarely"/>
    <n v="646"/>
    <x v="1"/>
    <n v="9"/>
    <n v="4"/>
    <s v="Life Sciences"/>
    <n v="1"/>
    <n v="679"/>
    <n v="1"/>
    <s v="Female"/>
    <n v="92"/>
    <n v="3"/>
    <x v="0"/>
    <x v="1"/>
    <n v="4"/>
    <s v="Married"/>
    <n v="6322"/>
    <n v="18089"/>
    <n v="1"/>
    <s v="Y"/>
    <s v="Yes"/>
    <s v="Yes"/>
    <n v="12"/>
    <n v="3"/>
    <n v="4"/>
    <n v="80"/>
    <n v="1"/>
    <n v="6"/>
    <s v="6-15"/>
    <n v="2"/>
    <n v="2"/>
    <n v="6"/>
    <n v="4"/>
    <n v="0"/>
    <n v="5"/>
  </r>
  <r>
    <n v="30"/>
    <x v="1"/>
    <s v="No"/>
    <s v="Travel_Frequently"/>
    <n v="160"/>
    <x v="1"/>
    <n v="3"/>
    <n v="3"/>
    <s v="Medical"/>
    <n v="1"/>
    <n v="680"/>
    <n v="3"/>
    <s v="Female"/>
    <n v="71"/>
    <n v="3"/>
    <x v="1"/>
    <x v="1"/>
    <n v="3"/>
    <s v="Divorced"/>
    <n v="2083"/>
    <n v="22653"/>
    <n v="1"/>
    <s v="Y"/>
    <s v="No"/>
    <s v="No"/>
    <n v="20"/>
    <n v="4"/>
    <n v="3"/>
    <n v="80"/>
    <n v="1"/>
    <n v="1"/>
    <s v="0-5"/>
    <n v="2"/>
    <n v="3"/>
    <n v="1"/>
    <n v="0"/>
    <n v="0"/>
    <n v="0"/>
  </r>
  <r>
    <n v="53"/>
    <x v="1"/>
    <s v="No"/>
    <s v="Travel_Rarely"/>
    <n v="238"/>
    <x v="0"/>
    <n v="1"/>
    <n v="1"/>
    <s v="Medical"/>
    <n v="1"/>
    <n v="682"/>
    <n v="4"/>
    <s v="Female"/>
    <n v="34"/>
    <n v="3"/>
    <x v="0"/>
    <x v="0"/>
    <n v="1"/>
    <s v="Single"/>
    <n v="8381"/>
    <n v="7507"/>
    <n v="7"/>
    <s v="Y"/>
    <s v="No"/>
    <s v="No"/>
    <n v="20"/>
    <n v="4"/>
    <n v="4"/>
    <n v="80"/>
    <n v="0"/>
    <n v="18"/>
    <s v="&gt;15"/>
    <n v="2"/>
    <n v="4"/>
    <n v="14"/>
    <n v="7"/>
    <n v="8"/>
    <n v="10"/>
  </r>
  <r>
    <n v="34"/>
    <x v="1"/>
    <s v="No"/>
    <s v="Travel_Rarely"/>
    <n v="1397"/>
    <x v="1"/>
    <n v="1"/>
    <n v="5"/>
    <s v="Life Sciences"/>
    <n v="1"/>
    <n v="683"/>
    <n v="2"/>
    <s v="Male"/>
    <n v="42"/>
    <n v="3"/>
    <x v="1"/>
    <x v="1"/>
    <n v="4"/>
    <s v="Married"/>
    <n v="2691"/>
    <n v="7660"/>
    <n v="1"/>
    <s v="Y"/>
    <s v="No"/>
    <s v="No"/>
    <n v="12"/>
    <n v="3"/>
    <n v="4"/>
    <n v="80"/>
    <n v="1"/>
    <n v="10"/>
    <s v="6-15"/>
    <n v="4"/>
    <n v="2"/>
    <n v="10"/>
    <n v="9"/>
    <n v="8"/>
    <n v="8"/>
  </r>
  <r>
    <n v="45"/>
    <x v="0"/>
    <s v="Yes"/>
    <s v="Travel_Frequently"/>
    <n v="306"/>
    <x v="0"/>
    <n v="26"/>
    <n v="4"/>
    <s v="Life Sciences"/>
    <n v="1"/>
    <n v="684"/>
    <n v="1"/>
    <s v="Female"/>
    <n v="100"/>
    <n v="3"/>
    <x v="0"/>
    <x v="0"/>
    <n v="1"/>
    <s v="Married"/>
    <n v="4286"/>
    <n v="5630"/>
    <n v="2"/>
    <s v="Y"/>
    <s v="No"/>
    <s v="No"/>
    <n v="14"/>
    <n v="3"/>
    <n v="4"/>
    <n v="80"/>
    <n v="2"/>
    <n v="5"/>
    <s v="0-5"/>
    <n v="4"/>
    <n v="3"/>
    <n v="1"/>
    <n v="1"/>
    <n v="0"/>
    <n v="0"/>
  </r>
  <r>
    <n v="26"/>
    <x v="1"/>
    <s v="No"/>
    <s v="Travel_Rarely"/>
    <n v="991"/>
    <x v="1"/>
    <n v="6"/>
    <n v="3"/>
    <s v="Life Sciences"/>
    <n v="1"/>
    <n v="686"/>
    <n v="3"/>
    <s v="Female"/>
    <n v="71"/>
    <n v="3"/>
    <x v="1"/>
    <x v="2"/>
    <n v="4"/>
    <s v="Married"/>
    <n v="2659"/>
    <n v="17759"/>
    <n v="1"/>
    <s v="Y"/>
    <s v="Yes"/>
    <s v="Yes"/>
    <n v="13"/>
    <n v="3"/>
    <n v="3"/>
    <n v="80"/>
    <n v="1"/>
    <n v="3"/>
    <s v="0-5"/>
    <n v="2"/>
    <n v="3"/>
    <n v="3"/>
    <n v="2"/>
    <n v="0"/>
    <n v="2"/>
  </r>
  <r>
    <n v="37"/>
    <x v="1"/>
    <s v="No"/>
    <s v="Travel_Rarely"/>
    <n v="482"/>
    <x v="1"/>
    <n v="3"/>
    <n v="3"/>
    <s v="Other"/>
    <n v="1"/>
    <n v="689"/>
    <n v="3"/>
    <s v="Male"/>
    <n v="36"/>
    <n v="3"/>
    <x v="2"/>
    <x v="3"/>
    <n v="3"/>
    <s v="Married"/>
    <n v="9434"/>
    <n v="9606"/>
    <n v="1"/>
    <s v="Y"/>
    <s v="No"/>
    <s v="No"/>
    <n v="15"/>
    <n v="3"/>
    <n v="3"/>
    <n v="80"/>
    <n v="1"/>
    <n v="10"/>
    <s v="6-15"/>
    <n v="2"/>
    <n v="3"/>
    <n v="10"/>
    <n v="7"/>
    <n v="7"/>
    <n v="8"/>
  </r>
  <r>
    <n v="29"/>
    <x v="1"/>
    <s v="No"/>
    <s v="Travel_Rarely"/>
    <n v="1176"/>
    <x v="0"/>
    <n v="3"/>
    <n v="2"/>
    <s v="Medical"/>
    <n v="1"/>
    <n v="690"/>
    <n v="2"/>
    <s v="Female"/>
    <n v="62"/>
    <n v="3"/>
    <x v="0"/>
    <x v="0"/>
    <n v="3"/>
    <s v="Married"/>
    <n v="5561"/>
    <n v="3487"/>
    <n v="1"/>
    <s v="Y"/>
    <s v="No"/>
    <s v="No"/>
    <n v="14"/>
    <n v="3"/>
    <n v="1"/>
    <n v="80"/>
    <n v="1"/>
    <n v="6"/>
    <s v="6-15"/>
    <n v="5"/>
    <n v="2"/>
    <n v="6"/>
    <n v="0"/>
    <n v="1"/>
    <n v="2"/>
  </r>
  <r>
    <n v="35"/>
    <x v="1"/>
    <s v="No"/>
    <s v="Travel_Rarely"/>
    <n v="1017"/>
    <x v="1"/>
    <n v="6"/>
    <n v="4"/>
    <s v="Life Sciences"/>
    <n v="1"/>
    <n v="691"/>
    <n v="2"/>
    <s v="Male"/>
    <n v="82"/>
    <n v="1"/>
    <x v="0"/>
    <x v="1"/>
    <n v="4"/>
    <s v="Single"/>
    <n v="6646"/>
    <n v="19368"/>
    <n v="1"/>
    <s v="Y"/>
    <s v="No"/>
    <s v="No"/>
    <n v="13"/>
    <n v="3"/>
    <n v="2"/>
    <n v="80"/>
    <n v="0"/>
    <n v="17"/>
    <s v="&gt;15"/>
    <n v="3"/>
    <n v="3"/>
    <n v="17"/>
    <n v="11"/>
    <n v="11"/>
    <n v="8"/>
  </r>
  <r>
    <n v="33"/>
    <x v="1"/>
    <s v="No"/>
    <s v="Travel_Frequently"/>
    <n v="1296"/>
    <x v="1"/>
    <n v="6"/>
    <n v="3"/>
    <s v="Life Sciences"/>
    <n v="1"/>
    <n v="692"/>
    <n v="3"/>
    <s v="Male"/>
    <n v="30"/>
    <n v="3"/>
    <x v="0"/>
    <x v="4"/>
    <n v="4"/>
    <s v="Divorced"/>
    <n v="7725"/>
    <n v="5335"/>
    <n v="3"/>
    <s v="Y"/>
    <s v="No"/>
    <s v="No"/>
    <n v="23"/>
    <n v="4"/>
    <n v="3"/>
    <n v="80"/>
    <n v="1"/>
    <n v="15"/>
    <s v="6-15"/>
    <n v="2"/>
    <n v="1"/>
    <n v="13"/>
    <n v="11"/>
    <n v="4"/>
    <n v="7"/>
  </r>
  <r>
    <n v="54"/>
    <x v="1"/>
    <s v="No"/>
    <s v="Travel_Rarely"/>
    <n v="397"/>
    <x v="2"/>
    <n v="19"/>
    <n v="4"/>
    <s v="Medical"/>
    <n v="1"/>
    <n v="698"/>
    <n v="3"/>
    <s v="Male"/>
    <n v="88"/>
    <n v="3"/>
    <x v="2"/>
    <x v="8"/>
    <n v="2"/>
    <s v="Married"/>
    <n v="10725"/>
    <n v="6729"/>
    <n v="2"/>
    <s v="Y"/>
    <s v="No"/>
    <s v="No"/>
    <n v="15"/>
    <n v="3"/>
    <n v="3"/>
    <n v="80"/>
    <n v="1"/>
    <n v="16"/>
    <s v="&gt;15"/>
    <n v="1"/>
    <n v="4"/>
    <n v="9"/>
    <n v="7"/>
    <n v="7"/>
    <n v="1"/>
  </r>
  <r>
    <n v="36"/>
    <x v="1"/>
    <s v="No"/>
    <s v="Travel_Rarely"/>
    <n v="913"/>
    <x v="1"/>
    <n v="9"/>
    <n v="2"/>
    <s v="Medical"/>
    <n v="1"/>
    <n v="699"/>
    <n v="2"/>
    <s v="Male"/>
    <n v="48"/>
    <n v="2"/>
    <x v="0"/>
    <x v="3"/>
    <n v="2"/>
    <s v="Divorced"/>
    <n v="8847"/>
    <n v="13934"/>
    <n v="2"/>
    <s v="Y"/>
    <s v="Yes"/>
    <s v="Yes"/>
    <n v="11"/>
    <n v="3"/>
    <n v="3"/>
    <n v="80"/>
    <n v="1"/>
    <n v="13"/>
    <s v="6-15"/>
    <n v="2"/>
    <n v="3"/>
    <n v="3"/>
    <n v="2"/>
    <n v="0"/>
    <n v="2"/>
  </r>
  <r>
    <n v="27"/>
    <x v="1"/>
    <s v="No"/>
    <s v="Travel_Rarely"/>
    <n v="1115"/>
    <x v="1"/>
    <n v="3"/>
    <n v="4"/>
    <s v="Medical"/>
    <n v="1"/>
    <n v="700"/>
    <n v="1"/>
    <s v="Male"/>
    <n v="54"/>
    <n v="2"/>
    <x v="1"/>
    <x v="1"/>
    <n v="4"/>
    <s v="Single"/>
    <n v="2045"/>
    <n v="15174"/>
    <n v="0"/>
    <s v="Y"/>
    <s v="No"/>
    <s v="No"/>
    <n v="13"/>
    <n v="3"/>
    <n v="4"/>
    <n v="80"/>
    <n v="0"/>
    <n v="5"/>
    <s v="0-5"/>
    <n v="0"/>
    <n v="3"/>
    <n v="4"/>
    <n v="2"/>
    <n v="1"/>
    <n v="1"/>
  </r>
  <r>
    <n v="20"/>
    <x v="0"/>
    <s v="Yes"/>
    <s v="Travel_Rarely"/>
    <n v="1362"/>
    <x v="1"/>
    <n v="10"/>
    <n v="1"/>
    <s v="Medical"/>
    <n v="1"/>
    <n v="701"/>
    <n v="4"/>
    <s v="Male"/>
    <n v="32"/>
    <n v="3"/>
    <x v="1"/>
    <x v="1"/>
    <n v="3"/>
    <s v="Single"/>
    <n v="1009"/>
    <n v="26999"/>
    <n v="1"/>
    <s v="Y"/>
    <s v="Yes"/>
    <s v="Yes"/>
    <n v="11"/>
    <n v="3"/>
    <n v="4"/>
    <n v="80"/>
    <n v="0"/>
    <n v="1"/>
    <s v="0-5"/>
    <n v="5"/>
    <n v="3"/>
    <n v="1"/>
    <n v="0"/>
    <n v="1"/>
    <n v="1"/>
  </r>
  <r>
    <n v="33"/>
    <x v="0"/>
    <s v="Yes"/>
    <s v="Travel_Frequently"/>
    <n v="1076"/>
    <x v="1"/>
    <n v="3"/>
    <n v="3"/>
    <s v="Life Sciences"/>
    <n v="1"/>
    <n v="702"/>
    <n v="1"/>
    <s v="Male"/>
    <n v="70"/>
    <n v="3"/>
    <x v="1"/>
    <x v="1"/>
    <n v="1"/>
    <s v="Single"/>
    <n v="3348"/>
    <n v="3164"/>
    <n v="1"/>
    <s v="Y"/>
    <s v="Yes"/>
    <s v="Yes"/>
    <n v="11"/>
    <n v="3"/>
    <n v="1"/>
    <n v="80"/>
    <n v="0"/>
    <n v="10"/>
    <s v="6-15"/>
    <n v="3"/>
    <n v="3"/>
    <n v="10"/>
    <n v="8"/>
    <n v="9"/>
    <n v="7"/>
  </r>
  <r>
    <n v="35"/>
    <x v="1"/>
    <s v="No"/>
    <s v="Non-Travel"/>
    <n v="727"/>
    <x v="1"/>
    <n v="3"/>
    <n v="3"/>
    <s v="Life Sciences"/>
    <n v="1"/>
    <n v="704"/>
    <n v="3"/>
    <s v="Male"/>
    <n v="41"/>
    <n v="2"/>
    <x v="1"/>
    <x v="2"/>
    <n v="3"/>
    <s v="Married"/>
    <n v="1281"/>
    <n v="16900"/>
    <n v="1"/>
    <s v="Y"/>
    <s v="No"/>
    <s v="No"/>
    <n v="18"/>
    <n v="3"/>
    <n v="3"/>
    <n v="80"/>
    <n v="2"/>
    <n v="1"/>
    <s v="0-5"/>
    <n v="3"/>
    <n v="3"/>
    <n v="1"/>
    <n v="0"/>
    <n v="0"/>
    <n v="0"/>
  </r>
  <r>
    <n v="23"/>
    <x v="1"/>
    <s v="No"/>
    <s v="Travel_Rarely"/>
    <n v="885"/>
    <x v="1"/>
    <n v="4"/>
    <n v="3"/>
    <s v="Medical"/>
    <n v="1"/>
    <n v="705"/>
    <n v="1"/>
    <s v="Male"/>
    <n v="58"/>
    <n v="4"/>
    <x v="1"/>
    <x v="1"/>
    <n v="1"/>
    <s v="Married"/>
    <n v="2819"/>
    <n v="8544"/>
    <n v="2"/>
    <s v="Y"/>
    <s v="No"/>
    <s v="No"/>
    <n v="16"/>
    <n v="3"/>
    <n v="1"/>
    <n v="80"/>
    <n v="1"/>
    <n v="5"/>
    <s v="0-5"/>
    <n v="3"/>
    <n v="4"/>
    <n v="3"/>
    <n v="2"/>
    <n v="0"/>
    <n v="2"/>
  </r>
  <r>
    <n v="25"/>
    <x v="1"/>
    <s v="No"/>
    <s v="Travel_Rarely"/>
    <n v="810"/>
    <x v="0"/>
    <n v="8"/>
    <n v="3"/>
    <s v="Life Sciences"/>
    <n v="1"/>
    <n v="707"/>
    <n v="4"/>
    <s v="Male"/>
    <n v="57"/>
    <n v="4"/>
    <x v="0"/>
    <x v="0"/>
    <n v="2"/>
    <s v="Married"/>
    <n v="4851"/>
    <n v="15678"/>
    <n v="0"/>
    <s v="Y"/>
    <s v="No"/>
    <s v="No"/>
    <n v="22"/>
    <n v="4"/>
    <n v="3"/>
    <n v="80"/>
    <n v="1"/>
    <n v="4"/>
    <s v="0-5"/>
    <n v="4"/>
    <n v="3"/>
    <n v="3"/>
    <n v="2"/>
    <n v="1"/>
    <n v="2"/>
  </r>
  <r>
    <n v="38"/>
    <x v="1"/>
    <s v="No"/>
    <s v="Travel_Rarely"/>
    <n v="243"/>
    <x v="0"/>
    <n v="7"/>
    <n v="4"/>
    <s v="Marketing"/>
    <n v="1"/>
    <n v="709"/>
    <n v="4"/>
    <s v="Female"/>
    <n v="46"/>
    <n v="2"/>
    <x v="0"/>
    <x v="0"/>
    <n v="4"/>
    <s v="Single"/>
    <n v="4028"/>
    <n v="7791"/>
    <n v="0"/>
    <s v="Y"/>
    <s v="No"/>
    <s v="No"/>
    <n v="20"/>
    <n v="4"/>
    <n v="1"/>
    <n v="80"/>
    <n v="0"/>
    <n v="8"/>
    <s v="6-15"/>
    <n v="2"/>
    <n v="3"/>
    <n v="7"/>
    <n v="7"/>
    <n v="0"/>
    <n v="5"/>
  </r>
  <r>
    <n v="29"/>
    <x v="1"/>
    <s v="No"/>
    <s v="Travel_Frequently"/>
    <n v="806"/>
    <x v="1"/>
    <n v="1"/>
    <n v="4"/>
    <s v="Life Sciences"/>
    <n v="1"/>
    <n v="710"/>
    <n v="2"/>
    <s v="Male"/>
    <n v="76"/>
    <n v="1"/>
    <x v="1"/>
    <x v="1"/>
    <n v="4"/>
    <s v="Divorced"/>
    <n v="2720"/>
    <n v="18959"/>
    <n v="1"/>
    <s v="Y"/>
    <s v="No"/>
    <s v="No"/>
    <n v="18"/>
    <n v="3"/>
    <n v="4"/>
    <n v="80"/>
    <n v="1"/>
    <n v="10"/>
    <s v="6-15"/>
    <n v="5"/>
    <n v="3"/>
    <n v="10"/>
    <n v="7"/>
    <n v="2"/>
    <n v="8"/>
  </r>
  <r>
    <n v="48"/>
    <x v="1"/>
    <s v="No"/>
    <s v="Travel_Rarely"/>
    <n v="817"/>
    <x v="0"/>
    <n v="2"/>
    <n v="1"/>
    <s v="Marketing"/>
    <n v="1"/>
    <n v="712"/>
    <n v="2"/>
    <s v="Male"/>
    <n v="56"/>
    <n v="4"/>
    <x v="0"/>
    <x v="0"/>
    <n v="2"/>
    <s v="Married"/>
    <n v="8120"/>
    <n v="18597"/>
    <n v="3"/>
    <s v="Y"/>
    <s v="No"/>
    <s v="No"/>
    <n v="12"/>
    <n v="3"/>
    <n v="4"/>
    <n v="80"/>
    <n v="0"/>
    <n v="12"/>
    <s v="6-15"/>
    <n v="3"/>
    <n v="3"/>
    <n v="2"/>
    <n v="2"/>
    <n v="2"/>
    <n v="2"/>
  </r>
  <r>
    <n v="27"/>
    <x v="1"/>
    <s v="No"/>
    <s v="Travel_Frequently"/>
    <n v="1410"/>
    <x v="0"/>
    <n v="3"/>
    <n v="1"/>
    <s v="Medical"/>
    <n v="1"/>
    <n v="714"/>
    <n v="4"/>
    <s v="Female"/>
    <n v="71"/>
    <n v="4"/>
    <x v="0"/>
    <x v="0"/>
    <n v="4"/>
    <s v="Divorced"/>
    <n v="4647"/>
    <n v="16673"/>
    <n v="1"/>
    <s v="Y"/>
    <s v="Yes"/>
    <s v="Yes"/>
    <n v="20"/>
    <n v="4"/>
    <n v="2"/>
    <n v="80"/>
    <n v="2"/>
    <n v="6"/>
    <s v="6-15"/>
    <n v="3"/>
    <n v="3"/>
    <n v="6"/>
    <n v="5"/>
    <n v="0"/>
    <n v="4"/>
  </r>
  <r>
    <n v="37"/>
    <x v="1"/>
    <s v="No"/>
    <s v="Travel_Rarely"/>
    <n v="1225"/>
    <x v="1"/>
    <n v="10"/>
    <n v="2"/>
    <s v="Life Sciences"/>
    <n v="1"/>
    <n v="715"/>
    <n v="4"/>
    <s v="Male"/>
    <n v="80"/>
    <n v="4"/>
    <x v="1"/>
    <x v="1"/>
    <n v="4"/>
    <s v="Single"/>
    <n v="4680"/>
    <n v="15232"/>
    <n v="3"/>
    <s v="Y"/>
    <s v="No"/>
    <s v="No"/>
    <n v="17"/>
    <n v="3"/>
    <n v="1"/>
    <n v="80"/>
    <n v="0"/>
    <n v="4"/>
    <s v="0-5"/>
    <n v="2"/>
    <n v="3"/>
    <n v="1"/>
    <n v="0"/>
    <n v="0"/>
    <n v="0"/>
  </r>
  <r>
    <n v="50"/>
    <x v="1"/>
    <s v="No"/>
    <s v="Travel_Rarely"/>
    <n v="1207"/>
    <x v="1"/>
    <n v="28"/>
    <n v="1"/>
    <s v="Medical"/>
    <n v="1"/>
    <n v="716"/>
    <n v="4"/>
    <s v="Male"/>
    <n v="74"/>
    <n v="4"/>
    <x v="1"/>
    <x v="2"/>
    <n v="3"/>
    <s v="Married"/>
    <n v="3221"/>
    <n v="3297"/>
    <n v="1"/>
    <s v="Y"/>
    <s v="Yes"/>
    <s v="Yes"/>
    <n v="11"/>
    <n v="3"/>
    <n v="3"/>
    <n v="80"/>
    <n v="3"/>
    <n v="20"/>
    <s v="&gt;15"/>
    <n v="3"/>
    <n v="3"/>
    <n v="20"/>
    <n v="8"/>
    <n v="3"/>
    <n v="8"/>
  </r>
  <r>
    <n v="34"/>
    <x v="1"/>
    <s v="No"/>
    <s v="Travel_Rarely"/>
    <n v="1442"/>
    <x v="1"/>
    <n v="9"/>
    <n v="3"/>
    <s v="Medical"/>
    <n v="1"/>
    <n v="717"/>
    <n v="4"/>
    <s v="Female"/>
    <n v="46"/>
    <n v="2"/>
    <x v="2"/>
    <x v="4"/>
    <n v="2"/>
    <s v="Single"/>
    <n v="8621"/>
    <n v="17654"/>
    <n v="1"/>
    <s v="Y"/>
    <s v="No"/>
    <s v="No"/>
    <n v="14"/>
    <n v="3"/>
    <n v="2"/>
    <n v="80"/>
    <n v="0"/>
    <n v="9"/>
    <s v="6-15"/>
    <n v="3"/>
    <n v="4"/>
    <n v="8"/>
    <n v="7"/>
    <n v="7"/>
    <n v="7"/>
  </r>
  <r>
    <n v="24"/>
    <x v="0"/>
    <s v="Yes"/>
    <s v="Travel_Rarely"/>
    <n v="693"/>
    <x v="0"/>
    <n v="3"/>
    <n v="2"/>
    <s v="Life Sciences"/>
    <n v="1"/>
    <n v="720"/>
    <n v="1"/>
    <s v="Female"/>
    <n v="65"/>
    <n v="3"/>
    <x v="0"/>
    <x v="0"/>
    <n v="3"/>
    <s v="Single"/>
    <n v="4577"/>
    <n v="24785"/>
    <n v="9"/>
    <s v="Y"/>
    <s v="No"/>
    <s v="No"/>
    <n v="14"/>
    <n v="3"/>
    <n v="1"/>
    <n v="80"/>
    <n v="0"/>
    <n v="4"/>
    <s v="0-5"/>
    <n v="3"/>
    <n v="3"/>
    <n v="2"/>
    <n v="2"/>
    <n v="2"/>
    <n v="0"/>
  </r>
  <r>
    <n v="39"/>
    <x v="1"/>
    <s v="No"/>
    <s v="Travel_Rarely"/>
    <n v="408"/>
    <x v="1"/>
    <n v="2"/>
    <n v="4"/>
    <s v="Technical Degree"/>
    <n v="1"/>
    <n v="721"/>
    <n v="4"/>
    <s v="Female"/>
    <n v="80"/>
    <n v="2"/>
    <x v="0"/>
    <x v="4"/>
    <n v="3"/>
    <s v="Single"/>
    <n v="4553"/>
    <n v="20978"/>
    <n v="1"/>
    <s v="Y"/>
    <s v="No"/>
    <s v="No"/>
    <n v="11"/>
    <n v="3"/>
    <n v="1"/>
    <n v="80"/>
    <n v="0"/>
    <n v="20"/>
    <s v="&gt;15"/>
    <n v="4"/>
    <n v="3"/>
    <n v="20"/>
    <n v="7"/>
    <n v="11"/>
    <n v="10"/>
  </r>
  <r>
    <n v="32"/>
    <x v="1"/>
    <s v="No"/>
    <s v="Travel_Rarely"/>
    <n v="929"/>
    <x v="0"/>
    <n v="10"/>
    <n v="3"/>
    <s v="Marketing"/>
    <n v="1"/>
    <n v="722"/>
    <n v="4"/>
    <s v="Male"/>
    <n v="55"/>
    <n v="3"/>
    <x v="0"/>
    <x v="0"/>
    <n v="4"/>
    <s v="Single"/>
    <n v="5396"/>
    <n v="21703"/>
    <n v="1"/>
    <s v="Y"/>
    <s v="No"/>
    <s v="No"/>
    <n v="12"/>
    <n v="3"/>
    <n v="4"/>
    <n v="80"/>
    <n v="0"/>
    <n v="10"/>
    <s v="6-15"/>
    <n v="2"/>
    <n v="2"/>
    <n v="10"/>
    <n v="7"/>
    <n v="0"/>
    <n v="8"/>
  </r>
  <r>
    <n v="50"/>
    <x v="0"/>
    <s v="Yes"/>
    <s v="Travel_Frequently"/>
    <n v="562"/>
    <x v="0"/>
    <n v="8"/>
    <n v="2"/>
    <s v="Technical Degree"/>
    <n v="1"/>
    <n v="723"/>
    <n v="2"/>
    <s v="Male"/>
    <n v="50"/>
    <n v="3"/>
    <x v="0"/>
    <x v="0"/>
    <n v="3"/>
    <s v="Married"/>
    <n v="6796"/>
    <n v="23452"/>
    <n v="3"/>
    <s v="Y"/>
    <s v="Yes"/>
    <s v="Yes"/>
    <n v="14"/>
    <n v="3"/>
    <n v="1"/>
    <n v="80"/>
    <n v="1"/>
    <n v="18"/>
    <s v="&gt;15"/>
    <n v="4"/>
    <n v="3"/>
    <n v="4"/>
    <n v="3"/>
    <n v="1"/>
    <n v="3"/>
  </r>
  <r>
    <n v="38"/>
    <x v="1"/>
    <s v="No"/>
    <s v="Travel_Rarely"/>
    <n v="827"/>
    <x v="1"/>
    <n v="1"/>
    <n v="4"/>
    <s v="Life Sciences"/>
    <n v="1"/>
    <n v="724"/>
    <n v="2"/>
    <s v="Female"/>
    <n v="33"/>
    <n v="4"/>
    <x v="0"/>
    <x v="4"/>
    <n v="4"/>
    <s v="Single"/>
    <n v="7625"/>
    <n v="19383"/>
    <n v="0"/>
    <s v="Y"/>
    <s v="No"/>
    <s v="No"/>
    <n v="13"/>
    <n v="3"/>
    <n v="3"/>
    <n v="80"/>
    <n v="0"/>
    <n v="10"/>
    <s v="6-15"/>
    <n v="4"/>
    <n v="2"/>
    <n v="9"/>
    <n v="7"/>
    <n v="1"/>
    <n v="8"/>
  </r>
  <r>
    <n v="27"/>
    <x v="1"/>
    <s v="No"/>
    <s v="Travel_Rarely"/>
    <n v="608"/>
    <x v="1"/>
    <n v="1"/>
    <n v="2"/>
    <s v="Life Sciences"/>
    <n v="1"/>
    <n v="725"/>
    <n v="3"/>
    <s v="Female"/>
    <n v="68"/>
    <n v="3"/>
    <x v="2"/>
    <x v="3"/>
    <n v="1"/>
    <s v="Married"/>
    <n v="7412"/>
    <n v="6009"/>
    <n v="1"/>
    <s v="Y"/>
    <s v="No"/>
    <s v="No"/>
    <n v="11"/>
    <n v="3"/>
    <n v="4"/>
    <n v="80"/>
    <n v="0"/>
    <n v="9"/>
    <s v="6-15"/>
    <n v="3"/>
    <n v="3"/>
    <n v="9"/>
    <n v="7"/>
    <n v="0"/>
    <n v="7"/>
  </r>
  <r>
    <n v="32"/>
    <x v="1"/>
    <s v="No"/>
    <s v="Travel_Rarely"/>
    <n v="1018"/>
    <x v="1"/>
    <n v="3"/>
    <n v="2"/>
    <s v="Life Sciences"/>
    <n v="1"/>
    <n v="727"/>
    <n v="3"/>
    <s v="Female"/>
    <n v="39"/>
    <n v="3"/>
    <x v="2"/>
    <x v="7"/>
    <n v="4"/>
    <s v="Single"/>
    <n v="11159"/>
    <n v="19373"/>
    <n v="3"/>
    <s v="Y"/>
    <s v="No"/>
    <s v="No"/>
    <n v="15"/>
    <n v="3"/>
    <n v="4"/>
    <n v="80"/>
    <n v="0"/>
    <n v="10"/>
    <s v="6-15"/>
    <n v="6"/>
    <n v="3"/>
    <n v="7"/>
    <n v="7"/>
    <n v="7"/>
    <n v="7"/>
  </r>
  <r>
    <n v="47"/>
    <x v="1"/>
    <s v="No"/>
    <s v="Travel_Rarely"/>
    <n v="703"/>
    <x v="0"/>
    <n v="14"/>
    <n v="4"/>
    <s v="Marketing"/>
    <n v="1"/>
    <n v="728"/>
    <n v="4"/>
    <s v="Male"/>
    <n v="42"/>
    <n v="3"/>
    <x v="0"/>
    <x v="0"/>
    <n v="1"/>
    <s v="Single"/>
    <n v="4960"/>
    <n v="11825"/>
    <n v="2"/>
    <s v="Y"/>
    <s v="No"/>
    <s v="No"/>
    <n v="12"/>
    <n v="3"/>
    <n v="4"/>
    <n v="80"/>
    <n v="0"/>
    <n v="20"/>
    <s v="&gt;15"/>
    <n v="2"/>
    <n v="3"/>
    <n v="7"/>
    <n v="7"/>
    <n v="1"/>
    <n v="7"/>
  </r>
  <r>
    <n v="40"/>
    <x v="1"/>
    <s v="No"/>
    <s v="Travel_Frequently"/>
    <n v="580"/>
    <x v="0"/>
    <n v="5"/>
    <n v="4"/>
    <s v="Life Sciences"/>
    <n v="1"/>
    <n v="729"/>
    <n v="4"/>
    <s v="Male"/>
    <n v="48"/>
    <n v="2"/>
    <x v="2"/>
    <x v="0"/>
    <n v="1"/>
    <s v="Married"/>
    <n v="10475"/>
    <n v="23772"/>
    <n v="5"/>
    <s v="Y"/>
    <s v="Yes"/>
    <s v="Yes"/>
    <n v="21"/>
    <n v="4"/>
    <n v="3"/>
    <n v="80"/>
    <n v="1"/>
    <n v="20"/>
    <s v="&gt;15"/>
    <n v="2"/>
    <n v="3"/>
    <n v="18"/>
    <n v="13"/>
    <n v="1"/>
    <n v="12"/>
  </r>
  <r>
    <n v="53"/>
    <x v="1"/>
    <s v="No"/>
    <s v="Travel_Rarely"/>
    <n v="970"/>
    <x v="1"/>
    <n v="7"/>
    <n v="3"/>
    <s v="Life Sciences"/>
    <n v="1"/>
    <n v="730"/>
    <n v="3"/>
    <s v="Male"/>
    <n v="59"/>
    <n v="4"/>
    <x v="3"/>
    <x v="7"/>
    <n v="3"/>
    <s v="Married"/>
    <n v="14814"/>
    <n v="13514"/>
    <n v="3"/>
    <s v="Y"/>
    <s v="No"/>
    <s v="No"/>
    <n v="19"/>
    <n v="3"/>
    <n v="3"/>
    <n v="80"/>
    <n v="0"/>
    <n v="32"/>
    <s v="&gt;15"/>
    <n v="3"/>
    <n v="3"/>
    <n v="5"/>
    <n v="1"/>
    <n v="1"/>
    <n v="3"/>
  </r>
  <r>
    <n v="41"/>
    <x v="1"/>
    <s v="No"/>
    <s v="Travel_Rarely"/>
    <n v="427"/>
    <x v="2"/>
    <n v="10"/>
    <n v="4"/>
    <s v="Human Resources"/>
    <n v="1"/>
    <n v="731"/>
    <n v="2"/>
    <s v="Male"/>
    <n v="73"/>
    <n v="2"/>
    <x v="4"/>
    <x v="5"/>
    <n v="4"/>
    <s v="Divorced"/>
    <n v="19141"/>
    <n v="8861"/>
    <n v="3"/>
    <s v="Y"/>
    <s v="No"/>
    <s v="No"/>
    <n v="15"/>
    <n v="3"/>
    <n v="2"/>
    <n v="80"/>
    <n v="3"/>
    <n v="23"/>
    <s v="&gt;15"/>
    <n v="2"/>
    <n v="2"/>
    <n v="21"/>
    <n v="6"/>
    <n v="12"/>
    <n v="6"/>
  </r>
  <r>
    <n v="60"/>
    <x v="1"/>
    <s v="No"/>
    <s v="Travel_Rarely"/>
    <n v="1179"/>
    <x v="0"/>
    <n v="16"/>
    <n v="4"/>
    <s v="Marketing"/>
    <n v="1"/>
    <n v="732"/>
    <n v="1"/>
    <s v="Male"/>
    <n v="84"/>
    <n v="3"/>
    <x v="0"/>
    <x v="0"/>
    <n v="1"/>
    <s v="Single"/>
    <n v="5405"/>
    <n v="11924"/>
    <n v="8"/>
    <s v="Y"/>
    <s v="No"/>
    <s v="No"/>
    <n v="14"/>
    <n v="3"/>
    <n v="4"/>
    <n v="80"/>
    <n v="0"/>
    <n v="10"/>
    <s v="6-15"/>
    <n v="1"/>
    <n v="3"/>
    <n v="2"/>
    <n v="2"/>
    <n v="2"/>
    <n v="2"/>
  </r>
  <r>
    <n v="27"/>
    <x v="1"/>
    <s v="No"/>
    <s v="Travel_Frequently"/>
    <n v="294"/>
    <x v="1"/>
    <n v="10"/>
    <n v="2"/>
    <s v="Life Sciences"/>
    <n v="1"/>
    <n v="733"/>
    <n v="4"/>
    <s v="Male"/>
    <n v="32"/>
    <n v="3"/>
    <x v="2"/>
    <x v="3"/>
    <n v="1"/>
    <s v="Divorced"/>
    <n v="8793"/>
    <n v="4809"/>
    <n v="1"/>
    <s v="Y"/>
    <s v="No"/>
    <s v="No"/>
    <n v="21"/>
    <n v="4"/>
    <n v="3"/>
    <n v="80"/>
    <n v="2"/>
    <n v="9"/>
    <s v="6-15"/>
    <n v="4"/>
    <n v="2"/>
    <n v="9"/>
    <n v="7"/>
    <n v="1"/>
    <n v="7"/>
  </r>
  <r>
    <n v="41"/>
    <x v="1"/>
    <s v="No"/>
    <s v="Travel_Rarely"/>
    <n v="314"/>
    <x v="2"/>
    <n v="1"/>
    <n v="3"/>
    <s v="Human Resources"/>
    <n v="1"/>
    <n v="734"/>
    <n v="4"/>
    <s v="Male"/>
    <n v="59"/>
    <n v="2"/>
    <x v="4"/>
    <x v="5"/>
    <n v="3"/>
    <s v="Married"/>
    <n v="19189"/>
    <n v="19562"/>
    <n v="1"/>
    <s v="Y"/>
    <s v="No"/>
    <s v="No"/>
    <n v="12"/>
    <n v="3"/>
    <n v="2"/>
    <n v="80"/>
    <n v="1"/>
    <n v="22"/>
    <s v="&gt;15"/>
    <n v="3"/>
    <n v="3"/>
    <n v="22"/>
    <n v="7"/>
    <n v="2"/>
    <n v="10"/>
  </r>
  <r>
    <n v="50"/>
    <x v="1"/>
    <s v="No"/>
    <s v="Travel_Rarely"/>
    <n v="316"/>
    <x v="0"/>
    <n v="8"/>
    <n v="4"/>
    <s v="Marketing"/>
    <n v="1"/>
    <n v="738"/>
    <n v="4"/>
    <s v="Male"/>
    <n v="54"/>
    <n v="3"/>
    <x v="1"/>
    <x v="6"/>
    <n v="2"/>
    <s v="Married"/>
    <n v="3875"/>
    <n v="9983"/>
    <n v="7"/>
    <s v="Y"/>
    <s v="No"/>
    <s v="No"/>
    <n v="15"/>
    <n v="3"/>
    <n v="4"/>
    <n v="80"/>
    <n v="1"/>
    <n v="4"/>
    <s v="0-5"/>
    <n v="2"/>
    <n v="3"/>
    <n v="2"/>
    <n v="2"/>
    <n v="2"/>
    <n v="2"/>
  </r>
  <r>
    <n v="28"/>
    <x v="0"/>
    <s v="Yes"/>
    <s v="Travel_Rarely"/>
    <n v="654"/>
    <x v="1"/>
    <n v="1"/>
    <n v="2"/>
    <s v="Life Sciences"/>
    <n v="1"/>
    <n v="741"/>
    <n v="1"/>
    <s v="Female"/>
    <n v="67"/>
    <n v="1"/>
    <x v="1"/>
    <x v="1"/>
    <n v="2"/>
    <s v="Single"/>
    <n v="2216"/>
    <n v="3872"/>
    <n v="7"/>
    <s v="Y"/>
    <s v="Yes"/>
    <s v="Yes"/>
    <n v="13"/>
    <n v="3"/>
    <n v="4"/>
    <n v="80"/>
    <n v="0"/>
    <n v="10"/>
    <s v="6-15"/>
    <n v="4"/>
    <n v="3"/>
    <n v="7"/>
    <n v="7"/>
    <n v="3"/>
    <n v="7"/>
  </r>
  <r>
    <n v="36"/>
    <x v="1"/>
    <s v="No"/>
    <s v="Non-Travel"/>
    <n v="427"/>
    <x v="1"/>
    <n v="8"/>
    <n v="3"/>
    <s v="Life Sciences"/>
    <n v="1"/>
    <n v="742"/>
    <n v="1"/>
    <s v="Female"/>
    <n v="63"/>
    <n v="4"/>
    <x v="2"/>
    <x v="7"/>
    <n v="1"/>
    <s v="Married"/>
    <n v="11713"/>
    <n v="20335"/>
    <n v="9"/>
    <s v="Y"/>
    <s v="No"/>
    <s v="No"/>
    <n v="14"/>
    <n v="3"/>
    <n v="1"/>
    <n v="80"/>
    <n v="1"/>
    <n v="10"/>
    <s v="6-15"/>
    <n v="2"/>
    <n v="3"/>
    <n v="8"/>
    <n v="7"/>
    <n v="0"/>
    <n v="5"/>
  </r>
  <r>
    <n v="38"/>
    <x v="1"/>
    <s v="No"/>
    <s v="Travel_Rarely"/>
    <n v="168"/>
    <x v="1"/>
    <n v="1"/>
    <n v="3"/>
    <s v="Life Sciences"/>
    <n v="1"/>
    <n v="743"/>
    <n v="3"/>
    <s v="Female"/>
    <n v="81"/>
    <n v="3"/>
    <x v="2"/>
    <x v="3"/>
    <n v="3"/>
    <s v="Single"/>
    <n v="7861"/>
    <n v="15397"/>
    <n v="4"/>
    <s v="Y"/>
    <s v="Yes"/>
    <s v="Yes"/>
    <n v="14"/>
    <n v="3"/>
    <n v="4"/>
    <n v="80"/>
    <n v="0"/>
    <n v="10"/>
    <s v="6-15"/>
    <n v="4"/>
    <n v="4"/>
    <n v="1"/>
    <n v="0"/>
    <n v="0"/>
    <n v="0"/>
  </r>
  <r>
    <n v="44"/>
    <x v="1"/>
    <s v="No"/>
    <s v="Non-Travel"/>
    <n v="381"/>
    <x v="1"/>
    <n v="24"/>
    <n v="3"/>
    <s v="Medical"/>
    <n v="1"/>
    <n v="744"/>
    <n v="1"/>
    <s v="Male"/>
    <n v="49"/>
    <n v="1"/>
    <x v="1"/>
    <x v="2"/>
    <n v="3"/>
    <s v="Single"/>
    <n v="3708"/>
    <n v="2104"/>
    <n v="2"/>
    <s v="Y"/>
    <s v="No"/>
    <s v="No"/>
    <n v="14"/>
    <n v="3"/>
    <n v="3"/>
    <n v="80"/>
    <n v="0"/>
    <n v="9"/>
    <s v="6-15"/>
    <n v="5"/>
    <n v="3"/>
    <n v="5"/>
    <n v="2"/>
    <n v="1"/>
    <n v="4"/>
  </r>
  <r>
    <n v="47"/>
    <x v="1"/>
    <s v="No"/>
    <s v="Travel_Frequently"/>
    <n v="217"/>
    <x v="0"/>
    <n v="3"/>
    <n v="3"/>
    <s v="Medical"/>
    <n v="1"/>
    <n v="746"/>
    <n v="4"/>
    <s v="Female"/>
    <n v="49"/>
    <n v="3"/>
    <x v="3"/>
    <x v="0"/>
    <n v="3"/>
    <s v="Divorced"/>
    <n v="13770"/>
    <n v="10225"/>
    <n v="9"/>
    <s v="Y"/>
    <s v="Yes"/>
    <s v="Yes"/>
    <n v="12"/>
    <n v="3"/>
    <n v="4"/>
    <n v="80"/>
    <n v="2"/>
    <n v="28"/>
    <s v="&gt;15"/>
    <n v="2"/>
    <n v="2"/>
    <n v="22"/>
    <n v="2"/>
    <n v="11"/>
    <n v="13"/>
  </r>
  <r>
    <n v="30"/>
    <x v="1"/>
    <s v="No"/>
    <s v="Travel_Rarely"/>
    <n v="501"/>
    <x v="0"/>
    <n v="27"/>
    <n v="5"/>
    <s v="Marketing"/>
    <n v="1"/>
    <n v="747"/>
    <n v="3"/>
    <s v="Male"/>
    <n v="99"/>
    <n v="3"/>
    <x v="0"/>
    <x v="0"/>
    <n v="4"/>
    <s v="Divorced"/>
    <n v="5304"/>
    <n v="25275"/>
    <n v="7"/>
    <s v="Y"/>
    <s v="No"/>
    <s v="No"/>
    <n v="23"/>
    <n v="4"/>
    <n v="4"/>
    <n v="80"/>
    <n v="1"/>
    <n v="10"/>
    <s v="6-15"/>
    <n v="2"/>
    <n v="2"/>
    <n v="8"/>
    <n v="7"/>
    <n v="7"/>
    <n v="7"/>
  </r>
  <r>
    <n v="29"/>
    <x v="1"/>
    <s v="No"/>
    <s v="Travel_Rarely"/>
    <n v="1396"/>
    <x v="0"/>
    <n v="10"/>
    <n v="3"/>
    <s v="Life Sciences"/>
    <n v="1"/>
    <n v="749"/>
    <n v="3"/>
    <s v="Male"/>
    <n v="99"/>
    <n v="3"/>
    <x v="1"/>
    <x v="6"/>
    <n v="3"/>
    <s v="Single"/>
    <n v="2642"/>
    <n v="2755"/>
    <n v="1"/>
    <s v="Y"/>
    <s v="No"/>
    <s v="No"/>
    <n v="11"/>
    <n v="3"/>
    <n v="3"/>
    <n v="80"/>
    <n v="0"/>
    <n v="1"/>
    <s v="0-5"/>
    <n v="6"/>
    <n v="3"/>
    <n v="1"/>
    <n v="0"/>
    <n v="0"/>
    <n v="0"/>
  </r>
  <r>
    <n v="42"/>
    <x v="0"/>
    <s v="Yes"/>
    <s v="Travel_Frequently"/>
    <n v="933"/>
    <x v="1"/>
    <n v="19"/>
    <n v="3"/>
    <s v="Medical"/>
    <n v="1"/>
    <n v="752"/>
    <n v="3"/>
    <s v="Male"/>
    <n v="57"/>
    <n v="4"/>
    <x v="1"/>
    <x v="1"/>
    <n v="3"/>
    <s v="Divorced"/>
    <n v="2759"/>
    <n v="20366"/>
    <n v="6"/>
    <s v="Y"/>
    <s v="Yes"/>
    <s v="Yes"/>
    <n v="12"/>
    <n v="3"/>
    <n v="4"/>
    <n v="80"/>
    <n v="0"/>
    <n v="7"/>
    <s v="6-15"/>
    <n v="2"/>
    <n v="3"/>
    <n v="2"/>
    <n v="2"/>
    <n v="2"/>
    <n v="2"/>
  </r>
  <r>
    <n v="43"/>
    <x v="1"/>
    <s v="No"/>
    <s v="Travel_Frequently"/>
    <n v="775"/>
    <x v="0"/>
    <n v="15"/>
    <n v="3"/>
    <s v="Life Sciences"/>
    <n v="1"/>
    <n v="754"/>
    <n v="4"/>
    <s v="Male"/>
    <n v="47"/>
    <n v="2"/>
    <x v="0"/>
    <x v="0"/>
    <n v="4"/>
    <s v="Married"/>
    <n v="6804"/>
    <n v="23683"/>
    <n v="3"/>
    <s v="Y"/>
    <s v="No"/>
    <s v="No"/>
    <n v="18"/>
    <n v="3"/>
    <n v="3"/>
    <n v="80"/>
    <n v="1"/>
    <n v="7"/>
    <s v="6-15"/>
    <n v="5"/>
    <n v="3"/>
    <n v="2"/>
    <n v="2"/>
    <n v="2"/>
    <n v="2"/>
  </r>
  <r>
    <n v="34"/>
    <x v="1"/>
    <s v="No"/>
    <s v="Travel_Rarely"/>
    <n v="970"/>
    <x v="1"/>
    <n v="8"/>
    <n v="2"/>
    <s v="Medical"/>
    <n v="1"/>
    <n v="757"/>
    <n v="2"/>
    <s v="Female"/>
    <n v="96"/>
    <n v="3"/>
    <x v="0"/>
    <x v="4"/>
    <n v="3"/>
    <s v="Single"/>
    <n v="6142"/>
    <n v="7360"/>
    <n v="3"/>
    <s v="Y"/>
    <s v="No"/>
    <s v="No"/>
    <n v="11"/>
    <n v="3"/>
    <n v="4"/>
    <n v="80"/>
    <n v="0"/>
    <n v="10"/>
    <s v="6-15"/>
    <n v="2"/>
    <n v="3"/>
    <n v="5"/>
    <n v="1"/>
    <n v="4"/>
    <n v="3"/>
  </r>
  <r>
    <n v="23"/>
    <x v="1"/>
    <s v="No"/>
    <s v="Travel_Rarely"/>
    <n v="650"/>
    <x v="1"/>
    <n v="9"/>
    <n v="1"/>
    <s v="Medical"/>
    <n v="1"/>
    <n v="758"/>
    <n v="2"/>
    <s v="Male"/>
    <n v="37"/>
    <n v="3"/>
    <x v="1"/>
    <x v="2"/>
    <n v="1"/>
    <s v="Married"/>
    <n v="2500"/>
    <n v="4344"/>
    <n v="1"/>
    <s v="Y"/>
    <s v="No"/>
    <s v="No"/>
    <n v="14"/>
    <n v="3"/>
    <n v="4"/>
    <n v="80"/>
    <n v="1"/>
    <n v="5"/>
    <s v="0-5"/>
    <n v="2"/>
    <n v="4"/>
    <n v="4"/>
    <n v="3"/>
    <n v="0"/>
    <n v="2"/>
  </r>
  <r>
    <n v="39"/>
    <x v="1"/>
    <s v="No"/>
    <s v="Travel_Rarely"/>
    <n v="141"/>
    <x v="2"/>
    <n v="3"/>
    <n v="3"/>
    <s v="Human Resources"/>
    <n v="1"/>
    <n v="760"/>
    <n v="3"/>
    <s v="Female"/>
    <n v="44"/>
    <n v="4"/>
    <x v="0"/>
    <x v="8"/>
    <n v="2"/>
    <s v="Married"/>
    <n v="6389"/>
    <n v="18767"/>
    <n v="9"/>
    <s v="Y"/>
    <s v="No"/>
    <s v="No"/>
    <n v="15"/>
    <n v="3"/>
    <n v="3"/>
    <n v="80"/>
    <n v="1"/>
    <n v="12"/>
    <s v="6-15"/>
    <n v="3"/>
    <n v="1"/>
    <n v="8"/>
    <n v="3"/>
    <n v="3"/>
    <n v="6"/>
  </r>
  <r>
    <n v="56"/>
    <x v="1"/>
    <s v="No"/>
    <s v="Travel_Rarely"/>
    <n v="832"/>
    <x v="1"/>
    <n v="9"/>
    <n v="3"/>
    <s v="Medical"/>
    <n v="1"/>
    <n v="762"/>
    <n v="3"/>
    <s v="Male"/>
    <n v="81"/>
    <n v="3"/>
    <x v="3"/>
    <x v="4"/>
    <n v="4"/>
    <s v="Married"/>
    <n v="11103"/>
    <n v="20420"/>
    <n v="7"/>
    <s v="Y"/>
    <s v="No"/>
    <s v="No"/>
    <n v="11"/>
    <n v="3"/>
    <n v="3"/>
    <n v="80"/>
    <n v="0"/>
    <n v="30"/>
    <s v="&gt;15"/>
    <n v="1"/>
    <n v="2"/>
    <n v="10"/>
    <n v="7"/>
    <n v="1"/>
    <n v="1"/>
  </r>
  <r>
    <n v="40"/>
    <x v="1"/>
    <s v="No"/>
    <s v="Travel_Rarely"/>
    <n v="804"/>
    <x v="1"/>
    <n v="2"/>
    <n v="1"/>
    <s v="Medical"/>
    <n v="1"/>
    <n v="763"/>
    <n v="4"/>
    <s v="Female"/>
    <n v="86"/>
    <n v="2"/>
    <x v="1"/>
    <x v="1"/>
    <n v="4"/>
    <s v="Single"/>
    <n v="2342"/>
    <n v="22929"/>
    <n v="0"/>
    <s v="Y"/>
    <s v="Yes"/>
    <s v="Yes"/>
    <n v="20"/>
    <n v="4"/>
    <n v="4"/>
    <n v="80"/>
    <n v="0"/>
    <n v="5"/>
    <s v="0-5"/>
    <n v="2"/>
    <n v="2"/>
    <n v="4"/>
    <n v="2"/>
    <n v="2"/>
    <n v="3"/>
  </r>
  <r>
    <n v="27"/>
    <x v="1"/>
    <s v="No"/>
    <s v="Travel_Rarely"/>
    <n v="975"/>
    <x v="1"/>
    <n v="7"/>
    <n v="3"/>
    <s v="Medical"/>
    <n v="1"/>
    <n v="764"/>
    <n v="4"/>
    <s v="Female"/>
    <n v="55"/>
    <n v="2"/>
    <x v="0"/>
    <x v="4"/>
    <n v="1"/>
    <s v="Single"/>
    <n v="6811"/>
    <n v="23398"/>
    <n v="8"/>
    <s v="Y"/>
    <s v="No"/>
    <s v="No"/>
    <n v="19"/>
    <n v="3"/>
    <n v="1"/>
    <n v="80"/>
    <n v="0"/>
    <n v="9"/>
    <s v="6-15"/>
    <n v="2"/>
    <n v="1"/>
    <n v="7"/>
    <n v="6"/>
    <n v="0"/>
    <n v="7"/>
  </r>
  <r>
    <n v="29"/>
    <x v="1"/>
    <s v="No"/>
    <s v="Travel_Rarely"/>
    <n v="1090"/>
    <x v="0"/>
    <n v="10"/>
    <n v="3"/>
    <s v="Marketing"/>
    <n v="1"/>
    <n v="766"/>
    <n v="4"/>
    <s v="Male"/>
    <n v="83"/>
    <n v="3"/>
    <x v="1"/>
    <x v="6"/>
    <n v="2"/>
    <s v="Divorced"/>
    <n v="2297"/>
    <n v="17967"/>
    <n v="1"/>
    <s v="Y"/>
    <s v="No"/>
    <s v="No"/>
    <n v="14"/>
    <n v="3"/>
    <n v="4"/>
    <n v="80"/>
    <n v="2"/>
    <n v="2"/>
    <s v="0-5"/>
    <n v="2"/>
    <n v="3"/>
    <n v="2"/>
    <n v="2"/>
    <n v="2"/>
    <n v="2"/>
  </r>
  <r>
    <n v="53"/>
    <x v="1"/>
    <s v="No"/>
    <s v="Travel_Rarely"/>
    <n v="346"/>
    <x v="1"/>
    <n v="6"/>
    <n v="3"/>
    <s v="Life Sciences"/>
    <n v="1"/>
    <n v="769"/>
    <n v="4"/>
    <s v="Male"/>
    <n v="86"/>
    <n v="3"/>
    <x v="0"/>
    <x v="2"/>
    <n v="4"/>
    <s v="Single"/>
    <n v="2450"/>
    <n v="10919"/>
    <n v="2"/>
    <s v="Y"/>
    <s v="No"/>
    <s v="No"/>
    <n v="17"/>
    <n v="3"/>
    <n v="4"/>
    <n v="80"/>
    <n v="0"/>
    <n v="19"/>
    <s v="&gt;15"/>
    <n v="4"/>
    <n v="3"/>
    <n v="2"/>
    <n v="2"/>
    <n v="2"/>
    <n v="2"/>
  </r>
  <r>
    <n v="35"/>
    <x v="1"/>
    <s v="No"/>
    <s v="Non-Travel"/>
    <n v="1225"/>
    <x v="1"/>
    <n v="2"/>
    <n v="4"/>
    <s v="Life Sciences"/>
    <n v="1"/>
    <n v="771"/>
    <n v="4"/>
    <s v="Female"/>
    <n v="61"/>
    <n v="3"/>
    <x v="0"/>
    <x v="4"/>
    <n v="1"/>
    <s v="Divorced"/>
    <n v="5093"/>
    <n v="4761"/>
    <n v="2"/>
    <s v="Y"/>
    <s v="No"/>
    <s v="No"/>
    <n v="11"/>
    <n v="3"/>
    <n v="1"/>
    <n v="80"/>
    <n v="1"/>
    <n v="16"/>
    <s v="&gt;15"/>
    <n v="2"/>
    <n v="4"/>
    <n v="1"/>
    <n v="0"/>
    <n v="0"/>
    <n v="0"/>
  </r>
  <r>
    <n v="32"/>
    <x v="1"/>
    <s v="No"/>
    <s v="Travel_Frequently"/>
    <n v="430"/>
    <x v="1"/>
    <n v="24"/>
    <n v="4"/>
    <s v="Life Sciences"/>
    <n v="1"/>
    <n v="772"/>
    <n v="1"/>
    <s v="Male"/>
    <n v="80"/>
    <n v="3"/>
    <x v="0"/>
    <x v="2"/>
    <n v="4"/>
    <s v="Married"/>
    <n v="5309"/>
    <n v="21146"/>
    <n v="1"/>
    <s v="Y"/>
    <s v="No"/>
    <s v="No"/>
    <n v="15"/>
    <n v="3"/>
    <n v="4"/>
    <n v="80"/>
    <n v="2"/>
    <n v="10"/>
    <s v="6-15"/>
    <n v="2"/>
    <n v="3"/>
    <n v="10"/>
    <n v="8"/>
    <n v="4"/>
    <n v="7"/>
  </r>
  <r>
    <n v="38"/>
    <x v="1"/>
    <s v="No"/>
    <s v="Travel_Rarely"/>
    <n v="268"/>
    <x v="1"/>
    <n v="2"/>
    <n v="5"/>
    <s v="Medical"/>
    <n v="1"/>
    <n v="773"/>
    <n v="4"/>
    <s v="Male"/>
    <n v="92"/>
    <n v="3"/>
    <x v="1"/>
    <x v="1"/>
    <n v="3"/>
    <s v="Married"/>
    <n v="3057"/>
    <n v="20471"/>
    <n v="6"/>
    <s v="Y"/>
    <s v="Yes"/>
    <s v="Yes"/>
    <n v="13"/>
    <n v="3"/>
    <n v="2"/>
    <n v="80"/>
    <n v="1"/>
    <n v="6"/>
    <s v="6-15"/>
    <n v="0"/>
    <n v="1"/>
    <n v="1"/>
    <n v="0"/>
    <n v="0"/>
    <n v="1"/>
  </r>
  <r>
    <n v="34"/>
    <x v="1"/>
    <s v="No"/>
    <s v="Travel_Rarely"/>
    <n v="167"/>
    <x v="1"/>
    <n v="8"/>
    <n v="5"/>
    <s v="Life Sciences"/>
    <n v="1"/>
    <n v="775"/>
    <n v="2"/>
    <s v="Female"/>
    <n v="32"/>
    <n v="3"/>
    <x v="0"/>
    <x v="3"/>
    <n v="1"/>
    <s v="Divorced"/>
    <n v="5121"/>
    <n v="4187"/>
    <n v="3"/>
    <s v="Y"/>
    <s v="No"/>
    <s v="No"/>
    <n v="14"/>
    <n v="3"/>
    <n v="3"/>
    <n v="80"/>
    <n v="1"/>
    <n v="7"/>
    <s v="6-15"/>
    <n v="3"/>
    <n v="3"/>
    <n v="0"/>
    <n v="0"/>
    <n v="0"/>
    <n v="0"/>
  </r>
  <r>
    <n v="52"/>
    <x v="1"/>
    <s v="No"/>
    <s v="Travel_Rarely"/>
    <n v="621"/>
    <x v="0"/>
    <n v="3"/>
    <n v="4"/>
    <s v="Marketing"/>
    <n v="1"/>
    <n v="776"/>
    <n v="3"/>
    <s v="Male"/>
    <n v="31"/>
    <n v="2"/>
    <x v="3"/>
    <x v="5"/>
    <n v="1"/>
    <s v="Married"/>
    <n v="16856"/>
    <n v="10084"/>
    <n v="1"/>
    <s v="Y"/>
    <s v="No"/>
    <s v="No"/>
    <n v="11"/>
    <n v="3"/>
    <n v="1"/>
    <n v="80"/>
    <n v="0"/>
    <n v="34"/>
    <s v="&gt;15"/>
    <n v="3"/>
    <n v="4"/>
    <n v="34"/>
    <n v="6"/>
    <n v="1"/>
    <n v="16"/>
  </r>
  <r>
    <n v="33"/>
    <x v="0"/>
    <s v="Yes"/>
    <s v="Travel_Rarely"/>
    <n v="527"/>
    <x v="1"/>
    <n v="1"/>
    <n v="4"/>
    <s v="Other"/>
    <n v="1"/>
    <n v="780"/>
    <n v="4"/>
    <s v="Male"/>
    <n v="63"/>
    <n v="3"/>
    <x v="1"/>
    <x v="1"/>
    <n v="4"/>
    <s v="Single"/>
    <n v="2686"/>
    <n v="5207"/>
    <n v="1"/>
    <s v="Y"/>
    <s v="Yes"/>
    <s v="Yes"/>
    <n v="13"/>
    <n v="3"/>
    <n v="3"/>
    <n v="80"/>
    <n v="0"/>
    <n v="10"/>
    <s v="6-15"/>
    <n v="2"/>
    <n v="2"/>
    <n v="10"/>
    <n v="9"/>
    <n v="7"/>
    <n v="8"/>
  </r>
  <r>
    <n v="25"/>
    <x v="1"/>
    <s v="No"/>
    <s v="Travel_Rarely"/>
    <n v="883"/>
    <x v="0"/>
    <n v="26"/>
    <n v="1"/>
    <s v="Medical"/>
    <n v="1"/>
    <n v="781"/>
    <n v="3"/>
    <s v="Female"/>
    <n v="32"/>
    <n v="3"/>
    <x v="0"/>
    <x v="0"/>
    <n v="4"/>
    <s v="Single"/>
    <n v="6180"/>
    <n v="22807"/>
    <n v="1"/>
    <s v="Y"/>
    <s v="No"/>
    <s v="No"/>
    <n v="23"/>
    <n v="4"/>
    <n v="2"/>
    <n v="80"/>
    <n v="0"/>
    <n v="6"/>
    <s v="6-15"/>
    <n v="5"/>
    <n v="2"/>
    <n v="6"/>
    <n v="5"/>
    <n v="1"/>
    <n v="4"/>
  </r>
  <r>
    <n v="45"/>
    <x v="1"/>
    <s v="No"/>
    <s v="Travel_Rarely"/>
    <n v="954"/>
    <x v="0"/>
    <n v="2"/>
    <n v="2"/>
    <s v="Technical Degree"/>
    <n v="1"/>
    <n v="783"/>
    <n v="2"/>
    <s v="Male"/>
    <n v="46"/>
    <n v="1"/>
    <x v="0"/>
    <x v="6"/>
    <n v="3"/>
    <s v="Single"/>
    <n v="6632"/>
    <n v="12388"/>
    <n v="0"/>
    <s v="Y"/>
    <s v="No"/>
    <s v="No"/>
    <n v="13"/>
    <n v="3"/>
    <n v="1"/>
    <n v="80"/>
    <n v="0"/>
    <n v="9"/>
    <s v="6-15"/>
    <n v="3"/>
    <n v="3"/>
    <n v="8"/>
    <n v="7"/>
    <n v="3"/>
    <n v="1"/>
  </r>
  <r>
    <n v="23"/>
    <x v="1"/>
    <s v="No"/>
    <s v="Travel_Rarely"/>
    <n v="310"/>
    <x v="1"/>
    <n v="10"/>
    <n v="1"/>
    <s v="Medical"/>
    <n v="1"/>
    <n v="784"/>
    <n v="1"/>
    <s v="Male"/>
    <n v="79"/>
    <n v="4"/>
    <x v="1"/>
    <x v="1"/>
    <n v="3"/>
    <s v="Single"/>
    <n v="3505"/>
    <n v="19630"/>
    <n v="1"/>
    <s v="Y"/>
    <s v="No"/>
    <s v="No"/>
    <n v="18"/>
    <n v="3"/>
    <n v="4"/>
    <n v="80"/>
    <n v="0"/>
    <n v="2"/>
    <s v="0-5"/>
    <n v="3"/>
    <n v="3"/>
    <n v="2"/>
    <n v="2"/>
    <n v="0"/>
    <n v="2"/>
  </r>
  <r>
    <n v="47"/>
    <x v="0"/>
    <s v="Yes"/>
    <s v="Travel_Frequently"/>
    <n v="719"/>
    <x v="0"/>
    <n v="27"/>
    <n v="2"/>
    <s v="Life Sciences"/>
    <n v="1"/>
    <n v="785"/>
    <n v="2"/>
    <s v="Female"/>
    <n v="77"/>
    <n v="4"/>
    <x v="0"/>
    <x v="0"/>
    <n v="3"/>
    <s v="Single"/>
    <n v="6397"/>
    <n v="10339"/>
    <n v="4"/>
    <s v="Y"/>
    <s v="Yes"/>
    <s v="Yes"/>
    <n v="12"/>
    <n v="3"/>
    <n v="4"/>
    <n v="80"/>
    <n v="0"/>
    <n v="8"/>
    <s v="6-15"/>
    <n v="2"/>
    <n v="3"/>
    <n v="5"/>
    <n v="4"/>
    <n v="1"/>
    <n v="3"/>
  </r>
  <r>
    <n v="34"/>
    <x v="1"/>
    <s v="No"/>
    <s v="Travel_Rarely"/>
    <n v="304"/>
    <x v="0"/>
    <n v="2"/>
    <n v="3"/>
    <s v="Other"/>
    <n v="1"/>
    <n v="786"/>
    <n v="4"/>
    <s v="Male"/>
    <n v="60"/>
    <n v="3"/>
    <x v="0"/>
    <x v="0"/>
    <n v="4"/>
    <s v="Single"/>
    <n v="6274"/>
    <n v="18686"/>
    <n v="1"/>
    <s v="Y"/>
    <s v="No"/>
    <s v="No"/>
    <n v="22"/>
    <n v="4"/>
    <n v="3"/>
    <n v="80"/>
    <n v="0"/>
    <n v="6"/>
    <s v="6-15"/>
    <n v="5"/>
    <n v="3"/>
    <n v="6"/>
    <n v="5"/>
    <n v="1"/>
    <n v="4"/>
  </r>
  <r>
    <n v="55"/>
    <x v="0"/>
    <s v="Yes"/>
    <s v="Travel_Rarely"/>
    <n v="725"/>
    <x v="1"/>
    <n v="2"/>
    <n v="3"/>
    <s v="Medical"/>
    <n v="1"/>
    <n v="787"/>
    <n v="4"/>
    <s v="Male"/>
    <n v="78"/>
    <n v="3"/>
    <x v="4"/>
    <x v="5"/>
    <n v="1"/>
    <s v="Married"/>
    <n v="19859"/>
    <n v="21199"/>
    <n v="5"/>
    <s v="Y"/>
    <s v="Yes"/>
    <s v="Yes"/>
    <n v="13"/>
    <n v="3"/>
    <n v="4"/>
    <n v="80"/>
    <n v="1"/>
    <n v="24"/>
    <s v="&gt;15"/>
    <n v="2"/>
    <n v="3"/>
    <n v="5"/>
    <n v="2"/>
    <n v="1"/>
    <n v="4"/>
  </r>
  <r>
    <n v="36"/>
    <x v="1"/>
    <s v="No"/>
    <s v="Non-Travel"/>
    <n v="1434"/>
    <x v="0"/>
    <n v="8"/>
    <n v="4"/>
    <s v="Life Sciences"/>
    <n v="1"/>
    <n v="789"/>
    <n v="1"/>
    <s v="Male"/>
    <n v="76"/>
    <n v="2"/>
    <x v="2"/>
    <x v="0"/>
    <n v="1"/>
    <s v="Single"/>
    <n v="7587"/>
    <n v="14229"/>
    <n v="1"/>
    <s v="Y"/>
    <s v="No"/>
    <s v="No"/>
    <n v="15"/>
    <n v="3"/>
    <n v="2"/>
    <n v="80"/>
    <n v="0"/>
    <n v="10"/>
    <s v="6-15"/>
    <n v="1"/>
    <n v="3"/>
    <n v="10"/>
    <n v="7"/>
    <n v="0"/>
    <n v="9"/>
  </r>
  <r>
    <n v="52"/>
    <x v="1"/>
    <s v="No"/>
    <s v="Non-Travel"/>
    <n v="715"/>
    <x v="1"/>
    <n v="19"/>
    <n v="4"/>
    <s v="Medical"/>
    <n v="1"/>
    <n v="791"/>
    <n v="4"/>
    <s v="Male"/>
    <n v="41"/>
    <n v="3"/>
    <x v="1"/>
    <x v="1"/>
    <n v="4"/>
    <s v="Married"/>
    <n v="4258"/>
    <n v="26589"/>
    <n v="0"/>
    <s v="Y"/>
    <s v="No"/>
    <s v="No"/>
    <n v="18"/>
    <n v="3"/>
    <n v="1"/>
    <n v="80"/>
    <n v="1"/>
    <n v="5"/>
    <s v="0-5"/>
    <n v="3"/>
    <n v="3"/>
    <n v="4"/>
    <n v="3"/>
    <n v="1"/>
    <n v="2"/>
  </r>
  <r>
    <n v="26"/>
    <x v="1"/>
    <s v="No"/>
    <s v="Travel_Frequently"/>
    <n v="575"/>
    <x v="1"/>
    <n v="1"/>
    <n v="2"/>
    <s v="Life Sciences"/>
    <n v="1"/>
    <n v="792"/>
    <n v="1"/>
    <s v="Female"/>
    <n v="71"/>
    <n v="1"/>
    <x v="1"/>
    <x v="2"/>
    <n v="4"/>
    <s v="Divorced"/>
    <n v="4364"/>
    <n v="5288"/>
    <n v="3"/>
    <s v="Y"/>
    <s v="No"/>
    <s v="No"/>
    <n v="14"/>
    <n v="3"/>
    <n v="1"/>
    <n v="80"/>
    <n v="1"/>
    <n v="5"/>
    <s v="0-5"/>
    <n v="2"/>
    <n v="3"/>
    <n v="2"/>
    <n v="2"/>
    <n v="2"/>
    <n v="0"/>
  </r>
  <r>
    <n v="29"/>
    <x v="1"/>
    <s v="No"/>
    <s v="Travel_Rarely"/>
    <n v="657"/>
    <x v="1"/>
    <n v="27"/>
    <n v="3"/>
    <s v="Medical"/>
    <n v="1"/>
    <n v="793"/>
    <n v="2"/>
    <s v="Female"/>
    <n v="66"/>
    <n v="3"/>
    <x v="0"/>
    <x v="4"/>
    <n v="3"/>
    <s v="Married"/>
    <n v="4335"/>
    <n v="25549"/>
    <n v="4"/>
    <s v="Y"/>
    <s v="No"/>
    <s v="No"/>
    <n v="12"/>
    <n v="3"/>
    <n v="1"/>
    <n v="80"/>
    <n v="1"/>
    <n v="11"/>
    <s v="6-15"/>
    <n v="3"/>
    <n v="2"/>
    <n v="8"/>
    <n v="7"/>
    <n v="1"/>
    <n v="1"/>
  </r>
  <r>
    <n v="26"/>
    <x v="0"/>
    <s v="Yes"/>
    <s v="Travel_Rarely"/>
    <n v="1146"/>
    <x v="0"/>
    <n v="8"/>
    <n v="3"/>
    <s v="Technical Degree"/>
    <n v="1"/>
    <n v="796"/>
    <n v="4"/>
    <s v="Male"/>
    <n v="38"/>
    <n v="2"/>
    <x v="0"/>
    <x v="0"/>
    <n v="1"/>
    <s v="Single"/>
    <n v="5326"/>
    <n v="3064"/>
    <n v="6"/>
    <s v="Y"/>
    <s v="No"/>
    <s v="No"/>
    <n v="17"/>
    <n v="3"/>
    <n v="3"/>
    <n v="80"/>
    <n v="0"/>
    <n v="6"/>
    <s v="6-15"/>
    <n v="2"/>
    <n v="2"/>
    <n v="4"/>
    <n v="3"/>
    <n v="1"/>
    <n v="2"/>
  </r>
  <r>
    <n v="34"/>
    <x v="1"/>
    <s v="No"/>
    <s v="Travel_Rarely"/>
    <n v="182"/>
    <x v="1"/>
    <n v="1"/>
    <n v="4"/>
    <s v="Life Sciences"/>
    <n v="1"/>
    <n v="797"/>
    <n v="2"/>
    <s v="Female"/>
    <n v="72"/>
    <n v="4"/>
    <x v="1"/>
    <x v="1"/>
    <n v="4"/>
    <s v="Single"/>
    <n v="3280"/>
    <n v="13551"/>
    <n v="2"/>
    <s v="Y"/>
    <s v="No"/>
    <s v="No"/>
    <n v="16"/>
    <n v="3"/>
    <n v="3"/>
    <n v="80"/>
    <n v="0"/>
    <n v="10"/>
    <s v="6-15"/>
    <n v="2"/>
    <n v="3"/>
    <n v="4"/>
    <n v="2"/>
    <n v="1"/>
    <n v="3"/>
  </r>
  <r>
    <n v="54"/>
    <x v="1"/>
    <s v="No"/>
    <s v="Travel_Rarely"/>
    <n v="376"/>
    <x v="1"/>
    <n v="19"/>
    <n v="4"/>
    <s v="Medical"/>
    <n v="1"/>
    <n v="799"/>
    <n v="4"/>
    <s v="Female"/>
    <n v="95"/>
    <n v="3"/>
    <x v="0"/>
    <x v="3"/>
    <n v="1"/>
    <s v="Divorced"/>
    <n v="5485"/>
    <n v="22670"/>
    <n v="9"/>
    <s v="Y"/>
    <s v="Yes"/>
    <s v="Yes"/>
    <n v="11"/>
    <n v="3"/>
    <n v="2"/>
    <n v="80"/>
    <n v="2"/>
    <n v="9"/>
    <s v="6-15"/>
    <n v="4"/>
    <n v="3"/>
    <n v="5"/>
    <n v="3"/>
    <n v="1"/>
    <n v="4"/>
  </r>
  <r>
    <n v="27"/>
    <x v="1"/>
    <s v="No"/>
    <s v="Travel_Frequently"/>
    <n v="829"/>
    <x v="0"/>
    <n v="8"/>
    <n v="1"/>
    <s v="Marketing"/>
    <n v="1"/>
    <n v="800"/>
    <n v="3"/>
    <s v="Male"/>
    <n v="84"/>
    <n v="3"/>
    <x v="0"/>
    <x v="0"/>
    <n v="4"/>
    <s v="Married"/>
    <n v="4342"/>
    <n v="24008"/>
    <n v="0"/>
    <s v="Y"/>
    <s v="No"/>
    <s v="No"/>
    <n v="19"/>
    <n v="3"/>
    <n v="2"/>
    <n v="80"/>
    <n v="1"/>
    <n v="5"/>
    <s v="0-5"/>
    <n v="3"/>
    <n v="3"/>
    <n v="4"/>
    <n v="2"/>
    <n v="1"/>
    <n v="1"/>
  </r>
  <r>
    <n v="37"/>
    <x v="1"/>
    <s v="No"/>
    <s v="Travel_Rarely"/>
    <n v="571"/>
    <x v="1"/>
    <n v="10"/>
    <n v="1"/>
    <s v="Life Sciences"/>
    <n v="1"/>
    <n v="802"/>
    <n v="4"/>
    <s v="Female"/>
    <n v="82"/>
    <n v="3"/>
    <x v="1"/>
    <x v="1"/>
    <n v="1"/>
    <s v="Divorced"/>
    <n v="2782"/>
    <n v="19905"/>
    <n v="0"/>
    <s v="Y"/>
    <s v="Yes"/>
    <s v="Yes"/>
    <n v="13"/>
    <n v="3"/>
    <n v="2"/>
    <n v="80"/>
    <n v="2"/>
    <n v="6"/>
    <s v="6-15"/>
    <n v="3"/>
    <n v="2"/>
    <n v="5"/>
    <n v="3"/>
    <n v="4"/>
    <n v="3"/>
  </r>
  <r>
    <n v="38"/>
    <x v="1"/>
    <s v="No"/>
    <s v="Travel_Frequently"/>
    <n v="240"/>
    <x v="1"/>
    <n v="2"/>
    <n v="4"/>
    <s v="Life Sciences"/>
    <n v="1"/>
    <n v="803"/>
    <n v="1"/>
    <s v="Female"/>
    <n v="75"/>
    <n v="4"/>
    <x v="0"/>
    <x v="3"/>
    <n v="1"/>
    <s v="Single"/>
    <n v="5980"/>
    <n v="26085"/>
    <n v="6"/>
    <s v="Y"/>
    <s v="Yes"/>
    <s v="Yes"/>
    <n v="12"/>
    <n v="3"/>
    <n v="4"/>
    <n v="80"/>
    <n v="0"/>
    <n v="17"/>
    <s v="&gt;15"/>
    <n v="2"/>
    <n v="3"/>
    <n v="15"/>
    <n v="7"/>
    <n v="4"/>
    <n v="12"/>
  </r>
  <r>
    <n v="34"/>
    <x v="1"/>
    <s v="No"/>
    <s v="Travel_Rarely"/>
    <n v="121"/>
    <x v="1"/>
    <n v="2"/>
    <n v="4"/>
    <s v="Medical"/>
    <n v="1"/>
    <n v="804"/>
    <n v="3"/>
    <s v="Female"/>
    <n v="86"/>
    <n v="2"/>
    <x v="1"/>
    <x v="1"/>
    <n v="1"/>
    <s v="Single"/>
    <n v="4381"/>
    <n v="7530"/>
    <n v="1"/>
    <s v="Y"/>
    <s v="No"/>
    <s v="No"/>
    <n v="11"/>
    <n v="3"/>
    <n v="3"/>
    <n v="80"/>
    <n v="0"/>
    <n v="6"/>
    <s v="6-15"/>
    <n v="3"/>
    <n v="3"/>
    <n v="6"/>
    <n v="5"/>
    <n v="1"/>
    <n v="3"/>
  </r>
  <r>
    <n v="35"/>
    <x v="1"/>
    <s v="No"/>
    <s v="Travel_Rarely"/>
    <n v="384"/>
    <x v="0"/>
    <n v="8"/>
    <n v="4"/>
    <s v="Life Sciences"/>
    <n v="1"/>
    <n v="805"/>
    <n v="1"/>
    <s v="Female"/>
    <n v="72"/>
    <n v="3"/>
    <x v="1"/>
    <x v="6"/>
    <n v="4"/>
    <s v="Married"/>
    <n v="2572"/>
    <n v="20317"/>
    <n v="1"/>
    <s v="Y"/>
    <s v="No"/>
    <s v="No"/>
    <n v="16"/>
    <n v="3"/>
    <n v="2"/>
    <n v="80"/>
    <n v="1"/>
    <n v="3"/>
    <s v="0-5"/>
    <n v="1"/>
    <n v="2"/>
    <n v="3"/>
    <n v="2"/>
    <n v="0"/>
    <n v="2"/>
  </r>
  <r>
    <n v="30"/>
    <x v="1"/>
    <s v="No"/>
    <s v="Travel_Rarely"/>
    <n v="921"/>
    <x v="1"/>
    <n v="1"/>
    <n v="3"/>
    <s v="Life Sciences"/>
    <n v="1"/>
    <n v="806"/>
    <n v="4"/>
    <s v="Male"/>
    <n v="38"/>
    <n v="1"/>
    <x v="1"/>
    <x v="2"/>
    <n v="3"/>
    <s v="Married"/>
    <n v="3833"/>
    <n v="24375"/>
    <n v="3"/>
    <s v="Y"/>
    <s v="No"/>
    <s v="No"/>
    <n v="21"/>
    <n v="4"/>
    <n v="3"/>
    <n v="80"/>
    <n v="2"/>
    <n v="7"/>
    <s v="6-15"/>
    <n v="2"/>
    <n v="3"/>
    <n v="2"/>
    <n v="2"/>
    <n v="0"/>
    <n v="2"/>
  </r>
  <r>
    <n v="40"/>
    <x v="1"/>
    <s v="No"/>
    <s v="Travel_Frequently"/>
    <n v="791"/>
    <x v="1"/>
    <n v="2"/>
    <n v="2"/>
    <s v="Medical"/>
    <n v="1"/>
    <n v="807"/>
    <n v="3"/>
    <s v="Female"/>
    <n v="38"/>
    <n v="4"/>
    <x v="0"/>
    <x v="4"/>
    <n v="2"/>
    <s v="Married"/>
    <n v="4244"/>
    <n v="9931"/>
    <n v="1"/>
    <s v="Y"/>
    <s v="No"/>
    <s v="No"/>
    <n v="24"/>
    <n v="4"/>
    <n v="4"/>
    <n v="80"/>
    <n v="1"/>
    <n v="8"/>
    <s v="6-15"/>
    <n v="2"/>
    <n v="3"/>
    <n v="8"/>
    <n v="7"/>
    <n v="3"/>
    <n v="7"/>
  </r>
  <r>
    <n v="34"/>
    <x v="1"/>
    <s v="No"/>
    <s v="Travel_Rarely"/>
    <n v="1111"/>
    <x v="0"/>
    <n v="8"/>
    <n v="2"/>
    <s v="Life Sciences"/>
    <n v="1"/>
    <n v="808"/>
    <n v="3"/>
    <s v="Female"/>
    <n v="93"/>
    <n v="3"/>
    <x v="0"/>
    <x v="0"/>
    <n v="1"/>
    <s v="Married"/>
    <n v="6500"/>
    <n v="13305"/>
    <n v="5"/>
    <s v="Y"/>
    <s v="No"/>
    <s v="No"/>
    <n v="17"/>
    <n v="3"/>
    <n v="2"/>
    <n v="80"/>
    <n v="1"/>
    <n v="6"/>
    <s v="6-15"/>
    <n v="1"/>
    <n v="3"/>
    <n v="3"/>
    <n v="2"/>
    <n v="1"/>
    <n v="2"/>
  </r>
  <r>
    <n v="42"/>
    <x v="1"/>
    <s v="No"/>
    <s v="Travel_Frequently"/>
    <n v="570"/>
    <x v="1"/>
    <n v="8"/>
    <n v="3"/>
    <s v="Life Sciences"/>
    <n v="1"/>
    <n v="809"/>
    <n v="2"/>
    <s v="Male"/>
    <n v="66"/>
    <n v="3"/>
    <x v="4"/>
    <x v="5"/>
    <n v="4"/>
    <s v="Divorced"/>
    <n v="18430"/>
    <n v="16225"/>
    <n v="1"/>
    <s v="Y"/>
    <s v="No"/>
    <s v="No"/>
    <n v="13"/>
    <n v="3"/>
    <n v="2"/>
    <n v="80"/>
    <n v="1"/>
    <n v="24"/>
    <s v="&gt;15"/>
    <n v="4"/>
    <n v="2"/>
    <n v="24"/>
    <n v="7"/>
    <n v="14"/>
    <n v="9"/>
  </r>
  <r>
    <n v="23"/>
    <x v="0"/>
    <s v="Yes"/>
    <s v="Travel_Rarely"/>
    <n v="1243"/>
    <x v="1"/>
    <n v="6"/>
    <n v="3"/>
    <s v="Life Sciences"/>
    <n v="1"/>
    <n v="811"/>
    <n v="3"/>
    <s v="Male"/>
    <n v="63"/>
    <n v="4"/>
    <x v="1"/>
    <x v="2"/>
    <n v="1"/>
    <s v="Married"/>
    <n v="1601"/>
    <n v="3445"/>
    <n v="1"/>
    <s v="Y"/>
    <s v="Yes"/>
    <s v="Yes"/>
    <n v="21"/>
    <n v="4"/>
    <n v="3"/>
    <n v="80"/>
    <n v="2"/>
    <n v="1"/>
    <s v="0-5"/>
    <n v="2"/>
    <n v="3"/>
    <n v="0"/>
    <n v="0"/>
    <n v="0"/>
    <n v="0"/>
  </r>
  <r>
    <n v="24"/>
    <x v="1"/>
    <s v="No"/>
    <s v="Non-Travel"/>
    <n v="1092"/>
    <x v="1"/>
    <n v="9"/>
    <n v="3"/>
    <s v="Life Sciences"/>
    <n v="1"/>
    <n v="812"/>
    <n v="3"/>
    <s v="Male"/>
    <n v="60"/>
    <n v="2"/>
    <x v="1"/>
    <x v="2"/>
    <n v="2"/>
    <s v="Divorced"/>
    <n v="2694"/>
    <n v="26551"/>
    <n v="1"/>
    <s v="Y"/>
    <s v="No"/>
    <s v="No"/>
    <n v="11"/>
    <n v="3"/>
    <n v="3"/>
    <n v="80"/>
    <n v="3"/>
    <n v="1"/>
    <s v="0-5"/>
    <n v="4"/>
    <n v="3"/>
    <n v="1"/>
    <n v="0"/>
    <n v="0"/>
    <n v="0"/>
  </r>
  <r>
    <n v="52"/>
    <x v="1"/>
    <s v="No"/>
    <s v="Travel_Rarely"/>
    <n v="1325"/>
    <x v="1"/>
    <n v="11"/>
    <n v="4"/>
    <s v="Life Sciences"/>
    <n v="1"/>
    <n v="813"/>
    <n v="4"/>
    <s v="Female"/>
    <n v="82"/>
    <n v="3"/>
    <x v="0"/>
    <x v="2"/>
    <n v="3"/>
    <s v="Married"/>
    <n v="3149"/>
    <n v="21821"/>
    <n v="8"/>
    <s v="Y"/>
    <s v="No"/>
    <s v="No"/>
    <n v="20"/>
    <n v="4"/>
    <n v="2"/>
    <n v="80"/>
    <n v="1"/>
    <n v="9"/>
    <s v="6-15"/>
    <n v="3"/>
    <n v="3"/>
    <n v="5"/>
    <n v="2"/>
    <n v="1"/>
    <n v="4"/>
  </r>
  <r>
    <n v="50"/>
    <x v="1"/>
    <s v="No"/>
    <s v="Travel_Rarely"/>
    <n v="691"/>
    <x v="1"/>
    <n v="2"/>
    <n v="3"/>
    <s v="Medical"/>
    <n v="1"/>
    <n v="815"/>
    <n v="3"/>
    <s v="Male"/>
    <n v="64"/>
    <n v="3"/>
    <x v="3"/>
    <x v="7"/>
    <n v="3"/>
    <s v="Married"/>
    <n v="17639"/>
    <n v="6881"/>
    <n v="5"/>
    <s v="Y"/>
    <s v="No"/>
    <s v="No"/>
    <n v="16"/>
    <n v="3"/>
    <n v="4"/>
    <n v="80"/>
    <n v="0"/>
    <n v="30"/>
    <s v="&gt;15"/>
    <n v="3"/>
    <n v="3"/>
    <n v="4"/>
    <n v="3"/>
    <n v="0"/>
    <n v="3"/>
  </r>
  <r>
    <n v="29"/>
    <x v="0"/>
    <s v="Yes"/>
    <s v="Travel_Rarely"/>
    <n v="805"/>
    <x v="1"/>
    <n v="1"/>
    <n v="2"/>
    <s v="Life Sciences"/>
    <n v="1"/>
    <n v="816"/>
    <n v="2"/>
    <s v="Female"/>
    <n v="36"/>
    <n v="2"/>
    <x v="1"/>
    <x v="2"/>
    <n v="1"/>
    <s v="Married"/>
    <n v="2319"/>
    <n v="6689"/>
    <n v="1"/>
    <s v="Y"/>
    <s v="Yes"/>
    <s v="Yes"/>
    <n v="11"/>
    <n v="3"/>
    <n v="4"/>
    <n v="80"/>
    <n v="1"/>
    <n v="1"/>
    <s v="0-5"/>
    <n v="1"/>
    <n v="3"/>
    <n v="1"/>
    <n v="0"/>
    <n v="0"/>
    <n v="0"/>
  </r>
  <r>
    <n v="33"/>
    <x v="1"/>
    <s v="No"/>
    <s v="Travel_Rarely"/>
    <n v="213"/>
    <x v="1"/>
    <n v="7"/>
    <n v="3"/>
    <s v="Medical"/>
    <n v="1"/>
    <n v="817"/>
    <n v="3"/>
    <s v="Male"/>
    <n v="49"/>
    <n v="3"/>
    <x v="2"/>
    <x v="7"/>
    <n v="3"/>
    <s v="Married"/>
    <n v="11691"/>
    <n v="25995"/>
    <n v="0"/>
    <s v="Y"/>
    <s v="No"/>
    <s v="No"/>
    <n v="11"/>
    <n v="3"/>
    <n v="4"/>
    <n v="80"/>
    <n v="0"/>
    <n v="14"/>
    <s v="6-15"/>
    <n v="3"/>
    <n v="4"/>
    <n v="13"/>
    <n v="9"/>
    <n v="3"/>
    <n v="7"/>
  </r>
  <r>
    <n v="33"/>
    <x v="0"/>
    <s v="Yes"/>
    <s v="Travel_Rarely"/>
    <n v="118"/>
    <x v="0"/>
    <n v="16"/>
    <n v="3"/>
    <s v="Marketing"/>
    <n v="1"/>
    <n v="819"/>
    <n v="1"/>
    <s v="Female"/>
    <n v="69"/>
    <n v="3"/>
    <x v="0"/>
    <x v="0"/>
    <n v="1"/>
    <s v="Single"/>
    <n v="5324"/>
    <n v="26507"/>
    <n v="5"/>
    <s v="Y"/>
    <s v="No"/>
    <s v="No"/>
    <n v="15"/>
    <n v="3"/>
    <n v="3"/>
    <n v="80"/>
    <n v="0"/>
    <n v="6"/>
    <s v="6-15"/>
    <n v="3"/>
    <n v="3"/>
    <n v="3"/>
    <n v="2"/>
    <n v="0"/>
    <n v="2"/>
  </r>
  <r>
    <n v="47"/>
    <x v="1"/>
    <s v="No"/>
    <s v="Travel_Rarely"/>
    <n v="202"/>
    <x v="1"/>
    <n v="2"/>
    <n v="2"/>
    <s v="Other"/>
    <n v="1"/>
    <n v="820"/>
    <n v="3"/>
    <s v="Female"/>
    <n v="33"/>
    <n v="3"/>
    <x v="3"/>
    <x v="5"/>
    <n v="4"/>
    <s v="Married"/>
    <n v="16752"/>
    <n v="12982"/>
    <n v="1"/>
    <s v="Y"/>
    <s v="Yes"/>
    <s v="Yes"/>
    <n v="11"/>
    <n v="3"/>
    <n v="3"/>
    <n v="80"/>
    <n v="1"/>
    <n v="26"/>
    <s v="&gt;15"/>
    <n v="3"/>
    <n v="2"/>
    <n v="26"/>
    <n v="14"/>
    <n v="3"/>
    <n v="0"/>
  </r>
  <r>
    <n v="36"/>
    <x v="1"/>
    <s v="No"/>
    <s v="Travel_Rarely"/>
    <n v="676"/>
    <x v="1"/>
    <n v="1"/>
    <n v="3"/>
    <s v="Other"/>
    <n v="1"/>
    <n v="823"/>
    <n v="3"/>
    <s v="Female"/>
    <n v="35"/>
    <n v="3"/>
    <x v="0"/>
    <x v="3"/>
    <n v="2"/>
    <s v="Married"/>
    <n v="5228"/>
    <n v="23361"/>
    <n v="0"/>
    <s v="Y"/>
    <s v="No"/>
    <s v="No"/>
    <n v="15"/>
    <n v="3"/>
    <n v="1"/>
    <n v="80"/>
    <n v="1"/>
    <n v="10"/>
    <s v="6-15"/>
    <n v="2"/>
    <n v="3"/>
    <n v="9"/>
    <n v="7"/>
    <n v="0"/>
    <n v="5"/>
  </r>
  <r>
    <n v="29"/>
    <x v="1"/>
    <s v="No"/>
    <s v="Travel_Rarely"/>
    <n v="1252"/>
    <x v="1"/>
    <n v="23"/>
    <n v="2"/>
    <s v="Life Sciences"/>
    <n v="1"/>
    <n v="824"/>
    <n v="3"/>
    <s v="Male"/>
    <n v="81"/>
    <n v="4"/>
    <x v="1"/>
    <x v="1"/>
    <n v="3"/>
    <s v="Married"/>
    <n v="2700"/>
    <n v="23779"/>
    <n v="1"/>
    <s v="Y"/>
    <s v="No"/>
    <s v="No"/>
    <n v="24"/>
    <n v="4"/>
    <n v="3"/>
    <n v="80"/>
    <n v="1"/>
    <n v="10"/>
    <s v="6-15"/>
    <n v="3"/>
    <n v="3"/>
    <n v="10"/>
    <n v="7"/>
    <n v="0"/>
    <n v="7"/>
  </r>
  <r>
    <n v="58"/>
    <x v="0"/>
    <s v="Yes"/>
    <s v="Travel_Rarely"/>
    <n v="286"/>
    <x v="1"/>
    <n v="2"/>
    <n v="4"/>
    <s v="Life Sciences"/>
    <n v="1"/>
    <n v="825"/>
    <n v="4"/>
    <s v="Male"/>
    <n v="31"/>
    <n v="3"/>
    <x v="4"/>
    <x v="7"/>
    <n v="2"/>
    <s v="Single"/>
    <n v="19246"/>
    <n v="25761"/>
    <n v="7"/>
    <s v="Y"/>
    <s v="Yes"/>
    <s v="Yes"/>
    <n v="12"/>
    <n v="3"/>
    <n v="4"/>
    <n v="80"/>
    <n v="0"/>
    <n v="40"/>
    <s v="&gt;15"/>
    <n v="2"/>
    <n v="3"/>
    <n v="31"/>
    <n v="15"/>
    <n v="13"/>
    <n v="8"/>
  </r>
  <r>
    <n v="35"/>
    <x v="1"/>
    <s v="No"/>
    <s v="Travel_Rarely"/>
    <n v="1258"/>
    <x v="1"/>
    <n v="1"/>
    <n v="4"/>
    <s v="Life Sciences"/>
    <n v="1"/>
    <n v="826"/>
    <n v="4"/>
    <s v="Female"/>
    <n v="40"/>
    <n v="4"/>
    <x v="1"/>
    <x v="1"/>
    <n v="3"/>
    <s v="Single"/>
    <n v="2506"/>
    <n v="13301"/>
    <n v="3"/>
    <s v="Y"/>
    <s v="No"/>
    <s v="No"/>
    <n v="13"/>
    <n v="3"/>
    <n v="3"/>
    <n v="80"/>
    <n v="0"/>
    <n v="7"/>
    <s v="6-15"/>
    <n v="0"/>
    <n v="3"/>
    <n v="2"/>
    <n v="2"/>
    <n v="2"/>
    <n v="2"/>
  </r>
  <r>
    <n v="42"/>
    <x v="1"/>
    <s v="No"/>
    <s v="Travel_Rarely"/>
    <n v="932"/>
    <x v="1"/>
    <n v="1"/>
    <n v="2"/>
    <s v="Life Sciences"/>
    <n v="1"/>
    <n v="827"/>
    <n v="4"/>
    <s v="Female"/>
    <n v="43"/>
    <n v="2"/>
    <x v="0"/>
    <x v="3"/>
    <n v="4"/>
    <s v="Married"/>
    <n v="6062"/>
    <n v="4051"/>
    <n v="9"/>
    <s v="Y"/>
    <s v="Yes"/>
    <s v="Yes"/>
    <n v="13"/>
    <n v="3"/>
    <n v="4"/>
    <n v="80"/>
    <n v="1"/>
    <n v="8"/>
    <s v="6-15"/>
    <n v="4"/>
    <n v="3"/>
    <n v="4"/>
    <n v="3"/>
    <n v="0"/>
    <n v="2"/>
  </r>
  <r>
    <n v="28"/>
    <x v="0"/>
    <s v="Yes"/>
    <s v="Travel_Rarely"/>
    <n v="890"/>
    <x v="1"/>
    <n v="2"/>
    <n v="4"/>
    <s v="Medical"/>
    <n v="1"/>
    <n v="828"/>
    <n v="3"/>
    <s v="Male"/>
    <n v="46"/>
    <n v="3"/>
    <x v="1"/>
    <x v="1"/>
    <n v="3"/>
    <s v="Single"/>
    <n v="4382"/>
    <n v="16374"/>
    <n v="6"/>
    <s v="Y"/>
    <s v="No"/>
    <s v="No"/>
    <n v="17"/>
    <n v="3"/>
    <n v="4"/>
    <n v="80"/>
    <n v="0"/>
    <n v="5"/>
    <s v="0-5"/>
    <n v="3"/>
    <n v="2"/>
    <n v="2"/>
    <n v="2"/>
    <n v="2"/>
    <n v="1"/>
  </r>
  <r>
    <n v="36"/>
    <x v="1"/>
    <s v="No"/>
    <s v="Travel_Rarely"/>
    <n v="1041"/>
    <x v="2"/>
    <n v="13"/>
    <n v="3"/>
    <s v="Human Resources"/>
    <n v="1"/>
    <n v="829"/>
    <n v="3"/>
    <s v="Male"/>
    <n v="36"/>
    <n v="3"/>
    <x v="1"/>
    <x v="8"/>
    <n v="2"/>
    <s v="Married"/>
    <n v="2143"/>
    <n v="25527"/>
    <n v="4"/>
    <s v="Y"/>
    <s v="No"/>
    <s v="No"/>
    <n v="13"/>
    <n v="3"/>
    <n v="2"/>
    <n v="80"/>
    <n v="1"/>
    <n v="8"/>
    <s v="6-15"/>
    <n v="2"/>
    <n v="3"/>
    <n v="5"/>
    <n v="2"/>
    <n v="0"/>
    <n v="4"/>
  </r>
  <r>
    <n v="32"/>
    <x v="1"/>
    <s v="No"/>
    <s v="Travel_Rarely"/>
    <n v="859"/>
    <x v="1"/>
    <n v="4"/>
    <n v="3"/>
    <s v="Life Sciences"/>
    <n v="1"/>
    <n v="830"/>
    <n v="3"/>
    <s v="Female"/>
    <n v="98"/>
    <n v="2"/>
    <x v="0"/>
    <x v="3"/>
    <n v="3"/>
    <s v="Married"/>
    <n v="6162"/>
    <n v="19124"/>
    <n v="1"/>
    <s v="Y"/>
    <s v="No"/>
    <s v="No"/>
    <n v="12"/>
    <n v="3"/>
    <n v="3"/>
    <n v="80"/>
    <n v="1"/>
    <n v="14"/>
    <s v="6-15"/>
    <n v="3"/>
    <n v="3"/>
    <n v="14"/>
    <n v="13"/>
    <n v="6"/>
    <n v="8"/>
  </r>
  <r>
    <n v="40"/>
    <x v="1"/>
    <s v="No"/>
    <s v="Travel_Frequently"/>
    <n v="720"/>
    <x v="1"/>
    <n v="16"/>
    <n v="4"/>
    <s v="Medical"/>
    <n v="1"/>
    <n v="832"/>
    <n v="1"/>
    <s v="Male"/>
    <n v="51"/>
    <n v="2"/>
    <x v="0"/>
    <x v="2"/>
    <n v="3"/>
    <s v="Single"/>
    <n v="5094"/>
    <n v="11983"/>
    <n v="6"/>
    <s v="Y"/>
    <s v="No"/>
    <s v="No"/>
    <n v="14"/>
    <n v="3"/>
    <n v="4"/>
    <n v="80"/>
    <n v="0"/>
    <n v="10"/>
    <s v="6-15"/>
    <n v="6"/>
    <n v="3"/>
    <n v="1"/>
    <n v="0"/>
    <n v="0"/>
    <n v="0"/>
  </r>
  <r>
    <n v="30"/>
    <x v="1"/>
    <s v="No"/>
    <s v="Travel_Rarely"/>
    <n v="946"/>
    <x v="1"/>
    <n v="2"/>
    <n v="3"/>
    <s v="Medical"/>
    <n v="1"/>
    <n v="833"/>
    <n v="3"/>
    <s v="Female"/>
    <n v="52"/>
    <n v="2"/>
    <x v="0"/>
    <x v="3"/>
    <n v="4"/>
    <s v="Single"/>
    <n v="6877"/>
    <n v="20234"/>
    <n v="5"/>
    <s v="Y"/>
    <s v="Yes"/>
    <s v="Yes"/>
    <n v="24"/>
    <n v="4"/>
    <n v="2"/>
    <n v="80"/>
    <n v="0"/>
    <n v="12"/>
    <s v="6-15"/>
    <n v="4"/>
    <n v="2"/>
    <n v="0"/>
    <n v="0"/>
    <n v="0"/>
    <n v="0"/>
  </r>
  <r>
    <n v="45"/>
    <x v="1"/>
    <s v="No"/>
    <s v="Travel_Rarely"/>
    <n v="252"/>
    <x v="1"/>
    <n v="2"/>
    <n v="3"/>
    <s v="Life Sciences"/>
    <n v="1"/>
    <n v="834"/>
    <n v="2"/>
    <s v="Female"/>
    <n v="95"/>
    <n v="2"/>
    <x v="1"/>
    <x v="1"/>
    <n v="3"/>
    <s v="Single"/>
    <n v="2274"/>
    <n v="6153"/>
    <n v="1"/>
    <s v="Y"/>
    <s v="No"/>
    <s v="No"/>
    <n v="14"/>
    <n v="3"/>
    <n v="4"/>
    <n v="80"/>
    <n v="0"/>
    <n v="1"/>
    <s v="0-5"/>
    <n v="3"/>
    <n v="3"/>
    <n v="1"/>
    <n v="0"/>
    <n v="0"/>
    <n v="0"/>
  </r>
  <r>
    <n v="42"/>
    <x v="1"/>
    <s v="No"/>
    <s v="Travel_Rarely"/>
    <n v="933"/>
    <x v="1"/>
    <n v="29"/>
    <n v="3"/>
    <s v="Life Sciences"/>
    <n v="1"/>
    <n v="836"/>
    <n v="2"/>
    <s v="Male"/>
    <n v="98"/>
    <n v="3"/>
    <x v="0"/>
    <x v="3"/>
    <n v="2"/>
    <s v="Married"/>
    <n v="4434"/>
    <n v="11806"/>
    <n v="1"/>
    <s v="Y"/>
    <s v="No"/>
    <s v="No"/>
    <n v="13"/>
    <n v="3"/>
    <n v="4"/>
    <n v="80"/>
    <n v="1"/>
    <n v="10"/>
    <s v="6-15"/>
    <n v="3"/>
    <n v="2"/>
    <n v="9"/>
    <n v="8"/>
    <n v="7"/>
    <n v="8"/>
  </r>
  <r>
    <n v="38"/>
    <x v="1"/>
    <s v="No"/>
    <s v="Travel_Frequently"/>
    <n v="471"/>
    <x v="1"/>
    <n v="12"/>
    <n v="3"/>
    <s v="Life Sciences"/>
    <n v="1"/>
    <n v="837"/>
    <n v="1"/>
    <s v="Male"/>
    <n v="45"/>
    <n v="2"/>
    <x v="0"/>
    <x v="4"/>
    <n v="1"/>
    <s v="Divorced"/>
    <n v="6288"/>
    <n v="4284"/>
    <n v="2"/>
    <s v="Y"/>
    <s v="No"/>
    <s v="No"/>
    <n v="15"/>
    <n v="3"/>
    <n v="3"/>
    <n v="80"/>
    <n v="1"/>
    <n v="13"/>
    <s v="6-15"/>
    <n v="3"/>
    <n v="2"/>
    <n v="4"/>
    <n v="3"/>
    <n v="1"/>
    <n v="2"/>
  </r>
  <r>
    <n v="34"/>
    <x v="1"/>
    <s v="No"/>
    <s v="Travel_Frequently"/>
    <n v="702"/>
    <x v="1"/>
    <n v="16"/>
    <n v="4"/>
    <s v="Life Sciences"/>
    <n v="1"/>
    <n v="838"/>
    <n v="3"/>
    <s v="Female"/>
    <n v="100"/>
    <n v="2"/>
    <x v="1"/>
    <x v="1"/>
    <n v="4"/>
    <s v="Single"/>
    <n v="2553"/>
    <n v="8306"/>
    <n v="1"/>
    <s v="Y"/>
    <s v="No"/>
    <s v="No"/>
    <n v="16"/>
    <n v="3"/>
    <n v="3"/>
    <n v="80"/>
    <n v="0"/>
    <n v="6"/>
    <s v="6-15"/>
    <n v="3"/>
    <n v="3"/>
    <n v="5"/>
    <n v="2"/>
    <n v="1"/>
    <n v="3"/>
  </r>
  <r>
    <n v="49"/>
    <x v="0"/>
    <s v="Yes"/>
    <s v="Travel_Rarely"/>
    <n v="1184"/>
    <x v="0"/>
    <n v="11"/>
    <n v="3"/>
    <s v="Marketing"/>
    <n v="1"/>
    <n v="840"/>
    <n v="3"/>
    <s v="Female"/>
    <n v="43"/>
    <n v="3"/>
    <x v="2"/>
    <x v="0"/>
    <n v="4"/>
    <s v="Married"/>
    <n v="7654"/>
    <n v="5860"/>
    <n v="1"/>
    <s v="Y"/>
    <s v="No"/>
    <s v="No"/>
    <n v="18"/>
    <n v="3"/>
    <n v="1"/>
    <n v="80"/>
    <n v="2"/>
    <n v="9"/>
    <s v="6-15"/>
    <n v="3"/>
    <n v="4"/>
    <n v="9"/>
    <n v="8"/>
    <n v="7"/>
    <n v="7"/>
  </r>
  <r>
    <n v="55"/>
    <x v="0"/>
    <s v="Yes"/>
    <s v="Travel_Rarely"/>
    <n v="436"/>
    <x v="0"/>
    <n v="2"/>
    <n v="1"/>
    <s v="Medical"/>
    <n v="1"/>
    <n v="842"/>
    <n v="3"/>
    <s v="Male"/>
    <n v="37"/>
    <n v="3"/>
    <x v="0"/>
    <x v="0"/>
    <n v="4"/>
    <s v="Single"/>
    <n v="5160"/>
    <n v="21519"/>
    <n v="4"/>
    <s v="Y"/>
    <s v="No"/>
    <s v="No"/>
    <n v="16"/>
    <n v="3"/>
    <n v="3"/>
    <n v="80"/>
    <n v="0"/>
    <n v="12"/>
    <s v="6-15"/>
    <n v="3"/>
    <n v="2"/>
    <n v="9"/>
    <n v="7"/>
    <n v="7"/>
    <n v="3"/>
  </r>
  <r>
    <n v="43"/>
    <x v="1"/>
    <s v="No"/>
    <s v="Travel_Rarely"/>
    <n v="589"/>
    <x v="1"/>
    <n v="14"/>
    <n v="2"/>
    <s v="Life Sciences"/>
    <n v="1"/>
    <n v="843"/>
    <n v="2"/>
    <s v="Male"/>
    <n v="94"/>
    <n v="3"/>
    <x v="3"/>
    <x v="7"/>
    <n v="1"/>
    <s v="Married"/>
    <n v="17159"/>
    <n v="5200"/>
    <n v="6"/>
    <s v="Y"/>
    <s v="No"/>
    <s v="No"/>
    <n v="24"/>
    <n v="4"/>
    <n v="3"/>
    <n v="80"/>
    <n v="1"/>
    <n v="22"/>
    <s v="&gt;15"/>
    <n v="3"/>
    <n v="3"/>
    <n v="4"/>
    <n v="1"/>
    <n v="1"/>
    <n v="0"/>
  </r>
  <r>
    <n v="27"/>
    <x v="1"/>
    <s v="No"/>
    <s v="Travel_Rarely"/>
    <n v="269"/>
    <x v="1"/>
    <n v="5"/>
    <n v="1"/>
    <s v="Technical Degree"/>
    <n v="1"/>
    <n v="844"/>
    <n v="3"/>
    <s v="Male"/>
    <n v="42"/>
    <n v="2"/>
    <x v="2"/>
    <x v="7"/>
    <n v="4"/>
    <s v="Divorced"/>
    <n v="12808"/>
    <n v="8842"/>
    <n v="1"/>
    <s v="Y"/>
    <s v="Yes"/>
    <s v="Yes"/>
    <n v="16"/>
    <n v="3"/>
    <n v="2"/>
    <n v="80"/>
    <n v="1"/>
    <n v="9"/>
    <s v="6-15"/>
    <n v="3"/>
    <n v="3"/>
    <n v="9"/>
    <n v="8"/>
    <n v="0"/>
    <n v="8"/>
  </r>
  <r>
    <n v="35"/>
    <x v="1"/>
    <s v="No"/>
    <s v="Travel_Rarely"/>
    <n v="950"/>
    <x v="1"/>
    <n v="7"/>
    <n v="3"/>
    <s v="Other"/>
    <n v="1"/>
    <n v="845"/>
    <n v="3"/>
    <s v="Male"/>
    <n v="59"/>
    <n v="3"/>
    <x v="2"/>
    <x v="3"/>
    <n v="3"/>
    <s v="Single"/>
    <n v="10221"/>
    <n v="18869"/>
    <n v="3"/>
    <s v="Y"/>
    <s v="No"/>
    <s v="No"/>
    <n v="21"/>
    <n v="4"/>
    <n v="2"/>
    <n v="80"/>
    <n v="0"/>
    <n v="17"/>
    <s v="&gt;15"/>
    <n v="3"/>
    <n v="4"/>
    <n v="8"/>
    <n v="5"/>
    <n v="1"/>
    <n v="6"/>
  </r>
  <r>
    <n v="28"/>
    <x v="1"/>
    <s v="No"/>
    <s v="Travel_Rarely"/>
    <n v="760"/>
    <x v="0"/>
    <n v="2"/>
    <n v="4"/>
    <s v="Marketing"/>
    <n v="1"/>
    <n v="846"/>
    <n v="2"/>
    <s v="Female"/>
    <n v="81"/>
    <n v="3"/>
    <x v="0"/>
    <x v="0"/>
    <n v="2"/>
    <s v="Married"/>
    <n v="4779"/>
    <n v="3698"/>
    <n v="1"/>
    <s v="Y"/>
    <s v="Yes"/>
    <s v="Yes"/>
    <n v="20"/>
    <n v="4"/>
    <n v="1"/>
    <n v="80"/>
    <n v="0"/>
    <n v="8"/>
    <s v="6-15"/>
    <n v="2"/>
    <n v="3"/>
    <n v="8"/>
    <n v="7"/>
    <n v="7"/>
    <n v="5"/>
  </r>
  <r>
    <n v="34"/>
    <x v="1"/>
    <s v="No"/>
    <s v="Travel_Rarely"/>
    <n v="829"/>
    <x v="2"/>
    <n v="3"/>
    <n v="2"/>
    <s v="Human Resources"/>
    <n v="1"/>
    <n v="847"/>
    <n v="3"/>
    <s v="Male"/>
    <n v="88"/>
    <n v="3"/>
    <x v="1"/>
    <x v="8"/>
    <n v="4"/>
    <s v="Married"/>
    <n v="3737"/>
    <n v="2243"/>
    <n v="0"/>
    <s v="Y"/>
    <s v="No"/>
    <s v="No"/>
    <n v="19"/>
    <n v="3"/>
    <n v="3"/>
    <n v="80"/>
    <n v="1"/>
    <n v="4"/>
    <s v="0-5"/>
    <n v="1"/>
    <n v="1"/>
    <n v="3"/>
    <n v="2"/>
    <n v="0"/>
    <n v="2"/>
  </r>
  <r>
    <n v="26"/>
    <x v="0"/>
    <s v="Yes"/>
    <s v="Travel_Frequently"/>
    <n v="887"/>
    <x v="1"/>
    <n v="5"/>
    <n v="2"/>
    <s v="Medical"/>
    <n v="1"/>
    <n v="848"/>
    <n v="3"/>
    <s v="Female"/>
    <n v="88"/>
    <n v="2"/>
    <x v="1"/>
    <x v="1"/>
    <n v="3"/>
    <s v="Married"/>
    <n v="2366"/>
    <n v="20898"/>
    <n v="1"/>
    <s v="Y"/>
    <s v="Yes"/>
    <s v="Yes"/>
    <n v="14"/>
    <n v="3"/>
    <n v="1"/>
    <n v="80"/>
    <n v="1"/>
    <n v="8"/>
    <s v="6-15"/>
    <n v="2"/>
    <n v="3"/>
    <n v="8"/>
    <n v="7"/>
    <n v="1"/>
    <n v="7"/>
  </r>
  <r>
    <n v="27"/>
    <x v="1"/>
    <s v="No"/>
    <s v="Non-Travel"/>
    <n v="443"/>
    <x v="1"/>
    <n v="3"/>
    <n v="3"/>
    <s v="Medical"/>
    <n v="1"/>
    <n v="850"/>
    <n v="4"/>
    <s v="Male"/>
    <n v="50"/>
    <n v="3"/>
    <x v="1"/>
    <x v="1"/>
    <n v="4"/>
    <s v="Married"/>
    <n v="1706"/>
    <n v="16571"/>
    <n v="1"/>
    <s v="Y"/>
    <s v="No"/>
    <s v="No"/>
    <n v="11"/>
    <n v="3"/>
    <n v="3"/>
    <n v="80"/>
    <n v="3"/>
    <n v="0"/>
    <s v="0-5"/>
    <n v="6"/>
    <n v="2"/>
    <n v="0"/>
    <n v="0"/>
    <n v="0"/>
    <n v="0"/>
  </r>
  <r>
    <n v="51"/>
    <x v="1"/>
    <s v="No"/>
    <s v="Travel_Rarely"/>
    <n v="1318"/>
    <x v="0"/>
    <n v="26"/>
    <n v="4"/>
    <s v="Marketing"/>
    <n v="1"/>
    <n v="851"/>
    <n v="1"/>
    <s v="Female"/>
    <n v="66"/>
    <n v="3"/>
    <x v="3"/>
    <x v="5"/>
    <n v="3"/>
    <s v="Married"/>
    <n v="16307"/>
    <n v="5594"/>
    <n v="2"/>
    <s v="Y"/>
    <s v="No"/>
    <s v="No"/>
    <n v="14"/>
    <n v="3"/>
    <n v="3"/>
    <n v="80"/>
    <n v="1"/>
    <n v="29"/>
    <s v="&gt;15"/>
    <n v="2"/>
    <n v="2"/>
    <n v="20"/>
    <n v="6"/>
    <n v="4"/>
    <n v="17"/>
  </r>
  <r>
    <n v="44"/>
    <x v="1"/>
    <s v="No"/>
    <s v="Travel_Rarely"/>
    <n v="625"/>
    <x v="1"/>
    <n v="4"/>
    <n v="3"/>
    <s v="Medical"/>
    <n v="1"/>
    <n v="852"/>
    <n v="4"/>
    <s v="Male"/>
    <n v="50"/>
    <n v="3"/>
    <x v="0"/>
    <x v="4"/>
    <n v="2"/>
    <s v="Single"/>
    <n v="5933"/>
    <n v="5197"/>
    <n v="9"/>
    <s v="Y"/>
    <s v="No"/>
    <s v="No"/>
    <n v="12"/>
    <n v="3"/>
    <n v="4"/>
    <n v="80"/>
    <n v="0"/>
    <n v="10"/>
    <s v="6-15"/>
    <n v="2"/>
    <n v="2"/>
    <n v="5"/>
    <n v="2"/>
    <n v="2"/>
    <n v="3"/>
  </r>
  <r>
    <n v="25"/>
    <x v="1"/>
    <s v="No"/>
    <s v="Travel_Rarely"/>
    <n v="180"/>
    <x v="1"/>
    <n v="2"/>
    <n v="1"/>
    <s v="Medical"/>
    <n v="1"/>
    <n v="854"/>
    <n v="1"/>
    <s v="Male"/>
    <n v="65"/>
    <n v="4"/>
    <x v="1"/>
    <x v="1"/>
    <n v="1"/>
    <s v="Single"/>
    <n v="3424"/>
    <n v="21632"/>
    <n v="7"/>
    <s v="Y"/>
    <s v="No"/>
    <s v="No"/>
    <n v="13"/>
    <n v="3"/>
    <n v="3"/>
    <n v="80"/>
    <n v="0"/>
    <n v="6"/>
    <s v="6-15"/>
    <n v="3"/>
    <n v="2"/>
    <n v="4"/>
    <n v="3"/>
    <n v="0"/>
    <n v="1"/>
  </r>
  <r>
    <n v="33"/>
    <x v="1"/>
    <s v="No"/>
    <s v="Travel_Rarely"/>
    <n v="586"/>
    <x v="0"/>
    <n v="1"/>
    <n v="3"/>
    <s v="Medical"/>
    <n v="1"/>
    <n v="855"/>
    <n v="1"/>
    <s v="Male"/>
    <n v="48"/>
    <n v="4"/>
    <x v="0"/>
    <x v="0"/>
    <n v="1"/>
    <s v="Divorced"/>
    <n v="4037"/>
    <n v="21816"/>
    <n v="1"/>
    <s v="Y"/>
    <s v="No"/>
    <s v="No"/>
    <n v="22"/>
    <n v="4"/>
    <n v="1"/>
    <n v="80"/>
    <n v="1"/>
    <n v="9"/>
    <s v="6-15"/>
    <n v="5"/>
    <n v="3"/>
    <n v="9"/>
    <n v="8"/>
    <n v="0"/>
    <n v="8"/>
  </r>
  <r>
    <n v="35"/>
    <x v="1"/>
    <s v="No"/>
    <s v="Travel_Rarely"/>
    <n v="1343"/>
    <x v="1"/>
    <n v="27"/>
    <n v="1"/>
    <s v="Medical"/>
    <n v="1"/>
    <n v="856"/>
    <n v="3"/>
    <s v="Female"/>
    <n v="53"/>
    <n v="2"/>
    <x v="1"/>
    <x v="1"/>
    <n v="1"/>
    <s v="Single"/>
    <n v="2559"/>
    <n v="17852"/>
    <n v="1"/>
    <s v="Y"/>
    <s v="No"/>
    <s v="No"/>
    <n v="11"/>
    <n v="3"/>
    <n v="4"/>
    <n v="80"/>
    <n v="0"/>
    <n v="6"/>
    <s v="6-15"/>
    <n v="3"/>
    <n v="2"/>
    <n v="6"/>
    <n v="5"/>
    <n v="1"/>
    <n v="1"/>
  </r>
  <r>
    <n v="36"/>
    <x v="1"/>
    <s v="No"/>
    <s v="Travel_Rarely"/>
    <n v="928"/>
    <x v="0"/>
    <n v="1"/>
    <n v="2"/>
    <s v="Life Sciences"/>
    <n v="1"/>
    <n v="857"/>
    <n v="2"/>
    <s v="Male"/>
    <n v="56"/>
    <n v="3"/>
    <x v="0"/>
    <x v="0"/>
    <n v="4"/>
    <s v="Married"/>
    <n v="6201"/>
    <n v="2823"/>
    <n v="1"/>
    <s v="Y"/>
    <s v="Yes"/>
    <s v="Yes"/>
    <n v="14"/>
    <n v="3"/>
    <n v="4"/>
    <n v="80"/>
    <n v="1"/>
    <n v="18"/>
    <s v="&gt;15"/>
    <n v="1"/>
    <n v="2"/>
    <n v="18"/>
    <n v="14"/>
    <n v="4"/>
    <n v="11"/>
  </r>
  <r>
    <n v="32"/>
    <x v="1"/>
    <s v="No"/>
    <s v="Travel_Rarely"/>
    <n v="117"/>
    <x v="0"/>
    <n v="13"/>
    <n v="4"/>
    <s v="Life Sciences"/>
    <n v="1"/>
    <n v="859"/>
    <n v="2"/>
    <s v="Male"/>
    <n v="73"/>
    <n v="3"/>
    <x v="0"/>
    <x v="0"/>
    <n v="4"/>
    <s v="Divorced"/>
    <n v="4403"/>
    <n v="9250"/>
    <n v="2"/>
    <s v="Y"/>
    <s v="No"/>
    <s v="No"/>
    <n v="11"/>
    <n v="3"/>
    <n v="3"/>
    <n v="80"/>
    <n v="1"/>
    <n v="8"/>
    <s v="6-15"/>
    <n v="3"/>
    <n v="2"/>
    <n v="5"/>
    <n v="2"/>
    <n v="0"/>
    <n v="3"/>
  </r>
  <r>
    <n v="30"/>
    <x v="1"/>
    <s v="No"/>
    <s v="Travel_Frequently"/>
    <n v="1012"/>
    <x v="1"/>
    <n v="5"/>
    <n v="4"/>
    <s v="Life Sciences"/>
    <n v="1"/>
    <n v="861"/>
    <n v="2"/>
    <s v="Male"/>
    <n v="75"/>
    <n v="2"/>
    <x v="1"/>
    <x v="1"/>
    <n v="4"/>
    <s v="Divorced"/>
    <n v="3761"/>
    <n v="2373"/>
    <n v="9"/>
    <s v="Y"/>
    <s v="No"/>
    <s v="No"/>
    <n v="12"/>
    <n v="3"/>
    <n v="2"/>
    <n v="80"/>
    <n v="1"/>
    <n v="10"/>
    <s v="6-15"/>
    <n v="3"/>
    <n v="2"/>
    <n v="5"/>
    <n v="4"/>
    <n v="0"/>
    <n v="3"/>
  </r>
  <r>
    <n v="53"/>
    <x v="1"/>
    <s v="No"/>
    <s v="Travel_Rarely"/>
    <n v="661"/>
    <x v="0"/>
    <n v="7"/>
    <n v="2"/>
    <s v="Marketing"/>
    <n v="1"/>
    <n v="862"/>
    <n v="1"/>
    <s v="Female"/>
    <n v="78"/>
    <n v="2"/>
    <x v="2"/>
    <x v="0"/>
    <n v="4"/>
    <s v="Married"/>
    <n v="10934"/>
    <n v="20715"/>
    <n v="7"/>
    <s v="Y"/>
    <s v="Yes"/>
    <s v="Yes"/>
    <n v="18"/>
    <n v="3"/>
    <n v="4"/>
    <n v="80"/>
    <n v="1"/>
    <n v="35"/>
    <s v="&gt;15"/>
    <n v="3"/>
    <n v="3"/>
    <n v="5"/>
    <n v="2"/>
    <n v="0"/>
    <n v="4"/>
  </r>
  <r>
    <n v="45"/>
    <x v="1"/>
    <s v="No"/>
    <s v="Travel_Rarely"/>
    <n v="930"/>
    <x v="0"/>
    <n v="9"/>
    <n v="3"/>
    <s v="Marketing"/>
    <n v="1"/>
    <n v="864"/>
    <n v="4"/>
    <s v="Male"/>
    <n v="74"/>
    <n v="3"/>
    <x v="2"/>
    <x v="0"/>
    <n v="1"/>
    <s v="Divorced"/>
    <n v="10761"/>
    <n v="19239"/>
    <n v="4"/>
    <s v="Y"/>
    <s v="Yes"/>
    <s v="Yes"/>
    <n v="12"/>
    <n v="3"/>
    <n v="3"/>
    <n v="80"/>
    <n v="1"/>
    <n v="18"/>
    <s v="&gt;15"/>
    <n v="2"/>
    <n v="3"/>
    <n v="5"/>
    <n v="4"/>
    <n v="0"/>
    <n v="2"/>
  </r>
  <r>
    <n v="32"/>
    <x v="1"/>
    <s v="No"/>
    <s v="Travel_Rarely"/>
    <n v="638"/>
    <x v="1"/>
    <n v="8"/>
    <n v="2"/>
    <s v="Medical"/>
    <n v="1"/>
    <n v="865"/>
    <n v="3"/>
    <s v="Female"/>
    <n v="91"/>
    <n v="4"/>
    <x v="0"/>
    <x v="1"/>
    <n v="3"/>
    <s v="Married"/>
    <n v="5175"/>
    <n v="22162"/>
    <n v="5"/>
    <s v="Y"/>
    <s v="No"/>
    <s v="No"/>
    <n v="12"/>
    <n v="3"/>
    <n v="3"/>
    <n v="80"/>
    <n v="1"/>
    <n v="9"/>
    <s v="6-15"/>
    <n v="3"/>
    <n v="2"/>
    <n v="5"/>
    <n v="3"/>
    <n v="1"/>
    <n v="3"/>
  </r>
  <r>
    <n v="52"/>
    <x v="1"/>
    <s v="No"/>
    <s v="Travel_Frequently"/>
    <n v="890"/>
    <x v="1"/>
    <n v="25"/>
    <n v="4"/>
    <s v="Medical"/>
    <n v="1"/>
    <n v="867"/>
    <n v="3"/>
    <s v="Female"/>
    <n v="81"/>
    <n v="2"/>
    <x v="3"/>
    <x v="3"/>
    <n v="4"/>
    <s v="Married"/>
    <n v="13826"/>
    <n v="19028"/>
    <n v="3"/>
    <s v="Y"/>
    <s v="No"/>
    <s v="No"/>
    <n v="22"/>
    <n v="4"/>
    <n v="3"/>
    <n v="80"/>
    <n v="0"/>
    <n v="31"/>
    <s v="&gt;15"/>
    <n v="3"/>
    <n v="3"/>
    <n v="9"/>
    <n v="8"/>
    <n v="0"/>
    <n v="0"/>
  </r>
  <r>
    <n v="37"/>
    <x v="1"/>
    <s v="No"/>
    <s v="Travel_Rarely"/>
    <n v="342"/>
    <x v="0"/>
    <n v="16"/>
    <n v="4"/>
    <s v="Marketing"/>
    <n v="1"/>
    <n v="868"/>
    <n v="4"/>
    <s v="Male"/>
    <n v="66"/>
    <n v="2"/>
    <x v="0"/>
    <x v="0"/>
    <n v="3"/>
    <s v="Divorced"/>
    <n v="6334"/>
    <n v="24558"/>
    <n v="4"/>
    <s v="Y"/>
    <s v="No"/>
    <s v="No"/>
    <n v="19"/>
    <n v="3"/>
    <n v="4"/>
    <n v="80"/>
    <n v="2"/>
    <n v="9"/>
    <s v="6-15"/>
    <n v="2"/>
    <n v="3"/>
    <n v="1"/>
    <n v="0"/>
    <n v="0"/>
    <n v="0"/>
  </r>
  <r>
    <n v="28"/>
    <x v="1"/>
    <s v="No"/>
    <s v="Travel_Rarely"/>
    <n v="1169"/>
    <x v="2"/>
    <n v="8"/>
    <n v="2"/>
    <s v="Medical"/>
    <n v="1"/>
    <n v="869"/>
    <n v="2"/>
    <s v="Male"/>
    <n v="63"/>
    <n v="2"/>
    <x v="1"/>
    <x v="8"/>
    <n v="4"/>
    <s v="Divorced"/>
    <n v="4936"/>
    <n v="23965"/>
    <n v="1"/>
    <s v="Y"/>
    <s v="No"/>
    <s v="No"/>
    <n v="13"/>
    <n v="3"/>
    <n v="4"/>
    <n v="80"/>
    <n v="1"/>
    <n v="6"/>
    <s v="6-15"/>
    <n v="6"/>
    <n v="3"/>
    <n v="5"/>
    <n v="1"/>
    <n v="0"/>
    <n v="4"/>
  </r>
  <r>
    <n v="22"/>
    <x v="1"/>
    <s v="No"/>
    <s v="Travel_Rarely"/>
    <n v="1230"/>
    <x v="1"/>
    <n v="1"/>
    <n v="2"/>
    <s v="Life Sciences"/>
    <n v="1"/>
    <n v="872"/>
    <n v="4"/>
    <s v="Male"/>
    <n v="33"/>
    <n v="2"/>
    <x v="0"/>
    <x v="3"/>
    <n v="4"/>
    <s v="Married"/>
    <n v="4775"/>
    <n v="19146"/>
    <n v="6"/>
    <s v="Y"/>
    <s v="No"/>
    <s v="No"/>
    <n v="22"/>
    <n v="4"/>
    <n v="1"/>
    <n v="80"/>
    <n v="2"/>
    <n v="4"/>
    <s v="0-5"/>
    <n v="2"/>
    <n v="1"/>
    <n v="2"/>
    <n v="2"/>
    <n v="2"/>
    <n v="2"/>
  </r>
  <r>
    <n v="44"/>
    <x v="1"/>
    <s v="No"/>
    <s v="Travel_Rarely"/>
    <n v="986"/>
    <x v="1"/>
    <n v="8"/>
    <n v="4"/>
    <s v="Life Sciences"/>
    <n v="1"/>
    <n v="874"/>
    <n v="1"/>
    <s v="Male"/>
    <n v="62"/>
    <n v="4"/>
    <x v="1"/>
    <x v="2"/>
    <n v="4"/>
    <s v="Married"/>
    <n v="2818"/>
    <n v="5044"/>
    <n v="2"/>
    <s v="Y"/>
    <s v="Yes"/>
    <s v="Yes"/>
    <n v="24"/>
    <n v="4"/>
    <n v="3"/>
    <n v="80"/>
    <n v="1"/>
    <n v="10"/>
    <s v="6-15"/>
    <n v="2"/>
    <n v="2"/>
    <n v="3"/>
    <n v="2"/>
    <n v="0"/>
    <n v="2"/>
  </r>
  <r>
    <n v="42"/>
    <x v="1"/>
    <s v="No"/>
    <s v="Travel_Frequently"/>
    <n v="1271"/>
    <x v="1"/>
    <n v="2"/>
    <n v="1"/>
    <s v="Medical"/>
    <n v="1"/>
    <n v="875"/>
    <n v="2"/>
    <s v="Male"/>
    <n v="35"/>
    <n v="3"/>
    <x v="1"/>
    <x v="1"/>
    <n v="4"/>
    <s v="Single"/>
    <n v="2515"/>
    <n v="9068"/>
    <n v="5"/>
    <s v="Y"/>
    <s v="Yes"/>
    <s v="Yes"/>
    <n v="14"/>
    <n v="3"/>
    <n v="4"/>
    <n v="80"/>
    <n v="0"/>
    <n v="8"/>
    <s v="6-15"/>
    <n v="2"/>
    <n v="3"/>
    <n v="2"/>
    <n v="1"/>
    <n v="2"/>
    <n v="2"/>
  </r>
  <r>
    <n v="36"/>
    <x v="1"/>
    <s v="No"/>
    <s v="Travel_Rarely"/>
    <n v="1278"/>
    <x v="2"/>
    <n v="8"/>
    <n v="3"/>
    <s v="Life Sciences"/>
    <n v="1"/>
    <n v="878"/>
    <n v="1"/>
    <s v="Male"/>
    <n v="77"/>
    <n v="2"/>
    <x v="1"/>
    <x v="8"/>
    <n v="1"/>
    <s v="Married"/>
    <n v="2342"/>
    <n v="8635"/>
    <n v="0"/>
    <s v="Y"/>
    <s v="No"/>
    <s v="No"/>
    <n v="21"/>
    <n v="4"/>
    <n v="3"/>
    <n v="80"/>
    <n v="0"/>
    <n v="6"/>
    <s v="6-15"/>
    <n v="3"/>
    <n v="3"/>
    <n v="5"/>
    <n v="4"/>
    <n v="0"/>
    <n v="3"/>
  </r>
  <r>
    <n v="25"/>
    <x v="1"/>
    <s v="No"/>
    <s v="Travel_Rarely"/>
    <n v="141"/>
    <x v="0"/>
    <n v="3"/>
    <n v="1"/>
    <s v="Other"/>
    <n v="1"/>
    <n v="879"/>
    <n v="3"/>
    <s v="Male"/>
    <n v="98"/>
    <n v="3"/>
    <x v="0"/>
    <x v="0"/>
    <n v="1"/>
    <s v="Married"/>
    <n v="4194"/>
    <n v="14363"/>
    <n v="1"/>
    <s v="Y"/>
    <s v="Yes"/>
    <s v="Yes"/>
    <n v="18"/>
    <n v="3"/>
    <n v="4"/>
    <n v="80"/>
    <n v="0"/>
    <n v="5"/>
    <s v="0-5"/>
    <n v="3"/>
    <n v="3"/>
    <n v="5"/>
    <n v="3"/>
    <n v="0"/>
    <n v="3"/>
  </r>
  <r>
    <n v="35"/>
    <x v="1"/>
    <s v="No"/>
    <s v="Travel_Rarely"/>
    <n v="607"/>
    <x v="1"/>
    <n v="9"/>
    <n v="3"/>
    <s v="Life Sciences"/>
    <n v="1"/>
    <n v="880"/>
    <n v="4"/>
    <s v="Female"/>
    <n v="66"/>
    <n v="2"/>
    <x v="2"/>
    <x v="3"/>
    <n v="3"/>
    <s v="Married"/>
    <n v="10685"/>
    <n v="23457"/>
    <n v="1"/>
    <s v="Y"/>
    <s v="Yes"/>
    <s v="Yes"/>
    <n v="20"/>
    <n v="4"/>
    <n v="2"/>
    <n v="80"/>
    <n v="1"/>
    <n v="17"/>
    <s v="&gt;15"/>
    <n v="2"/>
    <n v="3"/>
    <n v="17"/>
    <n v="14"/>
    <n v="5"/>
    <n v="15"/>
  </r>
  <r>
    <n v="35"/>
    <x v="0"/>
    <s v="Yes"/>
    <s v="Travel_Frequently"/>
    <n v="130"/>
    <x v="1"/>
    <n v="25"/>
    <n v="4"/>
    <s v="Life Sciences"/>
    <n v="1"/>
    <n v="881"/>
    <n v="4"/>
    <s v="Female"/>
    <n v="96"/>
    <n v="3"/>
    <x v="1"/>
    <x v="1"/>
    <n v="2"/>
    <s v="Divorced"/>
    <n v="2022"/>
    <n v="16612"/>
    <n v="1"/>
    <s v="Y"/>
    <s v="Yes"/>
    <s v="Yes"/>
    <n v="19"/>
    <n v="3"/>
    <n v="1"/>
    <n v="80"/>
    <n v="1"/>
    <n v="10"/>
    <s v="6-15"/>
    <n v="3"/>
    <n v="2"/>
    <n v="10"/>
    <n v="2"/>
    <n v="7"/>
    <n v="8"/>
  </r>
  <r>
    <n v="32"/>
    <x v="1"/>
    <s v="No"/>
    <s v="Non-Travel"/>
    <n v="300"/>
    <x v="1"/>
    <n v="1"/>
    <n v="3"/>
    <s v="Life Sciences"/>
    <n v="1"/>
    <n v="882"/>
    <n v="4"/>
    <s v="Male"/>
    <n v="61"/>
    <n v="3"/>
    <x v="1"/>
    <x v="2"/>
    <n v="4"/>
    <s v="Divorced"/>
    <n v="2314"/>
    <n v="9148"/>
    <n v="0"/>
    <s v="Y"/>
    <s v="No"/>
    <s v="No"/>
    <n v="12"/>
    <n v="3"/>
    <n v="2"/>
    <n v="80"/>
    <n v="1"/>
    <n v="4"/>
    <s v="0-5"/>
    <n v="2"/>
    <n v="3"/>
    <n v="3"/>
    <n v="0"/>
    <n v="0"/>
    <n v="2"/>
  </r>
  <r>
    <n v="25"/>
    <x v="1"/>
    <s v="No"/>
    <s v="Travel_Rarely"/>
    <n v="583"/>
    <x v="0"/>
    <n v="4"/>
    <n v="1"/>
    <s v="Marketing"/>
    <n v="1"/>
    <n v="885"/>
    <n v="3"/>
    <s v="Male"/>
    <n v="87"/>
    <n v="2"/>
    <x v="0"/>
    <x v="0"/>
    <n v="1"/>
    <s v="Married"/>
    <n v="4256"/>
    <n v="18154"/>
    <n v="1"/>
    <s v="Y"/>
    <s v="No"/>
    <s v="No"/>
    <n v="12"/>
    <n v="3"/>
    <n v="1"/>
    <n v="80"/>
    <n v="0"/>
    <n v="5"/>
    <s v="0-5"/>
    <n v="1"/>
    <n v="4"/>
    <n v="5"/>
    <n v="2"/>
    <n v="0"/>
    <n v="3"/>
  </r>
  <r>
    <n v="49"/>
    <x v="1"/>
    <s v="No"/>
    <s v="Travel_Rarely"/>
    <n v="1418"/>
    <x v="1"/>
    <n v="1"/>
    <n v="3"/>
    <s v="Technical Degree"/>
    <n v="1"/>
    <n v="887"/>
    <n v="3"/>
    <s v="Female"/>
    <n v="36"/>
    <n v="3"/>
    <x v="1"/>
    <x v="1"/>
    <n v="1"/>
    <s v="Married"/>
    <n v="3580"/>
    <n v="10554"/>
    <n v="2"/>
    <s v="Y"/>
    <s v="No"/>
    <s v="No"/>
    <n v="16"/>
    <n v="3"/>
    <n v="2"/>
    <n v="80"/>
    <n v="1"/>
    <n v="7"/>
    <s v="6-15"/>
    <n v="2"/>
    <n v="3"/>
    <n v="4"/>
    <n v="2"/>
    <n v="0"/>
    <n v="2"/>
  </r>
  <r>
    <n v="24"/>
    <x v="1"/>
    <s v="No"/>
    <s v="Non-Travel"/>
    <n v="1269"/>
    <x v="1"/>
    <n v="4"/>
    <n v="1"/>
    <s v="Life Sciences"/>
    <n v="1"/>
    <n v="888"/>
    <n v="1"/>
    <s v="Male"/>
    <n v="46"/>
    <n v="2"/>
    <x v="1"/>
    <x v="2"/>
    <n v="4"/>
    <s v="Married"/>
    <n v="3162"/>
    <n v="10778"/>
    <n v="0"/>
    <s v="Y"/>
    <s v="No"/>
    <s v="No"/>
    <n v="17"/>
    <n v="3"/>
    <n v="4"/>
    <n v="80"/>
    <n v="0"/>
    <n v="6"/>
    <s v="6-15"/>
    <n v="2"/>
    <n v="2"/>
    <n v="5"/>
    <n v="2"/>
    <n v="3"/>
    <n v="4"/>
  </r>
  <r>
    <n v="32"/>
    <x v="1"/>
    <s v="No"/>
    <s v="Travel_Frequently"/>
    <n v="379"/>
    <x v="0"/>
    <n v="5"/>
    <n v="2"/>
    <s v="Life Sciences"/>
    <n v="1"/>
    <n v="889"/>
    <n v="2"/>
    <s v="Male"/>
    <n v="48"/>
    <n v="3"/>
    <x v="0"/>
    <x v="0"/>
    <n v="2"/>
    <s v="Married"/>
    <n v="6524"/>
    <n v="8891"/>
    <n v="1"/>
    <s v="Y"/>
    <s v="No"/>
    <s v="No"/>
    <n v="14"/>
    <n v="3"/>
    <n v="4"/>
    <n v="80"/>
    <n v="1"/>
    <n v="10"/>
    <s v="6-15"/>
    <n v="3"/>
    <n v="3"/>
    <n v="10"/>
    <n v="8"/>
    <n v="5"/>
    <n v="3"/>
  </r>
  <r>
    <n v="38"/>
    <x v="1"/>
    <s v="No"/>
    <s v="Travel_Rarely"/>
    <n v="395"/>
    <x v="0"/>
    <n v="9"/>
    <n v="3"/>
    <s v="Marketing"/>
    <n v="1"/>
    <n v="893"/>
    <n v="2"/>
    <s v="Male"/>
    <n v="98"/>
    <n v="2"/>
    <x v="1"/>
    <x v="6"/>
    <n v="2"/>
    <s v="Married"/>
    <n v="2899"/>
    <n v="12102"/>
    <n v="0"/>
    <s v="Y"/>
    <s v="No"/>
    <s v="No"/>
    <n v="19"/>
    <n v="3"/>
    <n v="4"/>
    <n v="80"/>
    <n v="1"/>
    <n v="3"/>
    <s v="0-5"/>
    <n v="3"/>
    <n v="3"/>
    <n v="2"/>
    <n v="2"/>
    <n v="1"/>
    <n v="2"/>
  </r>
  <r>
    <n v="42"/>
    <x v="1"/>
    <s v="No"/>
    <s v="Travel_Rarely"/>
    <n v="1265"/>
    <x v="1"/>
    <n v="3"/>
    <n v="3"/>
    <s v="Life Sciences"/>
    <n v="1"/>
    <n v="894"/>
    <n v="3"/>
    <s v="Female"/>
    <n v="95"/>
    <n v="4"/>
    <x v="0"/>
    <x v="2"/>
    <n v="4"/>
    <s v="Married"/>
    <n v="5231"/>
    <n v="23726"/>
    <n v="2"/>
    <s v="Y"/>
    <s v="Yes"/>
    <s v="Yes"/>
    <n v="13"/>
    <n v="3"/>
    <n v="2"/>
    <n v="80"/>
    <n v="1"/>
    <n v="17"/>
    <s v="&gt;15"/>
    <n v="1"/>
    <n v="2"/>
    <n v="5"/>
    <n v="3"/>
    <n v="1"/>
    <n v="3"/>
  </r>
  <r>
    <n v="31"/>
    <x v="1"/>
    <s v="No"/>
    <s v="Travel_Rarely"/>
    <n v="1222"/>
    <x v="1"/>
    <n v="11"/>
    <n v="4"/>
    <s v="Life Sciences"/>
    <n v="1"/>
    <n v="895"/>
    <n v="4"/>
    <s v="Male"/>
    <n v="48"/>
    <n v="3"/>
    <x v="1"/>
    <x v="1"/>
    <n v="4"/>
    <s v="Married"/>
    <n v="2356"/>
    <n v="14871"/>
    <n v="3"/>
    <s v="Y"/>
    <s v="Yes"/>
    <s v="Yes"/>
    <n v="19"/>
    <n v="3"/>
    <n v="2"/>
    <n v="80"/>
    <n v="1"/>
    <n v="8"/>
    <s v="6-15"/>
    <n v="2"/>
    <n v="3"/>
    <n v="6"/>
    <n v="4"/>
    <n v="0"/>
    <n v="2"/>
  </r>
  <r>
    <n v="29"/>
    <x v="0"/>
    <s v="Yes"/>
    <s v="Travel_Rarely"/>
    <n v="341"/>
    <x v="0"/>
    <n v="1"/>
    <n v="3"/>
    <s v="Medical"/>
    <n v="1"/>
    <n v="896"/>
    <n v="2"/>
    <s v="Female"/>
    <n v="48"/>
    <n v="2"/>
    <x v="1"/>
    <x v="6"/>
    <n v="3"/>
    <s v="Divorced"/>
    <n v="2800"/>
    <n v="23522"/>
    <n v="6"/>
    <s v="Y"/>
    <s v="Yes"/>
    <s v="Yes"/>
    <n v="19"/>
    <n v="3"/>
    <n v="3"/>
    <n v="80"/>
    <n v="3"/>
    <n v="5"/>
    <s v="0-5"/>
    <n v="3"/>
    <n v="3"/>
    <n v="3"/>
    <n v="2"/>
    <n v="0"/>
    <n v="2"/>
  </r>
  <r>
    <n v="53"/>
    <x v="1"/>
    <s v="No"/>
    <s v="Travel_Rarely"/>
    <n v="868"/>
    <x v="0"/>
    <n v="8"/>
    <n v="3"/>
    <s v="Marketing"/>
    <n v="1"/>
    <n v="897"/>
    <n v="1"/>
    <s v="Male"/>
    <n v="73"/>
    <n v="3"/>
    <x v="3"/>
    <x v="0"/>
    <n v="4"/>
    <s v="Married"/>
    <n v="11836"/>
    <n v="22789"/>
    <n v="5"/>
    <s v="Y"/>
    <s v="No"/>
    <s v="No"/>
    <n v="14"/>
    <n v="3"/>
    <n v="3"/>
    <n v="80"/>
    <n v="1"/>
    <n v="28"/>
    <s v="&gt;15"/>
    <n v="3"/>
    <n v="3"/>
    <n v="2"/>
    <n v="0"/>
    <n v="2"/>
    <n v="2"/>
  </r>
  <r>
    <n v="35"/>
    <x v="1"/>
    <s v="No"/>
    <s v="Travel_Rarely"/>
    <n v="672"/>
    <x v="1"/>
    <n v="25"/>
    <n v="3"/>
    <s v="Technical Degree"/>
    <n v="1"/>
    <n v="899"/>
    <n v="4"/>
    <s v="Male"/>
    <n v="78"/>
    <n v="2"/>
    <x v="2"/>
    <x v="3"/>
    <n v="2"/>
    <s v="Married"/>
    <n v="10903"/>
    <n v="9129"/>
    <n v="3"/>
    <s v="Y"/>
    <s v="No"/>
    <s v="No"/>
    <n v="16"/>
    <n v="3"/>
    <n v="1"/>
    <n v="80"/>
    <n v="0"/>
    <n v="16"/>
    <s v="&gt;15"/>
    <n v="2"/>
    <n v="3"/>
    <n v="13"/>
    <n v="10"/>
    <n v="4"/>
    <n v="8"/>
  </r>
  <r>
    <n v="37"/>
    <x v="1"/>
    <s v="No"/>
    <s v="Travel_Frequently"/>
    <n v="1231"/>
    <x v="0"/>
    <n v="21"/>
    <n v="2"/>
    <s v="Medical"/>
    <n v="1"/>
    <n v="900"/>
    <n v="3"/>
    <s v="Female"/>
    <n v="54"/>
    <n v="3"/>
    <x v="1"/>
    <x v="6"/>
    <n v="4"/>
    <s v="Married"/>
    <n v="2973"/>
    <n v="21222"/>
    <n v="5"/>
    <s v="Y"/>
    <s v="No"/>
    <s v="No"/>
    <n v="15"/>
    <n v="3"/>
    <n v="2"/>
    <n v="80"/>
    <n v="1"/>
    <n v="10"/>
    <s v="6-15"/>
    <n v="3"/>
    <n v="3"/>
    <n v="5"/>
    <n v="4"/>
    <n v="0"/>
    <n v="0"/>
  </r>
  <r>
    <n v="53"/>
    <x v="1"/>
    <s v="No"/>
    <s v="Travel_Rarely"/>
    <n v="102"/>
    <x v="1"/>
    <n v="23"/>
    <n v="4"/>
    <s v="Life Sciences"/>
    <n v="1"/>
    <n v="901"/>
    <n v="4"/>
    <s v="Female"/>
    <n v="72"/>
    <n v="3"/>
    <x v="3"/>
    <x v="7"/>
    <n v="4"/>
    <s v="Single"/>
    <n v="14275"/>
    <n v="20206"/>
    <n v="6"/>
    <s v="Y"/>
    <s v="No"/>
    <s v="No"/>
    <n v="18"/>
    <n v="3"/>
    <n v="3"/>
    <n v="80"/>
    <n v="0"/>
    <n v="33"/>
    <s v="&gt;15"/>
    <n v="0"/>
    <n v="3"/>
    <n v="12"/>
    <n v="9"/>
    <n v="3"/>
    <n v="8"/>
  </r>
  <r>
    <n v="43"/>
    <x v="1"/>
    <s v="No"/>
    <s v="Travel_Frequently"/>
    <n v="422"/>
    <x v="1"/>
    <n v="1"/>
    <n v="3"/>
    <s v="Life Sciences"/>
    <n v="1"/>
    <n v="902"/>
    <n v="4"/>
    <s v="Female"/>
    <n v="33"/>
    <n v="3"/>
    <x v="0"/>
    <x v="4"/>
    <n v="4"/>
    <s v="Married"/>
    <n v="5562"/>
    <n v="21782"/>
    <n v="4"/>
    <s v="Y"/>
    <s v="No"/>
    <s v="No"/>
    <n v="13"/>
    <n v="3"/>
    <n v="2"/>
    <n v="80"/>
    <n v="1"/>
    <n v="12"/>
    <s v="6-15"/>
    <n v="2"/>
    <n v="2"/>
    <n v="5"/>
    <n v="2"/>
    <n v="2"/>
    <n v="2"/>
  </r>
  <r>
    <n v="47"/>
    <x v="1"/>
    <s v="No"/>
    <s v="Travel_Rarely"/>
    <n v="249"/>
    <x v="0"/>
    <n v="2"/>
    <n v="2"/>
    <s v="Marketing"/>
    <n v="1"/>
    <n v="903"/>
    <n v="3"/>
    <s v="Female"/>
    <n v="35"/>
    <n v="3"/>
    <x v="0"/>
    <x v="0"/>
    <n v="4"/>
    <s v="Married"/>
    <n v="4537"/>
    <n v="17783"/>
    <n v="0"/>
    <s v="Y"/>
    <s v="Yes"/>
    <s v="Yes"/>
    <n v="22"/>
    <n v="4"/>
    <n v="1"/>
    <n v="80"/>
    <n v="1"/>
    <n v="8"/>
    <s v="6-15"/>
    <n v="2"/>
    <n v="3"/>
    <n v="7"/>
    <n v="6"/>
    <n v="7"/>
    <n v="7"/>
  </r>
  <r>
    <n v="37"/>
    <x v="1"/>
    <s v="No"/>
    <s v="Non-Travel"/>
    <n v="1252"/>
    <x v="0"/>
    <n v="19"/>
    <n v="2"/>
    <s v="Medical"/>
    <n v="1"/>
    <n v="904"/>
    <n v="1"/>
    <s v="Male"/>
    <n v="32"/>
    <n v="3"/>
    <x v="2"/>
    <x v="0"/>
    <n v="2"/>
    <s v="Single"/>
    <n v="7642"/>
    <n v="4814"/>
    <n v="1"/>
    <s v="Y"/>
    <s v="Yes"/>
    <s v="Yes"/>
    <n v="13"/>
    <n v="3"/>
    <n v="4"/>
    <n v="80"/>
    <n v="0"/>
    <n v="10"/>
    <s v="6-15"/>
    <n v="2"/>
    <n v="3"/>
    <n v="10"/>
    <n v="0"/>
    <n v="0"/>
    <n v="9"/>
  </r>
  <r>
    <n v="50"/>
    <x v="1"/>
    <s v="No"/>
    <s v="Non-Travel"/>
    <n v="881"/>
    <x v="1"/>
    <n v="2"/>
    <n v="4"/>
    <s v="Life Sciences"/>
    <n v="1"/>
    <n v="905"/>
    <n v="1"/>
    <s v="Male"/>
    <n v="98"/>
    <n v="3"/>
    <x v="3"/>
    <x v="5"/>
    <n v="1"/>
    <s v="Divorced"/>
    <n v="17924"/>
    <n v="4544"/>
    <n v="1"/>
    <s v="Y"/>
    <s v="No"/>
    <s v="No"/>
    <n v="11"/>
    <n v="3"/>
    <n v="4"/>
    <n v="80"/>
    <n v="1"/>
    <n v="31"/>
    <s v="&gt;15"/>
    <n v="3"/>
    <n v="3"/>
    <n v="31"/>
    <n v="6"/>
    <n v="14"/>
    <n v="7"/>
  </r>
  <r>
    <n v="39"/>
    <x v="1"/>
    <s v="No"/>
    <s v="Travel_Rarely"/>
    <n v="1383"/>
    <x v="2"/>
    <n v="2"/>
    <n v="3"/>
    <s v="Life Sciences"/>
    <n v="1"/>
    <n v="909"/>
    <n v="4"/>
    <s v="Female"/>
    <n v="42"/>
    <n v="2"/>
    <x v="0"/>
    <x v="8"/>
    <n v="4"/>
    <s v="Married"/>
    <n v="5204"/>
    <n v="7790"/>
    <n v="8"/>
    <s v="Y"/>
    <s v="No"/>
    <s v="No"/>
    <n v="11"/>
    <n v="3"/>
    <n v="3"/>
    <n v="80"/>
    <n v="2"/>
    <n v="13"/>
    <s v="6-15"/>
    <n v="2"/>
    <n v="3"/>
    <n v="5"/>
    <n v="4"/>
    <n v="0"/>
    <n v="4"/>
  </r>
  <r>
    <n v="33"/>
    <x v="1"/>
    <s v="No"/>
    <s v="Travel_Rarely"/>
    <n v="1075"/>
    <x v="2"/>
    <n v="3"/>
    <n v="2"/>
    <s v="Human Resources"/>
    <n v="1"/>
    <n v="910"/>
    <n v="4"/>
    <s v="Male"/>
    <n v="57"/>
    <n v="3"/>
    <x v="1"/>
    <x v="8"/>
    <n v="2"/>
    <s v="Divorced"/>
    <n v="2277"/>
    <n v="22650"/>
    <n v="3"/>
    <s v="Y"/>
    <s v="Yes"/>
    <s v="Yes"/>
    <n v="11"/>
    <n v="3"/>
    <n v="3"/>
    <n v="80"/>
    <n v="1"/>
    <n v="7"/>
    <s v="6-15"/>
    <n v="4"/>
    <n v="4"/>
    <n v="4"/>
    <n v="3"/>
    <n v="0"/>
    <n v="3"/>
  </r>
  <r>
    <n v="32"/>
    <x v="0"/>
    <s v="Yes"/>
    <s v="Travel_Rarely"/>
    <n v="374"/>
    <x v="1"/>
    <n v="25"/>
    <n v="4"/>
    <s v="Life Sciences"/>
    <n v="1"/>
    <n v="911"/>
    <n v="1"/>
    <s v="Male"/>
    <n v="87"/>
    <n v="3"/>
    <x v="1"/>
    <x v="2"/>
    <n v="4"/>
    <s v="Single"/>
    <n v="2795"/>
    <n v="18016"/>
    <n v="1"/>
    <s v="Y"/>
    <s v="Yes"/>
    <s v="Yes"/>
    <n v="24"/>
    <n v="4"/>
    <n v="3"/>
    <n v="80"/>
    <n v="0"/>
    <n v="1"/>
    <s v="0-5"/>
    <n v="2"/>
    <n v="1"/>
    <n v="1"/>
    <n v="0"/>
    <n v="0"/>
    <n v="1"/>
  </r>
  <r>
    <n v="29"/>
    <x v="1"/>
    <s v="No"/>
    <s v="Travel_Rarely"/>
    <n v="1086"/>
    <x v="1"/>
    <n v="7"/>
    <n v="1"/>
    <s v="Medical"/>
    <n v="1"/>
    <n v="912"/>
    <n v="1"/>
    <s v="Female"/>
    <n v="62"/>
    <n v="2"/>
    <x v="1"/>
    <x v="2"/>
    <n v="4"/>
    <s v="Divorced"/>
    <n v="2532"/>
    <n v="6054"/>
    <n v="6"/>
    <s v="Y"/>
    <s v="No"/>
    <s v="No"/>
    <n v="14"/>
    <n v="3"/>
    <n v="3"/>
    <n v="80"/>
    <n v="3"/>
    <n v="8"/>
    <s v="6-15"/>
    <n v="5"/>
    <n v="3"/>
    <n v="4"/>
    <n v="3"/>
    <n v="0"/>
    <n v="3"/>
  </r>
  <r>
    <n v="44"/>
    <x v="1"/>
    <s v="No"/>
    <s v="Travel_Rarely"/>
    <n v="661"/>
    <x v="1"/>
    <n v="9"/>
    <n v="2"/>
    <s v="Life Sciences"/>
    <n v="1"/>
    <n v="913"/>
    <n v="2"/>
    <s v="Male"/>
    <n v="61"/>
    <n v="3"/>
    <x v="1"/>
    <x v="1"/>
    <n v="1"/>
    <s v="Married"/>
    <n v="2559"/>
    <n v="7508"/>
    <n v="1"/>
    <s v="Y"/>
    <s v="Yes"/>
    <s v="Yes"/>
    <n v="13"/>
    <n v="3"/>
    <n v="4"/>
    <n v="80"/>
    <n v="0"/>
    <n v="8"/>
    <s v="6-15"/>
    <n v="0"/>
    <n v="3"/>
    <n v="8"/>
    <n v="7"/>
    <n v="7"/>
    <n v="1"/>
  </r>
  <r>
    <n v="28"/>
    <x v="1"/>
    <s v="No"/>
    <s v="Travel_Rarely"/>
    <n v="821"/>
    <x v="0"/>
    <n v="5"/>
    <n v="4"/>
    <s v="Medical"/>
    <n v="1"/>
    <n v="916"/>
    <n v="1"/>
    <s v="Male"/>
    <n v="98"/>
    <n v="3"/>
    <x v="0"/>
    <x v="0"/>
    <n v="4"/>
    <s v="Single"/>
    <n v="4908"/>
    <n v="24252"/>
    <n v="1"/>
    <s v="Y"/>
    <s v="No"/>
    <s v="No"/>
    <n v="14"/>
    <n v="3"/>
    <n v="2"/>
    <n v="80"/>
    <n v="0"/>
    <n v="4"/>
    <s v="0-5"/>
    <n v="3"/>
    <n v="3"/>
    <n v="4"/>
    <n v="2"/>
    <n v="0"/>
    <n v="2"/>
  </r>
  <r>
    <n v="58"/>
    <x v="0"/>
    <s v="Yes"/>
    <s v="Travel_Frequently"/>
    <n v="781"/>
    <x v="1"/>
    <n v="2"/>
    <n v="1"/>
    <s v="Life Sciences"/>
    <n v="1"/>
    <n v="918"/>
    <n v="4"/>
    <s v="Male"/>
    <n v="57"/>
    <n v="2"/>
    <x v="1"/>
    <x v="2"/>
    <n v="4"/>
    <s v="Divorced"/>
    <n v="2380"/>
    <n v="13384"/>
    <n v="9"/>
    <s v="Y"/>
    <s v="Yes"/>
    <s v="Yes"/>
    <n v="14"/>
    <n v="3"/>
    <n v="4"/>
    <n v="80"/>
    <n v="1"/>
    <n v="3"/>
    <s v="0-5"/>
    <n v="3"/>
    <n v="2"/>
    <n v="1"/>
    <n v="0"/>
    <n v="0"/>
    <n v="0"/>
  </r>
  <r>
    <n v="43"/>
    <x v="1"/>
    <s v="No"/>
    <s v="Travel_Rarely"/>
    <n v="177"/>
    <x v="1"/>
    <n v="8"/>
    <n v="3"/>
    <s v="Life Sciences"/>
    <n v="1"/>
    <n v="920"/>
    <n v="1"/>
    <s v="Female"/>
    <n v="55"/>
    <n v="3"/>
    <x v="0"/>
    <x v="3"/>
    <n v="2"/>
    <s v="Divorced"/>
    <n v="4765"/>
    <n v="23814"/>
    <n v="4"/>
    <s v="Y"/>
    <s v="No"/>
    <s v="No"/>
    <n v="21"/>
    <n v="4"/>
    <n v="3"/>
    <n v="80"/>
    <n v="1"/>
    <n v="4"/>
    <s v="0-5"/>
    <n v="2"/>
    <n v="4"/>
    <n v="1"/>
    <n v="0"/>
    <n v="0"/>
    <n v="0"/>
  </r>
  <r>
    <n v="20"/>
    <x v="0"/>
    <s v="Yes"/>
    <s v="Travel_Rarely"/>
    <n v="500"/>
    <x v="0"/>
    <n v="2"/>
    <n v="3"/>
    <s v="Medical"/>
    <n v="1"/>
    <n v="922"/>
    <n v="3"/>
    <s v="Female"/>
    <n v="49"/>
    <n v="2"/>
    <x v="1"/>
    <x v="6"/>
    <n v="3"/>
    <s v="Single"/>
    <n v="2044"/>
    <n v="22052"/>
    <n v="1"/>
    <s v="Y"/>
    <s v="No"/>
    <s v="No"/>
    <n v="13"/>
    <n v="3"/>
    <n v="4"/>
    <n v="80"/>
    <n v="0"/>
    <n v="2"/>
    <s v="0-5"/>
    <n v="3"/>
    <n v="2"/>
    <n v="2"/>
    <n v="2"/>
    <n v="0"/>
    <n v="2"/>
  </r>
  <r>
    <n v="21"/>
    <x v="0"/>
    <s v="Yes"/>
    <s v="Travel_Rarely"/>
    <n v="1427"/>
    <x v="1"/>
    <n v="18"/>
    <n v="1"/>
    <s v="Other"/>
    <n v="1"/>
    <n v="923"/>
    <n v="4"/>
    <s v="Female"/>
    <n v="65"/>
    <n v="3"/>
    <x v="1"/>
    <x v="1"/>
    <n v="4"/>
    <s v="Single"/>
    <n v="2693"/>
    <n v="8870"/>
    <n v="1"/>
    <s v="Y"/>
    <s v="No"/>
    <s v="No"/>
    <n v="19"/>
    <n v="3"/>
    <n v="1"/>
    <n v="80"/>
    <n v="0"/>
    <n v="1"/>
    <s v="0-5"/>
    <n v="3"/>
    <n v="2"/>
    <n v="1"/>
    <n v="0"/>
    <n v="0"/>
    <n v="0"/>
  </r>
  <r>
    <n v="36"/>
    <x v="1"/>
    <s v="No"/>
    <s v="Travel_Rarely"/>
    <n v="1425"/>
    <x v="1"/>
    <n v="14"/>
    <n v="1"/>
    <s v="Life Sciences"/>
    <n v="1"/>
    <n v="924"/>
    <n v="3"/>
    <s v="Male"/>
    <n v="68"/>
    <n v="3"/>
    <x v="0"/>
    <x v="4"/>
    <n v="4"/>
    <s v="Married"/>
    <n v="6586"/>
    <n v="4821"/>
    <n v="0"/>
    <s v="Y"/>
    <s v="Yes"/>
    <s v="Yes"/>
    <n v="17"/>
    <n v="3"/>
    <n v="1"/>
    <n v="80"/>
    <n v="1"/>
    <n v="17"/>
    <s v="&gt;15"/>
    <n v="2"/>
    <n v="2"/>
    <n v="16"/>
    <n v="8"/>
    <n v="4"/>
    <n v="11"/>
  </r>
  <r>
    <n v="47"/>
    <x v="1"/>
    <s v="No"/>
    <s v="Travel_Rarely"/>
    <n v="1454"/>
    <x v="0"/>
    <n v="2"/>
    <n v="4"/>
    <s v="Life Sciences"/>
    <n v="1"/>
    <n v="925"/>
    <n v="4"/>
    <s v="Female"/>
    <n v="65"/>
    <n v="2"/>
    <x v="1"/>
    <x v="6"/>
    <n v="4"/>
    <s v="Single"/>
    <n v="3294"/>
    <n v="13137"/>
    <n v="1"/>
    <s v="Y"/>
    <s v="Yes"/>
    <s v="Yes"/>
    <n v="18"/>
    <n v="3"/>
    <n v="1"/>
    <n v="80"/>
    <n v="0"/>
    <n v="3"/>
    <s v="0-5"/>
    <n v="3"/>
    <n v="2"/>
    <n v="3"/>
    <n v="2"/>
    <n v="1"/>
    <n v="2"/>
  </r>
  <r>
    <n v="22"/>
    <x v="0"/>
    <s v="Yes"/>
    <s v="Travel_Rarely"/>
    <n v="617"/>
    <x v="1"/>
    <n v="3"/>
    <n v="1"/>
    <s v="Life Sciences"/>
    <n v="1"/>
    <n v="926"/>
    <n v="2"/>
    <s v="Female"/>
    <n v="34"/>
    <n v="3"/>
    <x v="0"/>
    <x v="3"/>
    <n v="3"/>
    <s v="Married"/>
    <n v="4171"/>
    <n v="10022"/>
    <n v="0"/>
    <s v="Y"/>
    <s v="Yes"/>
    <s v="Yes"/>
    <n v="19"/>
    <n v="3"/>
    <n v="1"/>
    <n v="80"/>
    <n v="1"/>
    <n v="4"/>
    <s v="0-5"/>
    <n v="3"/>
    <n v="4"/>
    <n v="3"/>
    <n v="2"/>
    <n v="0"/>
    <n v="2"/>
  </r>
  <r>
    <n v="41"/>
    <x v="0"/>
    <s v="Yes"/>
    <s v="Travel_Rarely"/>
    <n v="1085"/>
    <x v="1"/>
    <n v="2"/>
    <n v="4"/>
    <s v="Life Sciences"/>
    <n v="1"/>
    <n v="927"/>
    <n v="2"/>
    <s v="Female"/>
    <n v="57"/>
    <n v="1"/>
    <x v="1"/>
    <x v="2"/>
    <n v="4"/>
    <s v="Divorced"/>
    <n v="2778"/>
    <n v="17725"/>
    <n v="4"/>
    <s v="Y"/>
    <s v="Yes"/>
    <s v="Yes"/>
    <n v="13"/>
    <n v="3"/>
    <n v="3"/>
    <n v="80"/>
    <n v="1"/>
    <n v="10"/>
    <s v="6-15"/>
    <n v="1"/>
    <n v="2"/>
    <n v="7"/>
    <n v="7"/>
    <n v="1"/>
    <n v="0"/>
  </r>
  <r>
    <n v="28"/>
    <x v="1"/>
    <s v="No"/>
    <s v="Travel_Rarely"/>
    <n v="995"/>
    <x v="1"/>
    <n v="9"/>
    <n v="3"/>
    <s v="Medical"/>
    <n v="1"/>
    <n v="930"/>
    <n v="3"/>
    <s v="Female"/>
    <n v="77"/>
    <n v="3"/>
    <x v="1"/>
    <x v="1"/>
    <n v="3"/>
    <s v="Divorced"/>
    <n v="2377"/>
    <n v="9834"/>
    <n v="5"/>
    <s v="Y"/>
    <s v="No"/>
    <s v="No"/>
    <n v="18"/>
    <n v="3"/>
    <n v="2"/>
    <n v="80"/>
    <n v="1"/>
    <n v="6"/>
    <s v="6-15"/>
    <n v="2"/>
    <n v="3"/>
    <n v="2"/>
    <n v="2"/>
    <n v="2"/>
    <n v="2"/>
  </r>
  <r>
    <n v="39"/>
    <x v="0"/>
    <s v="Yes"/>
    <s v="Travel_Rarely"/>
    <n v="1122"/>
    <x v="1"/>
    <n v="6"/>
    <n v="3"/>
    <s v="Medical"/>
    <n v="1"/>
    <n v="932"/>
    <n v="4"/>
    <s v="Male"/>
    <n v="70"/>
    <n v="3"/>
    <x v="1"/>
    <x v="2"/>
    <n v="1"/>
    <s v="Married"/>
    <n v="2404"/>
    <n v="4303"/>
    <n v="7"/>
    <s v="Y"/>
    <s v="Yes"/>
    <s v="Yes"/>
    <n v="21"/>
    <n v="4"/>
    <n v="4"/>
    <n v="80"/>
    <n v="0"/>
    <n v="8"/>
    <s v="6-15"/>
    <n v="2"/>
    <n v="1"/>
    <n v="2"/>
    <n v="2"/>
    <n v="2"/>
    <n v="2"/>
  </r>
  <r>
    <n v="27"/>
    <x v="1"/>
    <s v="No"/>
    <s v="Travel_Rarely"/>
    <n v="618"/>
    <x v="1"/>
    <n v="4"/>
    <n v="3"/>
    <s v="Life Sciences"/>
    <n v="1"/>
    <n v="933"/>
    <n v="2"/>
    <s v="Female"/>
    <n v="76"/>
    <n v="3"/>
    <x v="1"/>
    <x v="1"/>
    <n v="3"/>
    <s v="Single"/>
    <n v="2318"/>
    <n v="17808"/>
    <n v="1"/>
    <s v="Y"/>
    <s v="No"/>
    <s v="No"/>
    <n v="19"/>
    <n v="3"/>
    <n v="3"/>
    <n v="80"/>
    <n v="0"/>
    <n v="1"/>
    <s v="0-5"/>
    <n v="2"/>
    <n v="3"/>
    <n v="1"/>
    <n v="1"/>
    <n v="0"/>
    <n v="0"/>
  </r>
  <r>
    <n v="34"/>
    <x v="1"/>
    <s v="No"/>
    <s v="Travel_Rarely"/>
    <n v="546"/>
    <x v="1"/>
    <n v="10"/>
    <n v="3"/>
    <s v="Life Sciences"/>
    <n v="1"/>
    <n v="934"/>
    <n v="2"/>
    <s v="Male"/>
    <n v="83"/>
    <n v="3"/>
    <x v="1"/>
    <x v="2"/>
    <n v="2"/>
    <s v="Divorced"/>
    <n v="2008"/>
    <n v="6896"/>
    <n v="1"/>
    <s v="Y"/>
    <s v="No"/>
    <s v="No"/>
    <n v="14"/>
    <n v="3"/>
    <n v="2"/>
    <n v="80"/>
    <n v="2"/>
    <n v="1"/>
    <s v="0-5"/>
    <n v="3"/>
    <n v="3"/>
    <n v="1"/>
    <n v="0"/>
    <n v="1"/>
    <n v="0"/>
  </r>
  <r>
    <n v="42"/>
    <x v="1"/>
    <s v="No"/>
    <s v="Travel_Rarely"/>
    <n v="462"/>
    <x v="0"/>
    <n v="14"/>
    <n v="2"/>
    <s v="Medical"/>
    <n v="1"/>
    <n v="936"/>
    <n v="3"/>
    <s v="Female"/>
    <n v="68"/>
    <n v="2"/>
    <x v="0"/>
    <x v="0"/>
    <n v="3"/>
    <s v="Single"/>
    <n v="6244"/>
    <n v="7824"/>
    <n v="7"/>
    <s v="Y"/>
    <s v="No"/>
    <s v="No"/>
    <n v="17"/>
    <n v="3"/>
    <n v="1"/>
    <n v="80"/>
    <n v="0"/>
    <n v="10"/>
    <s v="6-15"/>
    <n v="6"/>
    <n v="3"/>
    <n v="5"/>
    <n v="4"/>
    <n v="0"/>
    <n v="3"/>
  </r>
  <r>
    <n v="33"/>
    <x v="1"/>
    <s v="No"/>
    <s v="Travel_Rarely"/>
    <n v="1198"/>
    <x v="1"/>
    <n v="1"/>
    <n v="4"/>
    <s v="Other"/>
    <n v="1"/>
    <n v="939"/>
    <n v="3"/>
    <s v="Male"/>
    <n v="100"/>
    <n v="2"/>
    <x v="1"/>
    <x v="1"/>
    <n v="1"/>
    <s v="Single"/>
    <n v="2799"/>
    <n v="3339"/>
    <n v="3"/>
    <s v="Y"/>
    <s v="Yes"/>
    <s v="Yes"/>
    <n v="11"/>
    <n v="3"/>
    <n v="2"/>
    <n v="80"/>
    <n v="0"/>
    <n v="6"/>
    <s v="6-15"/>
    <n v="1"/>
    <n v="3"/>
    <n v="3"/>
    <n v="2"/>
    <n v="0"/>
    <n v="2"/>
  </r>
  <r>
    <n v="58"/>
    <x v="1"/>
    <s v="No"/>
    <s v="Travel_Rarely"/>
    <n v="1272"/>
    <x v="1"/>
    <n v="5"/>
    <n v="3"/>
    <s v="Technical Degree"/>
    <n v="1"/>
    <n v="940"/>
    <n v="3"/>
    <s v="Female"/>
    <n v="37"/>
    <n v="2"/>
    <x v="2"/>
    <x v="4"/>
    <n v="2"/>
    <s v="Divorced"/>
    <n v="10552"/>
    <n v="9255"/>
    <n v="2"/>
    <s v="Y"/>
    <s v="Yes"/>
    <s v="Yes"/>
    <n v="13"/>
    <n v="3"/>
    <n v="4"/>
    <n v="80"/>
    <n v="1"/>
    <n v="24"/>
    <s v="&gt;15"/>
    <n v="3"/>
    <n v="3"/>
    <n v="6"/>
    <n v="0"/>
    <n v="0"/>
    <n v="4"/>
  </r>
  <r>
    <n v="31"/>
    <x v="1"/>
    <s v="No"/>
    <s v="Travel_Rarely"/>
    <n v="154"/>
    <x v="0"/>
    <n v="7"/>
    <n v="4"/>
    <s v="Life Sciences"/>
    <n v="1"/>
    <n v="941"/>
    <n v="2"/>
    <s v="Male"/>
    <n v="41"/>
    <n v="2"/>
    <x v="1"/>
    <x v="6"/>
    <n v="3"/>
    <s v="Married"/>
    <n v="2329"/>
    <n v="11737"/>
    <n v="3"/>
    <s v="Y"/>
    <s v="No"/>
    <s v="No"/>
    <n v="15"/>
    <n v="3"/>
    <n v="2"/>
    <n v="80"/>
    <n v="0"/>
    <n v="13"/>
    <s v="6-15"/>
    <n v="2"/>
    <n v="4"/>
    <n v="7"/>
    <n v="7"/>
    <n v="5"/>
    <n v="2"/>
  </r>
  <r>
    <n v="35"/>
    <x v="1"/>
    <s v="No"/>
    <s v="Travel_Rarely"/>
    <n v="1137"/>
    <x v="1"/>
    <n v="21"/>
    <n v="1"/>
    <s v="Life Sciences"/>
    <n v="1"/>
    <n v="942"/>
    <n v="4"/>
    <s v="Female"/>
    <n v="51"/>
    <n v="3"/>
    <x v="0"/>
    <x v="4"/>
    <n v="4"/>
    <s v="Married"/>
    <n v="4014"/>
    <n v="19170"/>
    <n v="1"/>
    <s v="Y"/>
    <s v="Yes"/>
    <s v="Yes"/>
    <n v="25"/>
    <n v="4"/>
    <n v="4"/>
    <n v="80"/>
    <n v="1"/>
    <n v="10"/>
    <s v="6-15"/>
    <n v="2"/>
    <n v="1"/>
    <n v="10"/>
    <n v="6"/>
    <n v="0"/>
    <n v="7"/>
  </r>
  <r>
    <n v="49"/>
    <x v="1"/>
    <s v="No"/>
    <s v="Travel_Rarely"/>
    <n v="527"/>
    <x v="1"/>
    <n v="8"/>
    <n v="2"/>
    <s v="Other"/>
    <n v="1"/>
    <n v="944"/>
    <n v="1"/>
    <s v="Female"/>
    <n v="51"/>
    <n v="3"/>
    <x v="2"/>
    <x v="2"/>
    <n v="2"/>
    <s v="Married"/>
    <n v="7403"/>
    <n v="22477"/>
    <n v="4"/>
    <s v="Y"/>
    <s v="No"/>
    <s v="No"/>
    <n v="11"/>
    <n v="3"/>
    <n v="3"/>
    <n v="80"/>
    <n v="1"/>
    <n v="29"/>
    <s v="&gt;15"/>
    <n v="3"/>
    <n v="2"/>
    <n v="26"/>
    <n v="9"/>
    <n v="1"/>
    <n v="7"/>
  </r>
  <r>
    <n v="48"/>
    <x v="1"/>
    <s v="No"/>
    <s v="Travel_Rarely"/>
    <n v="1469"/>
    <x v="1"/>
    <n v="20"/>
    <n v="4"/>
    <s v="Medical"/>
    <n v="1"/>
    <n v="945"/>
    <n v="4"/>
    <s v="Male"/>
    <n v="51"/>
    <n v="3"/>
    <x v="1"/>
    <x v="1"/>
    <n v="3"/>
    <s v="Married"/>
    <n v="2259"/>
    <n v="5543"/>
    <n v="4"/>
    <s v="Y"/>
    <s v="No"/>
    <s v="No"/>
    <n v="17"/>
    <n v="3"/>
    <n v="1"/>
    <n v="80"/>
    <n v="2"/>
    <n v="13"/>
    <s v="6-15"/>
    <n v="2"/>
    <n v="2"/>
    <n v="0"/>
    <n v="0"/>
    <n v="0"/>
    <n v="0"/>
  </r>
  <r>
    <n v="31"/>
    <x v="1"/>
    <s v="No"/>
    <s v="Non-Travel"/>
    <n v="1188"/>
    <x v="0"/>
    <n v="20"/>
    <n v="2"/>
    <s v="Marketing"/>
    <n v="1"/>
    <n v="947"/>
    <n v="4"/>
    <s v="Female"/>
    <n v="45"/>
    <n v="3"/>
    <x v="0"/>
    <x v="0"/>
    <n v="3"/>
    <s v="Married"/>
    <n v="6932"/>
    <n v="24406"/>
    <n v="1"/>
    <s v="Y"/>
    <s v="No"/>
    <s v="No"/>
    <n v="13"/>
    <n v="3"/>
    <n v="4"/>
    <n v="80"/>
    <n v="1"/>
    <n v="9"/>
    <s v="6-15"/>
    <n v="2"/>
    <n v="2"/>
    <n v="9"/>
    <n v="8"/>
    <n v="0"/>
    <n v="0"/>
  </r>
  <r>
    <n v="36"/>
    <x v="1"/>
    <s v="No"/>
    <s v="Travel_Rarely"/>
    <n v="188"/>
    <x v="1"/>
    <n v="7"/>
    <n v="4"/>
    <s v="Other"/>
    <n v="1"/>
    <n v="949"/>
    <n v="2"/>
    <s v="Male"/>
    <n v="65"/>
    <n v="3"/>
    <x v="1"/>
    <x v="1"/>
    <n v="4"/>
    <s v="Single"/>
    <n v="4678"/>
    <n v="23293"/>
    <n v="2"/>
    <s v="Y"/>
    <s v="No"/>
    <s v="No"/>
    <n v="18"/>
    <n v="3"/>
    <n v="3"/>
    <n v="80"/>
    <n v="0"/>
    <n v="8"/>
    <s v="6-15"/>
    <n v="6"/>
    <n v="3"/>
    <n v="6"/>
    <n v="2"/>
    <n v="0"/>
    <n v="1"/>
  </r>
  <r>
    <n v="38"/>
    <x v="1"/>
    <s v="No"/>
    <s v="Travel_Rarely"/>
    <n v="1333"/>
    <x v="1"/>
    <n v="1"/>
    <n v="3"/>
    <s v="Technical Degree"/>
    <n v="1"/>
    <n v="950"/>
    <n v="4"/>
    <s v="Female"/>
    <n v="80"/>
    <n v="3"/>
    <x v="2"/>
    <x v="7"/>
    <n v="1"/>
    <s v="Married"/>
    <n v="13582"/>
    <n v="16292"/>
    <n v="1"/>
    <s v="Y"/>
    <s v="No"/>
    <s v="No"/>
    <n v="13"/>
    <n v="3"/>
    <n v="2"/>
    <n v="80"/>
    <n v="1"/>
    <n v="15"/>
    <s v="6-15"/>
    <n v="3"/>
    <n v="3"/>
    <n v="15"/>
    <n v="12"/>
    <n v="5"/>
    <n v="11"/>
  </r>
  <r>
    <n v="32"/>
    <x v="1"/>
    <s v="No"/>
    <s v="Non-Travel"/>
    <n v="1184"/>
    <x v="1"/>
    <n v="1"/>
    <n v="3"/>
    <s v="Life Sciences"/>
    <n v="1"/>
    <n v="951"/>
    <n v="3"/>
    <s v="Female"/>
    <n v="70"/>
    <n v="2"/>
    <x v="1"/>
    <x v="2"/>
    <n v="2"/>
    <s v="Married"/>
    <n v="2332"/>
    <n v="3974"/>
    <n v="6"/>
    <s v="Y"/>
    <s v="No"/>
    <s v="No"/>
    <n v="20"/>
    <n v="4"/>
    <n v="3"/>
    <n v="80"/>
    <n v="0"/>
    <n v="5"/>
    <s v="0-5"/>
    <n v="3"/>
    <n v="3"/>
    <n v="3"/>
    <n v="0"/>
    <n v="0"/>
    <n v="2"/>
  </r>
  <r>
    <n v="25"/>
    <x v="0"/>
    <s v="Yes"/>
    <s v="Travel_Rarely"/>
    <n v="867"/>
    <x v="0"/>
    <n v="19"/>
    <n v="2"/>
    <s v="Marketing"/>
    <n v="1"/>
    <n v="952"/>
    <n v="3"/>
    <s v="Male"/>
    <n v="36"/>
    <n v="2"/>
    <x v="1"/>
    <x v="6"/>
    <n v="2"/>
    <s v="Married"/>
    <n v="2413"/>
    <n v="18798"/>
    <n v="1"/>
    <s v="Y"/>
    <s v="Yes"/>
    <s v="Yes"/>
    <n v="18"/>
    <n v="3"/>
    <n v="3"/>
    <n v="80"/>
    <n v="3"/>
    <n v="1"/>
    <s v="0-5"/>
    <n v="2"/>
    <n v="3"/>
    <n v="1"/>
    <n v="0"/>
    <n v="0"/>
    <n v="0"/>
  </r>
  <r>
    <n v="40"/>
    <x v="1"/>
    <s v="No"/>
    <s v="Travel_Rarely"/>
    <n v="658"/>
    <x v="0"/>
    <n v="10"/>
    <n v="4"/>
    <s v="Marketing"/>
    <n v="1"/>
    <n v="954"/>
    <n v="1"/>
    <s v="Male"/>
    <n v="67"/>
    <n v="2"/>
    <x v="2"/>
    <x v="0"/>
    <n v="2"/>
    <s v="Divorced"/>
    <n v="9705"/>
    <n v="20652"/>
    <n v="2"/>
    <s v="Y"/>
    <s v="No"/>
    <s v="No"/>
    <n v="12"/>
    <n v="3"/>
    <n v="2"/>
    <n v="80"/>
    <n v="1"/>
    <n v="11"/>
    <s v="6-15"/>
    <n v="2"/>
    <n v="2"/>
    <n v="1"/>
    <n v="0"/>
    <n v="0"/>
    <n v="0"/>
  </r>
  <r>
    <n v="26"/>
    <x v="1"/>
    <s v="No"/>
    <s v="Travel_Frequently"/>
    <n v="1283"/>
    <x v="0"/>
    <n v="1"/>
    <n v="3"/>
    <s v="Medical"/>
    <n v="1"/>
    <n v="956"/>
    <n v="3"/>
    <s v="Male"/>
    <n v="52"/>
    <n v="2"/>
    <x v="0"/>
    <x v="0"/>
    <n v="1"/>
    <s v="Single"/>
    <n v="4294"/>
    <n v="11148"/>
    <n v="1"/>
    <s v="Y"/>
    <s v="No"/>
    <s v="No"/>
    <n v="12"/>
    <n v="3"/>
    <n v="2"/>
    <n v="80"/>
    <n v="0"/>
    <n v="7"/>
    <s v="6-15"/>
    <n v="2"/>
    <n v="3"/>
    <n v="7"/>
    <n v="7"/>
    <n v="0"/>
    <n v="7"/>
  </r>
  <r>
    <n v="41"/>
    <x v="1"/>
    <s v="No"/>
    <s v="Travel_Rarely"/>
    <n v="263"/>
    <x v="1"/>
    <n v="6"/>
    <n v="3"/>
    <s v="Medical"/>
    <n v="1"/>
    <n v="957"/>
    <n v="4"/>
    <s v="Male"/>
    <n v="59"/>
    <n v="3"/>
    <x v="1"/>
    <x v="2"/>
    <n v="1"/>
    <s v="Single"/>
    <n v="4721"/>
    <n v="3119"/>
    <n v="2"/>
    <s v="Y"/>
    <s v="Yes"/>
    <s v="Yes"/>
    <n v="13"/>
    <n v="3"/>
    <n v="3"/>
    <n v="80"/>
    <n v="0"/>
    <n v="20"/>
    <s v="&gt;15"/>
    <n v="3"/>
    <n v="3"/>
    <n v="18"/>
    <n v="13"/>
    <n v="2"/>
    <n v="17"/>
  </r>
  <r>
    <n v="36"/>
    <x v="1"/>
    <s v="No"/>
    <s v="Travel_Rarely"/>
    <n v="938"/>
    <x v="1"/>
    <n v="2"/>
    <n v="4"/>
    <s v="Medical"/>
    <n v="1"/>
    <n v="958"/>
    <n v="3"/>
    <s v="Male"/>
    <n v="79"/>
    <n v="3"/>
    <x v="1"/>
    <x v="2"/>
    <n v="3"/>
    <s v="Single"/>
    <n v="2519"/>
    <n v="12287"/>
    <n v="4"/>
    <s v="Y"/>
    <s v="No"/>
    <s v="No"/>
    <n v="21"/>
    <n v="4"/>
    <n v="3"/>
    <n v="80"/>
    <n v="0"/>
    <n v="16"/>
    <s v="&gt;15"/>
    <n v="6"/>
    <n v="3"/>
    <n v="11"/>
    <n v="8"/>
    <n v="3"/>
    <n v="9"/>
  </r>
  <r>
    <n v="19"/>
    <x v="0"/>
    <s v="Yes"/>
    <s v="Travel_Rarely"/>
    <n v="419"/>
    <x v="0"/>
    <n v="21"/>
    <n v="3"/>
    <s v="Other"/>
    <n v="1"/>
    <n v="959"/>
    <n v="4"/>
    <s v="Male"/>
    <n v="37"/>
    <n v="2"/>
    <x v="1"/>
    <x v="6"/>
    <n v="2"/>
    <s v="Single"/>
    <n v="2121"/>
    <n v="9947"/>
    <n v="1"/>
    <s v="Y"/>
    <s v="Yes"/>
    <s v="Yes"/>
    <n v="13"/>
    <n v="3"/>
    <n v="2"/>
    <n v="80"/>
    <n v="0"/>
    <n v="1"/>
    <s v="0-5"/>
    <n v="3"/>
    <n v="4"/>
    <n v="1"/>
    <n v="0"/>
    <n v="0"/>
    <n v="0"/>
  </r>
  <r>
    <n v="20"/>
    <x v="0"/>
    <s v="Yes"/>
    <s v="Travel_Rarely"/>
    <n v="129"/>
    <x v="1"/>
    <n v="4"/>
    <n v="3"/>
    <s v="Technical Degree"/>
    <n v="1"/>
    <n v="960"/>
    <n v="1"/>
    <s v="Male"/>
    <n v="84"/>
    <n v="3"/>
    <x v="1"/>
    <x v="2"/>
    <n v="1"/>
    <s v="Single"/>
    <n v="2973"/>
    <n v="13008"/>
    <n v="1"/>
    <s v="Y"/>
    <s v="No"/>
    <s v="No"/>
    <n v="19"/>
    <n v="3"/>
    <n v="2"/>
    <n v="80"/>
    <n v="0"/>
    <n v="1"/>
    <s v="0-5"/>
    <n v="2"/>
    <n v="3"/>
    <n v="1"/>
    <n v="0"/>
    <n v="0"/>
    <n v="0"/>
  </r>
  <r>
    <n v="31"/>
    <x v="1"/>
    <s v="No"/>
    <s v="Travel_Rarely"/>
    <n v="616"/>
    <x v="1"/>
    <n v="12"/>
    <n v="3"/>
    <s v="Medical"/>
    <n v="1"/>
    <n v="961"/>
    <n v="4"/>
    <s v="Female"/>
    <n v="41"/>
    <n v="3"/>
    <x v="0"/>
    <x v="4"/>
    <n v="4"/>
    <s v="Married"/>
    <n v="5855"/>
    <n v="17369"/>
    <n v="0"/>
    <s v="Y"/>
    <s v="Yes"/>
    <s v="Yes"/>
    <n v="11"/>
    <n v="3"/>
    <n v="3"/>
    <n v="80"/>
    <n v="2"/>
    <n v="10"/>
    <s v="6-15"/>
    <n v="2"/>
    <n v="1"/>
    <n v="9"/>
    <n v="7"/>
    <n v="8"/>
    <n v="5"/>
  </r>
  <r>
    <n v="40"/>
    <x v="1"/>
    <s v="No"/>
    <s v="Travel_Frequently"/>
    <n v="1469"/>
    <x v="1"/>
    <n v="9"/>
    <n v="4"/>
    <s v="Medical"/>
    <n v="1"/>
    <n v="964"/>
    <n v="4"/>
    <s v="Male"/>
    <n v="35"/>
    <n v="3"/>
    <x v="1"/>
    <x v="1"/>
    <n v="2"/>
    <s v="Divorced"/>
    <n v="3617"/>
    <n v="25063"/>
    <n v="8"/>
    <s v="Y"/>
    <s v="Yes"/>
    <s v="Yes"/>
    <n v="14"/>
    <n v="3"/>
    <n v="4"/>
    <n v="80"/>
    <n v="1"/>
    <n v="3"/>
    <s v="0-5"/>
    <n v="2"/>
    <n v="3"/>
    <n v="1"/>
    <n v="1"/>
    <n v="0"/>
    <n v="0"/>
  </r>
  <r>
    <n v="32"/>
    <x v="1"/>
    <s v="No"/>
    <s v="Travel_Rarely"/>
    <n v="498"/>
    <x v="1"/>
    <n v="3"/>
    <n v="4"/>
    <s v="Medical"/>
    <n v="1"/>
    <n v="966"/>
    <n v="3"/>
    <s v="Female"/>
    <n v="93"/>
    <n v="3"/>
    <x v="0"/>
    <x v="3"/>
    <n v="1"/>
    <s v="Married"/>
    <n v="6725"/>
    <n v="13554"/>
    <n v="1"/>
    <s v="Y"/>
    <s v="No"/>
    <s v="No"/>
    <n v="12"/>
    <n v="3"/>
    <n v="3"/>
    <n v="80"/>
    <n v="1"/>
    <n v="8"/>
    <s v="6-15"/>
    <n v="2"/>
    <n v="4"/>
    <n v="8"/>
    <n v="7"/>
    <n v="6"/>
    <n v="3"/>
  </r>
  <r>
    <n v="36"/>
    <x v="0"/>
    <s v="Yes"/>
    <s v="Travel_Rarely"/>
    <n v="530"/>
    <x v="0"/>
    <n v="3"/>
    <n v="1"/>
    <s v="Life Sciences"/>
    <n v="1"/>
    <n v="967"/>
    <n v="3"/>
    <s v="Male"/>
    <n v="51"/>
    <n v="2"/>
    <x v="2"/>
    <x v="0"/>
    <n v="4"/>
    <s v="Married"/>
    <n v="10325"/>
    <n v="5518"/>
    <n v="1"/>
    <s v="Y"/>
    <s v="Yes"/>
    <s v="Yes"/>
    <n v="11"/>
    <n v="3"/>
    <n v="1"/>
    <n v="80"/>
    <n v="1"/>
    <n v="16"/>
    <s v="&gt;15"/>
    <n v="6"/>
    <n v="3"/>
    <n v="16"/>
    <n v="7"/>
    <n v="3"/>
    <n v="7"/>
  </r>
  <r>
    <n v="33"/>
    <x v="1"/>
    <s v="No"/>
    <s v="Travel_Rarely"/>
    <n v="1069"/>
    <x v="1"/>
    <n v="1"/>
    <n v="3"/>
    <s v="Life Sciences"/>
    <n v="1"/>
    <n v="969"/>
    <n v="2"/>
    <s v="Female"/>
    <n v="42"/>
    <n v="2"/>
    <x v="0"/>
    <x v="4"/>
    <n v="4"/>
    <s v="Single"/>
    <n v="6949"/>
    <n v="12291"/>
    <n v="0"/>
    <s v="Y"/>
    <s v="No"/>
    <s v="No"/>
    <n v="14"/>
    <n v="3"/>
    <n v="1"/>
    <n v="80"/>
    <n v="0"/>
    <n v="6"/>
    <s v="6-15"/>
    <n v="3"/>
    <n v="3"/>
    <n v="5"/>
    <n v="0"/>
    <n v="1"/>
    <n v="4"/>
  </r>
  <r>
    <n v="37"/>
    <x v="0"/>
    <s v="Yes"/>
    <s v="Travel_Rarely"/>
    <n v="625"/>
    <x v="0"/>
    <n v="1"/>
    <n v="4"/>
    <s v="Life Sciences"/>
    <n v="1"/>
    <n v="970"/>
    <n v="1"/>
    <s v="Male"/>
    <n v="46"/>
    <n v="2"/>
    <x v="2"/>
    <x v="0"/>
    <n v="3"/>
    <s v="Married"/>
    <n v="10609"/>
    <n v="14922"/>
    <n v="5"/>
    <s v="Y"/>
    <s v="No"/>
    <s v="No"/>
    <n v="11"/>
    <n v="3"/>
    <n v="3"/>
    <n v="80"/>
    <n v="0"/>
    <n v="17"/>
    <s v="&gt;15"/>
    <n v="2"/>
    <n v="1"/>
    <n v="14"/>
    <n v="1"/>
    <n v="11"/>
    <n v="7"/>
  </r>
  <r>
    <n v="45"/>
    <x v="1"/>
    <s v="No"/>
    <s v="Non-Travel"/>
    <n v="805"/>
    <x v="1"/>
    <n v="4"/>
    <n v="2"/>
    <s v="Life Sciences"/>
    <n v="1"/>
    <n v="972"/>
    <n v="3"/>
    <s v="Male"/>
    <n v="57"/>
    <n v="3"/>
    <x v="0"/>
    <x v="2"/>
    <n v="2"/>
    <s v="Married"/>
    <n v="4447"/>
    <n v="23163"/>
    <n v="1"/>
    <s v="Y"/>
    <s v="No"/>
    <s v="No"/>
    <n v="12"/>
    <n v="3"/>
    <n v="2"/>
    <n v="80"/>
    <n v="0"/>
    <n v="9"/>
    <s v="6-15"/>
    <n v="5"/>
    <n v="2"/>
    <n v="9"/>
    <n v="7"/>
    <n v="0"/>
    <n v="8"/>
  </r>
  <r>
    <n v="29"/>
    <x v="1"/>
    <s v="No"/>
    <s v="Travel_Frequently"/>
    <n v="1404"/>
    <x v="0"/>
    <n v="20"/>
    <n v="3"/>
    <s v="Technical Degree"/>
    <n v="1"/>
    <n v="974"/>
    <n v="3"/>
    <s v="Female"/>
    <n v="84"/>
    <n v="3"/>
    <x v="1"/>
    <x v="6"/>
    <n v="4"/>
    <s v="Married"/>
    <n v="2157"/>
    <n v="18203"/>
    <n v="1"/>
    <s v="Y"/>
    <s v="No"/>
    <s v="No"/>
    <n v="15"/>
    <n v="3"/>
    <n v="2"/>
    <n v="80"/>
    <n v="1"/>
    <n v="3"/>
    <s v="0-5"/>
    <n v="5"/>
    <n v="3"/>
    <n v="3"/>
    <n v="1"/>
    <n v="0"/>
    <n v="2"/>
  </r>
  <r>
    <n v="35"/>
    <x v="1"/>
    <s v="No"/>
    <s v="Travel_Rarely"/>
    <n v="1219"/>
    <x v="0"/>
    <n v="18"/>
    <n v="3"/>
    <s v="Medical"/>
    <n v="1"/>
    <n v="975"/>
    <n v="3"/>
    <s v="Female"/>
    <n v="86"/>
    <n v="3"/>
    <x v="0"/>
    <x v="0"/>
    <n v="3"/>
    <s v="Married"/>
    <n v="4601"/>
    <n v="6179"/>
    <n v="1"/>
    <s v="Y"/>
    <s v="No"/>
    <s v="No"/>
    <n v="16"/>
    <n v="3"/>
    <n v="2"/>
    <n v="80"/>
    <n v="0"/>
    <n v="5"/>
    <s v="0-5"/>
    <n v="3"/>
    <n v="3"/>
    <n v="5"/>
    <n v="2"/>
    <n v="1"/>
    <n v="0"/>
  </r>
  <r>
    <n v="52"/>
    <x v="1"/>
    <s v="No"/>
    <s v="Travel_Rarely"/>
    <n v="1053"/>
    <x v="1"/>
    <n v="1"/>
    <n v="2"/>
    <s v="Life Sciences"/>
    <n v="1"/>
    <n v="976"/>
    <n v="4"/>
    <s v="Male"/>
    <n v="70"/>
    <n v="3"/>
    <x v="3"/>
    <x v="5"/>
    <n v="4"/>
    <s v="Married"/>
    <n v="17099"/>
    <n v="13829"/>
    <n v="2"/>
    <s v="Y"/>
    <s v="No"/>
    <s v="No"/>
    <n v="15"/>
    <n v="3"/>
    <n v="2"/>
    <n v="80"/>
    <n v="1"/>
    <n v="26"/>
    <s v="&gt;15"/>
    <n v="2"/>
    <n v="2"/>
    <n v="9"/>
    <n v="8"/>
    <n v="7"/>
    <n v="8"/>
  </r>
  <r>
    <n v="58"/>
    <x v="0"/>
    <s v="Yes"/>
    <s v="Travel_Rarely"/>
    <n v="289"/>
    <x v="1"/>
    <n v="2"/>
    <n v="3"/>
    <s v="Technical Degree"/>
    <n v="1"/>
    <n v="977"/>
    <n v="4"/>
    <s v="Male"/>
    <n v="51"/>
    <n v="3"/>
    <x v="1"/>
    <x v="1"/>
    <n v="3"/>
    <s v="Single"/>
    <n v="2479"/>
    <n v="26227"/>
    <n v="4"/>
    <s v="Y"/>
    <s v="No"/>
    <s v="No"/>
    <n v="24"/>
    <n v="4"/>
    <n v="1"/>
    <n v="80"/>
    <n v="0"/>
    <n v="7"/>
    <s v="6-15"/>
    <n v="4"/>
    <n v="3"/>
    <n v="1"/>
    <n v="0"/>
    <n v="0"/>
    <n v="0"/>
  </r>
  <r>
    <n v="53"/>
    <x v="1"/>
    <s v="No"/>
    <s v="Travel_Rarely"/>
    <n v="1376"/>
    <x v="0"/>
    <n v="2"/>
    <n v="2"/>
    <s v="Medical"/>
    <n v="1"/>
    <n v="981"/>
    <n v="3"/>
    <s v="Male"/>
    <n v="45"/>
    <n v="3"/>
    <x v="3"/>
    <x v="5"/>
    <n v="3"/>
    <s v="Divorced"/>
    <n v="14852"/>
    <n v="13938"/>
    <n v="6"/>
    <s v="Y"/>
    <s v="No"/>
    <s v="No"/>
    <n v="13"/>
    <n v="3"/>
    <n v="3"/>
    <n v="80"/>
    <n v="1"/>
    <n v="22"/>
    <s v="&gt;15"/>
    <n v="3"/>
    <n v="4"/>
    <n v="17"/>
    <n v="13"/>
    <n v="15"/>
    <n v="2"/>
  </r>
  <r>
    <n v="30"/>
    <x v="1"/>
    <s v="No"/>
    <s v="Travel_Rarely"/>
    <n v="231"/>
    <x v="0"/>
    <n v="8"/>
    <n v="2"/>
    <s v="Other"/>
    <n v="1"/>
    <n v="982"/>
    <n v="3"/>
    <s v="Male"/>
    <n v="62"/>
    <n v="3"/>
    <x v="2"/>
    <x v="0"/>
    <n v="3"/>
    <s v="Divorced"/>
    <n v="7264"/>
    <n v="9977"/>
    <n v="5"/>
    <s v="Y"/>
    <s v="No"/>
    <s v="No"/>
    <n v="11"/>
    <n v="3"/>
    <n v="1"/>
    <n v="80"/>
    <n v="1"/>
    <n v="10"/>
    <s v="6-15"/>
    <n v="2"/>
    <n v="4"/>
    <n v="8"/>
    <n v="4"/>
    <n v="7"/>
    <n v="7"/>
  </r>
  <r>
    <n v="38"/>
    <x v="1"/>
    <s v="No"/>
    <s v="Non-Travel"/>
    <n v="152"/>
    <x v="0"/>
    <n v="10"/>
    <n v="3"/>
    <s v="Technical Degree"/>
    <n v="1"/>
    <n v="983"/>
    <n v="3"/>
    <s v="Female"/>
    <n v="85"/>
    <n v="3"/>
    <x v="0"/>
    <x v="0"/>
    <n v="4"/>
    <s v="Single"/>
    <n v="5666"/>
    <n v="19899"/>
    <n v="1"/>
    <s v="Y"/>
    <s v="Yes"/>
    <s v="Yes"/>
    <n v="13"/>
    <n v="3"/>
    <n v="2"/>
    <n v="80"/>
    <n v="0"/>
    <n v="6"/>
    <s v="6-15"/>
    <n v="1"/>
    <n v="3"/>
    <n v="5"/>
    <n v="3"/>
    <n v="1"/>
    <n v="3"/>
  </r>
  <r>
    <n v="35"/>
    <x v="1"/>
    <s v="No"/>
    <s v="Travel_Rarely"/>
    <n v="882"/>
    <x v="0"/>
    <n v="3"/>
    <n v="4"/>
    <s v="Life Sciences"/>
    <n v="1"/>
    <n v="984"/>
    <n v="4"/>
    <s v="Male"/>
    <n v="92"/>
    <n v="3"/>
    <x v="2"/>
    <x v="0"/>
    <n v="4"/>
    <s v="Divorced"/>
    <n v="7823"/>
    <n v="6812"/>
    <n v="6"/>
    <s v="Y"/>
    <s v="No"/>
    <s v="No"/>
    <n v="13"/>
    <n v="3"/>
    <n v="2"/>
    <n v="80"/>
    <n v="1"/>
    <n v="12"/>
    <s v="6-15"/>
    <n v="2"/>
    <n v="3"/>
    <n v="10"/>
    <n v="9"/>
    <n v="0"/>
    <n v="8"/>
  </r>
  <r>
    <n v="39"/>
    <x v="1"/>
    <s v="No"/>
    <s v="Travel_Rarely"/>
    <n v="903"/>
    <x v="0"/>
    <n v="2"/>
    <n v="5"/>
    <s v="Life Sciences"/>
    <n v="1"/>
    <n v="985"/>
    <n v="1"/>
    <s v="Male"/>
    <n v="41"/>
    <n v="4"/>
    <x v="2"/>
    <x v="0"/>
    <n v="3"/>
    <s v="Single"/>
    <n v="7880"/>
    <n v="2560"/>
    <n v="0"/>
    <s v="Y"/>
    <s v="No"/>
    <s v="No"/>
    <n v="18"/>
    <n v="3"/>
    <n v="4"/>
    <n v="80"/>
    <n v="0"/>
    <n v="9"/>
    <s v="6-15"/>
    <n v="3"/>
    <n v="3"/>
    <n v="8"/>
    <n v="7"/>
    <n v="0"/>
    <n v="7"/>
  </r>
  <r>
    <n v="40"/>
    <x v="0"/>
    <s v="Yes"/>
    <s v="Non-Travel"/>
    <n v="1479"/>
    <x v="0"/>
    <n v="24"/>
    <n v="3"/>
    <s v="Life Sciences"/>
    <n v="1"/>
    <n v="986"/>
    <n v="2"/>
    <s v="Female"/>
    <n v="100"/>
    <n v="4"/>
    <x v="3"/>
    <x v="0"/>
    <n v="2"/>
    <s v="Single"/>
    <n v="13194"/>
    <n v="17071"/>
    <n v="4"/>
    <s v="Y"/>
    <s v="Yes"/>
    <s v="Yes"/>
    <n v="16"/>
    <n v="3"/>
    <n v="4"/>
    <n v="80"/>
    <n v="0"/>
    <n v="22"/>
    <s v="&gt;15"/>
    <n v="2"/>
    <n v="2"/>
    <n v="1"/>
    <n v="0"/>
    <n v="0"/>
    <n v="0"/>
  </r>
  <r>
    <n v="47"/>
    <x v="1"/>
    <s v="No"/>
    <s v="Travel_Frequently"/>
    <n v="1379"/>
    <x v="1"/>
    <n v="16"/>
    <n v="4"/>
    <s v="Medical"/>
    <n v="1"/>
    <n v="987"/>
    <n v="3"/>
    <s v="Male"/>
    <n v="64"/>
    <n v="4"/>
    <x v="0"/>
    <x v="3"/>
    <n v="3"/>
    <s v="Divorced"/>
    <n v="5067"/>
    <n v="6759"/>
    <n v="1"/>
    <s v="Y"/>
    <s v="Yes"/>
    <s v="Yes"/>
    <n v="19"/>
    <n v="3"/>
    <n v="3"/>
    <n v="80"/>
    <n v="0"/>
    <n v="20"/>
    <s v="&gt;15"/>
    <n v="3"/>
    <n v="4"/>
    <n v="19"/>
    <n v="10"/>
    <n v="2"/>
    <n v="7"/>
  </r>
  <r>
    <n v="36"/>
    <x v="1"/>
    <s v="No"/>
    <s v="Non-Travel"/>
    <n v="1229"/>
    <x v="0"/>
    <n v="8"/>
    <n v="4"/>
    <s v="Technical Degree"/>
    <n v="1"/>
    <n v="990"/>
    <n v="1"/>
    <s v="Male"/>
    <n v="84"/>
    <n v="3"/>
    <x v="0"/>
    <x v="0"/>
    <n v="4"/>
    <s v="Divorced"/>
    <n v="5079"/>
    <n v="25952"/>
    <n v="4"/>
    <s v="Y"/>
    <s v="No"/>
    <s v="No"/>
    <n v="13"/>
    <n v="3"/>
    <n v="4"/>
    <n v="80"/>
    <n v="2"/>
    <n v="12"/>
    <s v="6-15"/>
    <n v="3"/>
    <n v="3"/>
    <n v="7"/>
    <n v="7"/>
    <n v="0"/>
    <n v="7"/>
  </r>
  <r>
    <n v="31"/>
    <x v="0"/>
    <s v="Yes"/>
    <s v="Non-Travel"/>
    <n v="335"/>
    <x v="1"/>
    <n v="9"/>
    <n v="2"/>
    <s v="Medical"/>
    <n v="1"/>
    <n v="991"/>
    <n v="3"/>
    <s v="Male"/>
    <n v="46"/>
    <n v="2"/>
    <x v="1"/>
    <x v="1"/>
    <n v="1"/>
    <s v="Single"/>
    <n v="2321"/>
    <n v="10322"/>
    <n v="0"/>
    <s v="Y"/>
    <s v="Yes"/>
    <s v="Yes"/>
    <n v="22"/>
    <n v="4"/>
    <n v="1"/>
    <n v="80"/>
    <n v="0"/>
    <n v="4"/>
    <s v="0-5"/>
    <n v="0"/>
    <n v="3"/>
    <n v="3"/>
    <n v="2"/>
    <n v="1"/>
    <n v="2"/>
  </r>
  <r>
    <n v="33"/>
    <x v="1"/>
    <s v="No"/>
    <s v="Non-Travel"/>
    <n v="722"/>
    <x v="0"/>
    <n v="17"/>
    <n v="3"/>
    <s v="Life Sciences"/>
    <n v="1"/>
    <n v="992"/>
    <n v="4"/>
    <s v="Male"/>
    <n v="38"/>
    <n v="3"/>
    <x v="3"/>
    <x v="5"/>
    <n v="3"/>
    <s v="Single"/>
    <n v="17444"/>
    <n v="20489"/>
    <n v="1"/>
    <s v="Y"/>
    <s v="No"/>
    <s v="No"/>
    <n v="11"/>
    <n v="3"/>
    <n v="4"/>
    <n v="80"/>
    <n v="0"/>
    <n v="10"/>
    <s v="6-15"/>
    <n v="2"/>
    <n v="3"/>
    <n v="10"/>
    <n v="8"/>
    <n v="6"/>
    <n v="0"/>
  </r>
  <r>
    <n v="29"/>
    <x v="0"/>
    <s v="Yes"/>
    <s v="Travel_Rarely"/>
    <n v="906"/>
    <x v="1"/>
    <n v="10"/>
    <n v="3"/>
    <s v="Life Sciences"/>
    <n v="1"/>
    <n v="994"/>
    <n v="4"/>
    <s v="Female"/>
    <n v="92"/>
    <n v="2"/>
    <x v="1"/>
    <x v="1"/>
    <n v="1"/>
    <s v="Single"/>
    <n v="2404"/>
    <n v="11479"/>
    <n v="6"/>
    <s v="Y"/>
    <s v="Yes"/>
    <s v="Yes"/>
    <n v="20"/>
    <n v="4"/>
    <n v="3"/>
    <n v="80"/>
    <n v="0"/>
    <n v="3"/>
    <s v="0-5"/>
    <n v="5"/>
    <n v="3"/>
    <n v="0"/>
    <n v="0"/>
    <n v="0"/>
    <n v="0"/>
  </r>
  <r>
    <n v="33"/>
    <x v="1"/>
    <s v="No"/>
    <s v="Travel_Rarely"/>
    <n v="461"/>
    <x v="1"/>
    <n v="13"/>
    <n v="1"/>
    <s v="Life Sciences"/>
    <n v="1"/>
    <n v="995"/>
    <n v="2"/>
    <s v="Female"/>
    <n v="53"/>
    <n v="3"/>
    <x v="1"/>
    <x v="1"/>
    <n v="4"/>
    <s v="Single"/>
    <n v="3452"/>
    <n v="17241"/>
    <n v="3"/>
    <s v="Y"/>
    <s v="No"/>
    <s v="No"/>
    <n v="18"/>
    <n v="3"/>
    <n v="1"/>
    <n v="80"/>
    <n v="0"/>
    <n v="5"/>
    <s v="0-5"/>
    <n v="4"/>
    <n v="3"/>
    <n v="3"/>
    <n v="2"/>
    <n v="0"/>
    <n v="2"/>
  </r>
  <r>
    <n v="45"/>
    <x v="1"/>
    <s v="No"/>
    <s v="Travel_Rarely"/>
    <n v="974"/>
    <x v="1"/>
    <n v="1"/>
    <n v="4"/>
    <s v="Medical"/>
    <n v="1"/>
    <n v="996"/>
    <n v="4"/>
    <s v="Female"/>
    <n v="91"/>
    <n v="3"/>
    <x v="1"/>
    <x v="2"/>
    <n v="4"/>
    <s v="Divorced"/>
    <n v="2270"/>
    <n v="11005"/>
    <n v="3"/>
    <s v="Y"/>
    <s v="No"/>
    <s v="No"/>
    <n v="14"/>
    <n v="3"/>
    <n v="4"/>
    <n v="80"/>
    <n v="2"/>
    <n v="8"/>
    <s v="6-15"/>
    <n v="2"/>
    <n v="3"/>
    <n v="5"/>
    <n v="3"/>
    <n v="0"/>
    <n v="2"/>
  </r>
  <r>
    <n v="50"/>
    <x v="1"/>
    <s v="No"/>
    <s v="Travel_Rarely"/>
    <n v="1126"/>
    <x v="1"/>
    <n v="1"/>
    <n v="2"/>
    <s v="Medical"/>
    <n v="1"/>
    <n v="997"/>
    <n v="4"/>
    <s v="Male"/>
    <n v="66"/>
    <n v="3"/>
    <x v="3"/>
    <x v="7"/>
    <n v="4"/>
    <s v="Divorced"/>
    <n v="17399"/>
    <n v="6615"/>
    <n v="9"/>
    <s v="Y"/>
    <s v="No"/>
    <s v="No"/>
    <n v="22"/>
    <n v="4"/>
    <n v="3"/>
    <n v="80"/>
    <n v="1"/>
    <n v="32"/>
    <s v="&gt;15"/>
    <n v="1"/>
    <n v="2"/>
    <n v="5"/>
    <n v="4"/>
    <n v="1"/>
    <n v="3"/>
  </r>
  <r>
    <n v="33"/>
    <x v="1"/>
    <s v="No"/>
    <s v="Travel_Frequently"/>
    <n v="827"/>
    <x v="1"/>
    <n v="1"/>
    <n v="4"/>
    <s v="Other"/>
    <n v="1"/>
    <n v="998"/>
    <n v="3"/>
    <s v="Female"/>
    <n v="84"/>
    <n v="4"/>
    <x v="0"/>
    <x v="4"/>
    <n v="2"/>
    <s v="Married"/>
    <n v="5488"/>
    <n v="20161"/>
    <n v="1"/>
    <s v="Y"/>
    <s v="Yes"/>
    <s v="Yes"/>
    <n v="13"/>
    <n v="3"/>
    <n v="1"/>
    <n v="80"/>
    <n v="1"/>
    <n v="6"/>
    <s v="6-15"/>
    <n v="2"/>
    <n v="3"/>
    <n v="6"/>
    <n v="5"/>
    <n v="1"/>
    <n v="2"/>
  </r>
  <r>
    <n v="41"/>
    <x v="1"/>
    <s v="No"/>
    <s v="Travel_Frequently"/>
    <n v="840"/>
    <x v="1"/>
    <n v="9"/>
    <n v="3"/>
    <s v="Medical"/>
    <n v="1"/>
    <n v="999"/>
    <n v="1"/>
    <s v="Male"/>
    <n v="64"/>
    <n v="3"/>
    <x v="4"/>
    <x v="7"/>
    <n v="3"/>
    <s v="Divorced"/>
    <n v="19419"/>
    <n v="3735"/>
    <n v="2"/>
    <s v="Y"/>
    <s v="No"/>
    <s v="No"/>
    <n v="17"/>
    <n v="3"/>
    <n v="2"/>
    <n v="80"/>
    <n v="1"/>
    <n v="21"/>
    <s v="&gt;15"/>
    <n v="2"/>
    <n v="4"/>
    <n v="18"/>
    <n v="16"/>
    <n v="0"/>
    <n v="11"/>
  </r>
  <r>
    <n v="27"/>
    <x v="1"/>
    <s v="No"/>
    <s v="Travel_Rarely"/>
    <n v="1134"/>
    <x v="1"/>
    <n v="16"/>
    <n v="4"/>
    <s v="Technical Degree"/>
    <n v="1"/>
    <n v="1001"/>
    <n v="3"/>
    <s v="Female"/>
    <n v="37"/>
    <n v="3"/>
    <x v="1"/>
    <x v="2"/>
    <n v="2"/>
    <s v="Married"/>
    <n v="2811"/>
    <n v="12086"/>
    <n v="9"/>
    <s v="Y"/>
    <s v="No"/>
    <s v="No"/>
    <n v="14"/>
    <n v="3"/>
    <n v="2"/>
    <n v="80"/>
    <n v="1"/>
    <n v="4"/>
    <s v="0-5"/>
    <n v="2"/>
    <n v="3"/>
    <n v="2"/>
    <n v="2"/>
    <n v="2"/>
    <n v="2"/>
  </r>
  <r>
    <n v="45"/>
    <x v="1"/>
    <s v="No"/>
    <s v="Non-Travel"/>
    <n v="248"/>
    <x v="1"/>
    <n v="23"/>
    <n v="2"/>
    <s v="Life Sciences"/>
    <n v="1"/>
    <n v="1002"/>
    <n v="4"/>
    <s v="Male"/>
    <n v="42"/>
    <n v="3"/>
    <x v="0"/>
    <x v="2"/>
    <n v="1"/>
    <s v="Married"/>
    <n v="3633"/>
    <n v="14039"/>
    <n v="1"/>
    <s v="Y"/>
    <s v="Yes"/>
    <s v="Yes"/>
    <n v="15"/>
    <n v="3"/>
    <n v="3"/>
    <n v="80"/>
    <n v="1"/>
    <n v="9"/>
    <s v="6-15"/>
    <n v="2"/>
    <n v="3"/>
    <n v="9"/>
    <n v="8"/>
    <n v="0"/>
    <n v="8"/>
  </r>
  <r>
    <n v="47"/>
    <x v="1"/>
    <s v="No"/>
    <s v="Travel_Rarely"/>
    <n v="955"/>
    <x v="0"/>
    <n v="4"/>
    <n v="2"/>
    <s v="Life Sciences"/>
    <n v="1"/>
    <n v="1003"/>
    <n v="4"/>
    <s v="Female"/>
    <n v="83"/>
    <n v="3"/>
    <x v="0"/>
    <x v="0"/>
    <n v="4"/>
    <s v="Single"/>
    <n v="4163"/>
    <n v="8571"/>
    <n v="1"/>
    <s v="Y"/>
    <s v="Yes"/>
    <s v="Yes"/>
    <n v="17"/>
    <n v="3"/>
    <n v="3"/>
    <n v="80"/>
    <n v="0"/>
    <n v="9"/>
    <s v="6-15"/>
    <n v="0"/>
    <n v="3"/>
    <n v="9"/>
    <n v="0"/>
    <n v="0"/>
    <n v="7"/>
  </r>
  <r>
    <n v="30"/>
    <x v="0"/>
    <s v="Yes"/>
    <s v="Travel_Rarely"/>
    <n v="138"/>
    <x v="1"/>
    <n v="22"/>
    <n v="3"/>
    <s v="Life Sciences"/>
    <n v="1"/>
    <n v="1004"/>
    <n v="1"/>
    <s v="Female"/>
    <n v="48"/>
    <n v="3"/>
    <x v="1"/>
    <x v="1"/>
    <n v="3"/>
    <s v="Married"/>
    <n v="2132"/>
    <n v="11539"/>
    <n v="4"/>
    <s v="Y"/>
    <s v="Yes"/>
    <s v="Yes"/>
    <n v="11"/>
    <n v="3"/>
    <n v="2"/>
    <n v="80"/>
    <n v="0"/>
    <n v="7"/>
    <s v="6-15"/>
    <n v="2"/>
    <n v="3"/>
    <n v="5"/>
    <n v="2"/>
    <n v="0"/>
    <n v="1"/>
  </r>
  <r>
    <n v="50"/>
    <x v="1"/>
    <s v="No"/>
    <s v="Travel_Rarely"/>
    <n v="939"/>
    <x v="1"/>
    <n v="24"/>
    <n v="3"/>
    <s v="Life Sciences"/>
    <n v="1"/>
    <n v="1005"/>
    <n v="4"/>
    <s v="Male"/>
    <n v="95"/>
    <n v="3"/>
    <x v="3"/>
    <x v="3"/>
    <n v="3"/>
    <s v="Married"/>
    <n v="13973"/>
    <n v="4161"/>
    <n v="3"/>
    <s v="Y"/>
    <s v="Yes"/>
    <s v="Yes"/>
    <n v="18"/>
    <n v="3"/>
    <n v="4"/>
    <n v="80"/>
    <n v="1"/>
    <n v="22"/>
    <s v="&gt;15"/>
    <n v="2"/>
    <n v="3"/>
    <n v="12"/>
    <n v="11"/>
    <n v="1"/>
    <n v="5"/>
  </r>
  <r>
    <n v="38"/>
    <x v="1"/>
    <s v="No"/>
    <s v="Travel_Frequently"/>
    <n v="1391"/>
    <x v="1"/>
    <n v="10"/>
    <n v="1"/>
    <s v="Medical"/>
    <n v="1"/>
    <n v="1006"/>
    <n v="3"/>
    <s v="Male"/>
    <n v="66"/>
    <n v="3"/>
    <x v="1"/>
    <x v="1"/>
    <n v="3"/>
    <s v="Married"/>
    <n v="2684"/>
    <n v="12127"/>
    <n v="0"/>
    <s v="Y"/>
    <s v="No"/>
    <s v="No"/>
    <n v="17"/>
    <n v="3"/>
    <n v="2"/>
    <n v="80"/>
    <n v="1"/>
    <n v="3"/>
    <s v="0-5"/>
    <n v="0"/>
    <n v="2"/>
    <n v="2"/>
    <n v="1"/>
    <n v="0"/>
    <n v="2"/>
  </r>
  <r>
    <n v="46"/>
    <x v="1"/>
    <s v="No"/>
    <s v="Travel_Rarely"/>
    <n v="566"/>
    <x v="1"/>
    <n v="7"/>
    <n v="2"/>
    <s v="Medical"/>
    <n v="1"/>
    <n v="1007"/>
    <n v="4"/>
    <s v="Male"/>
    <n v="75"/>
    <n v="3"/>
    <x v="2"/>
    <x v="3"/>
    <n v="3"/>
    <s v="Divorced"/>
    <n v="10845"/>
    <n v="24208"/>
    <n v="6"/>
    <s v="Y"/>
    <s v="No"/>
    <s v="No"/>
    <n v="13"/>
    <n v="3"/>
    <n v="2"/>
    <n v="80"/>
    <n v="1"/>
    <n v="13"/>
    <s v="6-15"/>
    <n v="3"/>
    <n v="3"/>
    <n v="8"/>
    <n v="7"/>
    <n v="0"/>
    <n v="7"/>
  </r>
  <r>
    <n v="24"/>
    <x v="1"/>
    <s v="No"/>
    <s v="Travel_Rarely"/>
    <n v="1206"/>
    <x v="1"/>
    <n v="17"/>
    <n v="1"/>
    <s v="Medical"/>
    <n v="1"/>
    <n v="1009"/>
    <n v="4"/>
    <s v="Female"/>
    <n v="41"/>
    <n v="2"/>
    <x v="0"/>
    <x v="3"/>
    <n v="3"/>
    <s v="Divorced"/>
    <n v="4377"/>
    <n v="24117"/>
    <n v="1"/>
    <s v="Y"/>
    <s v="No"/>
    <s v="No"/>
    <n v="15"/>
    <n v="3"/>
    <n v="2"/>
    <n v="80"/>
    <n v="2"/>
    <n v="5"/>
    <s v="0-5"/>
    <n v="6"/>
    <n v="3"/>
    <n v="4"/>
    <n v="2"/>
    <n v="3"/>
    <n v="2"/>
  </r>
  <r>
    <n v="35"/>
    <x v="0"/>
    <s v="Yes"/>
    <s v="Travel_Rarely"/>
    <n v="622"/>
    <x v="1"/>
    <n v="14"/>
    <n v="4"/>
    <s v="Other"/>
    <n v="1"/>
    <n v="1010"/>
    <n v="3"/>
    <s v="Male"/>
    <n v="39"/>
    <n v="2"/>
    <x v="1"/>
    <x v="2"/>
    <n v="2"/>
    <s v="Divorced"/>
    <n v="3743"/>
    <n v="10074"/>
    <n v="1"/>
    <s v="Y"/>
    <s v="Yes"/>
    <s v="Yes"/>
    <n v="24"/>
    <n v="4"/>
    <n v="4"/>
    <n v="80"/>
    <n v="1"/>
    <n v="5"/>
    <s v="0-5"/>
    <n v="2"/>
    <n v="1"/>
    <n v="4"/>
    <n v="2"/>
    <n v="0"/>
    <n v="2"/>
  </r>
  <r>
    <n v="31"/>
    <x v="1"/>
    <s v="No"/>
    <s v="Travel_Frequently"/>
    <n v="853"/>
    <x v="1"/>
    <n v="1"/>
    <n v="1"/>
    <s v="Life Sciences"/>
    <n v="1"/>
    <n v="1011"/>
    <n v="3"/>
    <s v="Female"/>
    <n v="96"/>
    <n v="3"/>
    <x v="0"/>
    <x v="3"/>
    <n v="1"/>
    <s v="Married"/>
    <n v="4148"/>
    <n v="11275"/>
    <n v="1"/>
    <s v="Y"/>
    <s v="No"/>
    <s v="No"/>
    <n v="12"/>
    <n v="3"/>
    <n v="3"/>
    <n v="80"/>
    <n v="1"/>
    <n v="4"/>
    <s v="0-5"/>
    <n v="1"/>
    <n v="3"/>
    <n v="4"/>
    <n v="3"/>
    <n v="0"/>
    <n v="3"/>
  </r>
  <r>
    <n v="18"/>
    <x v="1"/>
    <s v="No"/>
    <s v="Non-Travel"/>
    <n v="287"/>
    <x v="1"/>
    <n v="5"/>
    <n v="2"/>
    <s v="Life Sciences"/>
    <n v="1"/>
    <n v="1012"/>
    <n v="2"/>
    <s v="Male"/>
    <n v="73"/>
    <n v="3"/>
    <x v="1"/>
    <x v="1"/>
    <n v="4"/>
    <s v="Single"/>
    <n v="1051"/>
    <n v="13493"/>
    <n v="1"/>
    <s v="Y"/>
    <s v="No"/>
    <s v="No"/>
    <n v="15"/>
    <n v="3"/>
    <n v="4"/>
    <n v="80"/>
    <n v="0"/>
    <n v="0"/>
    <s v="0-5"/>
    <n v="2"/>
    <n v="3"/>
    <n v="0"/>
    <n v="0"/>
    <n v="0"/>
    <n v="0"/>
  </r>
  <r>
    <n v="54"/>
    <x v="1"/>
    <s v="No"/>
    <s v="Travel_Rarely"/>
    <n v="1441"/>
    <x v="1"/>
    <n v="17"/>
    <n v="3"/>
    <s v="Technical Degree"/>
    <n v="1"/>
    <n v="1013"/>
    <n v="3"/>
    <s v="Female"/>
    <n v="56"/>
    <n v="3"/>
    <x v="2"/>
    <x v="3"/>
    <n v="3"/>
    <s v="Married"/>
    <n v="10739"/>
    <n v="13943"/>
    <n v="8"/>
    <s v="Y"/>
    <s v="No"/>
    <s v="No"/>
    <n v="11"/>
    <n v="3"/>
    <n v="3"/>
    <n v="80"/>
    <n v="1"/>
    <n v="22"/>
    <s v="&gt;15"/>
    <n v="2"/>
    <n v="3"/>
    <n v="10"/>
    <n v="7"/>
    <n v="0"/>
    <n v="8"/>
  </r>
  <r>
    <n v="35"/>
    <x v="1"/>
    <s v="No"/>
    <s v="Travel_Rarely"/>
    <n v="583"/>
    <x v="1"/>
    <n v="25"/>
    <n v="4"/>
    <s v="Medical"/>
    <n v="1"/>
    <n v="1014"/>
    <n v="3"/>
    <s v="Female"/>
    <n v="57"/>
    <n v="3"/>
    <x v="2"/>
    <x v="4"/>
    <n v="3"/>
    <s v="Divorced"/>
    <n v="10388"/>
    <n v="6975"/>
    <n v="1"/>
    <s v="Y"/>
    <s v="Yes"/>
    <s v="Yes"/>
    <n v="11"/>
    <n v="3"/>
    <n v="3"/>
    <n v="80"/>
    <n v="1"/>
    <n v="16"/>
    <s v="&gt;15"/>
    <n v="3"/>
    <n v="2"/>
    <n v="16"/>
    <n v="10"/>
    <n v="10"/>
    <n v="1"/>
  </r>
  <r>
    <n v="30"/>
    <x v="1"/>
    <s v="No"/>
    <s v="Travel_Rarely"/>
    <n v="153"/>
    <x v="1"/>
    <n v="8"/>
    <n v="2"/>
    <s v="Life Sciences"/>
    <n v="1"/>
    <n v="1015"/>
    <n v="2"/>
    <s v="Female"/>
    <n v="73"/>
    <n v="4"/>
    <x v="2"/>
    <x v="7"/>
    <n v="1"/>
    <s v="Married"/>
    <n v="11416"/>
    <n v="17802"/>
    <n v="0"/>
    <s v="Y"/>
    <s v="Yes"/>
    <s v="Yes"/>
    <n v="12"/>
    <n v="3"/>
    <n v="3"/>
    <n v="80"/>
    <n v="3"/>
    <n v="9"/>
    <s v="6-15"/>
    <n v="4"/>
    <n v="2"/>
    <n v="8"/>
    <n v="7"/>
    <n v="1"/>
    <n v="7"/>
  </r>
  <r>
    <n v="20"/>
    <x v="0"/>
    <s v="Yes"/>
    <s v="Travel_Rarely"/>
    <n v="1097"/>
    <x v="1"/>
    <n v="11"/>
    <n v="3"/>
    <s v="Medical"/>
    <n v="1"/>
    <n v="1016"/>
    <n v="4"/>
    <s v="Female"/>
    <n v="98"/>
    <n v="2"/>
    <x v="1"/>
    <x v="1"/>
    <n v="1"/>
    <s v="Single"/>
    <n v="2600"/>
    <n v="18275"/>
    <n v="1"/>
    <s v="Y"/>
    <s v="Yes"/>
    <s v="Yes"/>
    <n v="15"/>
    <n v="3"/>
    <n v="1"/>
    <n v="80"/>
    <n v="0"/>
    <n v="1"/>
    <s v="0-5"/>
    <n v="2"/>
    <n v="3"/>
    <n v="1"/>
    <n v="0"/>
    <n v="0"/>
    <n v="0"/>
  </r>
  <r>
    <n v="30"/>
    <x v="0"/>
    <s v="Yes"/>
    <s v="Travel_Frequently"/>
    <n v="109"/>
    <x v="1"/>
    <n v="5"/>
    <n v="3"/>
    <s v="Medical"/>
    <n v="1"/>
    <n v="1017"/>
    <n v="2"/>
    <s v="Female"/>
    <n v="60"/>
    <n v="3"/>
    <x v="1"/>
    <x v="2"/>
    <n v="2"/>
    <s v="Single"/>
    <n v="2422"/>
    <n v="25725"/>
    <n v="0"/>
    <s v="Y"/>
    <s v="No"/>
    <s v="No"/>
    <n v="17"/>
    <n v="3"/>
    <n v="1"/>
    <n v="80"/>
    <n v="0"/>
    <n v="4"/>
    <s v="0-5"/>
    <n v="3"/>
    <n v="3"/>
    <n v="3"/>
    <n v="2"/>
    <n v="1"/>
    <n v="2"/>
  </r>
  <r>
    <n v="26"/>
    <x v="1"/>
    <s v="No"/>
    <s v="Travel_Rarely"/>
    <n v="1066"/>
    <x v="1"/>
    <n v="2"/>
    <n v="2"/>
    <s v="Medical"/>
    <n v="1"/>
    <n v="1018"/>
    <n v="4"/>
    <s v="Male"/>
    <n v="32"/>
    <n v="4"/>
    <x v="0"/>
    <x v="3"/>
    <n v="4"/>
    <s v="Married"/>
    <n v="5472"/>
    <n v="3334"/>
    <n v="1"/>
    <s v="Y"/>
    <s v="No"/>
    <s v="No"/>
    <n v="12"/>
    <n v="3"/>
    <n v="2"/>
    <n v="80"/>
    <n v="0"/>
    <n v="8"/>
    <s v="6-15"/>
    <n v="2"/>
    <n v="3"/>
    <n v="8"/>
    <n v="7"/>
    <n v="1"/>
    <n v="3"/>
  </r>
  <r>
    <n v="22"/>
    <x v="1"/>
    <s v="No"/>
    <s v="Travel_Rarely"/>
    <n v="217"/>
    <x v="1"/>
    <n v="8"/>
    <n v="1"/>
    <s v="Life Sciences"/>
    <n v="1"/>
    <n v="1019"/>
    <n v="2"/>
    <s v="Male"/>
    <n v="94"/>
    <n v="1"/>
    <x v="1"/>
    <x v="2"/>
    <n v="1"/>
    <s v="Married"/>
    <n v="2451"/>
    <n v="6881"/>
    <n v="1"/>
    <s v="Y"/>
    <s v="No"/>
    <s v="No"/>
    <n v="15"/>
    <n v="3"/>
    <n v="1"/>
    <n v="80"/>
    <n v="1"/>
    <n v="4"/>
    <s v="0-5"/>
    <n v="3"/>
    <n v="2"/>
    <n v="4"/>
    <n v="3"/>
    <n v="1"/>
    <n v="1"/>
  </r>
  <r>
    <n v="48"/>
    <x v="1"/>
    <s v="No"/>
    <s v="Travel_Rarely"/>
    <n v="277"/>
    <x v="1"/>
    <n v="6"/>
    <n v="3"/>
    <s v="Life Sciences"/>
    <n v="1"/>
    <n v="1022"/>
    <n v="1"/>
    <s v="Male"/>
    <n v="97"/>
    <n v="2"/>
    <x v="0"/>
    <x v="4"/>
    <n v="3"/>
    <s v="Single"/>
    <n v="4240"/>
    <n v="13119"/>
    <n v="2"/>
    <s v="Y"/>
    <s v="No"/>
    <s v="No"/>
    <n v="13"/>
    <n v="3"/>
    <n v="4"/>
    <n v="80"/>
    <n v="0"/>
    <n v="19"/>
    <s v="&gt;15"/>
    <n v="0"/>
    <n v="3"/>
    <n v="2"/>
    <n v="2"/>
    <n v="2"/>
    <n v="2"/>
  </r>
  <r>
    <n v="48"/>
    <x v="1"/>
    <s v="No"/>
    <s v="Travel_Rarely"/>
    <n v="1355"/>
    <x v="1"/>
    <n v="4"/>
    <n v="4"/>
    <s v="Life Sciences"/>
    <n v="1"/>
    <n v="1024"/>
    <n v="3"/>
    <s v="Male"/>
    <n v="78"/>
    <n v="2"/>
    <x v="2"/>
    <x v="4"/>
    <n v="3"/>
    <s v="Single"/>
    <n v="10999"/>
    <n v="22245"/>
    <n v="7"/>
    <s v="Y"/>
    <s v="No"/>
    <s v="No"/>
    <n v="14"/>
    <n v="3"/>
    <n v="2"/>
    <n v="80"/>
    <n v="0"/>
    <n v="27"/>
    <s v="&gt;15"/>
    <n v="3"/>
    <n v="3"/>
    <n v="15"/>
    <n v="11"/>
    <n v="4"/>
    <n v="8"/>
  </r>
  <r>
    <n v="41"/>
    <x v="1"/>
    <s v="No"/>
    <s v="Travel_Rarely"/>
    <n v="549"/>
    <x v="1"/>
    <n v="7"/>
    <n v="2"/>
    <s v="Medical"/>
    <n v="1"/>
    <n v="1025"/>
    <n v="4"/>
    <s v="Female"/>
    <n v="42"/>
    <n v="3"/>
    <x v="0"/>
    <x v="3"/>
    <n v="3"/>
    <s v="Single"/>
    <n v="5003"/>
    <n v="23371"/>
    <n v="6"/>
    <s v="Y"/>
    <s v="No"/>
    <s v="No"/>
    <n v="14"/>
    <n v="3"/>
    <n v="2"/>
    <n v="80"/>
    <n v="0"/>
    <n v="8"/>
    <s v="6-15"/>
    <n v="6"/>
    <n v="3"/>
    <n v="2"/>
    <n v="2"/>
    <n v="2"/>
    <n v="1"/>
  </r>
  <r>
    <n v="39"/>
    <x v="1"/>
    <s v="No"/>
    <s v="Travel_Rarely"/>
    <n v="466"/>
    <x v="1"/>
    <n v="1"/>
    <n v="1"/>
    <s v="Life Sciences"/>
    <n v="1"/>
    <n v="1026"/>
    <n v="4"/>
    <s v="Female"/>
    <n v="65"/>
    <n v="2"/>
    <x v="3"/>
    <x v="3"/>
    <n v="4"/>
    <s v="Married"/>
    <n v="12742"/>
    <n v="7060"/>
    <n v="1"/>
    <s v="Y"/>
    <s v="No"/>
    <s v="No"/>
    <n v="16"/>
    <n v="3"/>
    <n v="3"/>
    <n v="80"/>
    <n v="1"/>
    <n v="21"/>
    <s v="&gt;15"/>
    <n v="3"/>
    <n v="3"/>
    <n v="21"/>
    <n v="6"/>
    <n v="11"/>
    <n v="8"/>
  </r>
  <r>
    <n v="27"/>
    <x v="1"/>
    <s v="No"/>
    <s v="Travel_Rarely"/>
    <n v="1055"/>
    <x v="1"/>
    <n v="2"/>
    <n v="4"/>
    <s v="Life Sciences"/>
    <n v="1"/>
    <n v="1027"/>
    <n v="1"/>
    <s v="Female"/>
    <n v="47"/>
    <n v="3"/>
    <x v="0"/>
    <x v="3"/>
    <n v="4"/>
    <s v="Married"/>
    <n v="4227"/>
    <n v="4658"/>
    <n v="0"/>
    <s v="Y"/>
    <s v="No"/>
    <s v="No"/>
    <n v="18"/>
    <n v="3"/>
    <n v="2"/>
    <n v="80"/>
    <n v="1"/>
    <n v="4"/>
    <s v="0-5"/>
    <n v="2"/>
    <n v="3"/>
    <n v="3"/>
    <n v="2"/>
    <n v="2"/>
    <n v="2"/>
  </r>
  <r>
    <n v="35"/>
    <x v="1"/>
    <s v="No"/>
    <s v="Travel_Rarely"/>
    <n v="802"/>
    <x v="1"/>
    <n v="10"/>
    <n v="3"/>
    <s v="Other"/>
    <n v="1"/>
    <n v="1028"/>
    <n v="2"/>
    <s v="Male"/>
    <n v="45"/>
    <n v="3"/>
    <x v="1"/>
    <x v="2"/>
    <n v="4"/>
    <s v="Divorced"/>
    <n v="3917"/>
    <n v="9541"/>
    <n v="1"/>
    <s v="Y"/>
    <s v="No"/>
    <s v="No"/>
    <n v="20"/>
    <n v="4"/>
    <n v="1"/>
    <n v="80"/>
    <n v="1"/>
    <n v="3"/>
    <s v="0-5"/>
    <n v="4"/>
    <n v="2"/>
    <n v="3"/>
    <n v="2"/>
    <n v="1"/>
    <n v="2"/>
  </r>
  <r>
    <n v="42"/>
    <x v="1"/>
    <s v="No"/>
    <s v="Travel_Rarely"/>
    <n v="265"/>
    <x v="0"/>
    <n v="5"/>
    <n v="2"/>
    <s v="Marketing"/>
    <n v="1"/>
    <n v="1029"/>
    <n v="4"/>
    <s v="Male"/>
    <n v="90"/>
    <n v="3"/>
    <x v="4"/>
    <x v="5"/>
    <n v="3"/>
    <s v="Married"/>
    <n v="18303"/>
    <n v="7770"/>
    <n v="6"/>
    <s v="Y"/>
    <s v="No"/>
    <s v="No"/>
    <n v="13"/>
    <n v="3"/>
    <n v="2"/>
    <n v="80"/>
    <n v="0"/>
    <n v="21"/>
    <s v="&gt;15"/>
    <n v="3"/>
    <n v="4"/>
    <n v="1"/>
    <n v="0"/>
    <n v="0"/>
    <n v="0"/>
  </r>
  <r>
    <n v="50"/>
    <x v="1"/>
    <s v="No"/>
    <s v="Travel_Rarely"/>
    <n v="804"/>
    <x v="1"/>
    <n v="9"/>
    <n v="3"/>
    <s v="Life Sciences"/>
    <n v="1"/>
    <n v="1030"/>
    <n v="1"/>
    <s v="Male"/>
    <n v="64"/>
    <n v="3"/>
    <x v="1"/>
    <x v="2"/>
    <n v="4"/>
    <s v="Married"/>
    <n v="2380"/>
    <n v="20165"/>
    <n v="4"/>
    <s v="Y"/>
    <s v="No"/>
    <s v="No"/>
    <n v="18"/>
    <n v="3"/>
    <n v="2"/>
    <n v="80"/>
    <n v="0"/>
    <n v="8"/>
    <s v="6-15"/>
    <n v="5"/>
    <n v="3"/>
    <n v="1"/>
    <n v="0"/>
    <n v="0"/>
    <n v="0"/>
  </r>
  <r>
    <n v="59"/>
    <x v="1"/>
    <s v="No"/>
    <s v="Travel_Rarely"/>
    <n v="715"/>
    <x v="1"/>
    <n v="2"/>
    <n v="3"/>
    <s v="Life Sciences"/>
    <n v="1"/>
    <n v="1032"/>
    <n v="3"/>
    <s v="Female"/>
    <n v="69"/>
    <n v="2"/>
    <x v="3"/>
    <x v="3"/>
    <n v="4"/>
    <s v="Single"/>
    <n v="13726"/>
    <n v="21829"/>
    <n v="3"/>
    <s v="Y"/>
    <s v="Yes"/>
    <s v="Yes"/>
    <n v="13"/>
    <n v="3"/>
    <n v="1"/>
    <n v="80"/>
    <n v="0"/>
    <n v="30"/>
    <s v="&gt;15"/>
    <n v="4"/>
    <n v="3"/>
    <n v="5"/>
    <n v="3"/>
    <n v="4"/>
    <n v="3"/>
  </r>
  <r>
    <n v="37"/>
    <x v="0"/>
    <s v="Yes"/>
    <s v="Travel_Rarely"/>
    <n v="1141"/>
    <x v="1"/>
    <n v="11"/>
    <n v="2"/>
    <s v="Medical"/>
    <n v="1"/>
    <n v="1033"/>
    <n v="1"/>
    <s v="Female"/>
    <n v="61"/>
    <n v="1"/>
    <x v="0"/>
    <x v="4"/>
    <n v="2"/>
    <s v="Married"/>
    <n v="4777"/>
    <n v="14382"/>
    <n v="5"/>
    <s v="Y"/>
    <s v="No"/>
    <s v="No"/>
    <n v="15"/>
    <n v="3"/>
    <n v="1"/>
    <n v="80"/>
    <n v="0"/>
    <n v="15"/>
    <s v="6-15"/>
    <n v="2"/>
    <n v="1"/>
    <n v="1"/>
    <n v="0"/>
    <n v="0"/>
    <n v="0"/>
  </r>
  <r>
    <n v="55"/>
    <x v="1"/>
    <s v="No"/>
    <s v="Travel_Frequently"/>
    <n v="135"/>
    <x v="1"/>
    <n v="18"/>
    <n v="4"/>
    <s v="Medical"/>
    <n v="1"/>
    <n v="1034"/>
    <n v="3"/>
    <s v="Male"/>
    <n v="62"/>
    <n v="3"/>
    <x v="0"/>
    <x v="4"/>
    <n v="2"/>
    <s v="Married"/>
    <n v="6385"/>
    <n v="12992"/>
    <n v="3"/>
    <s v="Y"/>
    <s v="Yes"/>
    <s v="Yes"/>
    <n v="14"/>
    <n v="3"/>
    <n v="4"/>
    <n v="80"/>
    <n v="2"/>
    <n v="17"/>
    <s v="&gt;15"/>
    <n v="3"/>
    <n v="3"/>
    <n v="8"/>
    <n v="7"/>
    <n v="6"/>
    <n v="7"/>
  </r>
  <r>
    <n v="41"/>
    <x v="1"/>
    <s v="No"/>
    <s v="Non-Travel"/>
    <n v="247"/>
    <x v="1"/>
    <n v="7"/>
    <n v="1"/>
    <s v="Life Sciences"/>
    <n v="1"/>
    <n v="1035"/>
    <n v="2"/>
    <s v="Female"/>
    <n v="55"/>
    <n v="1"/>
    <x v="4"/>
    <x v="7"/>
    <n v="3"/>
    <s v="Divorced"/>
    <n v="19973"/>
    <n v="20284"/>
    <n v="1"/>
    <s v="Y"/>
    <s v="No"/>
    <s v="No"/>
    <n v="22"/>
    <n v="4"/>
    <n v="2"/>
    <n v="80"/>
    <n v="2"/>
    <n v="21"/>
    <s v="&gt;15"/>
    <n v="3"/>
    <n v="3"/>
    <n v="21"/>
    <n v="16"/>
    <n v="5"/>
    <n v="10"/>
  </r>
  <r>
    <n v="38"/>
    <x v="1"/>
    <s v="No"/>
    <s v="Travel_Rarely"/>
    <n v="1035"/>
    <x v="0"/>
    <n v="3"/>
    <n v="4"/>
    <s v="Life Sciences"/>
    <n v="1"/>
    <n v="1036"/>
    <n v="2"/>
    <s v="Male"/>
    <n v="42"/>
    <n v="3"/>
    <x v="0"/>
    <x v="0"/>
    <n v="4"/>
    <s v="Single"/>
    <n v="6861"/>
    <n v="4981"/>
    <n v="8"/>
    <s v="Y"/>
    <s v="Yes"/>
    <s v="Yes"/>
    <n v="12"/>
    <n v="3"/>
    <n v="3"/>
    <n v="80"/>
    <n v="0"/>
    <n v="19"/>
    <s v="&gt;15"/>
    <n v="1"/>
    <n v="3"/>
    <n v="1"/>
    <n v="0"/>
    <n v="0"/>
    <n v="0"/>
  </r>
  <r>
    <n v="26"/>
    <x v="0"/>
    <s v="Yes"/>
    <s v="Non-Travel"/>
    <n v="265"/>
    <x v="0"/>
    <n v="29"/>
    <n v="2"/>
    <s v="Medical"/>
    <n v="1"/>
    <n v="1037"/>
    <n v="2"/>
    <s v="Male"/>
    <n v="79"/>
    <n v="1"/>
    <x v="0"/>
    <x v="0"/>
    <n v="1"/>
    <s v="Single"/>
    <n v="4969"/>
    <n v="21813"/>
    <n v="8"/>
    <s v="Y"/>
    <s v="No"/>
    <s v="No"/>
    <n v="18"/>
    <n v="3"/>
    <n v="4"/>
    <n v="80"/>
    <n v="0"/>
    <n v="7"/>
    <s v="6-15"/>
    <n v="6"/>
    <n v="3"/>
    <n v="2"/>
    <n v="2"/>
    <n v="2"/>
    <n v="2"/>
  </r>
  <r>
    <n v="52"/>
    <x v="0"/>
    <s v="Yes"/>
    <s v="Travel_Rarely"/>
    <n v="266"/>
    <x v="0"/>
    <n v="2"/>
    <n v="1"/>
    <s v="Marketing"/>
    <n v="1"/>
    <n v="1038"/>
    <n v="1"/>
    <s v="Female"/>
    <n v="57"/>
    <n v="1"/>
    <x v="4"/>
    <x v="5"/>
    <n v="4"/>
    <s v="Married"/>
    <n v="19845"/>
    <n v="25846"/>
    <n v="1"/>
    <s v="Y"/>
    <s v="No"/>
    <s v="No"/>
    <n v="15"/>
    <n v="3"/>
    <n v="4"/>
    <n v="80"/>
    <n v="1"/>
    <n v="33"/>
    <s v="&gt;15"/>
    <n v="3"/>
    <n v="3"/>
    <n v="32"/>
    <n v="14"/>
    <n v="6"/>
    <n v="9"/>
  </r>
  <r>
    <n v="44"/>
    <x v="1"/>
    <s v="No"/>
    <s v="Travel_Rarely"/>
    <n v="1448"/>
    <x v="0"/>
    <n v="28"/>
    <n v="3"/>
    <s v="Medical"/>
    <n v="1"/>
    <n v="1039"/>
    <n v="4"/>
    <s v="Female"/>
    <n v="53"/>
    <n v="4"/>
    <x v="3"/>
    <x v="0"/>
    <n v="4"/>
    <s v="Married"/>
    <n v="13320"/>
    <n v="11737"/>
    <n v="3"/>
    <s v="Y"/>
    <s v="Yes"/>
    <s v="Yes"/>
    <n v="18"/>
    <n v="3"/>
    <n v="3"/>
    <n v="80"/>
    <n v="1"/>
    <n v="23"/>
    <s v="&gt;15"/>
    <n v="2"/>
    <n v="3"/>
    <n v="12"/>
    <n v="11"/>
    <n v="11"/>
    <n v="11"/>
  </r>
  <r>
    <n v="50"/>
    <x v="1"/>
    <s v="No"/>
    <s v="Non-Travel"/>
    <n v="145"/>
    <x v="0"/>
    <n v="1"/>
    <n v="3"/>
    <s v="Life Sciences"/>
    <n v="1"/>
    <n v="1040"/>
    <n v="4"/>
    <s v="Female"/>
    <n v="95"/>
    <n v="3"/>
    <x v="0"/>
    <x v="0"/>
    <n v="3"/>
    <s v="Married"/>
    <n v="6347"/>
    <n v="24920"/>
    <n v="0"/>
    <s v="Y"/>
    <s v="No"/>
    <s v="No"/>
    <n v="12"/>
    <n v="3"/>
    <n v="1"/>
    <n v="80"/>
    <n v="1"/>
    <n v="19"/>
    <s v="&gt;15"/>
    <n v="3"/>
    <n v="3"/>
    <n v="18"/>
    <n v="7"/>
    <n v="0"/>
    <n v="13"/>
  </r>
  <r>
    <n v="36"/>
    <x v="0"/>
    <s v="Yes"/>
    <s v="Travel_Rarely"/>
    <n v="885"/>
    <x v="1"/>
    <n v="16"/>
    <n v="4"/>
    <s v="Life Sciences"/>
    <n v="1"/>
    <n v="1042"/>
    <n v="3"/>
    <s v="Female"/>
    <n v="43"/>
    <n v="4"/>
    <x v="1"/>
    <x v="2"/>
    <n v="1"/>
    <s v="Single"/>
    <n v="2743"/>
    <n v="8269"/>
    <n v="1"/>
    <s v="Y"/>
    <s v="No"/>
    <s v="No"/>
    <n v="16"/>
    <n v="3"/>
    <n v="3"/>
    <n v="80"/>
    <n v="0"/>
    <n v="18"/>
    <s v="&gt;15"/>
    <n v="1"/>
    <n v="3"/>
    <n v="17"/>
    <n v="13"/>
    <n v="15"/>
    <n v="14"/>
  </r>
  <r>
    <n v="39"/>
    <x v="1"/>
    <s v="No"/>
    <s v="Travel_Frequently"/>
    <n v="945"/>
    <x v="1"/>
    <n v="22"/>
    <n v="3"/>
    <s v="Medical"/>
    <n v="1"/>
    <n v="1043"/>
    <n v="4"/>
    <s v="Female"/>
    <n v="82"/>
    <n v="3"/>
    <x v="2"/>
    <x v="3"/>
    <n v="1"/>
    <s v="Single"/>
    <n v="10880"/>
    <n v="5083"/>
    <n v="1"/>
    <s v="Y"/>
    <s v="Yes"/>
    <s v="Yes"/>
    <n v="13"/>
    <n v="3"/>
    <n v="3"/>
    <n v="80"/>
    <n v="0"/>
    <n v="21"/>
    <s v="&gt;15"/>
    <n v="2"/>
    <n v="3"/>
    <n v="21"/>
    <n v="6"/>
    <n v="2"/>
    <n v="8"/>
  </r>
  <r>
    <n v="33"/>
    <x v="1"/>
    <s v="No"/>
    <s v="Non-Travel"/>
    <n v="1038"/>
    <x v="0"/>
    <n v="8"/>
    <n v="1"/>
    <s v="Life Sciences"/>
    <n v="1"/>
    <n v="1044"/>
    <n v="2"/>
    <s v="Female"/>
    <n v="88"/>
    <n v="2"/>
    <x v="1"/>
    <x v="6"/>
    <n v="4"/>
    <s v="Single"/>
    <n v="2342"/>
    <n v="21437"/>
    <n v="0"/>
    <s v="Y"/>
    <s v="No"/>
    <s v="No"/>
    <n v="19"/>
    <n v="3"/>
    <n v="4"/>
    <n v="80"/>
    <n v="0"/>
    <n v="3"/>
    <s v="0-5"/>
    <n v="2"/>
    <n v="2"/>
    <n v="2"/>
    <n v="2"/>
    <n v="2"/>
    <n v="2"/>
  </r>
  <r>
    <n v="45"/>
    <x v="1"/>
    <s v="No"/>
    <s v="Travel_Rarely"/>
    <n v="1234"/>
    <x v="0"/>
    <n v="11"/>
    <n v="2"/>
    <s v="Life Sciences"/>
    <n v="1"/>
    <n v="1045"/>
    <n v="4"/>
    <s v="Female"/>
    <n v="90"/>
    <n v="3"/>
    <x v="3"/>
    <x v="5"/>
    <n v="4"/>
    <s v="Married"/>
    <n v="17650"/>
    <n v="5404"/>
    <n v="3"/>
    <s v="Y"/>
    <s v="No"/>
    <s v="No"/>
    <n v="13"/>
    <n v="3"/>
    <n v="2"/>
    <n v="80"/>
    <n v="1"/>
    <n v="26"/>
    <s v="&gt;15"/>
    <n v="4"/>
    <n v="4"/>
    <n v="9"/>
    <n v="3"/>
    <n v="1"/>
    <n v="1"/>
  </r>
  <r>
    <n v="32"/>
    <x v="1"/>
    <s v="No"/>
    <s v="Non-Travel"/>
    <n v="1109"/>
    <x v="1"/>
    <n v="29"/>
    <n v="4"/>
    <s v="Medical"/>
    <n v="1"/>
    <n v="1046"/>
    <n v="4"/>
    <s v="Female"/>
    <n v="69"/>
    <n v="3"/>
    <x v="1"/>
    <x v="2"/>
    <n v="3"/>
    <s v="Single"/>
    <n v="4025"/>
    <n v="11135"/>
    <n v="9"/>
    <s v="Y"/>
    <s v="No"/>
    <s v="No"/>
    <n v="12"/>
    <n v="3"/>
    <n v="2"/>
    <n v="80"/>
    <n v="0"/>
    <n v="10"/>
    <s v="6-15"/>
    <n v="2"/>
    <n v="3"/>
    <n v="8"/>
    <n v="7"/>
    <n v="7"/>
    <n v="7"/>
  </r>
  <r>
    <n v="34"/>
    <x v="1"/>
    <s v="No"/>
    <s v="Travel_Rarely"/>
    <n v="216"/>
    <x v="0"/>
    <n v="1"/>
    <n v="4"/>
    <s v="Marketing"/>
    <n v="1"/>
    <n v="1047"/>
    <n v="2"/>
    <s v="Male"/>
    <n v="75"/>
    <n v="4"/>
    <x v="0"/>
    <x v="0"/>
    <n v="4"/>
    <s v="Divorced"/>
    <n v="9725"/>
    <n v="12278"/>
    <n v="0"/>
    <s v="Y"/>
    <s v="No"/>
    <s v="No"/>
    <n v="11"/>
    <n v="3"/>
    <n v="4"/>
    <n v="80"/>
    <n v="1"/>
    <n v="16"/>
    <s v="&gt;15"/>
    <n v="2"/>
    <n v="2"/>
    <n v="15"/>
    <n v="1"/>
    <n v="0"/>
    <n v="9"/>
  </r>
  <r>
    <n v="59"/>
    <x v="1"/>
    <s v="No"/>
    <s v="Travel_Rarely"/>
    <n v="1089"/>
    <x v="0"/>
    <n v="1"/>
    <n v="2"/>
    <s v="Technical Degree"/>
    <n v="1"/>
    <n v="1048"/>
    <n v="2"/>
    <s v="Male"/>
    <n v="66"/>
    <n v="3"/>
    <x v="2"/>
    <x v="5"/>
    <n v="4"/>
    <s v="Married"/>
    <n v="11904"/>
    <n v="11038"/>
    <n v="3"/>
    <s v="Y"/>
    <s v="Yes"/>
    <s v="Yes"/>
    <n v="14"/>
    <n v="3"/>
    <n v="3"/>
    <n v="80"/>
    <n v="1"/>
    <n v="14"/>
    <s v="6-15"/>
    <n v="1"/>
    <n v="1"/>
    <n v="6"/>
    <n v="4"/>
    <n v="0"/>
    <n v="4"/>
  </r>
  <r>
    <n v="45"/>
    <x v="1"/>
    <s v="No"/>
    <s v="Travel_Rarely"/>
    <n v="788"/>
    <x v="2"/>
    <n v="24"/>
    <n v="4"/>
    <s v="Medical"/>
    <n v="1"/>
    <n v="1049"/>
    <n v="2"/>
    <s v="Male"/>
    <n v="36"/>
    <n v="3"/>
    <x v="1"/>
    <x v="8"/>
    <n v="2"/>
    <s v="Single"/>
    <n v="2177"/>
    <n v="8318"/>
    <n v="1"/>
    <s v="Y"/>
    <s v="No"/>
    <s v="No"/>
    <n v="16"/>
    <n v="3"/>
    <n v="1"/>
    <n v="80"/>
    <n v="0"/>
    <n v="6"/>
    <s v="6-15"/>
    <n v="3"/>
    <n v="3"/>
    <n v="6"/>
    <n v="3"/>
    <n v="0"/>
    <n v="4"/>
  </r>
  <r>
    <n v="53"/>
    <x v="1"/>
    <s v="No"/>
    <s v="Travel_Frequently"/>
    <n v="124"/>
    <x v="0"/>
    <n v="2"/>
    <n v="3"/>
    <s v="Marketing"/>
    <n v="1"/>
    <n v="1050"/>
    <n v="3"/>
    <s v="Female"/>
    <n v="38"/>
    <n v="2"/>
    <x v="2"/>
    <x v="0"/>
    <n v="2"/>
    <s v="Married"/>
    <n v="7525"/>
    <n v="23537"/>
    <n v="2"/>
    <s v="Y"/>
    <s v="No"/>
    <s v="No"/>
    <n v="12"/>
    <n v="3"/>
    <n v="1"/>
    <n v="80"/>
    <n v="1"/>
    <n v="30"/>
    <s v="&gt;15"/>
    <n v="2"/>
    <n v="3"/>
    <n v="15"/>
    <n v="7"/>
    <n v="6"/>
    <n v="12"/>
  </r>
  <r>
    <n v="36"/>
    <x v="0"/>
    <s v="Yes"/>
    <s v="Travel_Rarely"/>
    <n v="660"/>
    <x v="1"/>
    <n v="15"/>
    <n v="3"/>
    <s v="Other"/>
    <n v="1"/>
    <n v="1052"/>
    <n v="1"/>
    <s v="Male"/>
    <n v="81"/>
    <n v="3"/>
    <x v="0"/>
    <x v="2"/>
    <n v="3"/>
    <s v="Divorced"/>
    <n v="4834"/>
    <n v="7858"/>
    <n v="7"/>
    <s v="Y"/>
    <s v="No"/>
    <s v="No"/>
    <n v="14"/>
    <n v="3"/>
    <n v="2"/>
    <n v="80"/>
    <n v="1"/>
    <n v="9"/>
    <s v="6-15"/>
    <n v="3"/>
    <n v="2"/>
    <n v="1"/>
    <n v="0"/>
    <n v="0"/>
    <n v="0"/>
  </r>
  <r>
    <n v="26"/>
    <x v="0"/>
    <s v="Yes"/>
    <s v="Travel_Frequently"/>
    <n v="342"/>
    <x v="1"/>
    <n v="2"/>
    <n v="3"/>
    <s v="Life Sciences"/>
    <n v="1"/>
    <n v="1053"/>
    <n v="1"/>
    <s v="Male"/>
    <n v="57"/>
    <n v="3"/>
    <x v="1"/>
    <x v="1"/>
    <n v="1"/>
    <s v="Married"/>
    <n v="2042"/>
    <n v="15346"/>
    <n v="6"/>
    <s v="Y"/>
    <s v="Yes"/>
    <s v="Yes"/>
    <n v="14"/>
    <n v="3"/>
    <n v="2"/>
    <n v="80"/>
    <n v="1"/>
    <n v="6"/>
    <s v="6-15"/>
    <n v="2"/>
    <n v="3"/>
    <n v="3"/>
    <n v="2"/>
    <n v="1"/>
    <n v="2"/>
  </r>
  <r>
    <n v="34"/>
    <x v="1"/>
    <s v="No"/>
    <s v="Travel_Rarely"/>
    <n v="1333"/>
    <x v="0"/>
    <n v="10"/>
    <n v="4"/>
    <s v="Life Sciences"/>
    <n v="1"/>
    <n v="1055"/>
    <n v="3"/>
    <s v="Female"/>
    <n v="87"/>
    <n v="3"/>
    <x v="1"/>
    <x v="6"/>
    <n v="3"/>
    <s v="Married"/>
    <n v="2220"/>
    <n v="18410"/>
    <n v="1"/>
    <s v="Y"/>
    <s v="Yes"/>
    <s v="Yes"/>
    <n v="19"/>
    <n v="3"/>
    <n v="4"/>
    <n v="80"/>
    <n v="1"/>
    <n v="1"/>
    <s v="0-5"/>
    <n v="2"/>
    <n v="3"/>
    <n v="1"/>
    <n v="1"/>
    <n v="0"/>
    <n v="0"/>
  </r>
  <r>
    <n v="28"/>
    <x v="1"/>
    <s v="No"/>
    <s v="Travel_Rarely"/>
    <n v="1144"/>
    <x v="0"/>
    <n v="10"/>
    <n v="1"/>
    <s v="Medical"/>
    <n v="1"/>
    <n v="1056"/>
    <n v="4"/>
    <s v="Male"/>
    <n v="74"/>
    <n v="3"/>
    <x v="1"/>
    <x v="6"/>
    <n v="2"/>
    <s v="Married"/>
    <n v="1052"/>
    <n v="23384"/>
    <n v="1"/>
    <s v="Y"/>
    <s v="No"/>
    <s v="No"/>
    <n v="22"/>
    <n v="4"/>
    <n v="2"/>
    <n v="80"/>
    <n v="0"/>
    <n v="1"/>
    <s v="0-5"/>
    <n v="5"/>
    <n v="3"/>
    <n v="1"/>
    <n v="0"/>
    <n v="0"/>
    <n v="0"/>
  </r>
  <r>
    <n v="38"/>
    <x v="1"/>
    <s v="No"/>
    <s v="Travel_Frequently"/>
    <n v="1186"/>
    <x v="1"/>
    <n v="3"/>
    <n v="4"/>
    <s v="Other"/>
    <n v="1"/>
    <n v="1060"/>
    <n v="3"/>
    <s v="Male"/>
    <n v="44"/>
    <n v="3"/>
    <x v="1"/>
    <x v="1"/>
    <n v="3"/>
    <s v="Married"/>
    <n v="2821"/>
    <n v="2997"/>
    <n v="3"/>
    <s v="Y"/>
    <s v="No"/>
    <s v="No"/>
    <n v="16"/>
    <n v="3"/>
    <n v="1"/>
    <n v="80"/>
    <n v="1"/>
    <n v="8"/>
    <s v="6-15"/>
    <n v="2"/>
    <n v="3"/>
    <n v="2"/>
    <n v="2"/>
    <n v="2"/>
    <n v="2"/>
  </r>
  <r>
    <n v="50"/>
    <x v="1"/>
    <s v="No"/>
    <s v="Travel_Rarely"/>
    <n v="1464"/>
    <x v="1"/>
    <n v="2"/>
    <n v="4"/>
    <s v="Medical"/>
    <n v="1"/>
    <n v="1061"/>
    <n v="2"/>
    <s v="Male"/>
    <n v="62"/>
    <n v="3"/>
    <x v="4"/>
    <x v="7"/>
    <n v="3"/>
    <s v="Married"/>
    <n v="19237"/>
    <n v="12853"/>
    <n v="2"/>
    <s v="Y"/>
    <s v="Yes"/>
    <s v="Yes"/>
    <n v="11"/>
    <n v="3"/>
    <n v="4"/>
    <n v="80"/>
    <n v="1"/>
    <n v="29"/>
    <s v="&gt;15"/>
    <n v="2"/>
    <n v="2"/>
    <n v="8"/>
    <n v="1"/>
    <n v="7"/>
    <n v="7"/>
  </r>
  <r>
    <n v="37"/>
    <x v="1"/>
    <s v="No"/>
    <s v="Travel_Rarely"/>
    <n v="124"/>
    <x v="1"/>
    <n v="3"/>
    <n v="3"/>
    <s v="Other"/>
    <n v="1"/>
    <n v="1062"/>
    <n v="4"/>
    <s v="Female"/>
    <n v="35"/>
    <n v="3"/>
    <x v="0"/>
    <x v="4"/>
    <n v="2"/>
    <s v="Single"/>
    <n v="4107"/>
    <n v="13848"/>
    <n v="3"/>
    <s v="Y"/>
    <s v="No"/>
    <s v="No"/>
    <n v="15"/>
    <n v="3"/>
    <n v="1"/>
    <n v="80"/>
    <n v="0"/>
    <n v="8"/>
    <s v="6-15"/>
    <n v="3"/>
    <n v="2"/>
    <n v="4"/>
    <n v="3"/>
    <n v="0"/>
    <n v="1"/>
  </r>
  <r>
    <n v="40"/>
    <x v="1"/>
    <s v="No"/>
    <s v="Travel_Rarely"/>
    <n v="300"/>
    <x v="0"/>
    <n v="26"/>
    <n v="3"/>
    <s v="Marketing"/>
    <n v="1"/>
    <n v="1066"/>
    <n v="3"/>
    <s v="Male"/>
    <n v="74"/>
    <n v="3"/>
    <x v="0"/>
    <x v="0"/>
    <n v="1"/>
    <s v="Married"/>
    <n v="8396"/>
    <n v="22217"/>
    <n v="1"/>
    <s v="Y"/>
    <s v="No"/>
    <s v="No"/>
    <n v="14"/>
    <n v="3"/>
    <n v="2"/>
    <n v="80"/>
    <n v="1"/>
    <n v="8"/>
    <s v="6-15"/>
    <n v="3"/>
    <n v="2"/>
    <n v="7"/>
    <n v="7"/>
    <n v="7"/>
    <n v="5"/>
  </r>
  <r>
    <n v="26"/>
    <x v="1"/>
    <s v="No"/>
    <s v="Travel_Frequently"/>
    <n v="921"/>
    <x v="1"/>
    <n v="1"/>
    <n v="1"/>
    <s v="Medical"/>
    <n v="1"/>
    <n v="1068"/>
    <n v="1"/>
    <s v="Female"/>
    <n v="66"/>
    <n v="2"/>
    <x v="1"/>
    <x v="1"/>
    <n v="3"/>
    <s v="Divorced"/>
    <n v="2007"/>
    <n v="25265"/>
    <n v="1"/>
    <s v="Y"/>
    <s v="No"/>
    <s v="No"/>
    <n v="13"/>
    <n v="3"/>
    <n v="3"/>
    <n v="80"/>
    <n v="2"/>
    <n v="5"/>
    <s v="0-5"/>
    <n v="5"/>
    <n v="3"/>
    <n v="5"/>
    <n v="3"/>
    <n v="1"/>
    <n v="3"/>
  </r>
  <r>
    <n v="46"/>
    <x v="1"/>
    <s v="No"/>
    <s v="Travel_Rarely"/>
    <n v="430"/>
    <x v="1"/>
    <n v="1"/>
    <n v="4"/>
    <s v="Medical"/>
    <n v="1"/>
    <n v="1069"/>
    <n v="4"/>
    <s v="Male"/>
    <n v="40"/>
    <n v="3"/>
    <x v="4"/>
    <x v="7"/>
    <n v="4"/>
    <s v="Divorced"/>
    <n v="19627"/>
    <n v="21445"/>
    <n v="9"/>
    <s v="Y"/>
    <s v="No"/>
    <s v="No"/>
    <n v="17"/>
    <n v="3"/>
    <n v="4"/>
    <n v="80"/>
    <n v="2"/>
    <n v="23"/>
    <s v="&gt;15"/>
    <n v="0"/>
    <n v="3"/>
    <n v="2"/>
    <n v="2"/>
    <n v="2"/>
    <n v="2"/>
  </r>
  <r>
    <n v="54"/>
    <x v="1"/>
    <s v="No"/>
    <s v="Travel_Rarely"/>
    <n v="1082"/>
    <x v="0"/>
    <n v="2"/>
    <n v="4"/>
    <s v="Life Sciences"/>
    <n v="1"/>
    <n v="1070"/>
    <n v="3"/>
    <s v="Female"/>
    <n v="41"/>
    <n v="2"/>
    <x v="2"/>
    <x v="0"/>
    <n v="3"/>
    <s v="Married"/>
    <n v="10686"/>
    <n v="8392"/>
    <n v="6"/>
    <s v="Y"/>
    <s v="No"/>
    <s v="No"/>
    <n v="11"/>
    <n v="3"/>
    <n v="2"/>
    <n v="80"/>
    <n v="1"/>
    <n v="13"/>
    <s v="6-15"/>
    <n v="4"/>
    <n v="3"/>
    <n v="9"/>
    <n v="4"/>
    <n v="7"/>
    <n v="0"/>
  </r>
  <r>
    <n v="56"/>
    <x v="1"/>
    <s v="No"/>
    <s v="Travel_Frequently"/>
    <n v="1240"/>
    <x v="1"/>
    <n v="9"/>
    <n v="3"/>
    <s v="Medical"/>
    <n v="1"/>
    <n v="1071"/>
    <n v="1"/>
    <s v="Female"/>
    <n v="63"/>
    <n v="3"/>
    <x v="1"/>
    <x v="1"/>
    <n v="3"/>
    <s v="Married"/>
    <n v="2942"/>
    <n v="12154"/>
    <n v="2"/>
    <s v="Y"/>
    <s v="No"/>
    <s v="No"/>
    <n v="19"/>
    <n v="3"/>
    <n v="2"/>
    <n v="80"/>
    <n v="1"/>
    <n v="18"/>
    <s v="&gt;15"/>
    <n v="4"/>
    <n v="3"/>
    <n v="5"/>
    <n v="4"/>
    <n v="0"/>
    <n v="3"/>
  </r>
  <r>
    <n v="36"/>
    <x v="1"/>
    <s v="No"/>
    <s v="Travel_Rarely"/>
    <n v="796"/>
    <x v="1"/>
    <n v="12"/>
    <n v="5"/>
    <s v="Medical"/>
    <n v="1"/>
    <n v="1073"/>
    <n v="4"/>
    <s v="Female"/>
    <n v="51"/>
    <n v="2"/>
    <x v="2"/>
    <x v="3"/>
    <n v="4"/>
    <s v="Single"/>
    <n v="8858"/>
    <n v="15669"/>
    <n v="0"/>
    <s v="Y"/>
    <s v="No"/>
    <s v="No"/>
    <n v="11"/>
    <n v="3"/>
    <n v="2"/>
    <n v="80"/>
    <n v="0"/>
    <n v="15"/>
    <s v="6-15"/>
    <n v="2"/>
    <n v="2"/>
    <n v="14"/>
    <n v="8"/>
    <n v="7"/>
    <n v="8"/>
  </r>
  <r>
    <n v="55"/>
    <x v="1"/>
    <s v="No"/>
    <s v="Non-Travel"/>
    <n v="444"/>
    <x v="1"/>
    <n v="2"/>
    <n v="1"/>
    <s v="Medical"/>
    <n v="1"/>
    <n v="1074"/>
    <n v="3"/>
    <s v="Male"/>
    <n v="40"/>
    <n v="2"/>
    <x v="3"/>
    <x v="5"/>
    <n v="1"/>
    <s v="Single"/>
    <n v="16756"/>
    <n v="17323"/>
    <n v="7"/>
    <s v="Y"/>
    <s v="No"/>
    <s v="No"/>
    <n v="15"/>
    <n v="3"/>
    <n v="2"/>
    <n v="80"/>
    <n v="0"/>
    <n v="31"/>
    <s v="&gt;15"/>
    <n v="3"/>
    <n v="4"/>
    <n v="9"/>
    <n v="7"/>
    <n v="6"/>
    <n v="2"/>
  </r>
  <r>
    <n v="43"/>
    <x v="1"/>
    <s v="No"/>
    <s v="Travel_Rarely"/>
    <n v="415"/>
    <x v="0"/>
    <n v="25"/>
    <n v="3"/>
    <s v="Medical"/>
    <n v="1"/>
    <n v="1076"/>
    <n v="3"/>
    <s v="Male"/>
    <n v="79"/>
    <n v="2"/>
    <x v="2"/>
    <x v="0"/>
    <n v="4"/>
    <s v="Divorced"/>
    <n v="10798"/>
    <n v="5268"/>
    <n v="5"/>
    <s v="Y"/>
    <s v="No"/>
    <s v="No"/>
    <n v="13"/>
    <n v="3"/>
    <n v="3"/>
    <n v="80"/>
    <n v="1"/>
    <n v="18"/>
    <s v="&gt;15"/>
    <n v="5"/>
    <n v="3"/>
    <n v="1"/>
    <n v="0"/>
    <n v="0"/>
    <n v="0"/>
  </r>
  <r>
    <n v="20"/>
    <x v="0"/>
    <s v="Yes"/>
    <s v="Travel_Frequently"/>
    <n v="769"/>
    <x v="0"/>
    <n v="9"/>
    <n v="3"/>
    <s v="Marketing"/>
    <n v="1"/>
    <n v="1077"/>
    <n v="4"/>
    <s v="Female"/>
    <n v="54"/>
    <n v="3"/>
    <x v="1"/>
    <x v="6"/>
    <n v="4"/>
    <s v="Single"/>
    <n v="2323"/>
    <n v="17205"/>
    <n v="1"/>
    <s v="Y"/>
    <s v="Yes"/>
    <s v="Yes"/>
    <n v="14"/>
    <n v="3"/>
    <n v="2"/>
    <n v="80"/>
    <n v="0"/>
    <n v="2"/>
    <s v="0-5"/>
    <n v="3"/>
    <n v="3"/>
    <n v="2"/>
    <n v="2"/>
    <n v="0"/>
    <n v="2"/>
  </r>
  <r>
    <n v="21"/>
    <x v="0"/>
    <s v="Yes"/>
    <s v="Travel_Rarely"/>
    <n v="1334"/>
    <x v="1"/>
    <n v="10"/>
    <n v="3"/>
    <s v="Life Sciences"/>
    <n v="1"/>
    <n v="1079"/>
    <n v="3"/>
    <s v="Female"/>
    <n v="36"/>
    <n v="2"/>
    <x v="1"/>
    <x v="2"/>
    <n v="1"/>
    <s v="Single"/>
    <n v="1416"/>
    <n v="17258"/>
    <n v="1"/>
    <s v="Y"/>
    <s v="No"/>
    <s v="No"/>
    <n v="13"/>
    <n v="3"/>
    <n v="1"/>
    <n v="80"/>
    <n v="0"/>
    <n v="1"/>
    <s v="0-5"/>
    <n v="6"/>
    <n v="2"/>
    <n v="1"/>
    <n v="0"/>
    <n v="1"/>
    <n v="0"/>
  </r>
  <r>
    <n v="46"/>
    <x v="1"/>
    <s v="No"/>
    <s v="Travel_Rarely"/>
    <n v="1003"/>
    <x v="1"/>
    <n v="8"/>
    <n v="4"/>
    <s v="Life Sciences"/>
    <n v="1"/>
    <n v="1080"/>
    <n v="4"/>
    <s v="Female"/>
    <n v="74"/>
    <n v="2"/>
    <x v="0"/>
    <x v="1"/>
    <n v="1"/>
    <s v="Divorced"/>
    <n v="4615"/>
    <n v="21029"/>
    <n v="8"/>
    <s v="Y"/>
    <s v="Yes"/>
    <s v="Yes"/>
    <n v="23"/>
    <n v="4"/>
    <n v="1"/>
    <n v="80"/>
    <n v="3"/>
    <n v="19"/>
    <s v="&gt;15"/>
    <n v="2"/>
    <n v="3"/>
    <n v="16"/>
    <n v="13"/>
    <n v="1"/>
    <n v="7"/>
  </r>
  <r>
    <n v="51"/>
    <x v="0"/>
    <s v="Yes"/>
    <s v="Travel_Rarely"/>
    <n v="1323"/>
    <x v="1"/>
    <n v="4"/>
    <n v="4"/>
    <s v="Life Sciences"/>
    <n v="1"/>
    <n v="1081"/>
    <n v="1"/>
    <s v="Male"/>
    <n v="34"/>
    <n v="3"/>
    <x v="1"/>
    <x v="1"/>
    <n v="3"/>
    <s v="Married"/>
    <n v="2461"/>
    <n v="10332"/>
    <n v="9"/>
    <s v="Y"/>
    <s v="Yes"/>
    <s v="Yes"/>
    <n v="12"/>
    <n v="3"/>
    <n v="3"/>
    <n v="80"/>
    <n v="3"/>
    <n v="18"/>
    <s v="&gt;15"/>
    <n v="2"/>
    <n v="4"/>
    <n v="10"/>
    <n v="0"/>
    <n v="2"/>
    <n v="7"/>
  </r>
  <r>
    <n v="28"/>
    <x v="0"/>
    <s v="Yes"/>
    <s v="Non-Travel"/>
    <n v="1366"/>
    <x v="1"/>
    <n v="24"/>
    <n v="2"/>
    <s v="Technical Degree"/>
    <n v="1"/>
    <n v="1082"/>
    <n v="2"/>
    <s v="Male"/>
    <n v="72"/>
    <n v="2"/>
    <x v="2"/>
    <x v="4"/>
    <n v="1"/>
    <s v="Single"/>
    <n v="8722"/>
    <n v="12355"/>
    <n v="1"/>
    <s v="Y"/>
    <s v="No"/>
    <s v="No"/>
    <n v="12"/>
    <n v="3"/>
    <n v="1"/>
    <n v="80"/>
    <n v="0"/>
    <n v="10"/>
    <s v="6-15"/>
    <n v="2"/>
    <n v="2"/>
    <n v="10"/>
    <n v="7"/>
    <n v="1"/>
    <n v="9"/>
  </r>
  <r>
    <n v="26"/>
    <x v="1"/>
    <s v="No"/>
    <s v="Travel_Rarely"/>
    <n v="192"/>
    <x v="1"/>
    <n v="1"/>
    <n v="2"/>
    <s v="Medical"/>
    <n v="1"/>
    <n v="1083"/>
    <n v="1"/>
    <s v="Male"/>
    <n v="59"/>
    <n v="2"/>
    <x v="1"/>
    <x v="2"/>
    <n v="1"/>
    <s v="Married"/>
    <n v="3955"/>
    <n v="11141"/>
    <n v="1"/>
    <s v="Y"/>
    <s v="No"/>
    <s v="No"/>
    <n v="16"/>
    <n v="3"/>
    <n v="1"/>
    <n v="80"/>
    <n v="2"/>
    <n v="6"/>
    <s v="6-15"/>
    <n v="2"/>
    <n v="3"/>
    <n v="5"/>
    <n v="3"/>
    <n v="1"/>
    <n v="3"/>
  </r>
  <r>
    <n v="30"/>
    <x v="1"/>
    <s v="No"/>
    <s v="Travel_Rarely"/>
    <n v="1176"/>
    <x v="1"/>
    <n v="20"/>
    <n v="3"/>
    <s v="Other"/>
    <n v="1"/>
    <n v="1084"/>
    <n v="3"/>
    <s v="Male"/>
    <n v="85"/>
    <n v="3"/>
    <x v="0"/>
    <x v="3"/>
    <n v="1"/>
    <s v="Married"/>
    <n v="9957"/>
    <n v="9096"/>
    <n v="0"/>
    <s v="Y"/>
    <s v="No"/>
    <s v="No"/>
    <n v="15"/>
    <n v="3"/>
    <n v="3"/>
    <n v="80"/>
    <n v="1"/>
    <n v="7"/>
    <s v="6-15"/>
    <n v="1"/>
    <n v="2"/>
    <n v="6"/>
    <n v="2"/>
    <n v="0"/>
    <n v="2"/>
  </r>
  <r>
    <n v="41"/>
    <x v="1"/>
    <s v="No"/>
    <s v="Travel_Rarely"/>
    <n v="509"/>
    <x v="1"/>
    <n v="7"/>
    <n v="2"/>
    <s v="Technical Degree"/>
    <n v="1"/>
    <n v="1085"/>
    <n v="2"/>
    <s v="Female"/>
    <n v="43"/>
    <n v="4"/>
    <x v="1"/>
    <x v="1"/>
    <n v="3"/>
    <s v="Married"/>
    <n v="3376"/>
    <n v="18863"/>
    <n v="1"/>
    <s v="Y"/>
    <s v="No"/>
    <s v="No"/>
    <n v="13"/>
    <n v="3"/>
    <n v="3"/>
    <n v="80"/>
    <n v="0"/>
    <n v="10"/>
    <s v="6-15"/>
    <n v="3"/>
    <n v="3"/>
    <n v="10"/>
    <n v="6"/>
    <n v="0"/>
    <n v="8"/>
  </r>
  <r>
    <n v="38"/>
    <x v="1"/>
    <s v="No"/>
    <s v="Travel_Rarely"/>
    <n v="330"/>
    <x v="1"/>
    <n v="17"/>
    <n v="1"/>
    <s v="Life Sciences"/>
    <n v="1"/>
    <n v="1088"/>
    <n v="3"/>
    <s v="Female"/>
    <n v="65"/>
    <n v="2"/>
    <x v="2"/>
    <x v="4"/>
    <n v="3"/>
    <s v="Married"/>
    <n v="8823"/>
    <n v="24608"/>
    <n v="0"/>
    <s v="Y"/>
    <s v="No"/>
    <s v="No"/>
    <n v="18"/>
    <n v="3"/>
    <n v="1"/>
    <n v="80"/>
    <n v="1"/>
    <n v="20"/>
    <s v="&gt;15"/>
    <n v="4"/>
    <n v="2"/>
    <n v="19"/>
    <n v="9"/>
    <n v="1"/>
    <n v="9"/>
  </r>
  <r>
    <n v="40"/>
    <x v="1"/>
    <s v="No"/>
    <s v="Travel_Rarely"/>
    <n v="1492"/>
    <x v="1"/>
    <n v="20"/>
    <n v="4"/>
    <s v="Technical Degree"/>
    <n v="1"/>
    <n v="1092"/>
    <n v="1"/>
    <s v="Male"/>
    <n v="61"/>
    <n v="3"/>
    <x v="2"/>
    <x v="4"/>
    <n v="4"/>
    <s v="Married"/>
    <n v="10322"/>
    <n v="26542"/>
    <n v="4"/>
    <s v="Y"/>
    <s v="No"/>
    <s v="No"/>
    <n v="20"/>
    <n v="4"/>
    <n v="4"/>
    <n v="80"/>
    <n v="1"/>
    <n v="14"/>
    <s v="6-15"/>
    <n v="6"/>
    <n v="3"/>
    <n v="11"/>
    <n v="10"/>
    <n v="11"/>
    <n v="1"/>
  </r>
  <r>
    <n v="27"/>
    <x v="1"/>
    <s v="No"/>
    <s v="Non-Travel"/>
    <n v="1277"/>
    <x v="1"/>
    <n v="8"/>
    <n v="5"/>
    <s v="Life Sciences"/>
    <n v="1"/>
    <n v="1094"/>
    <n v="1"/>
    <s v="Male"/>
    <n v="87"/>
    <n v="1"/>
    <x v="1"/>
    <x v="2"/>
    <n v="3"/>
    <s v="Married"/>
    <n v="4621"/>
    <n v="5869"/>
    <n v="1"/>
    <s v="Y"/>
    <s v="No"/>
    <s v="No"/>
    <n v="19"/>
    <n v="3"/>
    <n v="4"/>
    <n v="80"/>
    <n v="3"/>
    <n v="3"/>
    <s v="0-5"/>
    <n v="4"/>
    <n v="3"/>
    <n v="3"/>
    <n v="2"/>
    <n v="1"/>
    <n v="2"/>
  </r>
  <r>
    <n v="55"/>
    <x v="1"/>
    <s v="No"/>
    <s v="Travel_Frequently"/>
    <n v="1091"/>
    <x v="1"/>
    <n v="2"/>
    <n v="1"/>
    <s v="Life Sciences"/>
    <n v="1"/>
    <n v="1096"/>
    <n v="4"/>
    <s v="Male"/>
    <n v="65"/>
    <n v="3"/>
    <x v="2"/>
    <x v="3"/>
    <n v="2"/>
    <s v="Married"/>
    <n v="10976"/>
    <n v="15813"/>
    <n v="3"/>
    <s v="Y"/>
    <s v="No"/>
    <s v="No"/>
    <n v="18"/>
    <n v="3"/>
    <n v="2"/>
    <n v="80"/>
    <n v="1"/>
    <n v="23"/>
    <s v="&gt;15"/>
    <n v="4"/>
    <n v="3"/>
    <n v="3"/>
    <n v="2"/>
    <n v="1"/>
    <n v="2"/>
  </r>
  <r>
    <n v="28"/>
    <x v="1"/>
    <s v="No"/>
    <s v="Travel_Rarely"/>
    <n v="857"/>
    <x v="1"/>
    <n v="10"/>
    <n v="3"/>
    <s v="Other"/>
    <n v="1"/>
    <n v="1097"/>
    <n v="3"/>
    <s v="Female"/>
    <n v="59"/>
    <n v="3"/>
    <x v="0"/>
    <x v="1"/>
    <n v="3"/>
    <s v="Single"/>
    <n v="3660"/>
    <n v="7909"/>
    <n v="3"/>
    <s v="Y"/>
    <s v="No"/>
    <s v="No"/>
    <n v="13"/>
    <n v="3"/>
    <n v="4"/>
    <n v="80"/>
    <n v="0"/>
    <n v="10"/>
    <s v="6-15"/>
    <n v="4"/>
    <n v="4"/>
    <n v="8"/>
    <n v="7"/>
    <n v="1"/>
    <n v="7"/>
  </r>
  <r>
    <n v="44"/>
    <x v="0"/>
    <s v="Yes"/>
    <s v="Travel_Rarely"/>
    <n v="1376"/>
    <x v="2"/>
    <n v="1"/>
    <n v="2"/>
    <s v="Medical"/>
    <n v="1"/>
    <n v="1098"/>
    <n v="2"/>
    <s v="Male"/>
    <n v="91"/>
    <n v="2"/>
    <x v="2"/>
    <x v="8"/>
    <n v="1"/>
    <s v="Married"/>
    <n v="10482"/>
    <n v="2326"/>
    <n v="9"/>
    <s v="Y"/>
    <s v="No"/>
    <s v="No"/>
    <n v="14"/>
    <n v="3"/>
    <n v="4"/>
    <n v="80"/>
    <n v="1"/>
    <n v="24"/>
    <s v="&gt;15"/>
    <n v="1"/>
    <n v="3"/>
    <n v="20"/>
    <n v="6"/>
    <n v="3"/>
    <n v="6"/>
  </r>
  <r>
    <n v="33"/>
    <x v="1"/>
    <s v="No"/>
    <s v="Travel_Rarely"/>
    <n v="654"/>
    <x v="1"/>
    <n v="5"/>
    <n v="3"/>
    <s v="Life Sciences"/>
    <n v="1"/>
    <n v="1099"/>
    <n v="4"/>
    <s v="Male"/>
    <n v="34"/>
    <n v="2"/>
    <x v="2"/>
    <x v="4"/>
    <n v="4"/>
    <s v="Divorced"/>
    <n v="7119"/>
    <n v="21214"/>
    <n v="4"/>
    <s v="Y"/>
    <s v="No"/>
    <s v="No"/>
    <n v="15"/>
    <n v="3"/>
    <n v="3"/>
    <n v="80"/>
    <n v="1"/>
    <n v="9"/>
    <s v="6-15"/>
    <n v="2"/>
    <n v="3"/>
    <n v="3"/>
    <n v="2"/>
    <n v="1"/>
    <n v="2"/>
  </r>
  <r>
    <n v="35"/>
    <x v="0"/>
    <s v="Yes"/>
    <s v="Travel_Rarely"/>
    <n v="1204"/>
    <x v="0"/>
    <n v="4"/>
    <n v="3"/>
    <s v="Technical Degree"/>
    <n v="1"/>
    <n v="1100"/>
    <n v="4"/>
    <s v="Male"/>
    <n v="86"/>
    <n v="3"/>
    <x v="2"/>
    <x v="0"/>
    <n v="1"/>
    <s v="Single"/>
    <n v="9582"/>
    <n v="10333"/>
    <n v="0"/>
    <s v="Y"/>
    <s v="Yes"/>
    <s v="Yes"/>
    <n v="22"/>
    <n v="4"/>
    <n v="1"/>
    <n v="80"/>
    <n v="0"/>
    <n v="9"/>
    <s v="6-15"/>
    <n v="2"/>
    <n v="3"/>
    <n v="8"/>
    <n v="7"/>
    <n v="4"/>
    <n v="7"/>
  </r>
  <r>
    <n v="33"/>
    <x v="0"/>
    <s v="Yes"/>
    <s v="Travel_Frequently"/>
    <n v="827"/>
    <x v="1"/>
    <n v="29"/>
    <n v="4"/>
    <s v="Medical"/>
    <n v="1"/>
    <n v="1101"/>
    <n v="1"/>
    <s v="Female"/>
    <n v="54"/>
    <n v="2"/>
    <x v="0"/>
    <x v="1"/>
    <n v="3"/>
    <s v="Single"/>
    <n v="4508"/>
    <n v="3129"/>
    <n v="1"/>
    <s v="Y"/>
    <s v="No"/>
    <s v="No"/>
    <n v="22"/>
    <n v="4"/>
    <n v="2"/>
    <n v="80"/>
    <n v="0"/>
    <n v="14"/>
    <s v="6-15"/>
    <n v="4"/>
    <n v="3"/>
    <n v="13"/>
    <n v="7"/>
    <n v="3"/>
    <n v="8"/>
  </r>
  <r>
    <n v="28"/>
    <x v="1"/>
    <s v="No"/>
    <s v="Travel_Rarely"/>
    <n v="895"/>
    <x v="1"/>
    <n v="15"/>
    <n v="2"/>
    <s v="Life Sciences"/>
    <n v="1"/>
    <n v="1102"/>
    <n v="1"/>
    <s v="Male"/>
    <n v="50"/>
    <n v="3"/>
    <x v="1"/>
    <x v="2"/>
    <n v="3"/>
    <s v="Divorced"/>
    <n v="2207"/>
    <n v="22482"/>
    <n v="1"/>
    <s v="Y"/>
    <s v="No"/>
    <s v="No"/>
    <n v="16"/>
    <n v="3"/>
    <n v="4"/>
    <n v="80"/>
    <n v="1"/>
    <n v="4"/>
    <s v="0-5"/>
    <n v="5"/>
    <n v="2"/>
    <n v="4"/>
    <n v="2"/>
    <n v="2"/>
    <n v="2"/>
  </r>
  <r>
    <n v="34"/>
    <x v="1"/>
    <s v="No"/>
    <s v="Travel_Frequently"/>
    <n v="618"/>
    <x v="1"/>
    <n v="3"/>
    <n v="1"/>
    <s v="Life Sciences"/>
    <n v="1"/>
    <n v="1103"/>
    <n v="1"/>
    <s v="Male"/>
    <n v="45"/>
    <n v="3"/>
    <x v="0"/>
    <x v="4"/>
    <n v="4"/>
    <s v="Single"/>
    <n v="7756"/>
    <n v="22266"/>
    <n v="0"/>
    <s v="Y"/>
    <s v="No"/>
    <s v="No"/>
    <n v="17"/>
    <n v="3"/>
    <n v="3"/>
    <n v="80"/>
    <n v="0"/>
    <n v="7"/>
    <s v="6-15"/>
    <n v="1"/>
    <n v="2"/>
    <n v="6"/>
    <n v="2"/>
    <n v="0"/>
    <n v="4"/>
  </r>
  <r>
    <n v="37"/>
    <x v="1"/>
    <s v="No"/>
    <s v="Travel_Rarely"/>
    <n v="309"/>
    <x v="0"/>
    <n v="10"/>
    <n v="4"/>
    <s v="Life Sciences"/>
    <n v="1"/>
    <n v="1105"/>
    <n v="4"/>
    <s v="Female"/>
    <n v="88"/>
    <n v="2"/>
    <x v="0"/>
    <x v="0"/>
    <n v="4"/>
    <s v="Divorced"/>
    <n v="6694"/>
    <n v="24223"/>
    <n v="2"/>
    <s v="Y"/>
    <s v="Yes"/>
    <s v="Yes"/>
    <n v="14"/>
    <n v="3"/>
    <n v="3"/>
    <n v="80"/>
    <n v="3"/>
    <n v="8"/>
    <s v="6-15"/>
    <n v="5"/>
    <n v="3"/>
    <n v="1"/>
    <n v="0"/>
    <n v="0"/>
    <n v="0"/>
  </r>
  <r>
    <n v="25"/>
    <x v="0"/>
    <s v="Yes"/>
    <s v="Travel_Rarely"/>
    <n v="1219"/>
    <x v="1"/>
    <n v="4"/>
    <n v="1"/>
    <s v="Technical Degree"/>
    <n v="1"/>
    <n v="1106"/>
    <n v="4"/>
    <s v="Male"/>
    <n v="32"/>
    <n v="3"/>
    <x v="1"/>
    <x v="2"/>
    <n v="4"/>
    <s v="Married"/>
    <n v="3691"/>
    <n v="4605"/>
    <n v="1"/>
    <s v="Y"/>
    <s v="Yes"/>
    <s v="Yes"/>
    <n v="15"/>
    <n v="3"/>
    <n v="2"/>
    <n v="80"/>
    <n v="1"/>
    <n v="7"/>
    <s v="6-15"/>
    <n v="3"/>
    <n v="4"/>
    <n v="7"/>
    <n v="7"/>
    <n v="5"/>
    <n v="6"/>
  </r>
  <r>
    <n v="26"/>
    <x v="0"/>
    <s v="Yes"/>
    <s v="Travel_Rarely"/>
    <n v="1330"/>
    <x v="1"/>
    <n v="21"/>
    <n v="3"/>
    <s v="Medical"/>
    <n v="1"/>
    <n v="1107"/>
    <n v="1"/>
    <s v="Male"/>
    <n v="37"/>
    <n v="3"/>
    <x v="1"/>
    <x v="2"/>
    <n v="3"/>
    <s v="Divorced"/>
    <n v="2377"/>
    <n v="19373"/>
    <n v="1"/>
    <s v="Y"/>
    <s v="No"/>
    <s v="No"/>
    <n v="20"/>
    <n v="4"/>
    <n v="3"/>
    <n v="80"/>
    <n v="1"/>
    <n v="1"/>
    <s v="0-5"/>
    <n v="0"/>
    <n v="2"/>
    <n v="1"/>
    <n v="1"/>
    <n v="0"/>
    <n v="0"/>
  </r>
  <r>
    <n v="33"/>
    <x v="0"/>
    <s v="Yes"/>
    <s v="Travel_Rarely"/>
    <n v="1017"/>
    <x v="1"/>
    <n v="25"/>
    <n v="3"/>
    <s v="Medical"/>
    <n v="1"/>
    <n v="1108"/>
    <n v="1"/>
    <s v="Male"/>
    <n v="55"/>
    <n v="2"/>
    <x v="1"/>
    <x v="1"/>
    <n v="2"/>
    <s v="Single"/>
    <n v="2313"/>
    <n v="2993"/>
    <n v="4"/>
    <s v="Y"/>
    <s v="Yes"/>
    <s v="Yes"/>
    <n v="20"/>
    <n v="4"/>
    <n v="2"/>
    <n v="80"/>
    <n v="0"/>
    <n v="5"/>
    <s v="0-5"/>
    <n v="0"/>
    <n v="3"/>
    <n v="2"/>
    <n v="2"/>
    <n v="2"/>
    <n v="2"/>
  </r>
  <r>
    <n v="42"/>
    <x v="1"/>
    <s v="No"/>
    <s v="Travel_Rarely"/>
    <n v="469"/>
    <x v="1"/>
    <n v="2"/>
    <n v="2"/>
    <s v="Medical"/>
    <n v="1"/>
    <n v="1109"/>
    <n v="4"/>
    <s v="Male"/>
    <n v="35"/>
    <n v="3"/>
    <x v="3"/>
    <x v="5"/>
    <n v="1"/>
    <s v="Married"/>
    <n v="17665"/>
    <n v="14399"/>
    <n v="0"/>
    <s v="Y"/>
    <s v="No"/>
    <s v="No"/>
    <n v="17"/>
    <n v="3"/>
    <n v="4"/>
    <n v="80"/>
    <n v="1"/>
    <n v="23"/>
    <s v="&gt;15"/>
    <n v="3"/>
    <n v="3"/>
    <n v="22"/>
    <n v="6"/>
    <n v="13"/>
    <n v="7"/>
  </r>
  <r>
    <n v="28"/>
    <x v="0"/>
    <s v="Yes"/>
    <s v="Travel_Frequently"/>
    <n v="1009"/>
    <x v="1"/>
    <n v="1"/>
    <n v="3"/>
    <s v="Medical"/>
    <n v="1"/>
    <n v="1111"/>
    <n v="1"/>
    <s v="Male"/>
    <n v="45"/>
    <n v="2"/>
    <x v="1"/>
    <x v="2"/>
    <n v="2"/>
    <s v="Divorced"/>
    <n v="2596"/>
    <n v="7160"/>
    <n v="1"/>
    <s v="Y"/>
    <s v="No"/>
    <s v="No"/>
    <n v="15"/>
    <n v="3"/>
    <n v="1"/>
    <n v="80"/>
    <n v="2"/>
    <n v="1"/>
    <s v="0-5"/>
    <n v="2"/>
    <n v="3"/>
    <n v="1"/>
    <n v="0"/>
    <n v="0"/>
    <n v="0"/>
  </r>
  <r>
    <n v="50"/>
    <x v="0"/>
    <s v="Yes"/>
    <s v="Travel_Frequently"/>
    <n v="959"/>
    <x v="0"/>
    <n v="1"/>
    <n v="4"/>
    <s v="Other"/>
    <n v="1"/>
    <n v="1113"/>
    <n v="4"/>
    <s v="Male"/>
    <n v="81"/>
    <n v="3"/>
    <x v="0"/>
    <x v="0"/>
    <n v="3"/>
    <s v="Single"/>
    <n v="4728"/>
    <n v="17251"/>
    <n v="3"/>
    <s v="Y"/>
    <s v="Yes"/>
    <s v="Yes"/>
    <n v="14"/>
    <n v="3"/>
    <n v="4"/>
    <n v="80"/>
    <n v="0"/>
    <n v="5"/>
    <s v="0-5"/>
    <n v="4"/>
    <n v="3"/>
    <n v="0"/>
    <n v="0"/>
    <n v="0"/>
    <n v="0"/>
  </r>
  <r>
    <n v="33"/>
    <x v="1"/>
    <s v="No"/>
    <s v="Travel_Frequently"/>
    <n v="970"/>
    <x v="0"/>
    <n v="7"/>
    <n v="3"/>
    <s v="Life Sciences"/>
    <n v="1"/>
    <n v="1114"/>
    <n v="4"/>
    <s v="Female"/>
    <n v="30"/>
    <n v="3"/>
    <x v="0"/>
    <x v="0"/>
    <n v="2"/>
    <s v="Married"/>
    <n v="4302"/>
    <n v="13401"/>
    <n v="0"/>
    <s v="Y"/>
    <s v="No"/>
    <s v="No"/>
    <n v="17"/>
    <n v="3"/>
    <n v="3"/>
    <n v="80"/>
    <n v="1"/>
    <n v="4"/>
    <s v="0-5"/>
    <n v="3"/>
    <n v="3"/>
    <n v="3"/>
    <n v="2"/>
    <n v="0"/>
    <n v="2"/>
  </r>
  <r>
    <n v="34"/>
    <x v="1"/>
    <s v="No"/>
    <s v="Non-Travel"/>
    <n v="697"/>
    <x v="1"/>
    <n v="3"/>
    <n v="4"/>
    <s v="Life Sciences"/>
    <n v="1"/>
    <n v="1115"/>
    <n v="3"/>
    <s v="Male"/>
    <n v="40"/>
    <n v="2"/>
    <x v="1"/>
    <x v="1"/>
    <n v="4"/>
    <s v="Married"/>
    <n v="2979"/>
    <n v="22478"/>
    <n v="3"/>
    <s v="Y"/>
    <s v="No"/>
    <s v="No"/>
    <n v="17"/>
    <n v="3"/>
    <n v="4"/>
    <n v="80"/>
    <n v="3"/>
    <n v="6"/>
    <s v="6-15"/>
    <n v="2"/>
    <n v="3"/>
    <n v="0"/>
    <n v="0"/>
    <n v="0"/>
    <n v="0"/>
  </r>
  <r>
    <n v="48"/>
    <x v="1"/>
    <s v="No"/>
    <s v="Non-Travel"/>
    <n v="1262"/>
    <x v="1"/>
    <n v="1"/>
    <n v="4"/>
    <s v="Medical"/>
    <n v="1"/>
    <n v="1116"/>
    <n v="1"/>
    <s v="Male"/>
    <n v="35"/>
    <n v="4"/>
    <x v="3"/>
    <x v="5"/>
    <n v="4"/>
    <s v="Single"/>
    <n v="16885"/>
    <n v="16154"/>
    <n v="2"/>
    <s v="Y"/>
    <s v="No"/>
    <s v="No"/>
    <n v="22"/>
    <n v="4"/>
    <n v="3"/>
    <n v="80"/>
    <n v="0"/>
    <n v="27"/>
    <s v="&gt;15"/>
    <n v="3"/>
    <n v="2"/>
    <n v="5"/>
    <n v="4"/>
    <n v="2"/>
    <n v="1"/>
  </r>
  <r>
    <n v="45"/>
    <x v="1"/>
    <s v="No"/>
    <s v="Non-Travel"/>
    <n v="1050"/>
    <x v="0"/>
    <n v="9"/>
    <n v="4"/>
    <s v="Life Sciences"/>
    <n v="1"/>
    <n v="1117"/>
    <n v="2"/>
    <s v="Female"/>
    <n v="65"/>
    <n v="2"/>
    <x v="0"/>
    <x v="0"/>
    <n v="3"/>
    <s v="Married"/>
    <n v="5593"/>
    <n v="17970"/>
    <n v="1"/>
    <s v="Y"/>
    <s v="No"/>
    <s v="No"/>
    <n v="13"/>
    <n v="3"/>
    <n v="4"/>
    <n v="80"/>
    <n v="1"/>
    <n v="15"/>
    <s v="6-15"/>
    <n v="2"/>
    <n v="3"/>
    <n v="15"/>
    <n v="10"/>
    <n v="4"/>
    <n v="12"/>
  </r>
  <r>
    <n v="52"/>
    <x v="1"/>
    <s v="No"/>
    <s v="Travel_Rarely"/>
    <n v="994"/>
    <x v="1"/>
    <n v="7"/>
    <n v="4"/>
    <s v="Life Sciences"/>
    <n v="1"/>
    <n v="1118"/>
    <n v="2"/>
    <s v="Male"/>
    <n v="87"/>
    <n v="3"/>
    <x v="2"/>
    <x v="4"/>
    <n v="2"/>
    <s v="Single"/>
    <n v="10445"/>
    <n v="15322"/>
    <n v="7"/>
    <s v="Y"/>
    <s v="No"/>
    <s v="No"/>
    <n v="19"/>
    <n v="3"/>
    <n v="4"/>
    <n v="80"/>
    <n v="0"/>
    <n v="18"/>
    <s v="&gt;15"/>
    <n v="4"/>
    <n v="3"/>
    <n v="8"/>
    <n v="6"/>
    <n v="4"/>
    <n v="0"/>
  </r>
  <r>
    <n v="38"/>
    <x v="1"/>
    <s v="No"/>
    <s v="Travel_Rarely"/>
    <n v="770"/>
    <x v="0"/>
    <n v="10"/>
    <n v="4"/>
    <s v="Marketing"/>
    <n v="1"/>
    <n v="1119"/>
    <n v="3"/>
    <s v="Male"/>
    <n v="73"/>
    <n v="2"/>
    <x v="2"/>
    <x v="0"/>
    <n v="3"/>
    <s v="Divorced"/>
    <n v="8740"/>
    <n v="5569"/>
    <n v="0"/>
    <s v="Y"/>
    <s v="Yes"/>
    <s v="Yes"/>
    <n v="14"/>
    <n v="3"/>
    <n v="2"/>
    <n v="80"/>
    <n v="2"/>
    <n v="9"/>
    <s v="6-15"/>
    <n v="2"/>
    <n v="3"/>
    <n v="8"/>
    <n v="7"/>
    <n v="2"/>
    <n v="7"/>
  </r>
  <r>
    <n v="29"/>
    <x v="1"/>
    <s v="No"/>
    <s v="Travel_Rarely"/>
    <n v="1107"/>
    <x v="1"/>
    <n v="28"/>
    <n v="4"/>
    <s v="Life Sciences"/>
    <n v="1"/>
    <n v="1120"/>
    <n v="3"/>
    <s v="Female"/>
    <n v="93"/>
    <n v="3"/>
    <x v="1"/>
    <x v="1"/>
    <n v="4"/>
    <s v="Divorced"/>
    <n v="2514"/>
    <n v="26968"/>
    <n v="4"/>
    <s v="Y"/>
    <s v="No"/>
    <s v="No"/>
    <n v="22"/>
    <n v="4"/>
    <n v="1"/>
    <n v="80"/>
    <n v="1"/>
    <n v="11"/>
    <s v="6-15"/>
    <n v="1"/>
    <n v="3"/>
    <n v="7"/>
    <n v="5"/>
    <n v="1"/>
    <n v="7"/>
  </r>
  <r>
    <n v="28"/>
    <x v="1"/>
    <s v="No"/>
    <s v="Travel_Rarely"/>
    <n v="950"/>
    <x v="1"/>
    <n v="3"/>
    <n v="3"/>
    <s v="Medical"/>
    <n v="1"/>
    <n v="1121"/>
    <n v="4"/>
    <s v="Female"/>
    <n v="93"/>
    <n v="3"/>
    <x v="2"/>
    <x v="3"/>
    <n v="2"/>
    <s v="Divorced"/>
    <n v="7655"/>
    <n v="8039"/>
    <n v="0"/>
    <s v="Y"/>
    <s v="No"/>
    <s v="No"/>
    <n v="17"/>
    <n v="3"/>
    <n v="2"/>
    <n v="80"/>
    <n v="3"/>
    <n v="10"/>
    <s v="6-15"/>
    <n v="3"/>
    <n v="2"/>
    <n v="9"/>
    <n v="7"/>
    <n v="1"/>
    <n v="7"/>
  </r>
  <r>
    <n v="46"/>
    <x v="1"/>
    <s v="No"/>
    <s v="Travel_Rarely"/>
    <n v="406"/>
    <x v="0"/>
    <n v="3"/>
    <n v="1"/>
    <s v="Marketing"/>
    <n v="1"/>
    <n v="1124"/>
    <n v="1"/>
    <s v="Male"/>
    <n v="52"/>
    <n v="3"/>
    <x v="3"/>
    <x v="5"/>
    <n v="3"/>
    <s v="Married"/>
    <n v="17465"/>
    <n v="15596"/>
    <n v="3"/>
    <s v="Y"/>
    <s v="No"/>
    <s v="No"/>
    <n v="12"/>
    <n v="3"/>
    <n v="4"/>
    <n v="80"/>
    <n v="1"/>
    <n v="23"/>
    <s v="&gt;15"/>
    <n v="3"/>
    <n v="3"/>
    <n v="12"/>
    <n v="9"/>
    <n v="4"/>
    <n v="9"/>
  </r>
  <r>
    <n v="38"/>
    <x v="1"/>
    <s v="No"/>
    <s v="Travel_Rarely"/>
    <n v="130"/>
    <x v="0"/>
    <n v="2"/>
    <n v="2"/>
    <s v="Marketing"/>
    <n v="1"/>
    <n v="1125"/>
    <n v="4"/>
    <s v="Male"/>
    <n v="32"/>
    <n v="3"/>
    <x v="2"/>
    <x v="0"/>
    <n v="2"/>
    <s v="Single"/>
    <n v="7351"/>
    <n v="20619"/>
    <n v="7"/>
    <s v="Y"/>
    <s v="No"/>
    <s v="No"/>
    <n v="16"/>
    <n v="3"/>
    <n v="3"/>
    <n v="80"/>
    <n v="0"/>
    <n v="10"/>
    <s v="6-15"/>
    <n v="2"/>
    <n v="3"/>
    <n v="1"/>
    <n v="0"/>
    <n v="0"/>
    <n v="0"/>
  </r>
  <r>
    <n v="43"/>
    <x v="1"/>
    <s v="No"/>
    <s v="Travel_Frequently"/>
    <n v="1082"/>
    <x v="1"/>
    <n v="27"/>
    <n v="3"/>
    <s v="Life Sciences"/>
    <n v="1"/>
    <n v="1126"/>
    <n v="3"/>
    <s v="Female"/>
    <n v="83"/>
    <n v="3"/>
    <x v="2"/>
    <x v="3"/>
    <n v="1"/>
    <s v="Married"/>
    <n v="10820"/>
    <n v="11535"/>
    <n v="8"/>
    <s v="Y"/>
    <s v="No"/>
    <s v="No"/>
    <n v="11"/>
    <n v="3"/>
    <n v="3"/>
    <n v="80"/>
    <n v="1"/>
    <n v="18"/>
    <s v="&gt;15"/>
    <n v="1"/>
    <n v="3"/>
    <n v="8"/>
    <n v="7"/>
    <n v="0"/>
    <n v="1"/>
  </r>
  <r>
    <n v="39"/>
    <x v="0"/>
    <s v="Yes"/>
    <s v="Travel_Frequently"/>
    <n v="203"/>
    <x v="1"/>
    <n v="2"/>
    <n v="3"/>
    <s v="Life Sciences"/>
    <n v="1"/>
    <n v="1127"/>
    <n v="1"/>
    <s v="Male"/>
    <n v="84"/>
    <n v="3"/>
    <x v="3"/>
    <x v="4"/>
    <n v="4"/>
    <s v="Divorced"/>
    <n v="12169"/>
    <n v="13547"/>
    <n v="7"/>
    <s v="Y"/>
    <s v="No"/>
    <s v="No"/>
    <n v="11"/>
    <n v="3"/>
    <n v="4"/>
    <n v="80"/>
    <n v="3"/>
    <n v="21"/>
    <s v="&gt;15"/>
    <n v="4"/>
    <n v="3"/>
    <n v="18"/>
    <n v="7"/>
    <n v="11"/>
    <n v="5"/>
  </r>
  <r>
    <n v="40"/>
    <x v="1"/>
    <s v="No"/>
    <s v="Travel_Rarely"/>
    <n v="1308"/>
    <x v="1"/>
    <n v="14"/>
    <n v="3"/>
    <s v="Medical"/>
    <n v="1"/>
    <n v="1128"/>
    <n v="3"/>
    <s v="Male"/>
    <n v="44"/>
    <n v="2"/>
    <x v="4"/>
    <x v="7"/>
    <n v="3"/>
    <s v="Single"/>
    <n v="19626"/>
    <n v="17544"/>
    <n v="1"/>
    <s v="Y"/>
    <s v="No"/>
    <s v="No"/>
    <n v="14"/>
    <n v="3"/>
    <n v="1"/>
    <n v="80"/>
    <n v="0"/>
    <n v="21"/>
    <s v="&gt;15"/>
    <n v="2"/>
    <n v="4"/>
    <n v="20"/>
    <n v="7"/>
    <n v="4"/>
    <n v="9"/>
  </r>
  <r>
    <n v="21"/>
    <x v="1"/>
    <s v="No"/>
    <s v="Travel_Rarely"/>
    <n v="984"/>
    <x v="1"/>
    <n v="1"/>
    <n v="1"/>
    <s v="Technical Degree"/>
    <n v="1"/>
    <n v="1131"/>
    <n v="4"/>
    <s v="Female"/>
    <n v="70"/>
    <n v="2"/>
    <x v="1"/>
    <x v="1"/>
    <n v="2"/>
    <s v="Single"/>
    <n v="2070"/>
    <n v="25326"/>
    <n v="1"/>
    <s v="Y"/>
    <s v="Yes"/>
    <s v="Yes"/>
    <n v="11"/>
    <n v="3"/>
    <n v="3"/>
    <n v="80"/>
    <n v="0"/>
    <n v="2"/>
    <s v="0-5"/>
    <n v="6"/>
    <n v="4"/>
    <n v="2"/>
    <n v="2"/>
    <n v="2"/>
    <n v="2"/>
  </r>
  <r>
    <n v="39"/>
    <x v="1"/>
    <s v="No"/>
    <s v="Non-Travel"/>
    <n v="439"/>
    <x v="1"/>
    <n v="9"/>
    <n v="3"/>
    <s v="Life Sciences"/>
    <n v="1"/>
    <n v="1132"/>
    <n v="3"/>
    <s v="Male"/>
    <n v="70"/>
    <n v="3"/>
    <x v="0"/>
    <x v="2"/>
    <n v="2"/>
    <s v="Single"/>
    <n v="6782"/>
    <n v="8770"/>
    <n v="9"/>
    <s v="Y"/>
    <s v="No"/>
    <s v="No"/>
    <n v="15"/>
    <n v="3"/>
    <n v="3"/>
    <n v="80"/>
    <n v="0"/>
    <n v="9"/>
    <s v="6-15"/>
    <n v="2"/>
    <n v="2"/>
    <n v="5"/>
    <n v="4"/>
    <n v="0"/>
    <n v="3"/>
  </r>
  <r>
    <n v="36"/>
    <x v="1"/>
    <s v="No"/>
    <s v="Non-Travel"/>
    <n v="217"/>
    <x v="1"/>
    <n v="18"/>
    <n v="4"/>
    <s v="Life Sciences"/>
    <n v="1"/>
    <n v="1133"/>
    <n v="1"/>
    <s v="Male"/>
    <n v="78"/>
    <n v="3"/>
    <x v="0"/>
    <x v="3"/>
    <n v="4"/>
    <s v="Single"/>
    <n v="7779"/>
    <n v="23238"/>
    <n v="2"/>
    <s v="Y"/>
    <s v="No"/>
    <s v="No"/>
    <n v="20"/>
    <n v="4"/>
    <n v="1"/>
    <n v="80"/>
    <n v="0"/>
    <n v="18"/>
    <s v="&gt;15"/>
    <n v="0"/>
    <n v="3"/>
    <n v="11"/>
    <n v="9"/>
    <n v="0"/>
    <n v="9"/>
  </r>
  <r>
    <n v="31"/>
    <x v="1"/>
    <s v="No"/>
    <s v="Travel_Frequently"/>
    <n v="793"/>
    <x v="0"/>
    <n v="20"/>
    <n v="3"/>
    <s v="Life Sciences"/>
    <n v="1"/>
    <n v="1135"/>
    <n v="3"/>
    <s v="Male"/>
    <n v="67"/>
    <n v="4"/>
    <x v="1"/>
    <x v="6"/>
    <n v="4"/>
    <s v="Married"/>
    <n v="2791"/>
    <n v="21981"/>
    <n v="0"/>
    <s v="Y"/>
    <s v="No"/>
    <s v="No"/>
    <n v="12"/>
    <n v="3"/>
    <n v="1"/>
    <n v="80"/>
    <n v="1"/>
    <n v="3"/>
    <s v="0-5"/>
    <n v="4"/>
    <n v="3"/>
    <n v="2"/>
    <n v="2"/>
    <n v="2"/>
    <n v="2"/>
  </r>
  <r>
    <n v="28"/>
    <x v="1"/>
    <s v="No"/>
    <s v="Travel_Rarely"/>
    <n v="1451"/>
    <x v="1"/>
    <n v="2"/>
    <n v="1"/>
    <s v="Life Sciences"/>
    <n v="1"/>
    <n v="1136"/>
    <n v="1"/>
    <s v="Male"/>
    <n v="67"/>
    <n v="2"/>
    <x v="1"/>
    <x v="1"/>
    <n v="2"/>
    <s v="Married"/>
    <n v="3201"/>
    <n v="19911"/>
    <n v="0"/>
    <s v="Y"/>
    <s v="No"/>
    <s v="No"/>
    <n v="17"/>
    <n v="3"/>
    <n v="1"/>
    <n v="80"/>
    <n v="0"/>
    <n v="6"/>
    <s v="6-15"/>
    <n v="2"/>
    <n v="1"/>
    <n v="5"/>
    <n v="3"/>
    <n v="0"/>
    <n v="4"/>
  </r>
  <r>
    <n v="35"/>
    <x v="1"/>
    <s v="No"/>
    <s v="Travel_Frequently"/>
    <n v="1182"/>
    <x v="0"/>
    <n v="11"/>
    <n v="2"/>
    <s v="Marketing"/>
    <n v="1"/>
    <n v="1137"/>
    <n v="4"/>
    <s v="Male"/>
    <n v="54"/>
    <n v="3"/>
    <x v="0"/>
    <x v="0"/>
    <n v="4"/>
    <s v="Divorced"/>
    <n v="4968"/>
    <n v="18500"/>
    <n v="1"/>
    <s v="Y"/>
    <s v="No"/>
    <s v="No"/>
    <n v="11"/>
    <n v="3"/>
    <n v="4"/>
    <n v="80"/>
    <n v="1"/>
    <n v="5"/>
    <s v="0-5"/>
    <n v="3"/>
    <n v="3"/>
    <n v="5"/>
    <n v="2"/>
    <n v="0"/>
    <n v="2"/>
  </r>
  <r>
    <n v="49"/>
    <x v="1"/>
    <s v="No"/>
    <s v="Travel_Rarely"/>
    <n v="174"/>
    <x v="0"/>
    <n v="8"/>
    <n v="4"/>
    <s v="Technical Degree"/>
    <n v="1"/>
    <n v="1138"/>
    <n v="4"/>
    <s v="Male"/>
    <n v="56"/>
    <n v="2"/>
    <x v="3"/>
    <x v="0"/>
    <n v="2"/>
    <s v="Married"/>
    <n v="13120"/>
    <n v="11879"/>
    <n v="6"/>
    <s v="Y"/>
    <s v="No"/>
    <s v="No"/>
    <n v="17"/>
    <n v="3"/>
    <n v="2"/>
    <n v="80"/>
    <n v="1"/>
    <n v="22"/>
    <s v="&gt;15"/>
    <n v="3"/>
    <n v="3"/>
    <n v="9"/>
    <n v="8"/>
    <n v="2"/>
    <n v="3"/>
  </r>
  <r>
    <n v="34"/>
    <x v="1"/>
    <s v="No"/>
    <s v="Travel_Frequently"/>
    <n v="1003"/>
    <x v="1"/>
    <n v="2"/>
    <n v="2"/>
    <s v="Life Sciences"/>
    <n v="1"/>
    <n v="1140"/>
    <n v="4"/>
    <s v="Male"/>
    <n v="95"/>
    <n v="3"/>
    <x v="0"/>
    <x v="3"/>
    <n v="3"/>
    <s v="Single"/>
    <n v="4033"/>
    <n v="15834"/>
    <n v="2"/>
    <s v="Y"/>
    <s v="No"/>
    <s v="No"/>
    <n v="11"/>
    <n v="3"/>
    <n v="4"/>
    <n v="80"/>
    <n v="0"/>
    <n v="5"/>
    <s v="0-5"/>
    <n v="3"/>
    <n v="2"/>
    <n v="3"/>
    <n v="2"/>
    <n v="0"/>
    <n v="2"/>
  </r>
  <r>
    <n v="29"/>
    <x v="1"/>
    <s v="No"/>
    <s v="Travel_Frequently"/>
    <n v="490"/>
    <x v="1"/>
    <n v="10"/>
    <n v="3"/>
    <s v="Life Sciences"/>
    <n v="1"/>
    <n v="1143"/>
    <n v="4"/>
    <s v="Female"/>
    <n v="61"/>
    <n v="3"/>
    <x v="1"/>
    <x v="1"/>
    <n v="2"/>
    <s v="Divorced"/>
    <n v="3291"/>
    <n v="17940"/>
    <n v="0"/>
    <s v="Y"/>
    <s v="No"/>
    <s v="No"/>
    <n v="14"/>
    <n v="3"/>
    <n v="4"/>
    <n v="80"/>
    <n v="2"/>
    <n v="8"/>
    <s v="6-15"/>
    <n v="2"/>
    <n v="2"/>
    <n v="7"/>
    <n v="5"/>
    <n v="1"/>
    <n v="1"/>
  </r>
  <r>
    <n v="42"/>
    <x v="1"/>
    <s v="No"/>
    <s v="Travel_Rarely"/>
    <n v="188"/>
    <x v="1"/>
    <n v="29"/>
    <n v="3"/>
    <s v="Medical"/>
    <n v="1"/>
    <n v="1148"/>
    <n v="2"/>
    <s v="Male"/>
    <n v="56"/>
    <n v="1"/>
    <x v="0"/>
    <x v="2"/>
    <n v="4"/>
    <s v="Single"/>
    <n v="4272"/>
    <n v="9558"/>
    <n v="4"/>
    <s v="Y"/>
    <s v="No"/>
    <s v="No"/>
    <n v="19"/>
    <n v="3"/>
    <n v="1"/>
    <n v="80"/>
    <n v="0"/>
    <n v="16"/>
    <s v="&gt;15"/>
    <n v="3"/>
    <n v="3"/>
    <n v="1"/>
    <n v="0"/>
    <n v="0"/>
    <n v="0"/>
  </r>
  <r>
    <n v="29"/>
    <x v="1"/>
    <s v="No"/>
    <s v="Travel_Rarely"/>
    <n v="718"/>
    <x v="1"/>
    <n v="8"/>
    <n v="1"/>
    <s v="Medical"/>
    <n v="1"/>
    <n v="1150"/>
    <n v="2"/>
    <s v="Male"/>
    <n v="79"/>
    <n v="2"/>
    <x v="0"/>
    <x v="3"/>
    <n v="4"/>
    <s v="Married"/>
    <n v="5056"/>
    <n v="17689"/>
    <n v="1"/>
    <s v="Y"/>
    <s v="Yes"/>
    <s v="Yes"/>
    <n v="15"/>
    <n v="3"/>
    <n v="3"/>
    <n v="80"/>
    <n v="1"/>
    <n v="10"/>
    <s v="6-15"/>
    <n v="2"/>
    <n v="2"/>
    <n v="10"/>
    <n v="7"/>
    <n v="1"/>
    <n v="2"/>
  </r>
  <r>
    <n v="38"/>
    <x v="1"/>
    <s v="No"/>
    <s v="Travel_Rarely"/>
    <n v="433"/>
    <x v="2"/>
    <n v="1"/>
    <n v="3"/>
    <s v="Human Resources"/>
    <n v="1"/>
    <n v="1152"/>
    <n v="3"/>
    <s v="Male"/>
    <n v="37"/>
    <n v="4"/>
    <x v="1"/>
    <x v="8"/>
    <n v="3"/>
    <s v="Married"/>
    <n v="2844"/>
    <n v="6004"/>
    <n v="1"/>
    <s v="Y"/>
    <s v="No"/>
    <s v="No"/>
    <n v="13"/>
    <n v="3"/>
    <n v="4"/>
    <n v="80"/>
    <n v="1"/>
    <n v="7"/>
    <s v="6-15"/>
    <n v="2"/>
    <n v="4"/>
    <n v="7"/>
    <n v="6"/>
    <n v="5"/>
    <n v="0"/>
  </r>
  <r>
    <n v="28"/>
    <x v="1"/>
    <s v="No"/>
    <s v="Travel_Frequently"/>
    <n v="773"/>
    <x v="1"/>
    <n v="6"/>
    <n v="3"/>
    <s v="Life Sciences"/>
    <n v="1"/>
    <n v="1154"/>
    <n v="3"/>
    <s v="Male"/>
    <n v="39"/>
    <n v="2"/>
    <x v="1"/>
    <x v="1"/>
    <n v="3"/>
    <s v="Divorced"/>
    <n v="2703"/>
    <n v="22088"/>
    <n v="1"/>
    <s v="Y"/>
    <s v="Yes"/>
    <s v="Yes"/>
    <n v="14"/>
    <n v="3"/>
    <n v="4"/>
    <n v="80"/>
    <n v="1"/>
    <n v="3"/>
    <s v="0-5"/>
    <n v="2"/>
    <n v="3"/>
    <n v="3"/>
    <n v="1"/>
    <n v="0"/>
    <n v="2"/>
  </r>
  <r>
    <n v="18"/>
    <x v="0"/>
    <s v="Yes"/>
    <s v="Non-Travel"/>
    <n v="247"/>
    <x v="1"/>
    <n v="8"/>
    <n v="1"/>
    <s v="Medical"/>
    <n v="1"/>
    <n v="1156"/>
    <n v="3"/>
    <s v="Male"/>
    <n v="80"/>
    <n v="3"/>
    <x v="1"/>
    <x v="2"/>
    <n v="3"/>
    <s v="Single"/>
    <n v="1904"/>
    <n v="13556"/>
    <n v="1"/>
    <s v="Y"/>
    <s v="No"/>
    <s v="No"/>
    <n v="12"/>
    <n v="3"/>
    <n v="4"/>
    <n v="80"/>
    <n v="0"/>
    <n v="0"/>
    <s v="0-5"/>
    <n v="0"/>
    <n v="3"/>
    <n v="0"/>
    <n v="0"/>
    <n v="0"/>
    <n v="0"/>
  </r>
  <r>
    <n v="33"/>
    <x v="0"/>
    <s v="Yes"/>
    <s v="Travel_Rarely"/>
    <n v="603"/>
    <x v="0"/>
    <n v="9"/>
    <n v="4"/>
    <s v="Marketing"/>
    <n v="1"/>
    <n v="1157"/>
    <n v="1"/>
    <s v="Female"/>
    <n v="77"/>
    <n v="3"/>
    <x v="0"/>
    <x v="0"/>
    <n v="1"/>
    <s v="Single"/>
    <n v="8224"/>
    <n v="18385"/>
    <n v="0"/>
    <s v="Y"/>
    <s v="Yes"/>
    <s v="Yes"/>
    <n v="17"/>
    <n v="3"/>
    <n v="1"/>
    <n v="80"/>
    <n v="0"/>
    <n v="6"/>
    <s v="6-15"/>
    <n v="3"/>
    <n v="3"/>
    <n v="5"/>
    <n v="2"/>
    <n v="0"/>
    <n v="3"/>
  </r>
  <r>
    <n v="41"/>
    <x v="1"/>
    <s v="No"/>
    <s v="Travel_Rarely"/>
    <n v="167"/>
    <x v="1"/>
    <n v="12"/>
    <n v="4"/>
    <s v="Life Sciences"/>
    <n v="1"/>
    <n v="1158"/>
    <n v="2"/>
    <s v="Male"/>
    <n v="46"/>
    <n v="3"/>
    <x v="1"/>
    <x v="2"/>
    <n v="4"/>
    <s v="Married"/>
    <n v="4766"/>
    <n v="9051"/>
    <n v="3"/>
    <s v="Y"/>
    <s v="Yes"/>
    <s v="Yes"/>
    <n v="11"/>
    <n v="3"/>
    <n v="1"/>
    <n v="80"/>
    <n v="1"/>
    <n v="6"/>
    <s v="6-15"/>
    <n v="4"/>
    <n v="3"/>
    <n v="1"/>
    <n v="0"/>
    <n v="0"/>
    <n v="0"/>
  </r>
  <r>
    <n v="31"/>
    <x v="0"/>
    <s v="Yes"/>
    <s v="Travel_Frequently"/>
    <n v="874"/>
    <x v="1"/>
    <n v="15"/>
    <n v="3"/>
    <s v="Medical"/>
    <n v="1"/>
    <n v="1160"/>
    <n v="3"/>
    <s v="Male"/>
    <n v="72"/>
    <n v="3"/>
    <x v="1"/>
    <x v="2"/>
    <n v="3"/>
    <s v="Married"/>
    <n v="2610"/>
    <n v="6233"/>
    <n v="1"/>
    <s v="Y"/>
    <s v="No"/>
    <s v="No"/>
    <n v="12"/>
    <n v="3"/>
    <n v="3"/>
    <n v="80"/>
    <n v="1"/>
    <n v="2"/>
    <s v="0-5"/>
    <n v="5"/>
    <n v="2"/>
    <n v="2"/>
    <n v="2"/>
    <n v="2"/>
    <n v="2"/>
  </r>
  <r>
    <n v="37"/>
    <x v="1"/>
    <s v="No"/>
    <s v="Travel_Rarely"/>
    <n v="367"/>
    <x v="1"/>
    <n v="25"/>
    <n v="2"/>
    <s v="Medical"/>
    <n v="1"/>
    <n v="1161"/>
    <n v="3"/>
    <s v="Female"/>
    <n v="52"/>
    <n v="2"/>
    <x v="0"/>
    <x v="4"/>
    <n v="4"/>
    <s v="Divorced"/>
    <n v="5731"/>
    <n v="17171"/>
    <n v="7"/>
    <s v="Y"/>
    <s v="No"/>
    <s v="No"/>
    <n v="13"/>
    <n v="3"/>
    <n v="3"/>
    <n v="80"/>
    <n v="2"/>
    <n v="9"/>
    <s v="6-15"/>
    <n v="2"/>
    <n v="3"/>
    <n v="6"/>
    <n v="2"/>
    <n v="1"/>
    <n v="3"/>
  </r>
  <r>
    <n v="27"/>
    <x v="1"/>
    <s v="No"/>
    <s v="Travel_Rarely"/>
    <n v="199"/>
    <x v="1"/>
    <n v="6"/>
    <n v="3"/>
    <s v="Life Sciences"/>
    <n v="1"/>
    <n v="1162"/>
    <n v="4"/>
    <s v="Male"/>
    <n v="55"/>
    <n v="2"/>
    <x v="1"/>
    <x v="1"/>
    <n v="3"/>
    <s v="Married"/>
    <n v="2539"/>
    <n v="7950"/>
    <n v="1"/>
    <s v="Y"/>
    <s v="No"/>
    <s v="No"/>
    <n v="13"/>
    <n v="3"/>
    <n v="3"/>
    <n v="80"/>
    <n v="1"/>
    <n v="4"/>
    <s v="0-5"/>
    <n v="0"/>
    <n v="3"/>
    <n v="4"/>
    <n v="2"/>
    <n v="2"/>
    <n v="2"/>
  </r>
  <r>
    <n v="34"/>
    <x v="1"/>
    <s v="No"/>
    <s v="Travel_Rarely"/>
    <n v="1400"/>
    <x v="0"/>
    <n v="9"/>
    <n v="1"/>
    <s v="Life Sciences"/>
    <n v="1"/>
    <n v="1163"/>
    <n v="2"/>
    <s v="Female"/>
    <n v="70"/>
    <n v="3"/>
    <x v="0"/>
    <x v="0"/>
    <n v="3"/>
    <s v="Married"/>
    <n v="5714"/>
    <n v="5829"/>
    <n v="1"/>
    <s v="Y"/>
    <s v="No"/>
    <s v="No"/>
    <n v="20"/>
    <n v="4"/>
    <n v="1"/>
    <n v="80"/>
    <n v="0"/>
    <n v="6"/>
    <s v="6-15"/>
    <n v="3"/>
    <n v="2"/>
    <n v="6"/>
    <n v="5"/>
    <n v="1"/>
    <n v="3"/>
  </r>
  <r>
    <n v="35"/>
    <x v="1"/>
    <s v="No"/>
    <s v="Travel_Rarely"/>
    <n v="528"/>
    <x v="2"/>
    <n v="8"/>
    <n v="4"/>
    <s v="Technical Degree"/>
    <n v="1"/>
    <n v="1164"/>
    <n v="3"/>
    <s v="Male"/>
    <n v="100"/>
    <n v="3"/>
    <x v="1"/>
    <x v="8"/>
    <n v="3"/>
    <s v="Single"/>
    <n v="4323"/>
    <n v="7108"/>
    <n v="1"/>
    <s v="Y"/>
    <s v="No"/>
    <s v="No"/>
    <n v="17"/>
    <n v="3"/>
    <n v="2"/>
    <n v="80"/>
    <n v="0"/>
    <n v="6"/>
    <s v="6-15"/>
    <n v="2"/>
    <n v="1"/>
    <n v="5"/>
    <n v="4"/>
    <n v="1"/>
    <n v="4"/>
  </r>
  <r>
    <n v="29"/>
    <x v="0"/>
    <s v="Yes"/>
    <s v="Travel_Rarely"/>
    <n v="408"/>
    <x v="0"/>
    <n v="23"/>
    <n v="1"/>
    <s v="Life Sciences"/>
    <n v="1"/>
    <n v="1165"/>
    <n v="4"/>
    <s v="Female"/>
    <n v="45"/>
    <n v="2"/>
    <x v="2"/>
    <x v="0"/>
    <n v="1"/>
    <s v="Married"/>
    <n v="7336"/>
    <n v="11162"/>
    <n v="1"/>
    <s v="Y"/>
    <s v="No"/>
    <s v="No"/>
    <n v="13"/>
    <n v="3"/>
    <n v="1"/>
    <n v="80"/>
    <n v="1"/>
    <n v="11"/>
    <s v="6-15"/>
    <n v="3"/>
    <n v="1"/>
    <n v="11"/>
    <n v="8"/>
    <n v="3"/>
    <n v="10"/>
  </r>
  <r>
    <n v="40"/>
    <x v="1"/>
    <s v="No"/>
    <s v="Travel_Frequently"/>
    <n v="593"/>
    <x v="1"/>
    <n v="9"/>
    <n v="4"/>
    <s v="Medical"/>
    <n v="1"/>
    <n v="1166"/>
    <n v="2"/>
    <s v="Female"/>
    <n v="88"/>
    <n v="3"/>
    <x v="2"/>
    <x v="7"/>
    <n v="3"/>
    <s v="Single"/>
    <n v="13499"/>
    <n v="13782"/>
    <n v="9"/>
    <s v="Y"/>
    <s v="No"/>
    <s v="No"/>
    <n v="17"/>
    <n v="3"/>
    <n v="3"/>
    <n v="80"/>
    <n v="0"/>
    <n v="20"/>
    <s v="&gt;15"/>
    <n v="3"/>
    <n v="2"/>
    <n v="18"/>
    <n v="7"/>
    <n v="2"/>
    <n v="13"/>
  </r>
  <r>
    <n v="42"/>
    <x v="0"/>
    <s v="Yes"/>
    <s v="Travel_Frequently"/>
    <n v="481"/>
    <x v="0"/>
    <n v="12"/>
    <n v="3"/>
    <s v="Life Sciences"/>
    <n v="1"/>
    <n v="1167"/>
    <n v="3"/>
    <s v="Male"/>
    <n v="44"/>
    <n v="3"/>
    <x v="3"/>
    <x v="0"/>
    <n v="1"/>
    <s v="Single"/>
    <n v="13758"/>
    <n v="2447"/>
    <n v="0"/>
    <s v="Y"/>
    <s v="Yes"/>
    <s v="Yes"/>
    <n v="12"/>
    <n v="3"/>
    <n v="2"/>
    <n v="80"/>
    <n v="0"/>
    <n v="22"/>
    <s v="&gt;15"/>
    <n v="2"/>
    <n v="2"/>
    <n v="21"/>
    <n v="9"/>
    <n v="13"/>
    <n v="14"/>
  </r>
  <r>
    <n v="42"/>
    <x v="1"/>
    <s v="No"/>
    <s v="Travel_Rarely"/>
    <n v="647"/>
    <x v="0"/>
    <n v="4"/>
    <n v="4"/>
    <s v="Marketing"/>
    <n v="1"/>
    <n v="1171"/>
    <n v="2"/>
    <s v="Male"/>
    <n v="45"/>
    <n v="3"/>
    <x v="0"/>
    <x v="0"/>
    <n v="1"/>
    <s v="Single"/>
    <n v="5155"/>
    <n v="2253"/>
    <n v="7"/>
    <s v="Y"/>
    <s v="No"/>
    <s v="No"/>
    <n v="13"/>
    <n v="3"/>
    <n v="4"/>
    <n v="80"/>
    <n v="0"/>
    <n v="9"/>
    <s v="6-15"/>
    <n v="3"/>
    <n v="4"/>
    <n v="6"/>
    <n v="4"/>
    <n v="1"/>
    <n v="5"/>
  </r>
  <r>
    <n v="35"/>
    <x v="1"/>
    <s v="No"/>
    <s v="Travel_Rarely"/>
    <n v="982"/>
    <x v="1"/>
    <n v="1"/>
    <n v="4"/>
    <s v="Medical"/>
    <n v="1"/>
    <n v="1172"/>
    <n v="4"/>
    <s v="Male"/>
    <n v="58"/>
    <n v="2"/>
    <x v="1"/>
    <x v="2"/>
    <n v="3"/>
    <s v="Married"/>
    <n v="2258"/>
    <n v="16340"/>
    <n v="6"/>
    <s v="Y"/>
    <s v="No"/>
    <s v="No"/>
    <n v="12"/>
    <n v="3"/>
    <n v="2"/>
    <n v="80"/>
    <n v="1"/>
    <n v="10"/>
    <s v="6-15"/>
    <n v="2"/>
    <n v="3"/>
    <n v="8"/>
    <n v="0"/>
    <n v="1"/>
    <n v="7"/>
  </r>
  <r>
    <n v="24"/>
    <x v="1"/>
    <s v="No"/>
    <s v="Travel_Rarely"/>
    <n v="477"/>
    <x v="1"/>
    <n v="24"/>
    <n v="3"/>
    <s v="Medical"/>
    <n v="1"/>
    <n v="1173"/>
    <n v="4"/>
    <s v="Male"/>
    <n v="49"/>
    <n v="3"/>
    <x v="1"/>
    <x v="2"/>
    <n v="2"/>
    <s v="Single"/>
    <n v="3597"/>
    <n v="6409"/>
    <n v="8"/>
    <s v="Y"/>
    <s v="No"/>
    <s v="No"/>
    <n v="22"/>
    <n v="4"/>
    <n v="4"/>
    <n v="80"/>
    <n v="0"/>
    <n v="6"/>
    <s v="6-15"/>
    <n v="2"/>
    <n v="3"/>
    <n v="4"/>
    <n v="3"/>
    <n v="1"/>
    <n v="2"/>
  </r>
  <r>
    <n v="28"/>
    <x v="0"/>
    <s v="Yes"/>
    <s v="Travel_Rarely"/>
    <n v="1485"/>
    <x v="1"/>
    <n v="12"/>
    <n v="1"/>
    <s v="Life Sciences"/>
    <n v="1"/>
    <n v="1175"/>
    <n v="3"/>
    <s v="Female"/>
    <n v="79"/>
    <n v="3"/>
    <x v="1"/>
    <x v="2"/>
    <n v="4"/>
    <s v="Married"/>
    <n v="2515"/>
    <n v="22955"/>
    <n v="1"/>
    <s v="Y"/>
    <s v="Yes"/>
    <s v="Yes"/>
    <n v="11"/>
    <n v="3"/>
    <n v="4"/>
    <n v="80"/>
    <n v="0"/>
    <n v="1"/>
    <s v="0-5"/>
    <n v="4"/>
    <n v="2"/>
    <n v="1"/>
    <n v="1"/>
    <n v="0"/>
    <n v="0"/>
  </r>
  <r>
    <n v="26"/>
    <x v="1"/>
    <s v="No"/>
    <s v="Travel_Rarely"/>
    <n v="1384"/>
    <x v="1"/>
    <n v="3"/>
    <n v="4"/>
    <s v="Medical"/>
    <n v="1"/>
    <n v="1177"/>
    <n v="1"/>
    <s v="Male"/>
    <n v="82"/>
    <n v="4"/>
    <x v="1"/>
    <x v="2"/>
    <n v="4"/>
    <s v="Married"/>
    <n v="4420"/>
    <n v="13421"/>
    <n v="1"/>
    <s v="Y"/>
    <s v="No"/>
    <s v="No"/>
    <n v="22"/>
    <n v="4"/>
    <n v="2"/>
    <n v="80"/>
    <n v="1"/>
    <n v="8"/>
    <s v="6-15"/>
    <n v="2"/>
    <n v="3"/>
    <n v="8"/>
    <n v="7"/>
    <n v="0"/>
    <n v="7"/>
  </r>
  <r>
    <n v="30"/>
    <x v="1"/>
    <s v="No"/>
    <s v="Travel_Rarely"/>
    <n v="852"/>
    <x v="0"/>
    <n v="10"/>
    <n v="3"/>
    <s v="Marketing"/>
    <n v="1"/>
    <n v="1179"/>
    <n v="3"/>
    <s v="Male"/>
    <n v="72"/>
    <n v="2"/>
    <x v="0"/>
    <x v="0"/>
    <n v="3"/>
    <s v="Married"/>
    <n v="6578"/>
    <n v="2706"/>
    <n v="1"/>
    <s v="Y"/>
    <s v="No"/>
    <s v="No"/>
    <n v="18"/>
    <n v="3"/>
    <n v="1"/>
    <n v="80"/>
    <n v="1"/>
    <n v="10"/>
    <s v="6-15"/>
    <n v="3"/>
    <n v="3"/>
    <n v="10"/>
    <n v="3"/>
    <n v="1"/>
    <n v="4"/>
  </r>
  <r>
    <n v="40"/>
    <x v="1"/>
    <s v="No"/>
    <s v="Travel_Frequently"/>
    <n v="902"/>
    <x v="1"/>
    <n v="26"/>
    <n v="2"/>
    <s v="Medical"/>
    <n v="1"/>
    <n v="1180"/>
    <n v="3"/>
    <s v="Female"/>
    <n v="92"/>
    <n v="2"/>
    <x v="0"/>
    <x v="1"/>
    <n v="4"/>
    <s v="Married"/>
    <n v="4422"/>
    <n v="21203"/>
    <n v="3"/>
    <s v="Y"/>
    <s v="Yes"/>
    <s v="Yes"/>
    <n v="13"/>
    <n v="3"/>
    <n v="4"/>
    <n v="80"/>
    <n v="1"/>
    <n v="16"/>
    <s v="&gt;15"/>
    <n v="3"/>
    <n v="1"/>
    <n v="1"/>
    <n v="1"/>
    <n v="0"/>
    <n v="0"/>
  </r>
  <r>
    <n v="35"/>
    <x v="1"/>
    <s v="No"/>
    <s v="Travel_Rarely"/>
    <n v="819"/>
    <x v="1"/>
    <n v="2"/>
    <n v="3"/>
    <s v="Life Sciences"/>
    <n v="1"/>
    <n v="1182"/>
    <n v="3"/>
    <s v="Male"/>
    <n v="44"/>
    <n v="2"/>
    <x v="2"/>
    <x v="3"/>
    <n v="2"/>
    <s v="Divorced"/>
    <n v="10274"/>
    <n v="19588"/>
    <n v="2"/>
    <s v="Y"/>
    <s v="No"/>
    <s v="No"/>
    <n v="18"/>
    <n v="3"/>
    <n v="2"/>
    <n v="80"/>
    <n v="1"/>
    <n v="15"/>
    <s v="6-15"/>
    <n v="2"/>
    <n v="4"/>
    <n v="7"/>
    <n v="7"/>
    <n v="6"/>
    <n v="4"/>
  </r>
  <r>
    <n v="34"/>
    <x v="1"/>
    <s v="No"/>
    <s v="Travel_Frequently"/>
    <n v="669"/>
    <x v="1"/>
    <n v="1"/>
    <n v="3"/>
    <s v="Medical"/>
    <n v="1"/>
    <n v="1184"/>
    <n v="4"/>
    <s v="Male"/>
    <n v="97"/>
    <n v="2"/>
    <x v="0"/>
    <x v="4"/>
    <n v="1"/>
    <s v="Single"/>
    <n v="5343"/>
    <n v="25755"/>
    <n v="0"/>
    <s v="Y"/>
    <s v="No"/>
    <s v="No"/>
    <n v="20"/>
    <n v="4"/>
    <n v="3"/>
    <n v="80"/>
    <n v="0"/>
    <n v="14"/>
    <s v="6-15"/>
    <n v="3"/>
    <n v="3"/>
    <n v="13"/>
    <n v="9"/>
    <n v="4"/>
    <n v="9"/>
  </r>
  <r>
    <n v="35"/>
    <x v="1"/>
    <s v="No"/>
    <s v="Travel_Frequently"/>
    <n v="636"/>
    <x v="1"/>
    <n v="4"/>
    <n v="4"/>
    <s v="Other"/>
    <n v="1"/>
    <n v="1185"/>
    <n v="4"/>
    <s v="Male"/>
    <n v="47"/>
    <n v="2"/>
    <x v="1"/>
    <x v="2"/>
    <n v="4"/>
    <s v="Married"/>
    <n v="2376"/>
    <n v="26537"/>
    <n v="1"/>
    <s v="Y"/>
    <s v="No"/>
    <s v="No"/>
    <n v="13"/>
    <n v="3"/>
    <n v="2"/>
    <n v="80"/>
    <n v="1"/>
    <n v="2"/>
    <s v="0-5"/>
    <n v="2"/>
    <n v="4"/>
    <n v="2"/>
    <n v="2"/>
    <n v="2"/>
    <n v="2"/>
  </r>
  <r>
    <n v="43"/>
    <x v="0"/>
    <s v="Yes"/>
    <s v="Travel_Rarely"/>
    <n v="1372"/>
    <x v="0"/>
    <n v="9"/>
    <n v="3"/>
    <s v="Marketing"/>
    <n v="1"/>
    <n v="1188"/>
    <n v="1"/>
    <s v="Female"/>
    <n v="85"/>
    <n v="1"/>
    <x v="0"/>
    <x v="0"/>
    <n v="3"/>
    <s v="Single"/>
    <n v="5346"/>
    <n v="9489"/>
    <n v="8"/>
    <s v="Y"/>
    <s v="No"/>
    <s v="No"/>
    <n v="13"/>
    <n v="3"/>
    <n v="2"/>
    <n v="80"/>
    <n v="0"/>
    <n v="7"/>
    <s v="6-15"/>
    <n v="2"/>
    <n v="2"/>
    <n v="4"/>
    <n v="3"/>
    <n v="1"/>
    <n v="3"/>
  </r>
  <r>
    <n v="32"/>
    <x v="1"/>
    <s v="No"/>
    <s v="Non-Travel"/>
    <n v="862"/>
    <x v="0"/>
    <n v="2"/>
    <n v="1"/>
    <s v="Life Sciences"/>
    <n v="1"/>
    <n v="1190"/>
    <n v="3"/>
    <s v="Female"/>
    <n v="76"/>
    <n v="3"/>
    <x v="1"/>
    <x v="6"/>
    <n v="1"/>
    <s v="Divorced"/>
    <n v="2827"/>
    <n v="14947"/>
    <n v="1"/>
    <s v="Y"/>
    <s v="No"/>
    <s v="No"/>
    <n v="12"/>
    <n v="3"/>
    <n v="3"/>
    <n v="80"/>
    <n v="3"/>
    <n v="1"/>
    <s v="0-5"/>
    <n v="3"/>
    <n v="3"/>
    <n v="1"/>
    <n v="0"/>
    <n v="0"/>
    <n v="0"/>
  </r>
  <r>
    <n v="56"/>
    <x v="1"/>
    <s v="No"/>
    <s v="Travel_Rarely"/>
    <n v="718"/>
    <x v="1"/>
    <n v="4"/>
    <n v="4"/>
    <s v="Technical Degree"/>
    <n v="1"/>
    <n v="1191"/>
    <n v="4"/>
    <s v="Female"/>
    <n v="92"/>
    <n v="3"/>
    <x v="4"/>
    <x v="5"/>
    <n v="1"/>
    <s v="Divorced"/>
    <n v="19943"/>
    <n v="18575"/>
    <n v="4"/>
    <s v="Y"/>
    <s v="No"/>
    <s v="No"/>
    <n v="13"/>
    <n v="3"/>
    <n v="4"/>
    <n v="80"/>
    <n v="1"/>
    <n v="28"/>
    <s v="&gt;15"/>
    <n v="2"/>
    <n v="3"/>
    <n v="5"/>
    <n v="2"/>
    <n v="4"/>
    <n v="2"/>
  </r>
  <r>
    <n v="29"/>
    <x v="1"/>
    <s v="No"/>
    <s v="Travel_Rarely"/>
    <n v="1401"/>
    <x v="1"/>
    <n v="6"/>
    <n v="1"/>
    <s v="Medical"/>
    <n v="1"/>
    <n v="1192"/>
    <n v="2"/>
    <s v="Female"/>
    <n v="54"/>
    <n v="3"/>
    <x v="1"/>
    <x v="2"/>
    <n v="4"/>
    <s v="Married"/>
    <n v="3131"/>
    <n v="26342"/>
    <n v="1"/>
    <s v="Y"/>
    <s v="No"/>
    <s v="No"/>
    <n v="13"/>
    <n v="3"/>
    <n v="1"/>
    <n v="80"/>
    <n v="1"/>
    <n v="10"/>
    <s v="6-15"/>
    <n v="5"/>
    <n v="3"/>
    <n v="10"/>
    <n v="8"/>
    <n v="0"/>
    <n v="8"/>
  </r>
  <r>
    <n v="19"/>
    <x v="1"/>
    <s v="No"/>
    <s v="Travel_Rarely"/>
    <n v="645"/>
    <x v="1"/>
    <n v="9"/>
    <n v="2"/>
    <s v="Life Sciences"/>
    <n v="1"/>
    <n v="1193"/>
    <n v="3"/>
    <s v="Male"/>
    <n v="54"/>
    <n v="3"/>
    <x v="1"/>
    <x v="1"/>
    <n v="1"/>
    <s v="Single"/>
    <n v="2552"/>
    <n v="7172"/>
    <n v="1"/>
    <s v="Y"/>
    <s v="No"/>
    <s v="No"/>
    <n v="25"/>
    <n v="4"/>
    <n v="3"/>
    <n v="80"/>
    <n v="0"/>
    <n v="1"/>
    <s v="0-5"/>
    <n v="4"/>
    <n v="3"/>
    <n v="1"/>
    <n v="1"/>
    <n v="0"/>
    <n v="0"/>
  </r>
  <r>
    <n v="45"/>
    <x v="1"/>
    <s v="No"/>
    <s v="Travel_Rarely"/>
    <n v="1457"/>
    <x v="1"/>
    <n v="7"/>
    <n v="3"/>
    <s v="Medical"/>
    <n v="1"/>
    <n v="1195"/>
    <n v="1"/>
    <s v="Female"/>
    <n v="83"/>
    <n v="3"/>
    <x v="1"/>
    <x v="1"/>
    <n v="3"/>
    <s v="Married"/>
    <n v="4477"/>
    <n v="20100"/>
    <n v="4"/>
    <s v="Y"/>
    <s v="Yes"/>
    <s v="Yes"/>
    <n v="19"/>
    <n v="3"/>
    <n v="3"/>
    <n v="80"/>
    <n v="1"/>
    <n v="7"/>
    <s v="6-15"/>
    <n v="2"/>
    <n v="2"/>
    <n v="3"/>
    <n v="2"/>
    <n v="0"/>
    <n v="2"/>
  </r>
  <r>
    <n v="37"/>
    <x v="1"/>
    <s v="No"/>
    <s v="Travel_Rarely"/>
    <n v="977"/>
    <x v="1"/>
    <n v="1"/>
    <n v="3"/>
    <s v="Life Sciences"/>
    <n v="1"/>
    <n v="1196"/>
    <n v="4"/>
    <s v="Female"/>
    <n v="56"/>
    <n v="2"/>
    <x v="0"/>
    <x v="3"/>
    <n v="4"/>
    <s v="Married"/>
    <n v="6474"/>
    <n v="9961"/>
    <n v="1"/>
    <s v="Y"/>
    <s v="No"/>
    <s v="No"/>
    <n v="13"/>
    <n v="3"/>
    <n v="2"/>
    <n v="80"/>
    <n v="1"/>
    <n v="14"/>
    <s v="6-15"/>
    <n v="2"/>
    <n v="2"/>
    <n v="14"/>
    <n v="8"/>
    <n v="3"/>
    <n v="11"/>
  </r>
  <r>
    <n v="20"/>
    <x v="1"/>
    <s v="No"/>
    <s v="Travel_Rarely"/>
    <n v="805"/>
    <x v="1"/>
    <n v="3"/>
    <n v="3"/>
    <s v="Life Sciences"/>
    <n v="1"/>
    <n v="1198"/>
    <n v="1"/>
    <s v="Male"/>
    <n v="87"/>
    <n v="2"/>
    <x v="1"/>
    <x v="2"/>
    <n v="3"/>
    <s v="Single"/>
    <n v="3033"/>
    <n v="12828"/>
    <n v="1"/>
    <s v="Y"/>
    <s v="No"/>
    <s v="No"/>
    <n v="12"/>
    <n v="3"/>
    <n v="1"/>
    <n v="80"/>
    <n v="0"/>
    <n v="2"/>
    <s v="0-5"/>
    <n v="2"/>
    <n v="2"/>
    <n v="2"/>
    <n v="2"/>
    <n v="1"/>
    <n v="2"/>
  </r>
  <r>
    <n v="44"/>
    <x v="0"/>
    <s v="Yes"/>
    <s v="Travel_Rarely"/>
    <n v="1097"/>
    <x v="1"/>
    <n v="10"/>
    <n v="4"/>
    <s v="Life Sciences"/>
    <n v="1"/>
    <n v="1200"/>
    <n v="3"/>
    <s v="Male"/>
    <n v="96"/>
    <n v="3"/>
    <x v="1"/>
    <x v="1"/>
    <n v="3"/>
    <s v="Single"/>
    <n v="2936"/>
    <n v="10826"/>
    <n v="1"/>
    <s v="Y"/>
    <s v="Yes"/>
    <s v="Yes"/>
    <n v="11"/>
    <n v="3"/>
    <n v="3"/>
    <n v="80"/>
    <n v="0"/>
    <n v="6"/>
    <s v="6-15"/>
    <n v="4"/>
    <n v="3"/>
    <n v="6"/>
    <n v="4"/>
    <n v="0"/>
    <n v="2"/>
  </r>
  <r>
    <n v="53"/>
    <x v="1"/>
    <s v="No"/>
    <s v="Travel_Rarely"/>
    <n v="1223"/>
    <x v="1"/>
    <n v="7"/>
    <n v="2"/>
    <s v="Medical"/>
    <n v="1"/>
    <n v="1201"/>
    <n v="4"/>
    <s v="Female"/>
    <n v="50"/>
    <n v="3"/>
    <x v="4"/>
    <x v="5"/>
    <n v="3"/>
    <s v="Divorced"/>
    <n v="18606"/>
    <n v="18640"/>
    <n v="3"/>
    <s v="Y"/>
    <s v="No"/>
    <s v="No"/>
    <n v="18"/>
    <n v="3"/>
    <n v="2"/>
    <n v="80"/>
    <n v="1"/>
    <n v="26"/>
    <s v="&gt;15"/>
    <n v="6"/>
    <n v="3"/>
    <n v="7"/>
    <n v="7"/>
    <n v="4"/>
    <n v="7"/>
  </r>
  <r>
    <n v="29"/>
    <x v="1"/>
    <s v="No"/>
    <s v="Travel_Rarely"/>
    <n v="942"/>
    <x v="1"/>
    <n v="15"/>
    <n v="1"/>
    <s v="Life Sciences"/>
    <n v="1"/>
    <n v="1202"/>
    <n v="2"/>
    <s v="Female"/>
    <n v="69"/>
    <n v="1"/>
    <x v="1"/>
    <x v="1"/>
    <n v="4"/>
    <s v="Married"/>
    <n v="2168"/>
    <n v="26933"/>
    <n v="0"/>
    <s v="Y"/>
    <s v="Yes"/>
    <s v="Yes"/>
    <n v="18"/>
    <n v="3"/>
    <n v="1"/>
    <n v="80"/>
    <n v="1"/>
    <n v="6"/>
    <s v="6-15"/>
    <n v="2"/>
    <n v="2"/>
    <n v="5"/>
    <n v="4"/>
    <n v="1"/>
    <n v="3"/>
  </r>
  <r>
    <n v="22"/>
    <x v="0"/>
    <s v="Yes"/>
    <s v="Travel_Frequently"/>
    <n v="1256"/>
    <x v="1"/>
    <n v="3"/>
    <n v="4"/>
    <s v="Life Sciences"/>
    <n v="1"/>
    <n v="1203"/>
    <n v="3"/>
    <s v="Male"/>
    <n v="48"/>
    <n v="2"/>
    <x v="1"/>
    <x v="1"/>
    <n v="4"/>
    <s v="Married"/>
    <n v="2853"/>
    <n v="4223"/>
    <n v="0"/>
    <s v="Y"/>
    <s v="Yes"/>
    <s v="Yes"/>
    <n v="11"/>
    <n v="3"/>
    <n v="2"/>
    <n v="80"/>
    <n v="1"/>
    <n v="1"/>
    <s v="0-5"/>
    <n v="5"/>
    <n v="3"/>
    <n v="0"/>
    <n v="0"/>
    <n v="0"/>
    <n v="0"/>
  </r>
  <r>
    <n v="46"/>
    <x v="1"/>
    <s v="No"/>
    <s v="Travel_Rarely"/>
    <n v="1402"/>
    <x v="0"/>
    <n v="2"/>
    <n v="3"/>
    <s v="Marketing"/>
    <n v="1"/>
    <n v="1204"/>
    <n v="3"/>
    <s v="Female"/>
    <n v="69"/>
    <n v="3"/>
    <x v="3"/>
    <x v="5"/>
    <n v="1"/>
    <s v="Married"/>
    <n v="17048"/>
    <n v="24097"/>
    <n v="8"/>
    <s v="Y"/>
    <s v="No"/>
    <s v="No"/>
    <n v="23"/>
    <n v="4"/>
    <n v="1"/>
    <n v="80"/>
    <n v="0"/>
    <n v="28"/>
    <s v="&gt;15"/>
    <n v="2"/>
    <n v="3"/>
    <n v="26"/>
    <n v="15"/>
    <n v="15"/>
    <n v="9"/>
  </r>
  <r>
    <n v="44"/>
    <x v="1"/>
    <s v="No"/>
    <s v="Non-Travel"/>
    <n v="111"/>
    <x v="1"/>
    <n v="17"/>
    <n v="3"/>
    <s v="Life Sciences"/>
    <n v="1"/>
    <n v="1206"/>
    <n v="4"/>
    <s v="Male"/>
    <n v="74"/>
    <n v="1"/>
    <x v="1"/>
    <x v="1"/>
    <n v="3"/>
    <s v="Single"/>
    <n v="2290"/>
    <n v="4279"/>
    <n v="2"/>
    <s v="Y"/>
    <s v="No"/>
    <s v="No"/>
    <n v="13"/>
    <n v="3"/>
    <n v="4"/>
    <n v="80"/>
    <n v="0"/>
    <n v="6"/>
    <s v="6-15"/>
    <n v="3"/>
    <n v="3"/>
    <n v="0"/>
    <n v="0"/>
    <n v="0"/>
    <n v="0"/>
  </r>
  <r>
    <n v="33"/>
    <x v="1"/>
    <s v="No"/>
    <s v="Travel_Rarely"/>
    <n v="147"/>
    <x v="2"/>
    <n v="2"/>
    <n v="3"/>
    <s v="Human Resources"/>
    <n v="1"/>
    <n v="1207"/>
    <n v="2"/>
    <s v="Male"/>
    <n v="99"/>
    <n v="3"/>
    <x v="1"/>
    <x v="8"/>
    <n v="3"/>
    <s v="Married"/>
    <n v="3600"/>
    <n v="8429"/>
    <n v="1"/>
    <s v="Y"/>
    <s v="No"/>
    <s v="No"/>
    <n v="13"/>
    <n v="3"/>
    <n v="4"/>
    <n v="80"/>
    <n v="1"/>
    <n v="5"/>
    <s v="0-5"/>
    <n v="2"/>
    <n v="3"/>
    <n v="5"/>
    <n v="4"/>
    <n v="1"/>
    <n v="4"/>
  </r>
  <r>
    <n v="41"/>
    <x v="0"/>
    <s v="Yes"/>
    <s v="Non-Travel"/>
    <n v="906"/>
    <x v="1"/>
    <n v="5"/>
    <n v="2"/>
    <s v="Life Sciences"/>
    <n v="1"/>
    <n v="1210"/>
    <n v="1"/>
    <s v="Male"/>
    <n v="95"/>
    <n v="2"/>
    <x v="1"/>
    <x v="1"/>
    <n v="1"/>
    <s v="Divorced"/>
    <n v="2107"/>
    <n v="20293"/>
    <n v="6"/>
    <s v="Y"/>
    <s v="No"/>
    <s v="No"/>
    <n v="17"/>
    <n v="3"/>
    <n v="1"/>
    <n v="80"/>
    <n v="1"/>
    <n v="5"/>
    <s v="0-5"/>
    <n v="2"/>
    <n v="1"/>
    <n v="1"/>
    <n v="0"/>
    <n v="0"/>
    <n v="0"/>
  </r>
  <r>
    <n v="30"/>
    <x v="1"/>
    <s v="No"/>
    <s v="Travel_Rarely"/>
    <n v="1329"/>
    <x v="0"/>
    <n v="29"/>
    <n v="4"/>
    <s v="Life Sciences"/>
    <n v="1"/>
    <n v="1211"/>
    <n v="3"/>
    <s v="Male"/>
    <n v="61"/>
    <n v="3"/>
    <x v="0"/>
    <x v="0"/>
    <n v="1"/>
    <s v="Divorced"/>
    <n v="4115"/>
    <n v="13192"/>
    <n v="8"/>
    <s v="Y"/>
    <s v="No"/>
    <s v="No"/>
    <n v="19"/>
    <n v="3"/>
    <n v="3"/>
    <n v="80"/>
    <n v="3"/>
    <n v="8"/>
    <s v="6-15"/>
    <n v="3"/>
    <n v="3"/>
    <n v="4"/>
    <n v="3"/>
    <n v="0"/>
    <n v="3"/>
  </r>
  <r>
    <n v="40"/>
    <x v="1"/>
    <s v="No"/>
    <s v="Travel_Frequently"/>
    <n v="1184"/>
    <x v="0"/>
    <n v="2"/>
    <n v="4"/>
    <s v="Medical"/>
    <n v="1"/>
    <n v="1212"/>
    <n v="2"/>
    <s v="Male"/>
    <n v="62"/>
    <n v="3"/>
    <x v="0"/>
    <x v="0"/>
    <n v="2"/>
    <s v="Married"/>
    <n v="4327"/>
    <n v="25440"/>
    <n v="5"/>
    <s v="Y"/>
    <s v="No"/>
    <s v="No"/>
    <n v="12"/>
    <n v="3"/>
    <n v="4"/>
    <n v="80"/>
    <n v="3"/>
    <n v="5"/>
    <s v="0-5"/>
    <n v="2"/>
    <n v="3"/>
    <n v="0"/>
    <n v="0"/>
    <n v="0"/>
    <n v="0"/>
  </r>
  <r>
    <n v="50"/>
    <x v="1"/>
    <s v="No"/>
    <s v="Travel_Frequently"/>
    <n v="1421"/>
    <x v="1"/>
    <n v="2"/>
    <n v="3"/>
    <s v="Medical"/>
    <n v="1"/>
    <n v="1215"/>
    <n v="4"/>
    <s v="Female"/>
    <n v="30"/>
    <n v="3"/>
    <x v="3"/>
    <x v="5"/>
    <n v="1"/>
    <s v="Married"/>
    <n v="17856"/>
    <n v="9490"/>
    <n v="2"/>
    <s v="Y"/>
    <s v="No"/>
    <s v="No"/>
    <n v="22"/>
    <n v="4"/>
    <n v="3"/>
    <n v="80"/>
    <n v="1"/>
    <n v="32"/>
    <s v="&gt;15"/>
    <n v="3"/>
    <n v="3"/>
    <n v="2"/>
    <n v="2"/>
    <n v="2"/>
    <n v="2"/>
  </r>
  <r>
    <n v="28"/>
    <x v="1"/>
    <s v="No"/>
    <s v="Travel_Rarely"/>
    <n v="1179"/>
    <x v="1"/>
    <n v="19"/>
    <n v="4"/>
    <s v="Medical"/>
    <n v="1"/>
    <n v="1216"/>
    <n v="4"/>
    <s v="Male"/>
    <n v="78"/>
    <n v="2"/>
    <x v="1"/>
    <x v="2"/>
    <n v="1"/>
    <s v="Married"/>
    <n v="3196"/>
    <n v="12449"/>
    <n v="1"/>
    <s v="Y"/>
    <s v="No"/>
    <s v="No"/>
    <n v="12"/>
    <n v="3"/>
    <n v="3"/>
    <n v="80"/>
    <n v="3"/>
    <n v="6"/>
    <s v="6-15"/>
    <n v="2"/>
    <n v="3"/>
    <n v="6"/>
    <n v="5"/>
    <n v="3"/>
    <n v="3"/>
  </r>
  <r>
    <n v="46"/>
    <x v="1"/>
    <s v="No"/>
    <s v="Travel_Rarely"/>
    <n v="1450"/>
    <x v="1"/>
    <n v="15"/>
    <n v="2"/>
    <s v="Life Sciences"/>
    <n v="1"/>
    <n v="1217"/>
    <n v="4"/>
    <s v="Male"/>
    <n v="52"/>
    <n v="3"/>
    <x v="4"/>
    <x v="7"/>
    <n v="2"/>
    <s v="Married"/>
    <n v="19081"/>
    <n v="10849"/>
    <n v="5"/>
    <s v="Y"/>
    <s v="No"/>
    <s v="No"/>
    <n v="11"/>
    <n v="3"/>
    <n v="1"/>
    <n v="80"/>
    <n v="1"/>
    <n v="25"/>
    <s v="&gt;15"/>
    <n v="2"/>
    <n v="3"/>
    <n v="4"/>
    <n v="2"/>
    <n v="0"/>
    <n v="3"/>
  </r>
  <r>
    <n v="35"/>
    <x v="1"/>
    <s v="No"/>
    <s v="Travel_Rarely"/>
    <n v="1361"/>
    <x v="0"/>
    <n v="17"/>
    <n v="4"/>
    <s v="Life Sciences"/>
    <n v="1"/>
    <n v="1218"/>
    <n v="3"/>
    <s v="Male"/>
    <n v="94"/>
    <n v="3"/>
    <x v="0"/>
    <x v="0"/>
    <n v="1"/>
    <s v="Married"/>
    <n v="8966"/>
    <n v="21026"/>
    <n v="3"/>
    <s v="Y"/>
    <s v="Yes"/>
    <s v="Yes"/>
    <n v="15"/>
    <n v="3"/>
    <n v="4"/>
    <n v="80"/>
    <n v="3"/>
    <n v="15"/>
    <s v="6-15"/>
    <n v="2"/>
    <n v="3"/>
    <n v="7"/>
    <n v="7"/>
    <n v="1"/>
    <n v="7"/>
  </r>
  <r>
    <n v="24"/>
    <x v="0"/>
    <s v="Yes"/>
    <s v="Travel_Rarely"/>
    <n v="984"/>
    <x v="1"/>
    <n v="17"/>
    <n v="2"/>
    <s v="Life Sciences"/>
    <n v="1"/>
    <n v="1219"/>
    <n v="4"/>
    <s v="Female"/>
    <n v="97"/>
    <n v="3"/>
    <x v="1"/>
    <x v="2"/>
    <n v="2"/>
    <s v="Married"/>
    <n v="2210"/>
    <n v="3372"/>
    <n v="1"/>
    <s v="Y"/>
    <s v="No"/>
    <s v="No"/>
    <n v="13"/>
    <n v="3"/>
    <n v="1"/>
    <n v="80"/>
    <n v="1"/>
    <n v="1"/>
    <s v="0-5"/>
    <n v="3"/>
    <n v="1"/>
    <n v="1"/>
    <n v="0"/>
    <n v="0"/>
    <n v="0"/>
  </r>
  <r>
    <n v="33"/>
    <x v="1"/>
    <s v="No"/>
    <s v="Travel_Frequently"/>
    <n v="1146"/>
    <x v="0"/>
    <n v="25"/>
    <n v="3"/>
    <s v="Medical"/>
    <n v="1"/>
    <n v="1220"/>
    <n v="2"/>
    <s v="Female"/>
    <n v="82"/>
    <n v="3"/>
    <x v="0"/>
    <x v="0"/>
    <n v="3"/>
    <s v="Married"/>
    <n v="4539"/>
    <n v="4905"/>
    <n v="1"/>
    <s v="Y"/>
    <s v="No"/>
    <s v="No"/>
    <n v="12"/>
    <n v="3"/>
    <n v="1"/>
    <n v="80"/>
    <n v="1"/>
    <n v="10"/>
    <s v="6-15"/>
    <n v="3"/>
    <n v="2"/>
    <n v="10"/>
    <n v="7"/>
    <n v="0"/>
    <n v="1"/>
  </r>
  <r>
    <n v="36"/>
    <x v="1"/>
    <s v="No"/>
    <s v="Travel_Rarely"/>
    <n v="917"/>
    <x v="1"/>
    <n v="6"/>
    <n v="4"/>
    <s v="Life Sciences"/>
    <n v="1"/>
    <n v="1221"/>
    <n v="3"/>
    <s v="Male"/>
    <n v="60"/>
    <n v="1"/>
    <x v="1"/>
    <x v="2"/>
    <n v="3"/>
    <s v="Divorced"/>
    <n v="2741"/>
    <n v="6865"/>
    <n v="1"/>
    <s v="Y"/>
    <s v="No"/>
    <s v="No"/>
    <n v="14"/>
    <n v="3"/>
    <n v="3"/>
    <n v="80"/>
    <n v="1"/>
    <n v="7"/>
    <s v="6-15"/>
    <n v="4"/>
    <n v="3"/>
    <n v="7"/>
    <n v="7"/>
    <n v="1"/>
    <n v="7"/>
  </r>
  <r>
    <n v="30"/>
    <x v="1"/>
    <s v="No"/>
    <s v="Travel_Rarely"/>
    <n v="853"/>
    <x v="1"/>
    <n v="7"/>
    <n v="4"/>
    <s v="Life Sciences"/>
    <n v="1"/>
    <n v="1224"/>
    <n v="3"/>
    <s v="Male"/>
    <n v="49"/>
    <n v="3"/>
    <x v="0"/>
    <x v="2"/>
    <n v="3"/>
    <s v="Divorced"/>
    <n v="3491"/>
    <n v="11309"/>
    <n v="1"/>
    <s v="Y"/>
    <s v="No"/>
    <s v="No"/>
    <n v="13"/>
    <n v="3"/>
    <n v="1"/>
    <n v="80"/>
    <n v="3"/>
    <n v="10"/>
    <s v="6-15"/>
    <n v="4"/>
    <n v="2"/>
    <n v="10"/>
    <n v="7"/>
    <n v="8"/>
    <n v="9"/>
  </r>
  <r>
    <n v="44"/>
    <x v="1"/>
    <s v="No"/>
    <s v="Travel_Rarely"/>
    <n v="200"/>
    <x v="1"/>
    <n v="29"/>
    <n v="4"/>
    <s v="Other"/>
    <n v="1"/>
    <n v="1225"/>
    <n v="4"/>
    <s v="Male"/>
    <n v="32"/>
    <n v="3"/>
    <x v="0"/>
    <x v="1"/>
    <n v="4"/>
    <s v="Single"/>
    <n v="4541"/>
    <n v="7744"/>
    <n v="1"/>
    <s v="Y"/>
    <s v="No"/>
    <s v="No"/>
    <n v="25"/>
    <n v="4"/>
    <n v="2"/>
    <n v="80"/>
    <n v="0"/>
    <n v="20"/>
    <s v="&gt;15"/>
    <n v="3"/>
    <n v="3"/>
    <n v="20"/>
    <n v="11"/>
    <n v="13"/>
    <n v="17"/>
  </r>
  <r>
    <n v="20"/>
    <x v="1"/>
    <s v="No"/>
    <s v="Travel_Rarely"/>
    <n v="654"/>
    <x v="0"/>
    <n v="21"/>
    <n v="3"/>
    <s v="Marketing"/>
    <n v="1"/>
    <n v="1226"/>
    <n v="3"/>
    <s v="Male"/>
    <n v="43"/>
    <n v="4"/>
    <x v="1"/>
    <x v="6"/>
    <n v="4"/>
    <s v="Single"/>
    <n v="2678"/>
    <n v="5050"/>
    <n v="1"/>
    <s v="Y"/>
    <s v="No"/>
    <s v="No"/>
    <n v="17"/>
    <n v="3"/>
    <n v="4"/>
    <n v="80"/>
    <n v="0"/>
    <n v="2"/>
    <s v="0-5"/>
    <n v="2"/>
    <n v="3"/>
    <n v="2"/>
    <n v="1"/>
    <n v="2"/>
    <n v="2"/>
  </r>
  <r>
    <n v="46"/>
    <x v="1"/>
    <s v="No"/>
    <s v="Travel_Rarely"/>
    <n v="150"/>
    <x v="1"/>
    <n v="2"/>
    <n v="4"/>
    <s v="Technical Degree"/>
    <n v="1"/>
    <n v="1228"/>
    <n v="4"/>
    <s v="Male"/>
    <n v="60"/>
    <n v="3"/>
    <x v="0"/>
    <x v="3"/>
    <n v="4"/>
    <s v="Divorced"/>
    <n v="7379"/>
    <n v="17433"/>
    <n v="2"/>
    <s v="Y"/>
    <s v="No"/>
    <s v="No"/>
    <n v="11"/>
    <n v="3"/>
    <n v="3"/>
    <n v="80"/>
    <n v="1"/>
    <n v="12"/>
    <s v="6-15"/>
    <n v="3"/>
    <n v="2"/>
    <n v="6"/>
    <n v="3"/>
    <n v="1"/>
    <n v="4"/>
  </r>
  <r>
    <n v="42"/>
    <x v="1"/>
    <s v="No"/>
    <s v="Non-Travel"/>
    <n v="179"/>
    <x v="2"/>
    <n v="2"/>
    <n v="5"/>
    <s v="Medical"/>
    <n v="1"/>
    <n v="1231"/>
    <n v="4"/>
    <s v="Male"/>
    <n v="79"/>
    <n v="4"/>
    <x v="0"/>
    <x v="8"/>
    <n v="1"/>
    <s v="Married"/>
    <n v="6272"/>
    <n v="12858"/>
    <n v="7"/>
    <s v="Y"/>
    <s v="No"/>
    <s v="No"/>
    <n v="16"/>
    <n v="3"/>
    <n v="1"/>
    <n v="80"/>
    <n v="1"/>
    <n v="10"/>
    <s v="6-15"/>
    <n v="3"/>
    <n v="4"/>
    <n v="4"/>
    <n v="3"/>
    <n v="0"/>
    <n v="3"/>
  </r>
  <r>
    <n v="60"/>
    <x v="1"/>
    <s v="No"/>
    <s v="Travel_Rarely"/>
    <n v="696"/>
    <x v="0"/>
    <n v="7"/>
    <n v="4"/>
    <s v="Marketing"/>
    <n v="1"/>
    <n v="1233"/>
    <n v="2"/>
    <s v="Male"/>
    <n v="52"/>
    <n v="4"/>
    <x v="0"/>
    <x v="0"/>
    <n v="4"/>
    <s v="Divorced"/>
    <n v="5220"/>
    <n v="10893"/>
    <n v="0"/>
    <s v="Y"/>
    <s v="Yes"/>
    <s v="Yes"/>
    <n v="18"/>
    <n v="3"/>
    <n v="2"/>
    <n v="80"/>
    <n v="1"/>
    <n v="12"/>
    <s v="6-15"/>
    <n v="3"/>
    <n v="3"/>
    <n v="11"/>
    <n v="7"/>
    <n v="1"/>
    <n v="9"/>
  </r>
  <r>
    <n v="32"/>
    <x v="1"/>
    <s v="No"/>
    <s v="Travel_Frequently"/>
    <n v="116"/>
    <x v="1"/>
    <n v="13"/>
    <n v="3"/>
    <s v="Other"/>
    <n v="1"/>
    <n v="1234"/>
    <n v="3"/>
    <s v="Female"/>
    <n v="77"/>
    <n v="2"/>
    <x v="1"/>
    <x v="2"/>
    <n v="2"/>
    <s v="Married"/>
    <n v="2743"/>
    <n v="7331"/>
    <n v="1"/>
    <s v="Y"/>
    <s v="No"/>
    <s v="No"/>
    <n v="20"/>
    <n v="4"/>
    <n v="3"/>
    <n v="80"/>
    <n v="1"/>
    <n v="2"/>
    <s v="0-5"/>
    <n v="2"/>
    <n v="3"/>
    <n v="2"/>
    <n v="2"/>
    <n v="2"/>
    <n v="2"/>
  </r>
  <r>
    <n v="32"/>
    <x v="1"/>
    <s v="No"/>
    <s v="Travel_Frequently"/>
    <n v="1316"/>
    <x v="1"/>
    <n v="2"/>
    <n v="2"/>
    <s v="Life Sciences"/>
    <n v="1"/>
    <n v="1235"/>
    <n v="4"/>
    <s v="Female"/>
    <n v="38"/>
    <n v="3"/>
    <x v="0"/>
    <x v="1"/>
    <n v="3"/>
    <s v="Single"/>
    <n v="4998"/>
    <n v="2338"/>
    <n v="4"/>
    <s v="Y"/>
    <s v="Yes"/>
    <s v="Yes"/>
    <n v="14"/>
    <n v="3"/>
    <n v="4"/>
    <n v="80"/>
    <n v="0"/>
    <n v="10"/>
    <s v="6-15"/>
    <n v="2"/>
    <n v="3"/>
    <n v="8"/>
    <n v="7"/>
    <n v="0"/>
    <n v="7"/>
  </r>
  <r>
    <n v="36"/>
    <x v="1"/>
    <s v="No"/>
    <s v="Travel_Rarely"/>
    <n v="363"/>
    <x v="1"/>
    <n v="1"/>
    <n v="3"/>
    <s v="Technical Degree"/>
    <n v="1"/>
    <n v="1237"/>
    <n v="3"/>
    <s v="Female"/>
    <n v="77"/>
    <n v="1"/>
    <x v="2"/>
    <x v="3"/>
    <n v="1"/>
    <s v="Divorced"/>
    <n v="10252"/>
    <n v="4235"/>
    <n v="2"/>
    <s v="Y"/>
    <s v="Yes"/>
    <s v="Yes"/>
    <n v="21"/>
    <n v="4"/>
    <n v="3"/>
    <n v="80"/>
    <n v="1"/>
    <n v="17"/>
    <s v="&gt;15"/>
    <n v="2"/>
    <n v="3"/>
    <n v="7"/>
    <n v="7"/>
    <n v="7"/>
    <n v="7"/>
  </r>
  <r>
    <n v="33"/>
    <x v="1"/>
    <s v="No"/>
    <s v="Travel_Rarely"/>
    <n v="117"/>
    <x v="1"/>
    <n v="9"/>
    <n v="3"/>
    <s v="Medical"/>
    <n v="1"/>
    <n v="1238"/>
    <n v="1"/>
    <s v="Male"/>
    <n v="60"/>
    <n v="3"/>
    <x v="1"/>
    <x v="1"/>
    <n v="4"/>
    <s v="Married"/>
    <n v="2781"/>
    <n v="6311"/>
    <n v="0"/>
    <s v="Y"/>
    <s v="No"/>
    <s v="No"/>
    <n v="13"/>
    <n v="3"/>
    <n v="2"/>
    <n v="80"/>
    <n v="1"/>
    <n v="15"/>
    <s v="6-15"/>
    <n v="5"/>
    <n v="3"/>
    <n v="14"/>
    <n v="10"/>
    <n v="4"/>
    <n v="10"/>
  </r>
  <r>
    <n v="40"/>
    <x v="1"/>
    <s v="No"/>
    <s v="Travel_Rarely"/>
    <n v="107"/>
    <x v="0"/>
    <n v="10"/>
    <n v="3"/>
    <s v="Technical Degree"/>
    <n v="1"/>
    <n v="1239"/>
    <n v="2"/>
    <s v="Female"/>
    <n v="84"/>
    <n v="2"/>
    <x v="0"/>
    <x v="0"/>
    <n v="2"/>
    <s v="Divorced"/>
    <n v="6852"/>
    <n v="11591"/>
    <n v="7"/>
    <s v="Y"/>
    <s v="No"/>
    <s v="No"/>
    <n v="12"/>
    <n v="3"/>
    <n v="2"/>
    <n v="80"/>
    <n v="1"/>
    <n v="7"/>
    <s v="6-15"/>
    <n v="2"/>
    <n v="4"/>
    <n v="5"/>
    <n v="1"/>
    <n v="1"/>
    <n v="3"/>
  </r>
  <r>
    <n v="25"/>
    <x v="1"/>
    <s v="No"/>
    <s v="Travel_Rarely"/>
    <n v="1356"/>
    <x v="0"/>
    <n v="10"/>
    <n v="4"/>
    <s v="Life Sciences"/>
    <n v="1"/>
    <n v="1240"/>
    <n v="3"/>
    <s v="Male"/>
    <n v="57"/>
    <n v="3"/>
    <x v="0"/>
    <x v="0"/>
    <n v="4"/>
    <s v="Single"/>
    <n v="4950"/>
    <n v="20623"/>
    <n v="0"/>
    <s v="Y"/>
    <s v="No"/>
    <s v="No"/>
    <n v="14"/>
    <n v="3"/>
    <n v="2"/>
    <n v="80"/>
    <n v="0"/>
    <n v="5"/>
    <s v="0-5"/>
    <n v="4"/>
    <n v="3"/>
    <n v="4"/>
    <n v="3"/>
    <n v="1"/>
    <n v="1"/>
  </r>
  <r>
    <n v="30"/>
    <x v="1"/>
    <s v="No"/>
    <s v="Travel_Rarely"/>
    <n v="1465"/>
    <x v="1"/>
    <n v="1"/>
    <n v="3"/>
    <s v="Medical"/>
    <n v="1"/>
    <n v="1241"/>
    <n v="4"/>
    <s v="Male"/>
    <n v="63"/>
    <n v="3"/>
    <x v="1"/>
    <x v="1"/>
    <n v="2"/>
    <s v="Married"/>
    <n v="3579"/>
    <n v="9369"/>
    <n v="0"/>
    <s v="Y"/>
    <s v="Yes"/>
    <s v="Yes"/>
    <n v="21"/>
    <n v="4"/>
    <n v="1"/>
    <n v="80"/>
    <n v="1"/>
    <n v="12"/>
    <s v="6-15"/>
    <n v="2"/>
    <n v="3"/>
    <n v="11"/>
    <n v="9"/>
    <n v="5"/>
    <n v="7"/>
  </r>
  <r>
    <n v="42"/>
    <x v="1"/>
    <s v="No"/>
    <s v="Travel_Frequently"/>
    <n v="458"/>
    <x v="1"/>
    <n v="26"/>
    <n v="5"/>
    <s v="Medical"/>
    <n v="1"/>
    <n v="1242"/>
    <n v="1"/>
    <s v="Female"/>
    <n v="60"/>
    <n v="3"/>
    <x v="2"/>
    <x v="7"/>
    <n v="1"/>
    <s v="Married"/>
    <n v="13191"/>
    <n v="23281"/>
    <n v="3"/>
    <s v="Y"/>
    <s v="Yes"/>
    <s v="Yes"/>
    <n v="17"/>
    <n v="3"/>
    <n v="3"/>
    <n v="80"/>
    <n v="0"/>
    <n v="20"/>
    <s v="&gt;15"/>
    <n v="6"/>
    <n v="3"/>
    <n v="1"/>
    <n v="0"/>
    <n v="0"/>
    <n v="0"/>
  </r>
  <r>
    <n v="35"/>
    <x v="1"/>
    <s v="No"/>
    <s v="Non-Travel"/>
    <n v="1212"/>
    <x v="0"/>
    <n v="8"/>
    <n v="2"/>
    <s v="Marketing"/>
    <n v="1"/>
    <n v="1243"/>
    <n v="3"/>
    <s v="Female"/>
    <n v="78"/>
    <n v="2"/>
    <x v="2"/>
    <x v="0"/>
    <n v="4"/>
    <s v="Married"/>
    <n v="10377"/>
    <n v="13755"/>
    <n v="4"/>
    <s v="Y"/>
    <s v="Yes"/>
    <s v="Yes"/>
    <n v="11"/>
    <n v="3"/>
    <n v="2"/>
    <n v="80"/>
    <n v="1"/>
    <n v="16"/>
    <s v="&gt;15"/>
    <n v="6"/>
    <n v="2"/>
    <n v="13"/>
    <n v="2"/>
    <n v="4"/>
    <n v="12"/>
  </r>
  <r>
    <n v="27"/>
    <x v="1"/>
    <s v="No"/>
    <s v="Travel_Rarely"/>
    <n v="1103"/>
    <x v="1"/>
    <n v="14"/>
    <n v="3"/>
    <s v="Life Sciences"/>
    <n v="1"/>
    <n v="1244"/>
    <n v="1"/>
    <s v="Male"/>
    <n v="42"/>
    <n v="3"/>
    <x v="1"/>
    <x v="1"/>
    <n v="1"/>
    <s v="Married"/>
    <n v="2235"/>
    <n v="14377"/>
    <n v="1"/>
    <s v="Y"/>
    <s v="Yes"/>
    <s v="Yes"/>
    <n v="14"/>
    <n v="3"/>
    <n v="4"/>
    <n v="80"/>
    <n v="2"/>
    <n v="9"/>
    <s v="6-15"/>
    <n v="3"/>
    <n v="2"/>
    <n v="9"/>
    <n v="7"/>
    <n v="6"/>
    <n v="8"/>
  </r>
  <r>
    <n v="54"/>
    <x v="1"/>
    <s v="No"/>
    <s v="Travel_Frequently"/>
    <n v="966"/>
    <x v="1"/>
    <n v="1"/>
    <n v="4"/>
    <s v="Life Sciences"/>
    <n v="1"/>
    <n v="1245"/>
    <n v="4"/>
    <s v="Female"/>
    <n v="53"/>
    <n v="3"/>
    <x v="2"/>
    <x v="3"/>
    <n v="3"/>
    <s v="Divorced"/>
    <n v="10502"/>
    <n v="9659"/>
    <n v="7"/>
    <s v="Y"/>
    <s v="No"/>
    <s v="No"/>
    <n v="17"/>
    <n v="3"/>
    <n v="1"/>
    <n v="80"/>
    <n v="1"/>
    <n v="33"/>
    <s v="&gt;15"/>
    <n v="2"/>
    <n v="1"/>
    <n v="5"/>
    <n v="4"/>
    <n v="1"/>
    <n v="4"/>
  </r>
  <r>
    <n v="44"/>
    <x v="1"/>
    <s v="No"/>
    <s v="Travel_Rarely"/>
    <n v="1117"/>
    <x v="1"/>
    <n v="2"/>
    <n v="1"/>
    <s v="Life Sciences"/>
    <n v="1"/>
    <n v="1246"/>
    <n v="1"/>
    <s v="Female"/>
    <n v="72"/>
    <n v="4"/>
    <x v="1"/>
    <x v="1"/>
    <n v="4"/>
    <s v="Married"/>
    <n v="2011"/>
    <n v="19982"/>
    <n v="1"/>
    <s v="Y"/>
    <s v="No"/>
    <s v="No"/>
    <n v="13"/>
    <n v="3"/>
    <n v="4"/>
    <n v="80"/>
    <n v="1"/>
    <n v="10"/>
    <s v="6-15"/>
    <n v="5"/>
    <n v="3"/>
    <n v="10"/>
    <n v="5"/>
    <n v="7"/>
    <n v="7"/>
  </r>
  <r>
    <n v="19"/>
    <x v="0"/>
    <s v="Yes"/>
    <s v="Non-Travel"/>
    <n v="504"/>
    <x v="1"/>
    <n v="10"/>
    <n v="3"/>
    <s v="Medical"/>
    <n v="1"/>
    <n v="1248"/>
    <n v="1"/>
    <s v="Female"/>
    <n v="96"/>
    <n v="2"/>
    <x v="1"/>
    <x v="1"/>
    <n v="2"/>
    <s v="Single"/>
    <n v="1859"/>
    <n v="6148"/>
    <n v="1"/>
    <s v="Y"/>
    <s v="Yes"/>
    <s v="Yes"/>
    <n v="25"/>
    <n v="4"/>
    <n v="2"/>
    <n v="80"/>
    <n v="0"/>
    <n v="1"/>
    <s v="0-5"/>
    <n v="2"/>
    <n v="4"/>
    <n v="1"/>
    <n v="1"/>
    <n v="0"/>
    <n v="0"/>
  </r>
  <r>
    <n v="29"/>
    <x v="1"/>
    <s v="No"/>
    <s v="Travel_Rarely"/>
    <n v="1010"/>
    <x v="1"/>
    <n v="1"/>
    <n v="3"/>
    <s v="Life Sciences"/>
    <n v="1"/>
    <n v="1249"/>
    <n v="1"/>
    <s v="Female"/>
    <n v="97"/>
    <n v="3"/>
    <x v="1"/>
    <x v="1"/>
    <n v="4"/>
    <s v="Divorced"/>
    <n v="3760"/>
    <n v="5598"/>
    <n v="1"/>
    <s v="Y"/>
    <s v="No"/>
    <s v="No"/>
    <n v="15"/>
    <n v="3"/>
    <n v="1"/>
    <n v="80"/>
    <n v="3"/>
    <n v="3"/>
    <s v="0-5"/>
    <n v="5"/>
    <n v="3"/>
    <n v="3"/>
    <n v="2"/>
    <n v="1"/>
    <n v="2"/>
  </r>
  <r>
    <n v="54"/>
    <x v="1"/>
    <s v="No"/>
    <s v="Travel_Rarely"/>
    <n v="685"/>
    <x v="1"/>
    <n v="3"/>
    <n v="3"/>
    <s v="Life Sciences"/>
    <n v="1"/>
    <n v="1250"/>
    <n v="4"/>
    <s v="Male"/>
    <n v="85"/>
    <n v="3"/>
    <x v="3"/>
    <x v="7"/>
    <n v="4"/>
    <s v="Married"/>
    <n v="17779"/>
    <n v="23474"/>
    <n v="3"/>
    <s v="Y"/>
    <s v="No"/>
    <s v="No"/>
    <n v="14"/>
    <n v="3"/>
    <n v="1"/>
    <n v="80"/>
    <n v="0"/>
    <n v="36"/>
    <s v="&gt;15"/>
    <n v="2"/>
    <n v="3"/>
    <n v="10"/>
    <n v="9"/>
    <n v="0"/>
    <n v="9"/>
  </r>
  <r>
    <n v="31"/>
    <x v="1"/>
    <s v="No"/>
    <s v="Travel_Rarely"/>
    <n v="1332"/>
    <x v="1"/>
    <n v="11"/>
    <n v="2"/>
    <s v="Medical"/>
    <n v="1"/>
    <n v="1251"/>
    <n v="3"/>
    <s v="Male"/>
    <n v="80"/>
    <n v="3"/>
    <x v="0"/>
    <x v="4"/>
    <n v="1"/>
    <s v="Married"/>
    <n v="6833"/>
    <n v="17089"/>
    <n v="1"/>
    <s v="Y"/>
    <s v="Yes"/>
    <s v="Yes"/>
    <n v="12"/>
    <n v="3"/>
    <n v="4"/>
    <n v="80"/>
    <n v="0"/>
    <n v="6"/>
    <s v="6-15"/>
    <n v="2"/>
    <n v="2"/>
    <n v="6"/>
    <n v="5"/>
    <n v="0"/>
    <n v="1"/>
  </r>
  <r>
    <n v="31"/>
    <x v="1"/>
    <s v="No"/>
    <s v="Travel_Rarely"/>
    <n v="1062"/>
    <x v="1"/>
    <n v="24"/>
    <n v="3"/>
    <s v="Medical"/>
    <n v="1"/>
    <n v="1252"/>
    <n v="3"/>
    <s v="Female"/>
    <n v="96"/>
    <n v="2"/>
    <x v="0"/>
    <x v="4"/>
    <n v="1"/>
    <s v="Single"/>
    <n v="6812"/>
    <n v="17198"/>
    <n v="1"/>
    <s v="Y"/>
    <s v="No"/>
    <s v="No"/>
    <n v="19"/>
    <n v="3"/>
    <n v="2"/>
    <n v="80"/>
    <n v="0"/>
    <n v="10"/>
    <s v="6-15"/>
    <n v="2"/>
    <n v="3"/>
    <n v="10"/>
    <n v="9"/>
    <n v="1"/>
    <n v="8"/>
  </r>
  <r>
    <n v="59"/>
    <x v="1"/>
    <s v="No"/>
    <s v="Travel_Rarely"/>
    <n v="326"/>
    <x v="0"/>
    <n v="3"/>
    <n v="3"/>
    <s v="Life Sciences"/>
    <n v="1"/>
    <n v="1254"/>
    <n v="3"/>
    <s v="Female"/>
    <n v="48"/>
    <n v="2"/>
    <x v="0"/>
    <x v="0"/>
    <n v="4"/>
    <s v="Single"/>
    <n v="5171"/>
    <n v="16490"/>
    <n v="5"/>
    <s v="Y"/>
    <s v="No"/>
    <s v="No"/>
    <n v="17"/>
    <n v="3"/>
    <n v="4"/>
    <n v="80"/>
    <n v="0"/>
    <n v="13"/>
    <s v="6-15"/>
    <n v="2"/>
    <n v="3"/>
    <n v="6"/>
    <n v="1"/>
    <n v="0"/>
    <n v="5"/>
  </r>
  <r>
    <n v="43"/>
    <x v="1"/>
    <s v="No"/>
    <s v="Travel_Rarely"/>
    <n v="920"/>
    <x v="1"/>
    <n v="3"/>
    <n v="3"/>
    <s v="Life Sciences"/>
    <n v="1"/>
    <n v="1255"/>
    <n v="3"/>
    <s v="Male"/>
    <n v="96"/>
    <n v="1"/>
    <x v="4"/>
    <x v="7"/>
    <n v="4"/>
    <s v="Married"/>
    <n v="19740"/>
    <n v="18625"/>
    <n v="3"/>
    <s v="Y"/>
    <s v="No"/>
    <s v="No"/>
    <n v="14"/>
    <n v="3"/>
    <n v="2"/>
    <n v="80"/>
    <n v="1"/>
    <n v="25"/>
    <s v="&gt;15"/>
    <n v="2"/>
    <n v="3"/>
    <n v="8"/>
    <n v="7"/>
    <n v="0"/>
    <n v="7"/>
  </r>
  <r>
    <n v="49"/>
    <x v="1"/>
    <s v="No"/>
    <s v="Travel_Rarely"/>
    <n v="1098"/>
    <x v="1"/>
    <n v="4"/>
    <n v="2"/>
    <s v="Medical"/>
    <n v="1"/>
    <n v="1256"/>
    <n v="1"/>
    <s v="Male"/>
    <n v="85"/>
    <n v="2"/>
    <x v="4"/>
    <x v="5"/>
    <n v="3"/>
    <s v="Married"/>
    <n v="18711"/>
    <n v="12124"/>
    <n v="2"/>
    <s v="Y"/>
    <s v="No"/>
    <s v="No"/>
    <n v="13"/>
    <n v="3"/>
    <n v="3"/>
    <n v="80"/>
    <n v="1"/>
    <n v="23"/>
    <s v="&gt;15"/>
    <n v="2"/>
    <n v="4"/>
    <n v="1"/>
    <n v="0"/>
    <n v="0"/>
    <n v="0"/>
  </r>
  <r>
    <n v="36"/>
    <x v="1"/>
    <s v="No"/>
    <s v="Travel_Frequently"/>
    <n v="469"/>
    <x v="1"/>
    <n v="3"/>
    <n v="3"/>
    <s v="Technical Degree"/>
    <n v="1"/>
    <n v="1257"/>
    <n v="3"/>
    <s v="Male"/>
    <n v="46"/>
    <n v="3"/>
    <x v="1"/>
    <x v="1"/>
    <n v="2"/>
    <s v="Married"/>
    <n v="3692"/>
    <n v="9256"/>
    <n v="1"/>
    <s v="Y"/>
    <s v="No"/>
    <s v="No"/>
    <n v="12"/>
    <n v="3"/>
    <n v="3"/>
    <n v="80"/>
    <n v="0"/>
    <n v="12"/>
    <s v="6-15"/>
    <n v="2"/>
    <n v="2"/>
    <n v="11"/>
    <n v="10"/>
    <n v="0"/>
    <n v="7"/>
  </r>
  <r>
    <n v="48"/>
    <x v="1"/>
    <s v="No"/>
    <s v="Travel_Rarely"/>
    <n v="969"/>
    <x v="1"/>
    <n v="2"/>
    <n v="2"/>
    <s v="Technical Degree"/>
    <n v="1"/>
    <n v="1258"/>
    <n v="4"/>
    <s v="Male"/>
    <n v="76"/>
    <n v="4"/>
    <x v="1"/>
    <x v="2"/>
    <n v="2"/>
    <s v="Single"/>
    <n v="2559"/>
    <n v="16620"/>
    <n v="5"/>
    <s v="Y"/>
    <s v="No"/>
    <s v="No"/>
    <n v="11"/>
    <n v="3"/>
    <n v="3"/>
    <n v="80"/>
    <n v="0"/>
    <n v="7"/>
    <s v="6-15"/>
    <n v="4"/>
    <n v="2"/>
    <n v="1"/>
    <n v="0"/>
    <n v="0"/>
    <n v="0"/>
  </r>
  <r>
    <n v="27"/>
    <x v="1"/>
    <s v="No"/>
    <s v="Travel_Rarely"/>
    <n v="1167"/>
    <x v="1"/>
    <n v="4"/>
    <n v="2"/>
    <s v="Life Sciences"/>
    <n v="1"/>
    <n v="1259"/>
    <n v="1"/>
    <s v="Male"/>
    <n v="76"/>
    <n v="3"/>
    <x v="1"/>
    <x v="1"/>
    <n v="3"/>
    <s v="Divorced"/>
    <n v="2517"/>
    <n v="3208"/>
    <n v="1"/>
    <s v="Y"/>
    <s v="No"/>
    <s v="No"/>
    <n v="11"/>
    <n v="3"/>
    <n v="2"/>
    <n v="80"/>
    <n v="3"/>
    <n v="5"/>
    <s v="0-5"/>
    <n v="2"/>
    <n v="3"/>
    <n v="5"/>
    <n v="3"/>
    <n v="0"/>
    <n v="3"/>
  </r>
  <r>
    <n v="29"/>
    <x v="1"/>
    <s v="No"/>
    <s v="Travel_Rarely"/>
    <n v="1329"/>
    <x v="1"/>
    <n v="7"/>
    <n v="3"/>
    <s v="Life Sciences"/>
    <n v="1"/>
    <n v="1260"/>
    <n v="3"/>
    <s v="Male"/>
    <n v="82"/>
    <n v="3"/>
    <x v="0"/>
    <x v="4"/>
    <n v="4"/>
    <s v="Divorced"/>
    <n v="6623"/>
    <n v="4204"/>
    <n v="1"/>
    <s v="Y"/>
    <s v="Yes"/>
    <s v="Yes"/>
    <n v="11"/>
    <n v="3"/>
    <n v="2"/>
    <n v="80"/>
    <n v="2"/>
    <n v="6"/>
    <s v="6-15"/>
    <n v="2"/>
    <n v="3"/>
    <n v="6"/>
    <n v="0"/>
    <n v="1"/>
    <n v="0"/>
  </r>
  <r>
    <n v="48"/>
    <x v="1"/>
    <s v="No"/>
    <s v="Travel_Rarely"/>
    <n v="715"/>
    <x v="1"/>
    <n v="1"/>
    <n v="3"/>
    <s v="Life Sciences"/>
    <n v="1"/>
    <n v="1263"/>
    <n v="4"/>
    <s v="Male"/>
    <n v="76"/>
    <n v="2"/>
    <x v="4"/>
    <x v="7"/>
    <n v="4"/>
    <s v="Single"/>
    <n v="18265"/>
    <n v="8733"/>
    <n v="6"/>
    <s v="Y"/>
    <s v="No"/>
    <s v="No"/>
    <n v="12"/>
    <n v="3"/>
    <n v="3"/>
    <n v="80"/>
    <n v="0"/>
    <n v="25"/>
    <s v="&gt;15"/>
    <n v="3"/>
    <n v="4"/>
    <n v="1"/>
    <n v="0"/>
    <n v="0"/>
    <n v="0"/>
  </r>
  <r>
    <n v="29"/>
    <x v="1"/>
    <s v="No"/>
    <s v="Travel_Rarely"/>
    <n v="694"/>
    <x v="1"/>
    <n v="1"/>
    <n v="3"/>
    <s v="Life Sciences"/>
    <n v="1"/>
    <n v="1264"/>
    <n v="4"/>
    <s v="Female"/>
    <n v="87"/>
    <n v="2"/>
    <x v="3"/>
    <x v="7"/>
    <n v="4"/>
    <s v="Divorced"/>
    <n v="16124"/>
    <n v="3423"/>
    <n v="3"/>
    <s v="Y"/>
    <s v="No"/>
    <s v="No"/>
    <n v="14"/>
    <n v="3"/>
    <n v="2"/>
    <n v="80"/>
    <n v="2"/>
    <n v="9"/>
    <s v="6-15"/>
    <n v="2"/>
    <n v="2"/>
    <n v="7"/>
    <n v="7"/>
    <n v="1"/>
    <n v="7"/>
  </r>
  <r>
    <n v="34"/>
    <x v="1"/>
    <s v="No"/>
    <s v="Travel_Rarely"/>
    <n v="1320"/>
    <x v="1"/>
    <n v="20"/>
    <n v="3"/>
    <s v="Technical Degree"/>
    <n v="1"/>
    <n v="1265"/>
    <n v="3"/>
    <s v="Female"/>
    <n v="89"/>
    <n v="4"/>
    <x v="1"/>
    <x v="1"/>
    <n v="3"/>
    <s v="Married"/>
    <n v="2585"/>
    <n v="21643"/>
    <n v="0"/>
    <s v="Y"/>
    <s v="No"/>
    <s v="No"/>
    <n v="17"/>
    <n v="3"/>
    <n v="4"/>
    <n v="80"/>
    <n v="0"/>
    <n v="2"/>
    <s v="0-5"/>
    <n v="5"/>
    <n v="2"/>
    <n v="1"/>
    <n v="0"/>
    <n v="0"/>
    <n v="0"/>
  </r>
  <r>
    <n v="44"/>
    <x v="1"/>
    <s v="No"/>
    <s v="Travel_Rarely"/>
    <n v="1099"/>
    <x v="0"/>
    <n v="5"/>
    <n v="3"/>
    <s v="Marketing"/>
    <n v="1"/>
    <n v="1267"/>
    <n v="2"/>
    <s v="Male"/>
    <n v="88"/>
    <n v="3"/>
    <x v="4"/>
    <x v="5"/>
    <n v="2"/>
    <s v="Married"/>
    <n v="18213"/>
    <n v="8751"/>
    <n v="7"/>
    <s v="Y"/>
    <s v="No"/>
    <s v="No"/>
    <n v="11"/>
    <n v="3"/>
    <n v="3"/>
    <n v="80"/>
    <n v="1"/>
    <n v="26"/>
    <s v="&gt;15"/>
    <n v="5"/>
    <n v="3"/>
    <n v="22"/>
    <n v="9"/>
    <n v="3"/>
    <n v="10"/>
  </r>
  <r>
    <n v="33"/>
    <x v="1"/>
    <s v="No"/>
    <s v="Travel_Rarely"/>
    <n v="536"/>
    <x v="0"/>
    <n v="10"/>
    <n v="5"/>
    <s v="Marketing"/>
    <n v="1"/>
    <n v="1268"/>
    <n v="4"/>
    <s v="Male"/>
    <n v="82"/>
    <n v="4"/>
    <x v="2"/>
    <x v="0"/>
    <n v="3"/>
    <s v="Divorced"/>
    <n v="8380"/>
    <n v="21708"/>
    <n v="0"/>
    <s v="Y"/>
    <s v="Yes"/>
    <s v="Yes"/>
    <n v="14"/>
    <n v="3"/>
    <n v="4"/>
    <n v="80"/>
    <n v="2"/>
    <n v="10"/>
    <s v="6-15"/>
    <n v="3"/>
    <n v="3"/>
    <n v="9"/>
    <n v="8"/>
    <n v="0"/>
    <n v="8"/>
  </r>
  <r>
    <n v="19"/>
    <x v="1"/>
    <s v="No"/>
    <s v="Travel_Rarely"/>
    <n v="265"/>
    <x v="1"/>
    <n v="25"/>
    <n v="3"/>
    <s v="Life Sciences"/>
    <n v="1"/>
    <n v="1269"/>
    <n v="2"/>
    <s v="Female"/>
    <n v="57"/>
    <n v="4"/>
    <x v="1"/>
    <x v="1"/>
    <n v="4"/>
    <s v="Single"/>
    <n v="2994"/>
    <n v="21221"/>
    <n v="1"/>
    <s v="Y"/>
    <s v="Yes"/>
    <s v="Yes"/>
    <n v="12"/>
    <n v="3"/>
    <n v="4"/>
    <n v="80"/>
    <n v="0"/>
    <n v="1"/>
    <s v="0-5"/>
    <n v="2"/>
    <n v="3"/>
    <n v="1"/>
    <n v="0"/>
    <n v="0"/>
    <n v="1"/>
  </r>
  <r>
    <n v="23"/>
    <x v="1"/>
    <s v="No"/>
    <s v="Travel_Rarely"/>
    <n v="373"/>
    <x v="1"/>
    <n v="1"/>
    <n v="2"/>
    <s v="Life Sciences"/>
    <n v="1"/>
    <n v="1270"/>
    <n v="4"/>
    <s v="Male"/>
    <n v="47"/>
    <n v="3"/>
    <x v="1"/>
    <x v="1"/>
    <n v="3"/>
    <s v="Married"/>
    <n v="1223"/>
    <n v="16901"/>
    <n v="1"/>
    <s v="Y"/>
    <s v="No"/>
    <s v="No"/>
    <n v="22"/>
    <n v="4"/>
    <n v="4"/>
    <n v="80"/>
    <n v="1"/>
    <n v="1"/>
    <s v="0-5"/>
    <n v="2"/>
    <n v="3"/>
    <n v="1"/>
    <n v="0"/>
    <n v="0"/>
    <n v="1"/>
  </r>
  <r>
    <n v="25"/>
    <x v="0"/>
    <s v="Yes"/>
    <s v="Travel_Frequently"/>
    <n v="599"/>
    <x v="0"/>
    <n v="24"/>
    <n v="1"/>
    <s v="Life Sciences"/>
    <n v="1"/>
    <n v="1273"/>
    <n v="3"/>
    <s v="Male"/>
    <n v="73"/>
    <n v="1"/>
    <x v="1"/>
    <x v="6"/>
    <n v="4"/>
    <s v="Single"/>
    <n v="1118"/>
    <n v="8040"/>
    <n v="1"/>
    <s v="Y"/>
    <s v="Yes"/>
    <s v="Yes"/>
    <n v="14"/>
    <n v="3"/>
    <n v="4"/>
    <n v="80"/>
    <n v="0"/>
    <n v="1"/>
    <s v="0-5"/>
    <n v="4"/>
    <n v="3"/>
    <n v="1"/>
    <n v="0"/>
    <n v="1"/>
    <n v="0"/>
  </r>
  <r>
    <n v="26"/>
    <x v="1"/>
    <s v="No"/>
    <s v="Travel_Rarely"/>
    <n v="583"/>
    <x v="1"/>
    <n v="4"/>
    <n v="2"/>
    <s v="Life Sciences"/>
    <n v="1"/>
    <n v="1275"/>
    <n v="3"/>
    <s v="Male"/>
    <n v="53"/>
    <n v="3"/>
    <x v="1"/>
    <x v="1"/>
    <n v="4"/>
    <s v="Single"/>
    <n v="2875"/>
    <n v="9973"/>
    <n v="1"/>
    <s v="Y"/>
    <s v="Yes"/>
    <s v="Yes"/>
    <n v="20"/>
    <n v="4"/>
    <n v="2"/>
    <n v="80"/>
    <n v="0"/>
    <n v="8"/>
    <s v="6-15"/>
    <n v="2"/>
    <n v="2"/>
    <n v="8"/>
    <n v="5"/>
    <n v="2"/>
    <n v="2"/>
  </r>
  <r>
    <n v="45"/>
    <x v="0"/>
    <s v="Yes"/>
    <s v="Travel_Rarely"/>
    <n v="1449"/>
    <x v="0"/>
    <n v="2"/>
    <n v="3"/>
    <s v="Marketing"/>
    <n v="1"/>
    <n v="1277"/>
    <n v="1"/>
    <s v="Female"/>
    <n v="94"/>
    <n v="1"/>
    <x v="4"/>
    <x v="5"/>
    <n v="2"/>
    <s v="Single"/>
    <n v="18824"/>
    <n v="2493"/>
    <n v="2"/>
    <s v="Y"/>
    <s v="Yes"/>
    <s v="Yes"/>
    <n v="16"/>
    <n v="3"/>
    <n v="1"/>
    <n v="80"/>
    <n v="0"/>
    <n v="26"/>
    <s v="&gt;15"/>
    <n v="2"/>
    <n v="3"/>
    <n v="24"/>
    <n v="10"/>
    <n v="1"/>
    <n v="11"/>
  </r>
  <r>
    <n v="55"/>
    <x v="1"/>
    <s v="No"/>
    <s v="Non-Travel"/>
    <n v="177"/>
    <x v="1"/>
    <n v="8"/>
    <n v="1"/>
    <s v="Medical"/>
    <n v="1"/>
    <n v="1278"/>
    <n v="4"/>
    <s v="Male"/>
    <n v="37"/>
    <n v="2"/>
    <x v="3"/>
    <x v="4"/>
    <n v="2"/>
    <s v="Divorced"/>
    <n v="13577"/>
    <n v="25592"/>
    <n v="1"/>
    <s v="Y"/>
    <s v="Yes"/>
    <s v="Yes"/>
    <n v="15"/>
    <n v="3"/>
    <n v="4"/>
    <n v="80"/>
    <n v="1"/>
    <n v="34"/>
    <s v="&gt;15"/>
    <n v="3"/>
    <n v="3"/>
    <n v="33"/>
    <n v="9"/>
    <n v="15"/>
    <n v="0"/>
  </r>
  <r>
    <n v="21"/>
    <x v="0"/>
    <s v="Yes"/>
    <s v="Travel_Frequently"/>
    <n v="251"/>
    <x v="1"/>
    <n v="10"/>
    <n v="2"/>
    <s v="Life Sciences"/>
    <n v="1"/>
    <n v="1279"/>
    <n v="1"/>
    <s v="Female"/>
    <n v="45"/>
    <n v="2"/>
    <x v="1"/>
    <x v="2"/>
    <n v="3"/>
    <s v="Single"/>
    <n v="2625"/>
    <n v="25308"/>
    <n v="1"/>
    <s v="Y"/>
    <s v="No"/>
    <s v="No"/>
    <n v="20"/>
    <n v="4"/>
    <n v="3"/>
    <n v="80"/>
    <n v="0"/>
    <n v="2"/>
    <s v="0-5"/>
    <n v="2"/>
    <n v="1"/>
    <n v="2"/>
    <n v="2"/>
    <n v="2"/>
    <n v="2"/>
  </r>
  <r>
    <n v="46"/>
    <x v="1"/>
    <s v="No"/>
    <s v="Travel_Rarely"/>
    <n v="168"/>
    <x v="0"/>
    <n v="4"/>
    <n v="2"/>
    <s v="Marketing"/>
    <n v="1"/>
    <n v="1280"/>
    <n v="4"/>
    <s v="Female"/>
    <n v="33"/>
    <n v="2"/>
    <x v="4"/>
    <x v="5"/>
    <n v="2"/>
    <s v="Married"/>
    <n v="18789"/>
    <n v="9946"/>
    <n v="2"/>
    <s v="Y"/>
    <s v="No"/>
    <s v="No"/>
    <n v="14"/>
    <n v="3"/>
    <n v="3"/>
    <n v="80"/>
    <n v="1"/>
    <n v="26"/>
    <s v="&gt;15"/>
    <n v="2"/>
    <n v="3"/>
    <n v="11"/>
    <n v="4"/>
    <n v="0"/>
    <n v="8"/>
  </r>
  <r>
    <n v="34"/>
    <x v="1"/>
    <s v="No"/>
    <s v="Travel_Rarely"/>
    <n v="131"/>
    <x v="0"/>
    <n v="2"/>
    <n v="3"/>
    <s v="Marketing"/>
    <n v="1"/>
    <n v="1281"/>
    <n v="3"/>
    <s v="Female"/>
    <n v="86"/>
    <n v="3"/>
    <x v="0"/>
    <x v="0"/>
    <n v="1"/>
    <s v="Single"/>
    <n v="4538"/>
    <n v="6039"/>
    <n v="0"/>
    <s v="Y"/>
    <s v="Yes"/>
    <s v="Yes"/>
    <n v="12"/>
    <n v="3"/>
    <n v="4"/>
    <n v="80"/>
    <n v="0"/>
    <n v="4"/>
    <s v="0-5"/>
    <n v="3"/>
    <n v="3"/>
    <n v="3"/>
    <n v="2"/>
    <n v="0"/>
    <n v="2"/>
  </r>
  <r>
    <n v="51"/>
    <x v="1"/>
    <s v="No"/>
    <s v="Travel_Frequently"/>
    <n v="237"/>
    <x v="0"/>
    <n v="9"/>
    <n v="3"/>
    <s v="Life Sciences"/>
    <n v="1"/>
    <n v="1282"/>
    <n v="4"/>
    <s v="Male"/>
    <n v="83"/>
    <n v="3"/>
    <x v="4"/>
    <x v="5"/>
    <n v="2"/>
    <s v="Divorced"/>
    <n v="19847"/>
    <n v="19196"/>
    <n v="4"/>
    <s v="Y"/>
    <s v="Yes"/>
    <s v="Yes"/>
    <n v="24"/>
    <n v="4"/>
    <n v="1"/>
    <n v="80"/>
    <n v="1"/>
    <n v="31"/>
    <s v="&gt;15"/>
    <n v="5"/>
    <n v="2"/>
    <n v="29"/>
    <n v="10"/>
    <n v="11"/>
    <n v="10"/>
  </r>
  <r>
    <n v="59"/>
    <x v="1"/>
    <s v="No"/>
    <s v="Travel_Rarely"/>
    <n v="1429"/>
    <x v="1"/>
    <n v="18"/>
    <n v="4"/>
    <s v="Medical"/>
    <n v="1"/>
    <n v="1283"/>
    <n v="4"/>
    <s v="Male"/>
    <n v="67"/>
    <n v="3"/>
    <x v="2"/>
    <x v="3"/>
    <n v="4"/>
    <s v="Single"/>
    <n v="10512"/>
    <n v="20002"/>
    <n v="6"/>
    <s v="Y"/>
    <s v="No"/>
    <s v="No"/>
    <n v="12"/>
    <n v="3"/>
    <n v="4"/>
    <n v="80"/>
    <n v="0"/>
    <n v="25"/>
    <s v="&gt;15"/>
    <n v="6"/>
    <n v="2"/>
    <n v="9"/>
    <n v="7"/>
    <n v="5"/>
    <n v="4"/>
  </r>
  <r>
    <n v="34"/>
    <x v="1"/>
    <s v="No"/>
    <s v="Travel_Frequently"/>
    <n v="135"/>
    <x v="1"/>
    <n v="19"/>
    <n v="3"/>
    <s v="Medical"/>
    <n v="1"/>
    <n v="1285"/>
    <n v="3"/>
    <s v="Female"/>
    <n v="46"/>
    <n v="3"/>
    <x v="0"/>
    <x v="2"/>
    <n v="2"/>
    <s v="Divorced"/>
    <n v="4444"/>
    <n v="22534"/>
    <n v="4"/>
    <s v="Y"/>
    <s v="No"/>
    <s v="No"/>
    <n v="13"/>
    <n v="3"/>
    <n v="3"/>
    <n v="80"/>
    <n v="2"/>
    <n v="15"/>
    <s v="6-15"/>
    <n v="2"/>
    <n v="4"/>
    <n v="11"/>
    <n v="8"/>
    <n v="5"/>
    <n v="10"/>
  </r>
  <r>
    <n v="28"/>
    <x v="1"/>
    <s v="No"/>
    <s v="Travel_Frequently"/>
    <n v="791"/>
    <x v="1"/>
    <n v="1"/>
    <n v="4"/>
    <s v="Medical"/>
    <n v="1"/>
    <n v="1286"/>
    <n v="4"/>
    <s v="Male"/>
    <n v="44"/>
    <n v="3"/>
    <x v="1"/>
    <x v="2"/>
    <n v="3"/>
    <s v="Single"/>
    <n v="2154"/>
    <n v="6842"/>
    <n v="0"/>
    <s v="Y"/>
    <s v="Yes"/>
    <s v="Yes"/>
    <n v="11"/>
    <n v="3"/>
    <n v="3"/>
    <n v="80"/>
    <n v="0"/>
    <n v="5"/>
    <s v="0-5"/>
    <n v="2"/>
    <n v="2"/>
    <n v="4"/>
    <n v="2"/>
    <n v="0"/>
    <n v="2"/>
  </r>
  <r>
    <n v="44"/>
    <x v="1"/>
    <s v="No"/>
    <s v="Travel_Rarely"/>
    <n v="1199"/>
    <x v="1"/>
    <n v="4"/>
    <n v="2"/>
    <s v="Life Sciences"/>
    <n v="1"/>
    <n v="1288"/>
    <n v="3"/>
    <s v="Male"/>
    <n v="92"/>
    <n v="4"/>
    <x v="4"/>
    <x v="5"/>
    <n v="1"/>
    <s v="Divorced"/>
    <n v="19190"/>
    <n v="17477"/>
    <n v="1"/>
    <s v="Y"/>
    <s v="No"/>
    <s v="No"/>
    <n v="14"/>
    <n v="3"/>
    <n v="4"/>
    <n v="80"/>
    <n v="2"/>
    <n v="26"/>
    <s v="&gt;15"/>
    <n v="4"/>
    <n v="2"/>
    <n v="25"/>
    <n v="9"/>
    <n v="14"/>
    <n v="13"/>
  </r>
  <r>
    <n v="34"/>
    <x v="1"/>
    <s v="No"/>
    <s v="Travel_Frequently"/>
    <n v="648"/>
    <x v="2"/>
    <n v="11"/>
    <n v="3"/>
    <s v="Life Sciences"/>
    <n v="1"/>
    <n v="1289"/>
    <n v="3"/>
    <s v="Male"/>
    <n v="56"/>
    <n v="2"/>
    <x v="0"/>
    <x v="8"/>
    <n v="2"/>
    <s v="Married"/>
    <n v="4490"/>
    <n v="21833"/>
    <n v="4"/>
    <s v="Y"/>
    <s v="No"/>
    <s v="No"/>
    <n v="11"/>
    <n v="3"/>
    <n v="4"/>
    <n v="80"/>
    <n v="2"/>
    <n v="14"/>
    <s v="6-15"/>
    <n v="5"/>
    <n v="4"/>
    <n v="10"/>
    <n v="9"/>
    <n v="1"/>
    <n v="8"/>
  </r>
  <r>
    <n v="35"/>
    <x v="1"/>
    <s v="No"/>
    <s v="Travel_Rarely"/>
    <n v="735"/>
    <x v="1"/>
    <n v="6"/>
    <n v="1"/>
    <s v="Life Sciences"/>
    <n v="1"/>
    <n v="1291"/>
    <n v="3"/>
    <s v="Male"/>
    <n v="66"/>
    <n v="3"/>
    <x v="1"/>
    <x v="1"/>
    <n v="3"/>
    <s v="Married"/>
    <n v="3506"/>
    <n v="6020"/>
    <n v="0"/>
    <s v="Y"/>
    <s v="Yes"/>
    <s v="Yes"/>
    <n v="14"/>
    <n v="3"/>
    <n v="4"/>
    <n v="80"/>
    <n v="0"/>
    <n v="4"/>
    <s v="0-5"/>
    <n v="3"/>
    <n v="3"/>
    <n v="3"/>
    <n v="2"/>
    <n v="2"/>
    <n v="2"/>
  </r>
  <r>
    <n v="42"/>
    <x v="1"/>
    <s v="No"/>
    <s v="Travel_Rarely"/>
    <n v="603"/>
    <x v="1"/>
    <n v="7"/>
    <n v="4"/>
    <s v="Medical"/>
    <n v="1"/>
    <n v="1292"/>
    <n v="2"/>
    <s v="Female"/>
    <n v="78"/>
    <n v="4"/>
    <x v="0"/>
    <x v="1"/>
    <n v="2"/>
    <s v="Married"/>
    <n v="2372"/>
    <n v="5628"/>
    <n v="6"/>
    <s v="Y"/>
    <s v="Yes"/>
    <s v="Yes"/>
    <n v="16"/>
    <n v="3"/>
    <n v="4"/>
    <n v="80"/>
    <n v="0"/>
    <n v="18"/>
    <s v="&gt;15"/>
    <n v="2"/>
    <n v="3"/>
    <n v="1"/>
    <n v="0"/>
    <n v="0"/>
    <n v="0"/>
  </r>
  <r>
    <n v="43"/>
    <x v="1"/>
    <s v="No"/>
    <s v="Travel_Rarely"/>
    <n v="531"/>
    <x v="0"/>
    <n v="4"/>
    <n v="4"/>
    <s v="Marketing"/>
    <n v="1"/>
    <n v="1293"/>
    <n v="4"/>
    <s v="Female"/>
    <n v="56"/>
    <n v="2"/>
    <x v="2"/>
    <x v="0"/>
    <n v="4"/>
    <s v="Single"/>
    <n v="10231"/>
    <n v="20364"/>
    <n v="3"/>
    <s v="Y"/>
    <s v="No"/>
    <s v="No"/>
    <n v="14"/>
    <n v="3"/>
    <n v="4"/>
    <n v="80"/>
    <n v="0"/>
    <n v="23"/>
    <s v="&gt;15"/>
    <n v="3"/>
    <n v="4"/>
    <n v="21"/>
    <n v="7"/>
    <n v="15"/>
    <n v="17"/>
  </r>
  <r>
    <n v="36"/>
    <x v="1"/>
    <s v="No"/>
    <s v="Travel_Rarely"/>
    <n v="429"/>
    <x v="1"/>
    <n v="2"/>
    <n v="4"/>
    <s v="Life Sciences"/>
    <n v="1"/>
    <n v="1294"/>
    <n v="3"/>
    <s v="Female"/>
    <n v="53"/>
    <n v="3"/>
    <x v="0"/>
    <x v="3"/>
    <n v="2"/>
    <s v="Single"/>
    <n v="5410"/>
    <n v="2323"/>
    <n v="9"/>
    <s v="Y"/>
    <s v="Yes"/>
    <s v="Yes"/>
    <n v="11"/>
    <n v="3"/>
    <n v="4"/>
    <n v="80"/>
    <n v="0"/>
    <n v="18"/>
    <s v="&gt;15"/>
    <n v="2"/>
    <n v="3"/>
    <n v="16"/>
    <n v="14"/>
    <n v="5"/>
    <n v="12"/>
  </r>
  <r>
    <n v="44"/>
    <x v="0"/>
    <s v="Yes"/>
    <s v="Travel_Rarely"/>
    <n v="621"/>
    <x v="1"/>
    <n v="15"/>
    <n v="3"/>
    <s v="Medical"/>
    <n v="1"/>
    <n v="1295"/>
    <n v="1"/>
    <s v="Female"/>
    <n v="73"/>
    <n v="3"/>
    <x v="2"/>
    <x v="4"/>
    <n v="4"/>
    <s v="Married"/>
    <n v="7978"/>
    <n v="14075"/>
    <n v="1"/>
    <s v="Y"/>
    <s v="No"/>
    <s v="No"/>
    <n v="11"/>
    <n v="3"/>
    <n v="4"/>
    <n v="80"/>
    <n v="1"/>
    <n v="10"/>
    <s v="6-15"/>
    <n v="2"/>
    <n v="3"/>
    <n v="10"/>
    <n v="7"/>
    <n v="0"/>
    <n v="5"/>
  </r>
  <r>
    <n v="28"/>
    <x v="1"/>
    <s v="No"/>
    <s v="Travel_Frequently"/>
    <n v="193"/>
    <x v="1"/>
    <n v="2"/>
    <n v="3"/>
    <s v="Life Sciences"/>
    <n v="1"/>
    <n v="1296"/>
    <n v="4"/>
    <s v="Male"/>
    <n v="52"/>
    <n v="2"/>
    <x v="1"/>
    <x v="2"/>
    <n v="4"/>
    <s v="Married"/>
    <n v="3867"/>
    <n v="14222"/>
    <n v="1"/>
    <s v="Y"/>
    <s v="Yes"/>
    <s v="Yes"/>
    <n v="12"/>
    <n v="3"/>
    <n v="2"/>
    <n v="80"/>
    <n v="1"/>
    <n v="2"/>
    <s v="0-5"/>
    <n v="2"/>
    <n v="3"/>
    <n v="2"/>
    <n v="2"/>
    <n v="2"/>
    <n v="2"/>
  </r>
  <r>
    <n v="51"/>
    <x v="1"/>
    <s v="No"/>
    <s v="Travel_Frequently"/>
    <n v="968"/>
    <x v="1"/>
    <n v="6"/>
    <n v="2"/>
    <s v="Medical"/>
    <n v="1"/>
    <n v="1297"/>
    <n v="2"/>
    <s v="Female"/>
    <n v="40"/>
    <n v="2"/>
    <x v="1"/>
    <x v="2"/>
    <n v="3"/>
    <s v="Single"/>
    <n v="2838"/>
    <n v="4257"/>
    <n v="0"/>
    <s v="Y"/>
    <s v="No"/>
    <s v="No"/>
    <n v="14"/>
    <n v="3"/>
    <n v="2"/>
    <n v="80"/>
    <n v="0"/>
    <n v="8"/>
    <s v="6-15"/>
    <n v="6"/>
    <n v="2"/>
    <n v="7"/>
    <n v="0"/>
    <n v="7"/>
    <n v="7"/>
  </r>
  <r>
    <n v="30"/>
    <x v="1"/>
    <s v="No"/>
    <s v="Non-Travel"/>
    <n v="879"/>
    <x v="1"/>
    <n v="9"/>
    <n v="2"/>
    <s v="Medical"/>
    <n v="1"/>
    <n v="1298"/>
    <n v="3"/>
    <s v="Female"/>
    <n v="72"/>
    <n v="3"/>
    <x v="0"/>
    <x v="3"/>
    <n v="3"/>
    <s v="Single"/>
    <n v="4695"/>
    <n v="12858"/>
    <n v="7"/>
    <s v="Y"/>
    <s v="Yes"/>
    <s v="Yes"/>
    <n v="18"/>
    <n v="3"/>
    <n v="3"/>
    <n v="80"/>
    <n v="0"/>
    <n v="10"/>
    <s v="6-15"/>
    <n v="3"/>
    <n v="3"/>
    <n v="8"/>
    <n v="4"/>
    <n v="1"/>
    <n v="7"/>
  </r>
  <r>
    <n v="29"/>
    <x v="0"/>
    <s v="Yes"/>
    <s v="Travel_Rarely"/>
    <n v="806"/>
    <x v="1"/>
    <n v="7"/>
    <n v="3"/>
    <s v="Technical Degree"/>
    <n v="1"/>
    <n v="1299"/>
    <n v="2"/>
    <s v="Female"/>
    <n v="39"/>
    <n v="3"/>
    <x v="1"/>
    <x v="2"/>
    <n v="3"/>
    <s v="Divorced"/>
    <n v="3339"/>
    <n v="17285"/>
    <n v="3"/>
    <s v="Y"/>
    <s v="Yes"/>
    <s v="Yes"/>
    <n v="13"/>
    <n v="3"/>
    <n v="1"/>
    <n v="80"/>
    <n v="2"/>
    <n v="10"/>
    <s v="6-15"/>
    <n v="2"/>
    <n v="3"/>
    <n v="7"/>
    <n v="7"/>
    <n v="7"/>
    <n v="7"/>
  </r>
  <r>
    <n v="28"/>
    <x v="1"/>
    <s v="No"/>
    <s v="Travel_Rarely"/>
    <n v="640"/>
    <x v="1"/>
    <n v="1"/>
    <n v="3"/>
    <s v="Technical Degree"/>
    <n v="1"/>
    <n v="1301"/>
    <n v="4"/>
    <s v="Male"/>
    <n v="84"/>
    <n v="3"/>
    <x v="1"/>
    <x v="1"/>
    <n v="1"/>
    <s v="Single"/>
    <n v="2080"/>
    <n v="4732"/>
    <n v="2"/>
    <s v="Y"/>
    <s v="No"/>
    <s v="No"/>
    <n v="11"/>
    <n v="3"/>
    <n v="2"/>
    <n v="80"/>
    <n v="0"/>
    <n v="5"/>
    <s v="0-5"/>
    <n v="2"/>
    <n v="2"/>
    <n v="3"/>
    <n v="2"/>
    <n v="1"/>
    <n v="2"/>
  </r>
  <r>
    <n v="25"/>
    <x v="1"/>
    <s v="No"/>
    <s v="Travel_Rarely"/>
    <n v="266"/>
    <x v="1"/>
    <n v="1"/>
    <n v="3"/>
    <s v="Medical"/>
    <n v="1"/>
    <n v="1303"/>
    <n v="4"/>
    <s v="Female"/>
    <n v="40"/>
    <n v="3"/>
    <x v="1"/>
    <x v="1"/>
    <n v="2"/>
    <s v="Single"/>
    <n v="2096"/>
    <n v="18830"/>
    <n v="1"/>
    <s v="Y"/>
    <s v="No"/>
    <s v="No"/>
    <n v="18"/>
    <n v="3"/>
    <n v="4"/>
    <n v="80"/>
    <n v="0"/>
    <n v="2"/>
    <s v="0-5"/>
    <n v="3"/>
    <n v="2"/>
    <n v="2"/>
    <n v="2"/>
    <n v="2"/>
    <n v="1"/>
  </r>
  <r>
    <n v="32"/>
    <x v="1"/>
    <s v="No"/>
    <s v="Travel_Rarely"/>
    <n v="604"/>
    <x v="0"/>
    <n v="8"/>
    <n v="3"/>
    <s v="Medical"/>
    <n v="1"/>
    <n v="1304"/>
    <n v="3"/>
    <s v="Male"/>
    <n v="56"/>
    <n v="4"/>
    <x v="0"/>
    <x v="0"/>
    <n v="4"/>
    <s v="Married"/>
    <n v="6209"/>
    <n v="11693"/>
    <n v="1"/>
    <s v="Y"/>
    <s v="No"/>
    <s v="No"/>
    <n v="15"/>
    <n v="3"/>
    <n v="3"/>
    <n v="80"/>
    <n v="2"/>
    <n v="10"/>
    <s v="6-15"/>
    <n v="4"/>
    <n v="4"/>
    <n v="10"/>
    <n v="7"/>
    <n v="0"/>
    <n v="8"/>
  </r>
  <r>
    <n v="45"/>
    <x v="1"/>
    <s v="No"/>
    <s v="Travel_Frequently"/>
    <n v="364"/>
    <x v="1"/>
    <n v="25"/>
    <n v="3"/>
    <s v="Medical"/>
    <n v="1"/>
    <n v="1306"/>
    <n v="2"/>
    <s v="Female"/>
    <n v="83"/>
    <n v="3"/>
    <x v="4"/>
    <x v="5"/>
    <n v="2"/>
    <s v="Single"/>
    <n v="18061"/>
    <n v="13035"/>
    <n v="3"/>
    <s v="Y"/>
    <s v="No"/>
    <s v="No"/>
    <n v="22"/>
    <n v="4"/>
    <n v="3"/>
    <n v="80"/>
    <n v="0"/>
    <n v="22"/>
    <s v="&gt;15"/>
    <n v="4"/>
    <n v="3"/>
    <n v="0"/>
    <n v="0"/>
    <n v="0"/>
    <n v="0"/>
  </r>
  <r>
    <n v="39"/>
    <x v="1"/>
    <s v="No"/>
    <s v="Travel_Rarely"/>
    <n v="412"/>
    <x v="1"/>
    <n v="13"/>
    <n v="4"/>
    <s v="Medical"/>
    <n v="1"/>
    <n v="1307"/>
    <n v="3"/>
    <s v="Female"/>
    <n v="94"/>
    <n v="2"/>
    <x v="3"/>
    <x v="5"/>
    <n v="2"/>
    <s v="Divorced"/>
    <n v="17123"/>
    <n v="17334"/>
    <n v="6"/>
    <s v="Y"/>
    <s v="Yes"/>
    <s v="Yes"/>
    <n v="13"/>
    <n v="3"/>
    <n v="4"/>
    <n v="80"/>
    <n v="2"/>
    <n v="21"/>
    <s v="&gt;15"/>
    <n v="4"/>
    <n v="3"/>
    <n v="19"/>
    <n v="9"/>
    <n v="15"/>
    <n v="2"/>
  </r>
  <r>
    <n v="58"/>
    <x v="1"/>
    <s v="No"/>
    <s v="Travel_Rarely"/>
    <n v="848"/>
    <x v="1"/>
    <n v="23"/>
    <n v="4"/>
    <s v="Life Sciences"/>
    <n v="1"/>
    <n v="1308"/>
    <n v="1"/>
    <s v="Male"/>
    <n v="88"/>
    <n v="3"/>
    <x v="1"/>
    <x v="1"/>
    <n v="3"/>
    <s v="Divorced"/>
    <n v="2372"/>
    <n v="26076"/>
    <n v="1"/>
    <s v="Y"/>
    <s v="No"/>
    <s v="No"/>
    <n v="12"/>
    <n v="3"/>
    <n v="4"/>
    <n v="80"/>
    <n v="2"/>
    <n v="2"/>
    <s v="0-5"/>
    <n v="3"/>
    <n v="3"/>
    <n v="2"/>
    <n v="2"/>
    <n v="2"/>
    <n v="2"/>
  </r>
  <r>
    <n v="32"/>
    <x v="0"/>
    <s v="Yes"/>
    <s v="Travel_Rarely"/>
    <n v="1089"/>
    <x v="1"/>
    <n v="7"/>
    <n v="2"/>
    <s v="Life Sciences"/>
    <n v="1"/>
    <n v="1309"/>
    <n v="4"/>
    <s v="Male"/>
    <n v="79"/>
    <n v="3"/>
    <x v="0"/>
    <x v="2"/>
    <n v="3"/>
    <s v="Married"/>
    <n v="4883"/>
    <n v="22845"/>
    <n v="1"/>
    <s v="Y"/>
    <s v="No"/>
    <s v="No"/>
    <n v="18"/>
    <n v="3"/>
    <n v="1"/>
    <n v="80"/>
    <n v="1"/>
    <n v="10"/>
    <s v="6-15"/>
    <n v="3"/>
    <n v="3"/>
    <n v="10"/>
    <n v="4"/>
    <n v="1"/>
    <n v="1"/>
  </r>
  <r>
    <n v="39"/>
    <x v="0"/>
    <s v="Yes"/>
    <s v="Travel_Rarely"/>
    <n v="360"/>
    <x v="1"/>
    <n v="23"/>
    <n v="3"/>
    <s v="Medical"/>
    <n v="1"/>
    <n v="1310"/>
    <n v="3"/>
    <s v="Male"/>
    <n v="93"/>
    <n v="3"/>
    <x v="1"/>
    <x v="1"/>
    <n v="1"/>
    <s v="Single"/>
    <n v="3904"/>
    <n v="22154"/>
    <n v="0"/>
    <s v="Y"/>
    <s v="No"/>
    <s v="No"/>
    <n v="13"/>
    <n v="3"/>
    <n v="1"/>
    <n v="80"/>
    <n v="0"/>
    <n v="6"/>
    <s v="6-15"/>
    <n v="2"/>
    <n v="3"/>
    <n v="5"/>
    <n v="2"/>
    <n v="0"/>
    <n v="3"/>
  </r>
  <r>
    <n v="30"/>
    <x v="1"/>
    <s v="No"/>
    <s v="Travel_Rarely"/>
    <n v="1138"/>
    <x v="1"/>
    <n v="6"/>
    <n v="3"/>
    <s v="Technical Degree"/>
    <n v="1"/>
    <n v="1311"/>
    <n v="1"/>
    <s v="Female"/>
    <n v="48"/>
    <n v="2"/>
    <x v="0"/>
    <x v="2"/>
    <n v="4"/>
    <s v="Married"/>
    <n v="4627"/>
    <n v="23631"/>
    <n v="0"/>
    <s v="Y"/>
    <s v="No"/>
    <s v="No"/>
    <n v="12"/>
    <n v="3"/>
    <n v="1"/>
    <n v="80"/>
    <n v="1"/>
    <n v="10"/>
    <s v="6-15"/>
    <n v="6"/>
    <n v="3"/>
    <n v="9"/>
    <n v="2"/>
    <n v="6"/>
    <n v="7"/>
  </r>
  <r>
    <n v="36"/>
    <x v="1"/>
    <s v="No"/>
    <s v="Travel_Rarely"/>
    <n v="325"/>
    <x v="1"/>
    <n v="10"/>
    <n v="4"/>
    <s v="Technical Degree"/>
    <n v="1"/>
    <n v="1312"/>
    <n v="4"/>
    <s v="Female"/>
    <n v="63"/>
    <n v="3"/>
    <x v="2"/>
    <x v="4"/>
    <n v="3"/>
    <s v="Married"/>
    <n v="7094"/>
    <n v="5747"/>
    <n v="3"/>
    <s v="Y"/>
    <s v="No"/>
    <s v="No"/>
    <n v="12"/>
    <n v="3"/>
    <n v="1"/>
    <n v="80"/>
    <n v="0"/>
    <n v="10"/>
    <s v="6-15"/>
    <n v="0"/>
    <n v="3"/>
    <n v="7"/>
    <n v="7"/>
    <n v="1"/>
    <n v="7"/>
  </r>
  <r>
    <n v="46"/>
    <x v="1"/>
    <s v="No"/>
    <s v="Travel_Rarely"/>
    <n v="991"/>
    <x v="2"/>
    <n v="1"/>
    <n v="2"/>
    <s v="Life Sciences"/>
    <n v="1"/>
    <n v="1314"/>
    <n v="4"/>
    <s v="Female"/>
    <n v="44"/>
    <n v="3"/>
    <x v="1"/>
    <x v="8"/>
    <n v="1"/>
    <s v="Single"/>
    <n v="3423"/>
    <n v="22957"/>
    <n v="6"/>
    <s v="Y"/>
    <s v="No"/>
    <s v="No"/>
    <n v="12"/>
    <n v="3"/>
    <n v="3"/>
    <n v="80"/>
    <n v="0"/>
    <n v="10"/>
    <s v="6-15"/>
    <n v="3"/>
    <n v="4"/>
    <n v="7"/>
    <n v="6"/>
    <n v="5"/>
    <n v="7"/>
  </r>
  <r>
    <n v="28"/>
    <x v="1"/>
    <s v="No"/>
    <s v="Non-Travel"/>
    <n v="1476"/>
    <x v="1"/>
    <n v="1"/>
    <n v="3"/>
    <s v="Life Sciences"/>
    <n v="1"/>
    <n v="1315"/>
    <n v="3"/>
    <s v="Female"/>
    <n v="55"/>
    <n v="1"/>
    <x v="0"/>
    <x v="2"/>
    <n v="4"/>
    <s v="Married"/>
    <n v="6674"/>
    <n v="16392"/>
    <n v="0"/>
    <s v="Y"/>
    <s v="No"/>
    <s v="No"/>
    <n v="11"/>
    <n v="3"/>
    <n v="1"/>
    <n v="80"/>
    <n v="3"/>
    <n v="10"/>
    <s v="6-15"/>
    <n v="6"/>
    <n v="3"/>
    <n v="9"/>
    <n v="8"/>
    <n v="7"/>
    <n v="5"/>
  </r>
  <r>
    <n v="50"/>
    <x v="1"/>
    <s v="No"/>
    <s v="Travel_Rarely"/>
    <n v="1322"/>
    <x v="1"/>
    <n v="28"/>
    <n v="3"/>
    <s v="Life Sciences"/>
    <n v="1"/>
    <n v="1317"/>
    <n v="4"/>
    <s v="Female"/>
    <n v="43"/>
    <n v="3"/>
    <x v="3"/>
    <x v="7"/>
    <n v="1"/>
    <s v="Married"/>
    <n v="16880"/>
    <n v="22422"/>
    <n v="4"/>
    <s v="Y"/>
    <s v="Yes"/>
    <s v="Yes"/>
    <n v="11"/>
    <n v="3"/>
    <n v="2"/>
    <n v="80"/>
    <n v="0"/>
    <n v="25"/>
    <s v="&gt;15"/>
    <n v="2"/>
    <n v="3"/>
    <n v="3"/>
    <n v="2"/>
    <n v="1"/>
    <n v="2"/>
  </r>
  <r>
    <n v="40"/>
    <x v="0"/>
    <s v="Yes"/>
    <s v="Travel_Rarely"/>
    <n v="299"/>
    <x v="0"/>
    <n v="25"/>
    <n v="4"/>
    <s v="Marketing"/>
    <n v="1"/>
    <n v="1318"/>
    <n v="4"/>
    <s v="Male"/>
    <n v="57"/>
    <n v="2"/>
    <x v="2"/>
    <x v="0"/>
    <n v="2"/>
    <s v="Single"/>
    <n v="9094"/>
    <n v="17235"/>
    <n v="2"/>
    <s v="Y"/>
    <s v="Yes"/>
    <s v="Yes"/>
    <n v="12"/>
    <n v="3"/>
    <n v="3"/>
    <n v="80"/>
    <n v="0"/>
    <n v="9"/>
    <s v="6-15"/>
    <n v="2"/>
    <n v="3"/>
    <n v="5"/>
    <n v="4"/>
    <n v="1"/>
    <n v="0"/>
  </r>
  <r>
    <n v="52"/>
    <x v="0"/>
    <s v="Yes"/>
    <s v="Travel_Rarely"/>
    <n v="1030"/>
    <x v="0"/>
    <n v="5"/>
    <n v="3"/>
    <s v="Life Sciences"/>
    <n v="1"/>
    <n v="1319"/>
    <n v="2"/>
    <s v="Male"/>
    <n v="64"/>
    <n v="3"/>
    <x v="2"/>
    <x v="0"/>
    <n v="2"/>
    <s v="Single"/>
    <n v="8446"/>
    <n v="21534"/>
    <n v="9"/>
    <s v="Y"/>
    <s v="Yes"/>
    <s v="Yes"/>
    <n v="19"/>
    <n v="3"/>
    <n v="3"/>
    <n v="80"/>
    <n v="0"/>
    <n v="10"/>
    <s v="6-15"/>
    <n v="2"/>
    <n v="2"/>
    <n v="8"/>
    <n v="7"/>
    <n v="7"/>
    <n v="7"/>
  </r>
  <r>
    <n v="30"/>
    <x v="1"/>
    <s v="No"/>
    <s v="Travel_Rarely"/>
    <n v="634"/>
    <x v="1"/>
    <n v="17"/>
    <n v="4"/>
    <s v="Medical"/>
    <n v="1"/>
    <n v="1321"/>
    <n v="2"/>
    <s v="Female"/>
    <n v="95"/>
    <n v="3"/>
    <x v="2"/>
    <x v="5"/>
    <n v="1"/>
    <s v="Married"/>
    <n v="11916"/>
    <n v="25927"/>
    <n v="1"/>
    <s v="Y"/>
    <s v="Yes"/>
    <s v="Yes"/>
    <n v="23"/>
    <n v="4"/>
    <n v="4"/>
    <n v="80"/>
    <n v="2"/>
    <n v="9"/>
    <s v="6-15"/>
    <n v="2"/>
    <n v="3"/>
    <n v="9"/>
    <n v="1"/>
    <n v="0"/>
    <n v="8"/>
  </r>
  <r>
    <n v="39"/>
    <x v="1"/>
    <s v="No"/>
    <s v="Travel_Rarely"/>
    <n v="524"/>
    <x v="1"/>
    <n v="18"/>
    <n v="2"/>
    <s v="Life Sciences"/>
    <n v="1"/>
    <n v="1322"/>
    <n v="1"/>
    <s v="Male"/>
    <n v="32"/>
    <n v="3"/>
    <x v="0"/>
    <x v="3"/>
    <n v="3"/>
    <s v="Single"/>
    <n v="4534"/>
    <n v="13352"/>
    <n v="0"/>
    <s v="Y"/>
    <s v="No"/>
    <s v="No"/>
    <n v="11"/>
    <n v="3"/>
    <n v="1"/>
    <n v="80"/>
    <n v="0"/>
    <n v="9"/>
    <s v="6-15"/>
    <n v="6"/>
    <n v="3"/>
    <n v="8"/>
    <n v="7"/>
    <n v="1"/>
    <n v="7"/>
  </r>
  <r>
    <n v="31"/>
    <x v="1"/>
    <s v="No"/>
    <s v="Non-Travel"/>
    <n v="587"/>
    <x v="0"/>
    <n v="2"/>
    <n v="4"/>
    <s v="Life Sciences"/>
    <n v="1"/>
    <n v="1324"/>
    <n v="4"/>
    <s v="Female"/>
    <n v="57"/>
    <n v="3"/>
    <x v="2"/>
    <x v="0"/>
    <n v="3"/>
    <s v="Divorced"/>
    <n v="9852"/>
    <n v="8935"/>
    <n v="1"/>
    <s v="Y"/>
    <s v="Yes"/>
    <s v="Yes"/>
    <n v="19"/>
    <n v="3"/>
    <n v="1"/>
    <n v="80"/>
    <n v="1"/>
    <n v="10"/>
    <s v="6-15"/>
    <n v="5"/>
    <n v="2"/>
    <n v="10"/>
    <n v="8"/>
    <n v="9"/>
    <n v="6"/>
  </r>
  <r>
    <n v="41"/>
    <x v="1"/>
    <s v="No"/>
    <s v="Non-Travel"/>
    <n v="256"/>
    <x v="0"/>
    <n v="10"/>
    <n v="2"/>
    <s v="Medical"/>
    <n v="1"/>
    <n v="1329"/>
    <n v="3"/>
    <s v="Male"/>
    <n v="40"/>
    <n v="1"/>
    <x v="0"/>
    <x v="0"/>
    <n v="2"/>
    <s v="Single"/>
    <n v="6151"/>
    <n v="22074"/>
    <n v="1"/>
    <s v="Y"/>
    <s v="No"/>
    <s v="No"/>
    <n v="13"/>
    <n v="3"/>
    <n v="1"/>
    <n v="80"/>
    <n v="0"/>
    <n v="19"/>
    <s v="&gt;15"/>
    <n v="4"/>
    <n v="3"/>
    <n v="19"/>
    <n v="2"/>
    <n v="11"/>
    <n v="9"/>
  </r>
  <r>
    <n v="31"/>
    <x v="0"/>
    <s v="Yes"/>
    <s v="Travel_Frequently"/>
    <n v="1060"/>
    <x v="0"/>
    <n v="1"/>
    <n v="3"/>
    <s v="Life Sciences"/>
    <n v="1"/>
    <n v="1331"/>
    <n v="4"/>
    <s v="Female"/>
    <n v="54"/>
    <n v="3"/>
    <x v="1"/>
    <x v="6"/>
    <n v="2"/>
    <s v="Single"/>
    <n v="2302"/>
    <n v="8319"/>
    <n v="1"/>
    <s v="Y"/>
    <s v="Yes"/>
    <s v="Yes"/>
    <n v="11"/>
    <n v="3"/>
    <n v="1"/>
    <n v="80"/>
    <n v="0"/>
    <n v="3"/>
    <s v="0-5"/>
    <n v="2"/>
    <n v="4"/>
    <n v="3"/>
    <n v="2"/>
    <n v="2"/>
    <n v="2"/>
  </r>
  <r>
    <n v="44"/>
    <x v="0"/>
    <s v="Yes"/>
    <s v="Travel_Rarely"/>
    <n v="935"/>
    <x v="1"/>
    <n v="3"/>
    <n v="3"/>
    <s v="Life Sciences"/>
    <n v="1"/>
    <n v="1333"/>
    <n v="1"/>
    <s v="Male"/>
    <n v="89"/>
    <n v="3"/>
    <x v="1"/>
    <x v="2"/>
    <n v="1"/>
    <s v="Married"/>
    <n v="2362"/>
    <n v="14669"/>
    <n v="4"/>
    <s v="Y"/>
    <s v="No"/>
    <s v="No"/>
    <n v="12"/>
    <n v="3"/>
    <n v="3"/>
    <n v="80"/>
    <n v="0"/>
    <n v="10"/>
    <s v="6-15"/>
    <n v="4"/>
    <n v="4"/>
    <n v="3"/>
    <n v="2"/>
    <n v="1"/>
    <n v="2"/>
  </r>
  <r>
    <n v="42"/>
    <x v="1"/>
    <s v="No"/>
    <s v="Non-Travel"/>
    <n v="495"/>
    <x v="1"/>
    <n v="2"/>
    <n v="1"/>
    <s v="Life Sciences"/>
    <n v="1"/>
    <n v="1334"/>
    <n v="3"/>
    <s v="Male"/>
    <n v="37"/>
    <n v="3"/>
    <x v="3"/>
    <x v="5"/>
    <n v="3"/>
    <s v="Married"/>
    <n v="17861"/>
    <n v="26582"/>
    <n v="0"/>
    <s v="Y"/>
    <s v="Yes"/>
    <s v="Yes"/>
    <n v="13"/>
    <n v="3"/>
    <n v="4"/>
    <n v="80"/>
    <n v="0"/>
    <n v="21"/>
    <s v="&gt;15"/>
    <n v="3"/>
    <n v="2"/>
    <n v="20"/>
    <n v="8"/>
    <n v="2"/>
    <n v="10"/>
  </r>
  <r>
    <n v="55"/>
    <x v="1"/>
    <s v="No"/>
    <s v="Travel_Rarely"/>
    <n v="282"/>
    <x v="1"/>
    <n v="2"/>
    <n v="2"/>
    <s v="Medical"/>
    <n v="1"/>
    <n v="1336"/>
    <n v="4"/>
    <s v="Female"/>
    <n v="58"/>
    <n v="1"/>
    <x v="4"/>
    <x v="5"/>
    <n v="3"/>
    <s v="Married"/>
    <n v="19187"/>
    <n v="6992"/>
    <n v="4"/>
    <s v="Y"/>
    <s v="No"/>
    <s v="No"/>
    <n v="14"/>
    <n v="3"/>
    <n v="4"/>
    <n v="80"/>
    <n v="1"/>
    <n v="23"/>
    <s v="&gt;15"/>
    <n v="5"/>
    <n v="3"/>
    <n v="19"/>
    <n v="9"/>
    <n v="9"/>
    <n v="11"/>
  </r>
  <r>
    <n v="56"/>
    <x v="1"/>
    <s v="No"/>
    <s v="Travel_Rarely"/>
    <n v="206"/>
    <x v="2"/>
    <n v="8"/>
    <n v="4"/>
    <s v="Life Sciences"/>
    <n v="1"/>
    <n v="1338"/>
    <n v="4"/>
    <s v="Male"/>
    <n v="99"/>
    <n v="3"/>
    <x v="4"/>
    <x v="5"/>
    <n v="2"/>
    <s v="Single"/>
    <n v="19717"/>
    <n v="4022"/>
    <n v="6"/>
    <s v="Y"/>
    <s v="No"/>
    <s v="No"/>
    <n v="14"/>
    <n v="3"/>
    <n v="1"/>
    <n v="80"/>
    <n v="0"/>
    <n v="36"/>
    <s v="&gt;15"/>
    <n v="4"/>
    <n v="3"/>
    <n v="7"/>
    <n v="3"/>
    <n v="7"/>
    <n v="7"/>
  </r>
  <r>
    <n v="40"/>
    <x v="1"/>
    <s v="No"/>
    <s v="Non-Travel"/>
    <n v="458"/>
    <x v="1"/>
    <n v="16"/>
    <n v="2"/>
    <s v="Life Sciences"/>
    <n v="1"/>
    <n v="1340"/>
    <n v="3"/>
    <s v="Male"/>
    <n v="74"/>
    <n v="3"/>
    <x v="1"/>
    <x v="1"/>
    <n v="3"/>
    <s v="Divorced"/>
    <n v="3544"/>
    <n v="8532"/>
    <n v="9"/>
    <s v="Y"/>
    <s v="No"/>
    <s v="No"/>
    <n v="16"/>
    <n v="3"/>
    <n v="2"/>
    <n v="80"/>
    <n v="1"/>
    <n v="6"/>
    <s v="6-15"/>
    <n v="0"/>
    <n v="3"/>
    <n v="4"/>
    <n v="2"/>
    <n v="0"/>
    <n v="0"/>
  </r>
  <r>
    <n v="34"/>
    <x v="1"/>
    <s v="No"/>
    <s v="Travel_Rarely"/>
    <n v="943"/>
    <x v="1"/>
    <n v="9"/>
    <n v="3"/>
    <s v="Life Sciences"/>
    <n v="1"/>
    <n v="1344"/>
    <n v="4"/>
    <s v="Male"/>
    <n v="86"/>
    <n v="3"/>
    <x v="2"/>
    <x v="4"/>
    <n v="4"/>
    <s v="Divorced"/>
    <n v="8500"/>
    <n v="5494"/>
    <n v="0"/>
    <s v="Y"/>
    <s v="No"/>
    <s v="No"/>
    <n v="11"/>
    <n v="3"/>
    <n v="4"/>
    <n v="80"/>
    <n v="1"/>
    <n v="10"/>
    <s v="6-15"/>
    <n v="0"/>
    <n v="2"/>
    <n v="9"/>
    <n v="7"/>
    <n v="1"/>
    <n v="6"/>
  </r>
  <r>
    <n v="40"/>
    <x v="1"/>
    <s v="No"/>
    <s v="Travel_Rarely"/>
    <n v="523"/>
    <x v="1"/>
    <n v="2"/>
    <n v="3"/>
    <s v="Life Sciences"/>
    <n v="1"/>
    <n v="1346"/>
    <n v="3"/>
    <s v="Male"/>
    <n v="98"/>
    <n v="3"/>
    <x v="0"/>
    <x v="1"/>
    <n v="4"/>
    <s v="Single"/>
    <n v="4661"/>
    <n v="22455"/>
    <n v="1"/>
    <s v="Y"/>
    <s v="No"/>
    <s v="No"/>
    <n v="13"/>
    <n v="3"/>
    <n v="3"/>
    <n v="80"/>
    <n v="0"/>
    <n v="9"/>
    <s v="6-15"/>
    <n v="4"/>
    <n v="3"/>
    <n v="9"/>
    <n v="8"/>
    <n v="8"/>
    <n v="8"/>
  </r>
  <r>
    <n v="41"/>
    <x v="1"/>
    <s v="No"/>
    <s v="Travel_Frequently"/>
    <n v="1018"/>
    <x v="0"/>
    <n v="1"/>
    <n v="3"/>
    <s v="Marketing"/>
    <n v="1"/>
    <n v="1349"/>
    <n v="3"/>
    <s v="Female"/>
    <n v="66"/>
    <n v="3"/>
    <x v="0"/>
    <x v="0"/>
    <n v="1"/>
    <s v="Divorced"/>
    <n v="4103"/>
    <n v="4297"/>
    <n v="0"/>
    <s v="Y"/>
    <s v="No"/>
    <s v="No"/>
    <n v="17"/>
    <n v="3"/>
    <n v="4"/>
    <n v="80"/>
    <n v="1"/>
    <n v="10"/>
    <s v="6-15"/>
    <n v="2"/>
    <n v="3"/>
    <n v="9"/>
    <n v="3"/>
    <n v="1"/>
    <n v="7"/>
  </r>
  <r>
    <n v="35"/>
    <x v="1"/>
    <s v="No"/>
    <s v="Travel_Frequently"/>
    <n v="482"/>
    <x v="1"/>
    <n v="4"/>
    <n v="4"/>
    <s v="Life Sciences"/>
    <n v="1"/>
    <n v="1350"/>
    <n v="3"/>
    <s v="Male"/>
    <n v="87"/>
    <n v="3"/>
    <x v="0"/>
    <x v="1"/>
    <n v="3"/>
    <s v="Single"/>
    <n v="4249"/>
    <n v="2690"/>
    <n v="1"/>
    <s v="Y"/>
    <s v="Yes"/>
    <s v="Yes"/>
    <n v="11"/>
    <n v="3"/>
    <n v="2"/>
    <n v="80"/>
    <n v="0"/>
    <n v="9"/>
    <s v="6-15"/>
    <n v="3"/>
    <n v="3"/>
    <n v="9"/>
    <n v="6"/>
    <n v="1"/>
    <n v="1"/>
  </r>
  <r>
    <n v="51"/>
    <x v="1"/>
    <s v="No"/>
    <s v="Travel_Rarely"/>
    <n v="770"/>
    <x v="2"/>
    <n v="5"/>
    <n v="3"/>
    <s v="Life Sciences"/>
    <n v="1"/>
    <n v="1352"/>
    <n v="3"/>
    <s v="Male"/>
    <n v="84"/>
    <n v="3"/>
    <x v="3"/>
    <x v="5"/>
    <n v="2"/>
    <s v="Divorced"/>
    <n v="14026"/>
    <n v="17588"/>
    <n v="1"/>
    <s v="Y"/>
    <s v="Yes"/>
    <s v="Yes"/>
    <n v="11"/>
    <n v="3"/>
    <n v="2"/>
    <n v="80"/>
    <n v="1"/>
    <n v="33"/>
    <s v="&gt;15"/>
    <n v="2"/>
    <n v="3"/>
    <n v="33"/>
    <n v="9"/>
    <n v="0"/>
    <n v="10"/>
  </r>
  <r>
    <n v="38"/>
    <x v="1"/>
    <s v="No"/>
    <s v="Travel_Rarely"/>
    <n v="1009"/>
    <x v="0"/>
    <n v="2"/>
    <n v="2"/>
    <s v="Life Sciences"/>
    <n v="1"/>
    <n v="1355"/>
    <n v="2"/>
    <s v="Female"/>
    <n v="31"/>
    <n v="3"/>
    <x v="0"/>
    <x v="0"/>
    <n v="1"/>
    <s v="Divorced"/>
    <n v="6893"/>
    <n v="19461"/>
    <n v="3"/>
    <s v="Y"/>
    <s v="No"/>
    <s v="No"/>
    <n v="15"/>
    <n v="3"/>
    <n v="4"/>
    <n v="80"/>
    <n v="1"/>
    <n v="11"/>
    <s v="6-15"/>
    <n v="3"/>
    <n v="3"/>
    <n v="7"/>
    <n v="7"/>
    <n v="1"/>
    <n v="7"/>
  </r>
  <r>
    <n v="34"/>
    <x v="1"/>
    <s v="No"/>
    <s v="Travel_Rarely"/>
    <n v="507"/>
    <x v="0"/>
    <n v="15"/>
    <n v="2"/>
    <s v="Medical"/>
    <n v="1"/>
    <n v="1356"/>
    <n v="3"/>
    <s v="Female"/>
    <n v="66"/>
    <n v="3"/>
    <x v="0"/>
    <x v="0"/>
    <n v="1"/>
    <s v="Single"/>
    <n v="6125"/>
    <n v="23553"/>
    <n v="1"/>
    <s v="Y"/>
    <s v="No"/>
    <s v="No"/>
    <n v="12"/>
    <n v="3"/>
    <n v="4"/>
    <n v="80"/>
    <n v="0"/>
    <n v="10"/>
    <s v="6-15"/>
    <n v="6"/>
    <n v="4"/>
    <n v="10"/>
    <n v="8"/>
    <n v="9"/>
    <n v="6"/>
  </r>
  <r>
    <n v="25"/>
    <x v="1"/>
    <s v="No"/>
    <s v="Travel_Rarely"/>
    <n v="882"/>
    <x v="1"/>
    <n v="19"/>
    <n v="1"/>
    <s v="Medical"/>
    <n v="1"/>
    <n v="1358"/>
    <n v="4"/>
    <s v="Male"/>
    <n v="67"/>
    <n v="3"/>
    <x v="1"/>
    <x v="2"/>
    <n v="4"/>
    <s v="Married"/>
    <n v="3669"/>
    <n v="9075"/>
    <n v="3"/>
    <s v="Y"/>
    <s v="No"/>
    <s v="No"/>
    <n v="11"/>
    <n v="3"/>
    <n v="3"/>
    <n v="80"/>
    <n v="3"/>
    <n v="7"/>
    <s v="6-15"/>
    <n v="6"/>
    <n v="2"/>
    <n v="3"/>
    <n v="2"/>
    <n v="1"/>
    <n v="2"/>
  </r>
  <r>
    <n v="58"/>
    <x v="0"/>
    <s v="Yes"/>
    <s v="Travel_Rarely"/>
    <n v="601"/>
    <x v="1"/>
    <n v="7"/>
    <n v="4"/>
    <s v="Medical"/>
    <n v="1"/>
    <n v="1360"/>
    <n v="3"/>
    <s v="Female"/>
    <n v="53"/>
    <n v="2"/>
    <x v="2"/>
    <x v="3"/>
    <n v="1"/>
    <s v="Married"/>
    <n v="10008"/>
    <n v="12023"/>
    <n v="7"/>
    <s v="Y"/>
    <s v="Yes"/>
    <s v="Yes"/>
    <n v="14"/>
    <n v="3"/>
    <n v="4"/>
    <n v="80"/>
    <n v="0"/>
    <n v="31"/>
    <s v="&gt;15"/>
    <n v="0"/>
    <n v="2"/>
    <n v="10"/>
    <n v="9"/>
    <n v="5"/>
    <n v="9"/>
  </r>
  <r>
    <n v="40"/>
    <x v="1"/>
    <s v="No"/>
    <s v="Travel_Rarely"/>
    <n v="329"/>
    <x v="1"/>
    <n v="1"/>
    <n v="4"/>
    <s v="Life Sciences"/>
    <n v="1"/>
    <n v="1361"/>
    <n v="2"/>
    <s v="Male"/>
    <n v="88"/>
    <n v="3"/>
    <x v="1"/>
    <x v="2"/>
    <n v="2"/>
    <s v="Married"/>
    <n v="2387"/>
    <n v="6762"/>
    <n v="3"/>
    <s v="Y"/>
    <s v="No"/>
    <s v="No"/>
    <n v="22"/>
    <n v="4"/>
    <n v="3"/>
    <n v="80"/>
    <n v="1"/>
    <n v="7"/>
    <s v="6-15"/>
    <n v="3"/>
    <n v="3"/>
    <n v="4"/>
    <n v="2"/>
    <n v="0"/>
    <n v="3"/>
  </r>
  <r>
    <n v="36"/>
    <x v="1"/>
    <s v="No"/>
    <s v="Travel_Frequently"/>
    <n v="607"/>
    <x v="0"/>
    <n v="7"/>
    <n v="3"/>
    <s v="Marketing"/>
    <n v="1"/>
    <n v="1362"/>
    <n v="1"/>
    <s v="Female"/>
    <n v="83"/>
    <n v="4"/>
    <x v="0"/>
    <x v="0"/>
    <n v="1"/>
    <s v="Married"/>
    <n v="4639"/>
    <n v="2261"/>
    <n v="2"/>
    <s v="Y"/>
    <s v="No"/>
    <s v="No"/>
    <n v="16"/>
    <n v="3"/>
    <n v="4"/>
    <n v="80"/>
    <n v="1"/>
    <n v="17"/>
    <s v="&gt;15"/>
    <n v="2"/>
    <n v="2"/>
    <n v="15"/>
    <n v="7"/>
    <n v="6"/>
    <n v="13"/>
  </r>
  <r>
    <n v="48"/>
    <x v="1"/>
    <s v="No"/>
    <s v="Travel_Rarely"/>
    <n v="855"/>
    <x v="1"/>
    <n v="4"/>
    <n v="3"/>
    <s v="Life Sciences"/>
    <n v="1"/>
    <n v="1363"/>
    <n v="4"/>
    <s v="Male"/>
    <n v="54"/>
    <n v="3"/>
    <x v="2"/>
    <x v="3"/>
    <n v="4"/>
    <s v="Single"/>
    <n v="7898"/>
    <n v="18706"/>
    <n v="1"/>
    <s v="Y"/>
    <s v="No"/>
    <s v="No"/>
    <n v="11"/>
    <n v="3"/>
    <n v="3"/>
    <n v="80"/>
    <n v="0"/>
    <n v="11"/>
    <s v="6-15"/>
    <n v="2"/>
    <n v="3"/>
    <n v="10"/>
    <n v="9"/>
    <n v="0"/>
    <n v="8"/>
  </r>
  <r>
    <n v="27"/>
    <x v="1"/>
    <s v="No"/>
    <s v="Travel_Rarely"/>
    <n v="1291"/>
    <x v="0"/>
    <n v="11"/>
    <n v="3"/>
    <s v="Medical"/>
    <n v="1"/>
    <n v="1364"/>
    <n v="3"/>
    <s v="Female"/>
    <n v="98"/>
    <n v="4"/>
    <x v="1"/>
    <x v="6"/>
    <n v="4"/>
    <s v="Married"/>
    <n v="2534"/>
    <n v="6527"/>
    <n v="8"/>
    <s v="Y"/>
    <s v="No"/>
    <s v="No"/>
    <n v="14"/>
    <n v="3"/>
    <n v="2"/>
    <n v="80"/>
    <n v="1"/>
    <n v="5"/>
    <s v="0-5"/>
    <n v="4"/>
    <n v="3"/>
    <n v="1"/>
    <n v="0"/>
    <n v="0"/>
    <n v="0"/>
  </r>
  <r>
    <n v="51"/>
    <x v="1"/>
    <s v="No"/>
    <s v="Travel_Rarely"/>
    <n v="1405"/>
    <x v="1"/>
    <n v="11"/>
    <n v="2"/>
    <s v="Technical Degree"/>
    <n v="1"/>
    <n v="1367"/>
    <n v="4"/>
    <s v="Female"/>
    <n v="82"/>
    <n v="2"/>
    <x v="3"/>
    <x v="3"/>
    <n v="2"/>
    <s v="Single"/>
    <n v="13142"/>
    <n v="24439"/>
    <n v="3"/>
    <s v="Y"/>
    <s v="No"/>
    <s v="No"/>
    <n v="16"/>
    <n v="3"/>
    <n v="2"/>
    <n v="80"/>
    <n v="0"/>
    <n v="29"/>
    <s v="&gt;15"/>
    <n v="1"/>
    <n v="2"/>
    <n v="5"/>
    <n v="2"/>
    <n v="0"/>
    <n v="3"/>
  </r>
  <r>
    <n v="18"/>
    <x v="1"/>
    <s v="No"/>
    <s v="Non-Travel"/>
    <n v="1124"/>
    <x v="1"/>
    <n v="1"/>
    <n v="3"/>
    <s v="Life Sciences"/>
    <n v="1"/>
    <n v="1368"/>
    <n v="4"/>
    <s v="Female"/>
    <n v="97"/>
    <n v="3"/>
    <x v="1"/>
    <x v="2"/>
    <n v="4"/>
    <s v="Single"/>
    <n v="1611"/>
    <n v="19305"/>
    <n v="1"/>
    <s v="Y"/>
    <s v="No"/>
    <s v="No"/>
    <n v="15"/>
    <n v="3"/>
    <n v="3"/>
    <n v="80"/>
    <n v="0"/>
    <n v="0"/>
    <s v="0-5"/>
    <n v="5"/>
    <n v="4"/>
    <n v="0"/>
    <n v="0"/>
    <n v="0"/>
    <n v="0"/>
  </r>
  <r>
    <n v="35"/>
    <x v="1"/>
    <s v="No"/>
    <s v="Travel_Rarely"/>
    <n v="817"/>
    <x v="1"/>
    <n v="1"/>
    <n v="3"/>
    <s v="Medical"/>
    <n v="1"/>
    <n v="1369"/>
    <n v="4"/>
    <s v="Female"/>
    <n v="60"/>
    <n v="2"/>
    <x v="0"/>
    <x v="2"/>
    <n v="4"/>
    <s v="Married"/>
    <n v="5363"/>
    <n v="10846"/>
    <n v="0"/>
    <s v="Y"/>
    <s v="No"/>
    <s v="No"/>
    <n v="12"/>
    <n v="3"/>
    <n v="2"/>
    <n v="80"/>
    <n v="1"/>
    <n v="10"/>
    <s v="6-15"/>
    <n v="0"/>
    <n v="3"/>
    <n v="9"/>
    <n v="7"/>
    <n v="0"/>
    <n v="0"/>
  </r>
  <r>
    <n v="27"/>
    <x v="1"/>
    <s v="No"/>
    <s v="Travel_Frequently"/>
    <n v="793"/>
    <x v="0"/>
    <n v="2"/>
    <n v="1"/>
    <s v="Life Sciences"/>
    <n v="1"/>
    <n v="1371"/>
    <n v="4"/>
    <s v="Male"/>
    <n v="43"/>
    <n v="1"/>
    <x v="0"/>
    <x v="0"/>
    <n v="4"/>
    <s v="Single"/>
    <n v="5071"/>
    <n v="20392"/>
    <n v="3"/>
    <s v="Y"/>
    <s v="No"/>
    <s v="No"/>
    <n v="20"/>
    <n v="4"/>
    <n v="2"/>
    <n v="80"/>
    <n v="0"/>
    <n v="8"/>
    <s v="6-15"/>
    <n v="3"/>
    <n v="3"/>
    <n v="6"/>
    <n v="2"/>
    <n v="0"/>
    <n v="0"/>
  </r>
  <r>
    <n v="55"/>
    <x v="0"/>
    <s v="Yes"/>
    <s v="Travel_Rarely"/>
    <n v="267"/>
    <x v="0"/>
    <n v="13"/>
    <n v="4"/>
    <s v="Marketing"/>
    <n v="1"/>
    <n v="1372"/>
    <n v="1"/>
    <s v="Male"/>
    <n v="85"/>
    <n v="4"/>
    <x v="3"/>
    <x v="0"/>
    <n v="3"/>
    <s v="Single"/>
    <n v="13695"/>
    <n v="9277"/>
    <n v="6"/>
    <s v="Y"/>
    <s v="Yes"/>
    <s v="Yes"/>
    <n v="17"/>
    <n v="3"/>
    <n v="3"/>
    <n v="80"/>
    <n v="0"/>
    <n v="24"/>
    <s v="&gt;15"/>
    <n v="2"/>
    <n v="2"/>
    <n v="19"/>
    <n v="7"/>
    <n v="3"/>
    <n v="8"/>
  </r>
  <r>
    <n v="56"/>
    <x v="1"/>
    <s v="No"/>
    <s v="Travel_Rarely"/>
    <n v="1369"/>
    <x v="1"/>
    <n v="23"/>
    <n v="3"/>
    <s v="Life Sciences"/>
    <n v="1"/>
    <n v="1373"/>
    <n v="4"/>
    <s v="Male"/>
    <n v="68"/>
    <n v="3"/>
    <x v="3"/>
    <x v="3"/>
    <n v="2"/>
    <s v="Married"/>
    <n v="13402"/>
    <n v="18235"/>
    <n v="4"/>
    <s v="Y"/>
    <s v="Yes"/>
    <s v="Yes"/>
    <n v="12"/>
    <n v="3"/>
    <n v="1"/>
    <n v="80"/>
    <n v="1"/>
    <n v="33"/>
    <s v="&gt;15"/>
    <n v="0"/>
    <n v="3"/>
    <n v="19"/>
    <n v="16"/>
    <n v="15"/>
    <n v="9"/>
  </r>
  <r>
    <n v="34"/>
    <x v="1"/>
    <s v="No"/>
    <s v="Non-Travel"/>
    <n v="999"/>
    <x v="1"/>
    <n v="26"/>
    <n v="1"/>
    <s v="Technical Degree"/>
    <n v="1"/>
    <n v="1374"/>
    <n v="1"/>
    <s v="Female"/>
    <n v="92"/>
    <n v="2"/>
    <x v="1"/>
    <x v="1"/>
    <n v="3"/>
    <s v="Divorced"/>
    <n v="2029"/>
    <n v="15891"/>
    <n v="1"/>
    <s v="Y"/>
    <s v="No"/>
    <s v="No"/>
    <n v="20"/>
    <n v="4"/>
    <n v="3"/>
    <n v="80"/>
    <n v="3"/>
    <n v="5"/>
    <s v="0-5"/>
    <n v="2"/>
    <n v="3"/>
    <n v="5"/>
    <n v="4"/>
    <n v="0"/>
    <n v="0"/>
  </r>
  <r>
    <n v="40"/>
    <x v="1"/>
    <s v="No"/>
    <s v="Travel_Rarely"/>
    <n v="1202"/>
    <x v="1"/>
    <n v="2"/>
    <n v="1"/>
    <s v="Medical"/>
    <n v="1"/>
    <n v="1375"/>
    <n v="2"/>
    <s v="Female"/>
    <n v="89"/>
    <n v="4"/>
    <x v="0"/>
    <x v="4"/>
    <n v="3"/>
    <s v="Divorced"/>
    <n v="6377"/>
    <n v="13888"/>
    <n v="5"/>
    <s v="Y"/>
    <s v="No"/>
    <s v="No"/>
    <n v="20"/>
    <n v="4"/>
    <n v="2"/>
    <n v="80"/>
    <n v="3"/>
    <n v="15"/>
    <s v="6-15"/>
    <n v="0"/>
    <n v="3"/>
    <n v="12"/>
    <n v="11"/>
    <n v="11"/>
    <n v="8"/>
  </r>
  <r>
    <n v="34"/>
    <x v="1"/>
    <s v="No"/>
    <s v="Travel_Rarely"/>
    <n v="285"/>
    <x v="1"/>
    <n v="29"/>
    <n v="3"/>
    <s v="Medical"/>
    <n v="1"/>
    <n v="1377"/>
    <n v="2"/>
    <s v="Male"/>
    <n v="86"/>
    <n v="3"/>
    <x v="0"/>
    <x v="2"/>
    <n v="3"/>
    <s v="Married"/>
    <n v="5429"/>
    <n v="17491"/>
    <n v="4"/>
    <s v="Y"/>
    <s v="No"/>
    <s v="No"/>
    <n v="13"/>
    <n v="3"/>
    <n v="1"/>
    <n v="80"/>
    <n v="2"/>
    <n v="10"/>
    <s v="6-15"/>
    <n v="1"/>
    <n v="3"/>
    <n v="8"/>
    <n v="7"/>
    <n v="7"/>
    <n v="7"/>
  </r>
  <r>
    <n v="31"/>
    <x v="0"/>
    <s v="Yes"/>
    <s v="Travel_Frequently"/>
    <n v="703"/>
    <x v="0"/>
    <n v="2"/>
    <n v="3"/>
    <s v="Life Sciences"/>
    <n v="1"/>
    <n v="1379"/>
    <n v="3"/>
    <s v="Female"/>
    <n v="90"/>
    <n v="2"/>
    <x v="1"/>
    <x v="6"/>
    <n v="4"/>
    <s v="Single"/>
    <n v="2785"/>
    <n v="11882"/>
    <n v="7"/>
    <s v="Y"/>
    <s v="No"/>
    <s v="No"/>
    <n v="14"/>
    <n v="3"/>
    <n v="3"/>
    <n v="80"/>
    <n v="0"/>
    <n v="3"/>
    <s v="0-5"/>
    <n v="3"/>
    <n v="4"/>
    <n v="1"/>
    <n v="0"/>
    <n v="0"/>
    <n v="0"/>
  </r>
  <r>
    <n v="35"/>
    <x v="0"/>
    <s v="Yes"/>
    <s v="Travel_Frequently"/>
    <n v="662"/>
    <x v="0"/>
    <n v="18"/>
    <n v="4"/>
    <s v="Marketing"/>
    <n v="1"/>
    <n v="1380"/>
    <n v="4"/>
    <s v="Female"/>
    <n v="67"/>
    <n v="3"/>
    <x v="0"/>
    <x v="0"/>
    <n v="3"/>
    <s v="Married"/>
    <n v="4614"/>
    <n v="23288"/>
    <n v="0"/>
    <s v="Y"/>
    <s v="Yes"/>
    <s v="Yes"/>
    <n v="18"/>
    <n v="3"/>
    <n v="3"/>
    <n v="80"/>
    <n v="1"/>
    <n v="5"/>
    <s v="0-5"/>
    <n v="0"/>
    <n v="2"/>
    <n v="4"/>
    <n v="2"/>
    <n v="3"/>
    <n v="2"/>
  </r>
  <r>
    <n v="38"/>
    <x v="1"/>
    <s v="No"/>
    <s v="Travel_Frequently"/>
    <n v="693"/>
    <x v="1"/>
    <n v="7"/>
    <n v="3"/>
    <s v="Life Sciences"/>
    <n v="1"/>
    <n v="1382"/>
    <n v="4"/>
    <s v="Male"/>
    <n v="57"/>
    <n v="4"/>
    <x v="1"/>
    <x v="1"/>
    <n v="3"/>
    <s v="Divorced"/>
    <n v="2610"/>
    <n v="15748"/>
    <n v="1"/>
    <s v="Y"/>
    <s v="No"/>
    <s v="No"/>
    <n v="11"/>
    <n v="3"/>
    <n v="4"/>
    <n v="80"/>
    <n v="3"/>
    <n v="4"/>
    <s v="0-5"/>
    <n v="2"/>
    <n v="3"/>
    <n v="4"/>
    <n v="2"/>
    <n v="0"/>
    <n v="3"/>
  </r>
  <r>
    <n v="34"/>
    <x v="1"/>
    <s v="No"/>
    <s v="Travel_Rarely"/>
    <n v="404"/>
    <x v="1"/>
    <n v="2"/>
    <n v="4"/>
    <s v="Technical Degree"/>
    <n v="1"/>
    <n v="1383"/>
    <n v="3"/>
    <s v="Female"/>
    <n v="98"/>
    <n v="3"/>
    <x v="0"/>
    <x v="4"/>
    <n v="4"/>
    <s v="Single"/>
    <n v="6687"/>
    <n v="6163"/>
    <n v="1"/>
    <s v="Y"/>
    <s v="No"/>
    <s v="No"/>
    <n v="11"/>
    <n v="3"/>
    <n v="4"/>
    <n v="80"/>
    <n v="0"/>
    <n v="14"/>
    <s v="6-15"/>
    <n v="2"/>
    <n v="4"/>
    <n v="14"/>
    <n v="11"/>
    <n v="4"/>
    <n v="11"/>
  </r>
  <r>
    <n v="28"/>
    <x v="1"/>
    <s v="No"/>
    <s v="Travel_Rarely"/>
    <n v="736"/>
    <x v="0"/>
    <n v="26"/>
    <n v="3"/>
    <s v="Life Sciences"/>
    <n v="1"/>
    <n v="1387"/>
    <n v="3"/>
    <s v="Male"/>
    <n v="48"/>
    <n v="2"/>
    <x v="0"/>
    <x v="0"/>
    <n v="1"/>
    <s v="Married"/>
    <n v="4724"/>
    <n v="24232"/>
    <n v="1"/>
    <s v="Y"/>
    <s v="No"/>
    <s v="No"/>
    <n v="11"/>
    <n v="3"/>
    <n v="3"/>
    <n v="80"/>
    <n v="1"/>
    <n v="5"/>
    <s v="0-5"/>
    <n v="0"/>
    <n v="3"/>
    <n v="5"/>
    <n v="3"/>
    <n v="0"/>
    <n v="4"/>
  </r>
  <r>
    <n v="31"/>
    <x v="0"/>
    <s v="Yes"/>
    <s v="Travel_Rarely"/>
    <n v="330"/>
    <x v="1"/>
    <n v="22"/>
    <n v="4"/>
    <s v="Medical"/>
    <n v="1"/>
    <n v="1389"/>
    <n v="4"/>
    <s v="Male"/>
    <n v="98"/>
    <n v="3"/>
    <x v="0"/>
    <x v="3"/>
    <n v="3"/>
    <s v="Married"/>
    <n v="6179"/>
    <n v="21057"/>
    <n v="1"/>
    <s v="Y"/>
    <s v="Yes"/>
    <s v="Yes"/>
    <n v="15"/>
    <n v="3"/>
    <n v="4"/>
    <n v="80"/>
    <n v="2"/>
    <n v="10"/>
    <s v="6-15"/>
    <n v="3"/>
    <n v="2"/>
    <n v="10"/>
    <n v="2"/>
    <n v="6"/>
    <n v="7"/>
  </r>
  <r>
    <n v="39"/>
    <x v="1"/>
    <s v="No"/>
    <s v="Travel_Rarely"/>
    <n v="1498"/>
    <x v="0"/>
    <n v="21"/>
    <n v="4"/>
    <s v="Life Sciences"/>
    <n v="1"/>
    <n v="1390"/>
    <n v="1"/>
    <s v="Male"/>
    <n v="44"/>
    <n v="2"/>
    <x v="0"/>
    <x v="0"/>
    <n v="4"/>
    <s v="Married"/>
    <n v="6120"/>
    <n v="3567"/>
    <n v="3"/>
    <s v="Y"/>
    <s v="Yes"/>
    <s v="Yes"/>
    <n v="12"/>
    <n v="3"/>
    <n v="4"/>
    <n v="80"/>
    <n v="2"/>
    <n v="8"/>
    <s v="6-15"/>
    <n v="2"/>
    <n v="4"/>
    <n v="5"/>
    <n v="4"/>
    <n v="1"/>
    <n v="4"/>
  </r>
  <r>
    <n v="51"/>
    <x v="1"/>
    <s v="No"/>
    <s v="Travel_Frequently"/>
    <n v="541"/>
    <x v="0"/>
    <n v="2"/>
    <n v="3"/>
    <s v="Marketing"/>
    <n v="1"/>
    <n v="1391"/>
    <n v="2"/>
    <s v="Male"/>
    <n v="52"/>
    <n v="3"/>
    <x v="2"/>
    <x v="0"/>
    <n v="2"/>
    <s v="Married"/>
    <n v="10596"/>
    <n v="15395"/>
    <n v="2"/>
    <s v="Y"/>
    <s v="No"/>
    <s v="No"/>
    <n v="11"/>
    <n v="3"/>
    <n v="2"/>
    <n v="80"/>
    <n v="0"/>
    <n v="14"/>
    <s v="6-15"/>
    <n v="5"/>
    <n v="3"/>
    <n v="4"/>
    <n v="2"/>
    <n v="3"/>
    <n v="2"/>
  </r>
  <r>
    <n v="41"/>
    <x v="1"/>
    <s v="No"/>
    <s v="Travel_Frequently"/>
    <n v="1200"/>
    <x v="1"/>
    <n v="22"/>
    <n v="3"/>
    <s v="Life Sciences"/>
    <n v="1"/>
    <n v="1392"/>
    <n v="4"/>
    <s v="Female"/>
    <n v="75"/>
    <n v="3"/>
    <x v="0"/>
    <x v="1"/>
    <n v="4"/>
    <s v="Divorced"/>
    <n v="5467"/>
    <n v="13953"/>
    <n v="3"/>
    <s v="Y"/>
    <s v="Yes"/>
    <s v="Yes"/>
    <n v="14"/>
    <n v="3"/>
    <n v="1"/>
    <n v="80"/>
    <n v="2"/>
    <n v="12"/>
    <s v="6-15"/>
    <n v="4"/>
    <n v="2"/>
    <n v="6"/>
    <n v="2"/>
    <n v="3"/>
    <n v="3"/>
  </r>
  <r>
    <n v="37"/>
    <x v="1"/>
    <s v="No"/>
    <s v="Travel_Rarely"/>
    <n v="1439"/>
    <x v="1"/>
    <n v="4"/>
    <n v="1"/>
    <s v="Life Sciences"/>
    <n v="1"/>
    <n v="1394"/>
    <n v="3"/>
    <s v="Male"/>
    <n v="54"/>
    <n v="3"/>
    <x v="1"/>
    <x v="1"/>
    <n v="3"/>
    <s v="Married"/>
    <n v="2996"/>
    <n v="5182"/>
    <n v="7"/>
    <s v="Y"/>
    <s v="Yes"/>
    <s v="Yes"/>
    <n v="15"/>
    <n v="3"/>
    <n v="4"/>
    <n v="80"/>
    <n v="0"/>
    <n v="8"/>
    <s v="6-15"/>
    <n v="2"/>
    <n v="3"/>
    <n v="6"/>
    <n v="4"/>
    <n v="1"/>
    <n v="3"/>
  </r>
  <r>
    <n v="33"/>
    <x v="1"/>
    <s v="No"/>
    <s v="Travel_Frequently"/>
    <n v="1111"/>
    <x v="0"/>
    <n v="5"/>
    <n v="1"/>
    <s v="Life Sciences"/>
    <n v="1"/>
    <n v="1395"/>
    <n v="2"/>
    <s v="Male"/>
    <n v="61"/>
    <n v="3"/>
    <x v="0"/>
    <x v="0"/>
    <n v="4"/>
    <s v="Married"/>
    <n v="9998"/>
    <n v="19293"/>
    <n v="6"/>
    <s v="Y"/>
    <s v="No"/>
    <s v="No"/>
    <n v="13"/>
    <n v="3"/>
    <n v="1"/>
    <n v="80"/>
    <n v="0"/>
    <n v="8"/>
    <s v="6-15"/>
    <n v="2"/>
    <n v="4"/>
    <n v="5"/>
    <n v="4"/>
    <n v="1"/>
    <n v="2"/>
  </r>
  <r>
    <n v="32"/>
    <x v="1"/>
    <s v="No"/>
    <s v="Travel_Rarely"/>
    <n v="499"/>
    <x v="0"/>
    <n v="2"/>
    <n v="1"/>
    <s v="Marketing"/>
    <n v="1"/>
    <n v="1396"/>
    <n v="3"/>
    <s v="Male"/>
    <n v="36"/>
    <n v="3"/>
    <x v="0"/>
    <x v="0"/>
    <n v="2"/>
    <s v="Married"/>
    <n v="4078"/>
    <n v="20497"/>
    <n v="0"/>
    <s v="Y"/>
    <s v="Yes"/>
    <s v="Yes"/>
    <n v="13"/>
    <n v="3"/>
    <n v="1"/>
    <n v="80"/>
    <n v="3"/>
    <n v="4"/>
    <s v="0-5"/>
    <n v="3"/>
    <n v="2"/>
    <n v="3"/>
    <n v="2"/>
    <n v="1"/>
    <n v="2"/>
  </r>
  <r>
    <n v="39"/>
    <x v="1"/>
    <s v="No"/>
    <s v="Non-Travel"/>
    <n v="1485"/>
    <x v="1"/>
    <n v="25"/>
    <n v="2"/>
    <s v="Life Sciences"/>
    <n v="1"/>
    <n v="1397"/>
    <n v="3"/>
    <s v="Male"/>
    <n v="71"/>
    <n v="3"/>
    <x v="2"/>
    <x v="4"/>
    <n v="3"/>
    <s v="Married"/>
    <n v="10920"/>
    <n v="3449"/>
    <n v="3"/>
    <s v="Y"/>
    <s v="No"/>
    <s v="No"/>
    <n v="21"/>
    <n v="4"/>
    <n v="2"/>
    <n v="80"/>
    <n v="1"/>
    <n v="13"/>
    <s v="6-15"/>
    <n v="2"/>
    <n v="3"/>
    <n v="6"/>
    <n v="4"/>
    <n v="0"/>
    <n v="5"/>
  </r>
  <r>
    <n v="25"/>
    <x v="1"/>
    <s v="No"/>
    <s v="Travel_Rarely"/>
    <n v="1372"/>
    <x v="0"/>
    <n v="18"/>
    <n v="1"/>
    <s v="Life Sciences"/>
    <n v="1"/>
    <n v="1399"/>
    <n v="1"/>
    <s v="Male"/>
    <n v="93"/>
    <n v="4"/>
    <x v="0"/>
    <x v="0"/>
    <n v="3"/>
    <s v="Married"/>
    <n v="6232"/>
    <n v="12477"/>
    <n v="2"/>
    <s v="Y"/>
    <s v="No"/>
    <s v="No"/>
    <n v="11"/>
    <n v="3"/>
    <n v="2"/>
    <n v="80"/>
    <n v="0"/>
    <n v="6"/>
    <s v="6-15"/>
    <n v="3"/>
    <n v="2"/>
    <n v="3"/>
    <n v="2"/>
    <n v="1"/>
    <n v="2"/>
  </r>
  <r>
    <n v="52"/>
    <x v="1"/>
    <s v="No"/>
    <s v="Travel_Frequently"/>
    <n v="322"/>
    <x v="1"/>
    <n v="28"/>
    <n v="2"/>
    <s v="Medical"/>
    <n v="1"/>
    <n v="1401"/>
    <n v="4"/>
    <s v="Female"/>
    <n v="59"/>
    <n v="4"/>
    <x v="3"/>
    <x v="3"/>
    <n v="3"/>
    <s v="Married"/>
    <n v="13247"/>
    <n v="9731"/>
    <n v="2"/>
    <s v="Y"/>
    <s v="Yes"/>
    <s v="Yes"/>
    <n v="11"/>
    <n v="3"/>
    <n v="2"/>
    <n v="80"/>
    <n v="1"/>
    <n v="24"/>
    <s v="&gt;15"/>
    <n v="3"/>
    <n v="2"/>
    <n v="5"/>
    <n v="3"/>
    <n v="0"/>
    <n v="2"/>
  </r>
  <r>
    <n v="43"/>
    <x v="1"/>
    <s v="No"/>
    <s v="Travel_Rarely"/>
    <n v="930"/>
    <x v="1"/>
    <n v="6"/>
    <n v="3"/>
    <s v="Medical"/>
    <n v="1"/>
    <n v="1402"/>
    <n v="1"/>
    <s v="Female"/>
    <n v="73"/>
    <n v="2"/>
    <x v="0"/>
    <x v="1"/>
    <n v="3"/>
    <s v="Single"/>
    <n v="4081"/>
    <n v="20003"/>
    <n v="1"/>
    <s v="Y"/>
    <s v="Yes"/>
    <s v="Yes"/>
    <n v="14"/>
    <n v="3"/>
    <n v="1"/>
    <n v="80"/>
    <n v="0"/>
    <n v="20"/>
    <s v="&gt;15"/>
    <n v="3"/>
    <n v="1"/>
    <n v="20"/>
    <n v="7"/>
    <n v="1"/>
    <n v="8"/>
  </r>
  <r>
    <n v="27"/>
    <x v="1"/>
    <s v="No"/>
    <s v="Travel_Rarely"/>
    <n v="205"/>
    <x v="0"/>
    <n v="10"/>
    <n v="3"/>
    <s v="Marketing"/>
    <n v="1"/>
    <n v="1403"/>
    <n v="4"/>
    <s v="Female"/>
    <n v="98"/>
    <n v="2"/>
    <x v="0"/>
    <x v="0"/>
    <n v="4"/>
    <s v="Married"/>
    <n v="5769"/>
    <n v="7100"/>
    <n v="1"/>
    <s v="Y"/>
    <s v="Yes"/>
    <s v="Yes"/>
    <n v="11"/>
    <n v="3"/>
    <n v="4"/>
    <n v="80"/>
    <n v="0"/>
    <n v="6"/>
    <s v="6-15"/>
    <n v="3"/>
    <n v="3"/>
    <n v="6"/>
    <n v="2"/>
    <n v="4"/>
    <n v="4"/>
  </r>
  <r>
    <n v="27"/>
    <x v="0"/>
    <s v="Yes"/>
    <s v="Travel_Rarely"/>
    <n v="135"/>
    <x v="1"/>
    <n v="17"/>
    <n v="4"/>
    <s v="Life Sciences"/>
    <n v="1"/>
    <n v="1405"/>
    <n v="4"/>
    <s v="Female"/>
    <n v="51"/>
    <n v="3"/>
    <x v="1"/>
    <x v="1"/>
    <n v="3"/>
    <s v="Single"/>
    <n v="2394"/>
    <n v="25681"/>
    <n v="1"/>
    <s v="Y"/>
    <s v="Yes"/>
    <s v="Yes"/>
    <n v="13"/>
    <n v="3"/>
    <n v="4"/>
    <n v="80"/>
    <n v="0"/>
    <n v="8"/>
    <s v="6-15"/>
    <n v="2"/>
    <n v="3"/>
    <n v="8"/>
    <n v="2"/>
    <n v="7"/>
    <n v="7"/>
  </r>
  <r>
    <n v="26"/>
    <x v="1"/>
    <s v="No"/>
    <s v="Travel_Rarely"/>
    <n v="683"/>
    <x v="1"/>
    <n v="2"/>
    <n v="1"/>
    <s v="Medical"/>
    <n v="1"/>
    <n v="1407"/>
    <n v="1"/>
    <s v="Male"/>
    <n v="36"/>
    <n v="2"/>
    <x v="1"/>
    <x v="1"/>
    <n v="4"/>
    <s v="Single"/>
    <n v="3904"/>
    <n v="4050"/>
    <n v="0"/>
    <s v="Y"/>
    <s v="No"/>
    <s v="No"/>
    <n v="12"/>
    <n v="3"/>
    <n v="4"/>
    <n v="80"/>
    <n v="0"/>
    <n v="5"/>
    <s v="0-5"/>
    <n v="2"/>
    <n v="3"/>
    <n v="4"/>
    <n v="3"/>
    <n v="1"/>
    <n v="1"/>
  </r>
  <r>
    <n v="42"/>
    <x v="1"/>
    <s v="No"/>
    <s v="Travel_Rarely"/>
    <n v="1147"/>
    <x v="2"/>
    <n v="10"/>
    <n v="3"/>
    <s v="Human Resources"/>
    <n v="1"/>
    <n v="1408"/>
    <n v="3"/>
    <s v="Female"/>
    <n v="31"/>
    <n v="3"/>
    <x v="3"/>
    <x v="5"/>
    <n v="1"/>
    <s v="Married"/>
    <n v="16799"/>
    <n v="16616"/>
    <n v="0"/>
    <s v="Y"/>
    <s v="No"/>
    <s v="No"/>
    <n v="14"/>
    <n v="3"/>
    <n v="3"/>
    <n v="80"/>
    <n v="1"/>
    <n v="21"/>
    <s v="&gt;15"/>
    <n v="5"/>
    <n v="3"/>
    <n v="20"/>
    <n v="7"/>
    <n v="0"/>
    <n v="9"/>
  </r>
  <r>
    <n v="52"/>
    <x v="1"/>
    <s v="No"/>
    <s v="Travel_Rarely"/>
    <n v="258"/>
    <x v="1"/>
    <n v="8"/>
    <n v="4"/>
    <s v="Other"/>
    <n v="1"/>
    <n v="1409"/>
    <n v="3"/>
    <s v="Female"/>
    <n v="54"/>
    <n v="3"/>
    <x v="1"/>
    <x v="2"/>
    <n v="1"/>
    <s v="Married"/>
    <n v="2950"/>
    <n v="17363"/>
    <n v="9"/>
    <s v="Y"/>
    <s v="No"/>
    <s v="No"/>
    <n v="13"/>
    <n v="3"/>
    <n v="3"/>
    <n v="80"/>
    <n v="0"/>
    <n v="12"/>
    <s v="6-15"/>
    <n v="2"/>
    <n v="1"/>
    <n v="5"/>
    <n v="4"/>
    <n v="0"/>
    <n v="4"/>
  </r>
  <r>
    <n v="37"/>
    <x v="1"/>
    <s v="No"/>
    <s v="Travel_Rarely"/>
    <n v="1462"/>
    <x v="1"/>
    <n v="11"/>
    <n v="3"/>
    <s v="Medical"/>
    <n v="1"/>
    <n v="1411"/>
    <n v="1"/>
    <s v="Female"/>
    <n v="94"/>
    <n v="3"/>
    <x v="1"/>
    <x v="2"/>
    <n v="3"/>
    <s v="Single"/>
    <n v="3629"/>
    <n v="19106"/>
    <n v="4"/>
    <s v="Y"/>
    <s v="No"/>
    <s v="No"/>
    <n v="18"/>
    <n v="3"/>
    <n v="1"/>
    <n v="80"/>
    <n v="0"/>
    <n v="8"/>
    <s v="6-15"/>
    <n v="6"/>
    <n v="3"/>
    <n v="3"/>
    <n v="2"/>
    <n v="0"/>
    <n v="2"/>
  </r>
  <r>
    <n v="35"/>
    <x v="1"/>
    <s v="No"/>
    <s v="Travel_Frequently"/>
    <n v="200"/>
    <x v="1"/>
    <n v="18"/>
    <n v="2"/>
    <s v="Life Sciences"/>
    <n v="1"/>
    <n v="1412"/>
    <n v="3"/>
    <s v="Male"/>
    <n v="60"/>
    <n v="3"/>
    <x v="2"/>
    <x v="3"/>
    <n v="4"/>
    <s v="Single"/>
    <n v="9362"/>
    <n v="19944"/>
    <n v="2"/>
    <s v="Y"/>
    <s v="No"/>
    <s v="No"/>
    <n v="11"/>
    <n v="3"/>
    <n v="3"/>
    <n v="80"/>
    <n v="0"/>
    <n v="10"/>
    <s v="6-15"/>
    <n v="2"/>
    <n v="3"/>
    <n v="2"/>
    <n v="2"/>
    <n v="2"/>
    <n v="2"/>
  </r>
  <r>
    <n v="25"/>
    <x v="1"/>
    <s v="No"/>
    <s v="Travel_Rarely"/>
    <n v="949"/>
    <x v="1"/>
    <n v="1"/>
    <n v="3"/>
    <s v="Technical Degree"/>
    <n v="1"/>
    <n v="1415"/>
    <n v="1"/>
    <s v="Male"/>
    <n v="81"/>
    <n v="3"/>
    <x v="1"/>
    <x v="2"/>
    <n v="4"/>
    <s v="Married"/>
    <n v="3229"/>
    <n v="4910"/>
    <n v="4"/>
    <s v="Y"/>
    <s v="No"/>
    <s v="No"/>
    <n v="11"/>
    <n v="3"/>
    <n v="2"/>
    <n v="80"/>
    <n v="1"/>
    <n v="7"/>
    <s v="6-15"/>
    <n v="2"/>
    <n v="2"/>
    <n v="3"/>
    <n v="2"/>
    <n v="0"/>
    <n v="2"/>
  </r>
  <r>
    <n v="26"/>
    <x v="1"/>
    <s v="No"/>
    <s v="Travel_Rarely"/>
    <n v="652"/>
    <x v="1"/>
    <n v="7"/>
    <n v="3"/>
    <s v="Other"/>
    <n v="1"/>
    <n v="1417"/>
    <n v="3"/>
    <s v="Male"/>
    <n v="100"/>
    <n v="4"/>
    <x v="1"/>
    <x v="2"/>
    <n v="1"/>
    <s v="Single"/>
    <n v="3578"/>
    <n v="23577"/>
    <n v="0"/>
    <s v="Y"/>
    <s v="No"/>
    <s v="No"/>
    <n v="12"/>
    <n v="3"/>
    <n v="4"/>
    <n v="80"/>
    <n v="0"/>
    <n v="8"/>
    <s v="6-15"/>
    <n v="2"/>
    <n v="3"/>
    <n v="7"/>
    <n v="7"/>
    <n v="0"/>
    <n v="7"/>
  </r>
  <r>
    <n v="29"/>
    <x v="1"/>
    <s v="No"/>
    <s v="Travel_Rarely"/>
    <n v="332"/>
    <x v="2"/>
    <n v="17"/>
    <n v="3"/>
    <s v="Other"/>
    <n v="1"/>
    <n v="1419"/>
    <n v="2"/>
    <s v="Male"/>
    <n v="51"/>
    <n v="2"/>
    <x v="2"/>
    <x v="8"/>
    <n v="1"/>
    <s v="Single"/>
    <n v="7988"/>
    <n v="9769"/>
    <n v="1"/>
    <s v="Y"/>
    <s v="No"/>
    <s v="No"/>
    <n v="13"/>
    <n v="3"/>
    <n v="1"/>
    <n v="80"/>
    <n v="0"/>
    <n v="10"/>
    <s v="6-15"/>
    <n v="3"/>
    <n v="2"/>
    <n v="10"/>
    <n v="9"/>
    <n v="0"/>
    <n v="9"/>
  </r>
  <r>
    <n v="49"/>
    <x v="0"/>
    <s v="Yes"/>
    <s v="Travel_Frequently"/>
    <n v="1475"/>
    <x v="1"/>
    <n v="28"/>
    <n v="2"/>
    <s v="Life Sciences"/>
    <n v="1"/>
    <n v="1420"/>
    <n v="1"/>
    <s v="Male"/>
    <n v="97"/>
    <n v="2"/>
    <x v="0"/>
    <x v="2"/>
    <n v="1"/>
    <s v="Single"/>
    <n v="4284"/>
    <n v="22710"/>
    <n v="3"/>
    <s v="Y"/>
    <s v="No"/>
    <s v="No"/>
    <n v="20"/>
    <n v="4"/>
    <n v="1"/>
    <n v="80"/>
    <n v="0"/>
    <n v="20"/>
    <s v="&gt;15"/>
    <n v="2"/>
    <n v="3"/>
    <n v="4"/>
    <n v="3"/>
    <n v="1"/>
    <n v="3"/>
  </r>
  <r>
    <n v="29"/>
    <x v="0"/>
    <s v="Yes"/>
    <s v="Travel_Frequently"/>
    <n v="337"/>
    <x v="1"/>
    <n v="14"/>
    <n v="1"/>
    <s v="Other"/>
    <n v="1"/>
    <n v="1421"/>
    <n v="3"/>
    <s v="Female"/>
    <n v="84"/>
    <n v="3"/>
    <x v="2"/>
    <x v="4"/>
    <n v="4"/>
    <s v="Single"/>
    <n v="7553"/>
    <n v="22930"/>
    <n v="0"/>
    <s v="Y"/>
    <s v="Yes"/>
    <s v="Yes"/>
    <n v="12"/>
    <n v="3"/>
    <n v="1"/>
    <n v="80"/>
    <n v="0"/>
    <n v="9"/>
    <s v="6-15"/>
    <n v="1"/>
    <n v="3"/>
    <n v="8"/>
    <n v="7"/>
    <n v="7"/>
    <n v="7"/>
  </r>
  <r>
    <n v="54"/>
    <x v="1"/>
    <s v="No"/>
    <s v="Travel_Rarely"/>
    <n v="971"/>
    <x v="1"/>
    <n v="1"/>
    <n v="3"/>
    <s v="Medical"/>
    <n v="1"/>
    <n v="1422"/>
    <n v="4"/>
    <s v="Female"/>
    <n v="54"/>
    <n v="3"/>
    <x v="3"/>
    <x v="7"/>
    <n v="4"/>
    <s v="Single"/>
    <n v="17328"/>
    <n v="5652"/>
    <n v="6"/>
    <s v="Y"/>
    <s v="No"/>
    <s v="No"/>
    <n v="19"/>
    <n v="3"/>
    <n v="4"/>
    <n v="80"/>
    <n v="0"/>
    <n v="29"/>
    <s v="&gt;15"/>
    <n v="3"/>
    <n v="2"/>
    <n v="20"/>
    <n v="7"/>
    <n v="12"/>
    <n v="7"/>
  </r>
  <r>
    <n v="58"/>
    <x v="1"/>
    <s v="No"/>
    <s v="Travel_Rarely"/>
    <n v="1055"/>
    <x v="1"/>
    <n v="1"/>
    <n v="3"/>
    <s v="Medical"/>
    <n v="1"/>
    <n v="1423"/>
    <n v="4"/>
    <s v="Female"/>
    <n v="76"/>
    <n v="3"/>
    <x v="4"/>
    <x v="7"/>
    <n v="1"/>
    <s v="Married"/>
    <n v="19701"/>
    <n v="22456"/>
    <n v="3"/>
    <s v="Y"/>
    <s v="Yes"/>
    <s v="Yes"/>
    <n v="21"/>
    <n v="4"/>
    <n v="3"/>
    <n v="80"/>
    <n v="1"/>
    <n v="32"/>
    <s v="&gt;15"/>
    <n v="3"/>
    <n v="3"/>
    <n v="9"/>
    <n v="8"/>
    <n v="1"/>
    <n v="5"/>
  </r>
  <r>
    <n v="55"/>
    <x v="1"/>
    <s v="No"/>
    <s v="Travel_Rarely"/>
    <n v="1136"/>
    <x v="1"/>
    <n v="1"/>
    <n v="4"/>
    <s v="Medical"/>
    <n v="1"/>
    <n v="1424"/>
    <n v="2"/>
    <s v="Male"/>
    <n v="81"/>
    <n v="4"/>
    <x v="3"/>
    <x v="7"/>
    <n v="4"/>
    <s v="Divorced"/>
    <n v="14732"/>
    <n v="12414"/>
    <n v="2"/>
    <s v="Y"/>
    <s v="No"/>
    <s v="No"/>
    <n v="13"/>
    <n v="3"/>
    <n v="4"/>
    <n v="80"/>
    <n v="2"/>
    <n v="31"/>
    <s v="&gt;15"/>
    <n v="4"/>
    <n v="4"/>
    <n v="7"/>
    <n v="7"/>
    <n v="0"/>
    <n v="0"/>
  </r>
  <r>
    <n v="36"/>
    <x v="1"/>
    <s v="No"/>
    <s v="Travel_Rarely"/>
    <n v="1174"/>
    <x v="0"/>
    <n v="3"/>
    <n v="4"/>
    <s v="Marketing"/>
    <n v="1"/>
    <n v="1425"/>
    <n v="1"/>
    <s v="Female"/>
    <n v="99"/>
    <n v="3"/>
    <x v="0"/>
    <x v="0"/>
    <n v="2"/>
    <s v="Single"/>
    <n v="9278"/>
    <n v="20763"/>
    <n v="3"/>
    <s v="Y"/>
    <s v="Yes"/>
    <s v="Yes"/>
    <n v="16"/>
    <n v="3"/>
    <n v="4"/>
    <n v="80"/>
    <n v="0"/>
    <n v="15"/>
    <s v="6-15"/>
    <n v="3"/>
    <n v="3"/>
    <n v="5"/>
    <n v="4"/>
    <n v="0"/>
    <n v="1"/>
  </r>
  <r>
    <n v="31"/>
    <x v="0"/>
    <s v="Yes"/>
    <s v="Travel_Frequently"/>
    <n v="667"/>
    <x v="0"/>
    <n v="1"/>
    <n v="4"/>
    <s v="Life Sciences"/>
    <n v="1"/>
    <n v="1427"/>
    <n v="2"/>
    <s v="Female"/>
    <n v="50"/>
    <n v="1"/>
    <x v="1"/>
    <x v="6"/>
    <n v="3"/>
    <s v="Single"/>
    <n v="1359"/>
    <n v="16154"/>
    <n v="1"/>
    <s v="Y"/>
    <s v="No"/>
    <s v="No"/>
    <n v="12"/>
    <n v="3"/>
    <n v="2"/>
    <n v="80"/>
    <n v="0"/>
    <n v="1"/>
    <s v="0-5"/>
    <n v="3"/>
    <n v="3"/>
    <n v="1"/>
    <n v="0"/>
    <n v="0"/>
    <n v="0"/>
  </r>
  <r>
    <n v="30"/>
    <x v="1"/>
    <s v="No"/>
    <s v="Travel_Rarely"/>
    <n v="855"/>
    <x v="0"/>
    <n v="7"/>
    <n v="4"/>
    <s v="Marketing"/>
    <n v="1"/>
    <n v="1428"/>
    <n v="4"/>
    <s v="Female"/>
    <n v="73"/>
    <n v="3"/>
    <x v="0"/>
    <x v="0"/>
    <n v="1"/>
    <s v="Divorced"/>
    <n v="4779"/>
    <n v="12761"/>
    <n v="7"/>
    <s v="Y"/>
    <s v="No"/>
    <s v="No"/>
    <n v="14"/>
    <n v="3"/>
    <n v="2"/>
    <n v="80"/>
    <n v="2"/>
    <n v="8"/>
    <s v="6-15"/>
    <n v="3"/>
    <n v="3"/>
    <n v="3"/>
    <n v="2"/>
    <n v="0"/>
    <n v="2"/>
  </r>
  <r>
    <n v="31"/>
    <x v="1"/>
    <s v="No"/>
    <s v="Travel_Rarely"/>
    <n v="182"/>
    <x v="1"/>
    <n v="8"/>
    <n v="5"/>
    <s v="Life Sciences"/>
    <n v="1"/>
    <n v="1430"/>
    <n v="1"/>
    <s v="Female"/>
    <n v="93"/>
    <n v="3"/>
    <x v="3"/>
    <x v="7"/>
    <n v="2"/>
    <s v="Single"/>
    <n v="16422"/>
    <n v="8847"/>
    <n v="3"/>
    <s v="Y"/>
    <s v="No"/>
    <s v="No"/>
    <n v="11"/>
    <n v="3"/>
    <n v="3"/>
    <n v="80"/>
    <n v="0"/>
    <n v="9"/>
    <s v="6-15"/>
    <n v="3"/>
    <n v="4"/>
    <n v="3"/>
    <n v="2"/>
    <n v="1"/>
    <n v="0"/>
  </r>
  <r>
    <n v="34"/>
    <x v="1"/>
    <s v="No"/>
    <s v="Travel_Frequently"/>
    <n v="560"/>
    <x v="1"/>
    <n v="1"/>
    <n v="4"/>
    <s v="Other"/>
    <n v="1"/>
    <n v="1431"/>
    <n v="4"/>
    <s v="Male"/>
    <n v="91"/>
    <n v="3"/>
    <x v="1"/>
    <x v="1"/>
    <n v="1"/>
    <s v="Divorced"/>
    <n v="2996"/>
    <n v="20284"/>
    <n v="5"/>
    <s v="Y"/>
    <s v="No"/>
    <s v="No"/>
    <n v="14"/>
    <n v="3"/>
    <n v="3"/>
    <n v="80"/>
    <n v="2"/>
    <n v="10"/>
    <s v="6-15"/>
    <n v="2"/>
    <n v="3"/>
    <n v="4"/>
    <n v="3"/>
    <n v="1"/>
    <n v="3"/>
  </r>
  <r>
    <n v="31"/>
    <x v="0"/>
    <s v="Yes"/>
    <s v="Travel_Rarely"/>
    <n v="202"/>
    <x v="1"/>
    <n v="8"/>
    <n v="3"/>
    <s v="Life Sciences"/>
    <n v="1"/>
    <n v="1433"/>
    <n v="1"/>
    <s v="Female"/>
    <n v="34"/>
    <n v="2"/>
    <x v="1"/>
    <x v="1"/>
    <n v="2"/>
    <s v="Single"/>
    <n v="1261"/>
    <n v="22262"/>
    <n v="1"/>
    <s v="Y"/>
    <s v="No"/>
    <s v="No"/>
    <n v="12"/>
    <n v="3"/>
    <n v="3"/>
    <n v="80"/>
    <n v="0"/>
    <n v="1"/>
    <s v="0-5"/>
    <n v="3"/>
    <n v="4"/>
    <n v="1"/>
    <n v="0"/>
    <n v="0"/>
    <n v="0"/>
  </r>
  <r>
    <n v="27"/>
    <x v="1"/>
    <s v="No"/>
    <s v="Travel_Rarely"/>
    <n v="1377"/>
    <x v="1"/>
    <n v="11"/>
    <n v="1"/>
    <s v="Life Sciences"/>
    <n v="1"/>
    <n v="1434"/>
    <n v="2"/>
    <s v="Male"/>
    <n v="91"/>
    <n v="3"/>
    <x v="1"/>
    <x v="2"/>
    <n v="1"/>
    <s v="Married"/>
    <n v="2099"/>
    <n v="7679"/>
    <n v="0"/>
    <s v="Y"/>
    <s v="No"/>
    <s v="No"/>
    <n v="14"/>
    <n v="3"/>
    <n v="2"/>
    <n v="80"/>
    <n v="0"/>
    <n v="6"/>
    <s v="6-15"/>
    <n v="3"/>
    <n v="4"/>
    <n v="5"/>
    <n v="0"/>
    <n v="1"/>
    <n v="4"/>
  </r>
  <r>
    <n v="36"/>
    <x v="1"/>
    <s v="No"/>
    <s v="Travel_Rarely"/>
    <n v="172"/>
    <x v="1"/>
    <n v="4"/>
    <n v="4"/>
    <s v="Life Sciences"/>
    <n v="1"/>
    <n v="1435"/>
    <n v="1"/>
    <s v="Male"/>
    <n v="37"/>
    <n v="2"/>
    <x v="0"/>
    <x v="2"/>
    <n v="4"/>
    <s v="Single"/>
    <n v="5810"/>
    <n v="22604"/>
    <n v="1"/>
    <s v="Y"/>
    <s v="No"/>
    <s v="No"/>
    <n v="16"/>
    <n v="3"/>
    <n v="3"/>
    <n v="80"/>
    <n v="0"/>
    <n v="10"/>
    <s v="6-15"/>
    <n v="2"/>
    <n v="2"/>
    <n v="10"/>
    <n v="4"/>
    <n v="1"/>
    <n v="8"/>
  </r>
  <r>
    <n v="36"/>
    <x v="1"/>
    <s v="No"/>
    <s v="Travel_Rarely"/>
    <n v="329"/>
    <x v="0"/>
    <n v="16"/>
    <n v="4"/>
    <s v="Marketing"/>
    <n v="1"/>
    <n v="1436"/>
    <n v="3"/>
    <s v="Female"/>
    <n v="98"/>
    <n v="2"/>
    <x v="0"/>
    <x v="0"/>
    <n v="1"/>
    <s v="Married"/>
    <n v="5647"/>
    <n v="13494"/>
    <n v="4"/>
    <s v="Y"/>
    <s v="No"/>
    <s v="No"/>
    <n v="13"/>
    <n v="3"/>
    <n v="1"/>
    <n v="80"/>
    <n v="2"/>
    <n v="11"/>
    <s v="6-15"/>
    <n v="3"/>
    <n v="2"/>
    <n v="3"/>
    <n v="2"/>
    <n v="0"/>
    <n v="2"/>
  </r>
  <r>
    <n v="47"/>
    <x v="1"/>
    <s v="No"/>
    <s v="Travel_Rarely"/>
    <n v="465"/>
    <x v="1"/>
    <n v="1"/>
    <n v="3"/>
    <s v="Technical Degree"/>
    <n v="1"/>
    <n v="1438"/>
    <n v="1"/>
    <s v="Male"/>
    <n v="74"/>
    <n v="3"/>
    <x v="1"/>
    <x v="1"/>
    <n v="4"/>
    <s v="Married"/>
    <n v="3420"/>
    <n v="10205"/>
    <n v="7"/>
    <s v="Y"/>
    <s v="No"/>
    <s v="No"/>
    <n v="12"/>
    <n v="3"/>
    <n v="3"/>
    <n v="80"/>
    <n v="1"/>
    <n v="17"/>
    <s v="&gt;15"/>
    <n v="2"/>
    <n v="2"/>
    <n v="6"/>
    <n v="5"/>
    <n v="1"/>
    <n v="2"/>
  </r>
  <r>
    <n v="25"/>
    <x v="0"/>
    <s v="Yes"/>
    <s v="Travel_Rarely"/>
    <n v="383"/>
    <x v="0"/>
    <n v="9"/>
    <n v="2"/>
    <s v="Life Sciences"/>
    <n v="1"/>
    <n v="1439"/>
    <n v="1"/>
    <s v="Male"/>
    <n v="68"/>
    <n v="2"/>
    <x v="1"/>
    <x v="6"/>
    <n v="1"/>
    <s v="Married"/>
    <n v="4400"/>
    <n v="15182"/>
    <n v="3"/>
    <s v="Y"/>
    <s v="No"/>
    <s v="No"/>
    <n v="12"/>
    <n v="3"/>
    <n v="1"/>
    <n v="80"/>
    <n v="0"/>
    <n v="6"/>
    <s v="6-15"/>
    <n v="2"/>
    <n v="3"/>
    <n v="3"/>
    <n v="2"/>
    <n v="2"/>
    <n v="2"/>
  </r>
  <r>
    <n v="37"/>
    <x v="1"/>
    <s v="No"/>
    <s v="Non-Travel"/>
    <n v="1413"/>
    <x v="1"/>
    <n v="5"/>
    <n v="2"/>
    <s v="Technical Degree"/>
    <n v="1"/>
    <n v="1440"/>
    <n v="3"/>
    <s v="Male"/>
    <n v="84"/>
    <n v="4"/>
    <x v="1"/>
    <x v="2"/>
    <n v="3"/>
    <s v="Single"/>
    <n v="3500"/>
    <n v="25470"/>
    <n v="0"/>
    <s v="Y"/>
    <s v="No"/>
    <s v="No"/>
    <n v="14"/>
    <n v="3"/>
    <n v="1"/>
    <n v="80"/>
    <n v="0"/>
    <n v="7"/>
    <s v="6-15"/>
    <n v="2"/>
    <n v="1"/>
    <n v="6"/>
    <n v="5"/>
    <n v="1"/>
    <n v="3"/>
  </r>
  <r>
    <n v="56"/>
    <x v="1"/>
    <s v="No"/>
    <s v="Travel_Rarely"/>
    <n v="1255"/>
    <x v="1"/>
    <n v="1"/>
    <n v="2"/>
    <s v="Life Sciences"/>
    <n v="1"/>
    <n v="1441"/>
    <n v="1"/>
    <s v="Female"/>
    <n v="90"/>
    <n v="3"/>
    <x v="1"/>
    <x v="1"/>
    <n v="1"/>
    <s v="Married"/>
    <n v="2066"/>
    <n v="10494"/>
    <n v="2"/>
    <s v="Y"/>
    <s v="No"/>
    <s v="No"/>
    <n v="22"/>
    <n v="4"/>
    <n v="4"/>
    <n v="80"/>
    <n v="1"/>
    <n v="5"/>
    <s v="0-5"/>
    <n v="3"/>
    <n v="4"/>
    <n v="3"/>
    <n v="2"/>
    <n v="1"/>
    <n v="0"/>
  </r>
  <r>
    <n v="47"/>
    <x v="1"/>
    <s v="No"/>
    <s v="Travel_Rarely"/>
    <n v="359"/>
    <x v="1"/>
    <n v="2"/>
    <n v="4"/>
    <s v="Medical"/>
    <n v="1"/>
    <n v="1443"/>
    <n v="1"/>
    <s v="Female"/>
    <n v="82"/>
    <n v="3"/>
    <x v="3"/>
    <x v="7"/>
    <n v="3"/>
    <s v="Married"/>
    <n v="17169"/>
    <n v="26703"/>
    <n v="3"/>
    <s v="Y"/>
    <s v="No"/>
    <s v="No"/>
    <n v="19"/>
    <n v="3"/>
    <n v="2"/>
    <n v="80"/>
    <n v="2"/>
    <n v="26"/>
    <s v="&gt;15"/>
    <n v="2"/>
    <n v="4"/>
    <n v="20"/>
    <n v="17"/>
    <n v="5"/>
    <n v="6"/>
  </r>
  <r>
    <n v="24"/>
    <x v="1"/>
    <s v="No"/>
    <s v="Travel_Rarely"/>
    <n v="1476"/>
    <x v="0"/>
    <n v="4"/>
    <n v="1"/>
    <s v="Medical"/>
    <n v="1"/>
    <n v="1445"/>
    <n v="4"/>
    <s v="Female"/>
    <n v="42"/>
    <n v="3"/>
    <x v="0"/>
    <x v="0"/>
    <n v="3"/>
    <s v="Married"/>
    <n v="4162"/>
    <n v="15211"/>
    <n v="1"/>
    <s v="Y"/>
    <s v="Yes"/>
    <s v="Yes"/>
    <n v="12"/>
    <n v="3"/>
    <n v="3"/>
    <n v="80"/>
    <n v="2"/>
    <n v="5"/>
    <s v="0-5"/>
    <n v="3"/>
    <n v="3"/>
    <n v="5"/>
    <n v="4"/>
    <n v="0"/>
    <n v="3"/>
  </r>
  <r>
    <n v="32"/>
    <x v="1"/>
    <s v="No"/>
    <s v="Travel_Rarely"/>
    <n v="601"/>
    <x v="0"/>
    <n v="7"/>
    <n v="5"/>
    <s v="Marketing"/>
    <n v="1"/>
    <n v="1446"/>
    <n v="4"/>
    <s v="Male"/>
    <n v="97"/>
    <n v="3"/>
    <x v="0"/>
    <x v="0"/>
    <n v="4"/>
    <s v="Married"/>
    <n v="9204"/>
    <n v="23343"/>
    <n v="4"/>
    <s v="Y"/>
    <s v="No"/>
    <s v="No"/>
    <n v="12"/>
    <n v="3"/>
    <n v="3"/>
    <n v="80"/>
    <n v="1"/>
    <n v="7"/>
    <s v="6-15"/>
    <n v="3"/>
    <n v="2"/>
    <n v="4"/>
    <n v="3"/>
    <n v="0"/>
    <n v="3"/>
  </r>
  <r>
    <n v="34"/>
    <x v="1"/>
    <s v="No"/>
    <s v="Travel_Rarely"/>
    <n v="401"/>
    <x v="1"/>
    <n v="1"/>
    <n v="3"/>
    <s v="Life Sciences"/>
    <n v="1"/>
    <n v="1447"/>
    <n v="4"/>
    <s v="Female"/>
    <n v="86"/>
    <n v="2"/>
    <x v="1"/>
    <x v="2"/>
    <n v="2"/>
    <s v="Married"/>
    <n v="3294"/>
    <n v="3708"/>
    <n v="5"/>
    <s v="Y"/>
    <s v="No"/>
    <s v="No"/>
    <n v="17"/>
    <n v="3"/>
    <n v="1"/>
    <n v="80"/>
    <n v="1"/>
    <n v="7"/>
    <s v="6-15"/>
    <n v="2"/>
    <n v="2"/>
    <n v="5"/>
    <n v="4"/>
    <n v="0"/>
    <n v="2"/>
  </r>
  <r>
    <n v="41"/>
    <x v="1"/>
    <s v="No"/>
    <s v="Travel_Rarely"/>
    <n v="1283"/>
    <x v="1"/>
    <n v="5"/>
    <n v="5"/>
    <s v="Medical"/>
    <n v="1"/>
    <n v="1448"/>
    <n v="2"/>
    <s v="Male"/>
    <n v="90"/>
    <n v="4"/>
    <x v="1"/>
    <x v="1"/>
    <n v="3"/>
    <s v="Married"/>
    <n v="2127"/>
    <n v="5561"/>
    <n v="2"/>
    <s v="Y"/>
    <s v="Yes"/>
    <s v="Yes"/>
    <n v="12"/>
    <n v="3"/>
    <n v="1"/>
    <n v="80"/>
    <n v="0"/>
    <n v="7"/>
    <s v="6-15"/>
    <n v="5"/>
    <n v="2"/>
    <n v="4"/>
    <n v="2"/>
    <n v="0"/>
    <n v="3"/>
  </r>
  <r>
    <n v="40"/>
    <x v="1"/>
    <s v="No"/>
    <s v="Non-Travel"/>
    <n v="663"/>
    <x v="1"/>
    <n v="9"/>
    <n v="4"/>
    <s v="Other"/>
    <n v="1"/>
    <n v="1449"/>
    <n v="3"/>
    <s v="Male"/>
    <n v="81"/>
    <n v="3"/>
    <x v="0"/>
    <x v="2"/>
    <n v="3"/>
    <s v="Divorced"/>
    <n v="3975"/>
    <n v="23099"/>
    <n v="3"/>
    <s v="Y"/>
    <s v="No"/>
    <s v="No"/>
    <n v="11"/>
    <n v="3"/>
    <n v="3"/>
    <n v="80"/>
    <n v="2"/>
    <n v="11"/>
    <s v="6-15"/>
    <n v="2"/>
    <n v="4"/>
    <n v="8"/>
    <n v="7"/>
    <n v="0"/>
    <n v="7"/>
  </r>
  <r>
    <n v="31"/>
    <x v="1"/>
    <s v="No"/>
    <s v="Travel_Rarely"/>
    <n v="326"/>
    <x v="0"/>
    <n v="8"/>
    <n v="2"/>
    <s v="Life Sciences"/>
    <n v="1"/>
    <n v="1453"/>
    <n v="1"/>
    <s v="Male"/>
    <n v="31"/>
    <n v="3"/>
    <x v="2"/>
    <x v="0"/>
    <n v="4"/>
    <s v="Divorced"/>
    <n v="10793"/>
    <n v="8386"/>
    <n v="1"/>
    <s v="Y"/>
    <s v="No"/>
    <s v="No"/>
    <n v="18"/>
    <n v="3"/>
    <n v="1"/>
    <n v="80"/>
    <n v="1"/>
    <n v="13"/>
    <s v="6-15"/>
    <n v="5"/>
    <n v="3"/>
    <n v="13"/>
    <n v="7"/>
    <n v="9"/>
    <n v="9"/>
  </r>
  <r>
    <n v="46"/>
    <x v="0"/>
    <s v="Yes"/>
    <s v="Travel_Rarely"/>
    <n v="377"/>
    <x v="0"/>
    <n v="9"/>
    <n v="3"/>
    <s v="Marketing"/>
    <n v="1"/>
    <n v="1457"/>
    <n v="1"/>
    <s v="Male"/>
    <n v="52"/>
    <n v="3"/>
    <x v="2"/>
    <x v="0"/>
    <n v="4"/>
    <s v="Divorced"/>
    <n v="10096"/>
    <n v="15986"/>
    <n v="4"/>
    <s v="Y"/>
    <s v="No"/>
    <s v="No"/>
    <n v="11"/>
    <n v="3"/>
    <n v="1"/>
    <n v="80"/>
    <n v="1"/>
    <n v="28"/>
    <s v="&gt;15"/>
    <n v="1"/>
    <n v="4"/>
    <n v="7"/>
    <n v="7"/>
    <n v="4"/>
    <n v="3"/>
  </r>
  <r>
    <n v="39"/>
    <x v="0"/>
    <s v="Yes"/>
    <s v="Non-Travel"/>
    <n v="592"/>
    <x v="1"/>
    <n v="2"/>
    <n v="3"/>
    <s v="Life Sciences"/>
    <n v="1"/>
    <n v="1458"/>
    <n v="1"/>
    <s v="Female"/>
    <n v="54"/>
    <n v="2"/>
    <x v="1"/>
    <x v="2"/>
    <n v="1"/>
    <s v="Single"/>
    <n v="3646"/>
    <n v="17181"/>
    <n v="2"/>
    <s v="Y"/>
    <s v="Yes"/>
    <s v="Yes"/>
    <n v="23"/>
    <n v="4"/>
    <n v="2"/>
    <n v="80"/>
    <n v="0"/>
    <n v="11"/>
    <s v="6-15"/>
    <n v="2"/>
    <n v="4"/>
    <n v="1"/>
    <n v="0"/>
    <n v="0"/>
    <n v="0"/>
  </r>
  <r>
    <n v="31"/>
    <x v="0"/>
    <s v="Yes"/>
    <s v="Travel_Frequently"/>
    <n v="1445"/>
    <x v="1"/>
    <n v="1"/>
    <n v="5"/>
    <s v="Life Sciences"/>
    <n v="1"/>
    <n v="1459"/>
    <n v="3"/>
    <s v="Female"/>
    <n v="100"/>
    <n v="4"/>
    <x v="2"/>
    <x v="3"/>
    <n v="2"/>
    <s v="Single"/>
    <n v="7446"/>
    <n v="8931"/>
    <n v="1"/>
    <s v="Y"/>
    <s v="No"/>
    <s v="No"/>
    <n v="11"/>
    <n v="3"/>
    <n v="1"/>
    <n v="80"/>
    <n v="0"/>
    <n v="10"/>
    <s v="6-15"/>
    <n v="2"/>
    <n v="3"/>
    <n v="10"/>
    <n v="8"/>
    <n v="4"/>
    <n v="7"/>
  </r>
  <r>
    <n v="45"/>
    <x v="1"/>
    <s v="No"/>
    <s v="Travel_Rarely"/>
    <n v="1038"/>
    <x v="1"/>
    <n v="20"/>
    <n v="3"/>
    <s v="Medical"/>
    <n v="1"/>
    <n v="1460"/>
    <n v="2"/>
    <s v="Male"/>
    <n v="95"/>
    <n v="1"/>
    <x v="2"/>
    <x v="4"/>
    <n v="1"/>
    <s v="Divorced"/>
    <n v="10851"/>
    <n v="19863"/>
    <n v="2"/>
    <s v="Y"/>
    <s v="Yes"/>
    <s v="Yes"/>
    <n v="18"/>
    <n v="3"/>
    <n v="2"/>
    <n v="80"/>
    <n v="1"/>
    <n v="24"/>
    <s v="&gt;15"/>
    <n v="2"/>
    <n v="3"/>
    <n v="7"/>
    <n v="7"/>
    <n v="0"/>
    <n v="7"/>
  </r>
  <r>
    <n v="31"/>
    <x v="1"/>
    <s v="No"/>
    <s v="Travel_Rarely"/>
    <n v="1398"/>
    <x v="2"/>
    <n v="8"/>
    <n v="2"/>
    <s v="Medical"/>
    <n v="1"/>
    <n v="1461"/>
    <n v="4"/>
    <s v="Female"/>
    <n v="96"/>
    <n v="4"/>
    <x v="1"/>
    <x v="8"/>
    <n v="2"/>
    <s v="Single"/>
    <n v="2109"/>
    <n v="24609"/>
    <n v="9"/>
    <s v="Y"/>
    <s v="No"/>
    <s v="No"/>
    <n v="18"/>
    <n v="3"/>
    <n v="4"/>
    <n v="80"/>
    <n v="0"/>
    <n v="8"/>
    <s v="6-15"/>
    <n v="3"/>
    <n v="3"/>
    <n v="3"/>
    <n v="2"/>
    <n v="0"/>
    <n v="2"/>
  </r>
  <r>
    <n v="31"/>
    <x v="0"/>
    <s v="Yes"/>
    <s v="Travel_Frequently"/>
    <n v="523"/>
    <x v="1"/>
    <n v="2"/>
    <n v="3"/>
    <s v="Life Sciences"/>
    <n v="1"/>
    <n v="1464"/>
    <n v="2"/>
    <s v="Male"/>
    <n v="94"/>
    <n v="3"/>
    <x v="1"/>
    <x v="2"/>
    <n v="4"/>
    <s v="Married"/>
    <n v="3722"/>
    <n v="21081"/>
    <n v="6"/>
    <s v="Y"/>
    <s v="Yes"/>
    <s v="Yes"/>
    <n v="13"/>
    <n v="3"/>
    <n v="3"/>
    <n v="80"/>
    <n v="1"/>
    <n v="7"/>
    <s v="6-15"/>
    <n v="2"/>
    <n v="1"/>
    <n v="2"/>
    <n v="2"/>
    <n v="2"/>
    <n v="2"/>
  </r>
  <r>
    <n v="45"/>
    <x v="1"/>
    <s v="No"/>
    <s v="Travel_Rarely"/>
    <n v="1448"/>
    <x v="1"/>
    <n v="29"/>
    <n v="3"/>
    <s v="Technical Degree"/>
    <n v="1"/>
    <n v="1465"/>
    <n v="2"/>
    <s v="Male"/>
    <n v="55"/>
    <n v="3"/>
    <x v="2"/>
    <x v="3"/>
    <n v="4"/>
    <s v="Married"/>
    <n v="9380"/>
    <n v="14720"/>
    <n v="4"/>
    <s v="Y"/>
    <s v="Yes"/>
    <s v="Yes"/>
    <n v="18"/>
    <n v="3"/>
    <n v="4"/>
    <n v="80"/>
    <n v="2"/>
    <n v="10"/>
    <s v="6-15"/>
    <n v="4"/>
    <n v="4"/>
    <n v="3"/>
    <n v="1"/>
    <n v="1"/>
    <n v="2"/>
  </r>
  <r>
    <n v="48"/>
    <x v="1"/>
    <s v="No"/>
    <s v="Travel_Rarely"/>
    <n v="1221"/>
    <x v="0"/>
    <n v="7"/>
    <n v="3"/>
    <s v="Marketing"/>
    <n v="1"/>
    <n v="1466"/>
    <n v="3"/>
    <s v="Male"/>
    <n v="96"/>
    <n v="3"/>
    <x v="0"/>
    <x v="0"/>
    <n v="1"/>
    <s v="Divorced"/>
    <n v="5486"/>
    <n v="24795"/>
    <n v="4"/>
    <s v="Y"/>
    <s v="No"/>
    <s v="No"/>
    <n v="11"/>
    <n v="3"/>
    <n v="1"/>
    <n v="80"/>
    <n v="3"/>
    <n v="15"/>
    <s v="6-15"/>
    <n v="3"/>
    <n v="3"/>
    <n v="2"/>
    <n v="2"/>
    <n v="2"/>
    <n v="2"/>
  </r>
  <r>
    <n v="34"/>
    <x v="0"/>
    <s v="Yes"/>
    <s v="Travel_Rarely"/>
    <n v="1107"/>
    <x v="2"/>
    <n v="9"/>
    <n v="4"/>
    <s v="Technical Degree"/>
    <n v="1"/>
    <n v="1467"/>
    <n v="1"/>
    <s v="Female"/>
    <n v="52"/>
    <n v="3"/>
    <x v="1"/>
    <x v="8"/>
    <n v="3"/>
    <s v="Married"/>
    <n v="2742"/>
    <n v="3072"/>
    <n v="1"/>
    <s v="Y"/>
    <s v="No"/>
    <s v="No"/>
    <n v="15"/>
    <n v="3"/>
    <n v="4"/>
    <n v="80"/>
    <n v="0"/>
    <n v="2"/>
    <s v="0-5"/>
    <n v="0"/>
    <n v="3"/>
    <n v="2"/>
    <n v="2"/>
    <n v="2"/>
    <n v="2"/>
  </r>
  <r>
    <n v="40"/>
    <x v="1"/>
    <s v="No"/>
    <s v="Non-Travel"/>
    <n v="218"/>
    <x v="1"/>
    <n v="8"/>
    <n v="1"/>
    <s v="Medical"/>
    <n v="1"/>
    <n v="1468"/>
    <n v="4"/>
    <s v="Male"/>
    <n v="55"/>
    <n v="2"/>
    <x v="2"/>
    <x v="7"/>
    <n v="2"/>
    <s v="Divorced"/>
    <n v="13757"/>
    <n v="25178"/>
    <n v="2"/>
    <s v="Y"/>
    <s v="No"/>
    <s v="No"/>
    <n v="11"/>
    <n v="3"/>
    <n v="3"/>
    <n v="80"/>
    <n v="1"/>
    <n v="16"/>
    <s v="&gt;15"/>
    <n v="5"/>
    <n v="3"/>
    <n v="9"/>
    <n v="8"/>
    <n v="4"/>
    <n v="8"/>
  </r>
  <r>
    <n v="28"/>
    <x v="1"/>
    <s v="No"/>
    <s v="Travel_Rarely"/>
    <n v="866"/>
    <x v="0"/>
    <n v="5"/>
    <n v="3"/>
    <s v="Medical"/>
    <n v="1"/>
    <n v="1469"/>
    <n v="4"/>
    <s v="Male"/>
    <n v="84"/>
    <n v="3"/>
    <x v="0"/>
    <x v="0"/>
    <n v="1"/>
    <s v="Single"/>
    <n v="8463"/>
    <n v="23490"/>
    <n v="0"/>
    <s v="Y"/>
    <s v="No"/>
    <s v="No"/>
    <n v="18"/>
    <n v="3"/>
    <n v="4"/>
    <n v="80"/>
    <n v="0"/>
    <n v="6"/>
    <s v="6-15"/>
    <n v="4"/>
    <n v="3"/>
    <n v="5"/>
    <n v="4"/>
    <n v="1"/>
    <n v="3"/>
  </r>
  <r>
    <n v="44"/>
    <x v="1"/>
    <s v="No"/>
    <s v="Non-Travel"/>
    <n v="981"/>
    <x v="1"/>
    <n v="5"/>
    <n v="3"/>
    <s v="Life Sciences"/>
    <n v="1"/>
    <n v="1471"/>
    <n v="3"/>
    <s v="Male"/>
    <n v="90"/>
    <n v="2"/>
    <x v="1"/>
    <x v="2"/>
    <n v="3"/>
    <s v="Single"/>
    <n v="3162"/>
    <n v="7973"/>
    <n v="3"/>
    <s v="Y"/>
    <s v="No"/>
    <s v="No"/>
    <n v="14"/>
    <n v="3"/>
    <n v="4"/>
    <n v="80"/>
    <n v="0"/>
    <n v="7"/>
    <s v="6-15"/>
    <n v="5"/>
    <n v="3"/>
    <n v="5"/>
    <n v="2"/>
    <n v="0"/>
    <n v="3"/>
  </r>
  <r>
    <n v="53"/>
    <x v="1"/>
    <s v="No"/>
    <s v="Travel_Rarely"/>
    <n v="447"/>
    <x v="1"/>
    <n v="2"/>
    <n v="3"/>
    <s v="Medical"/>
    <n v="1"/>
    <n v="1472"/>
    <n v="4"/>
    <s v="Male"/>
    <n v="39"/>
    <n v="4"/>
    <x v="3"/>
    <x v="7"/>
    <n v="2"/>
    <s v="Single"/>
    <n v="16598"/>
    <n v="19764"/>
    <n v="4"/>
    <s v="Y"/>
    <s v="No"/>
    <s v="No"/>
    <n v="12"/>
    <n v="3"/>
    <n v="2"/>
    <n v="80"/>
    <n v="0"/>
    <n v="35"/>
    <s v="&gt;15"/>
    <n v="2"/>
    <n v="2"/>
    <n v="9"/>
    <n v="8"/>
    <n v="8"/>
    <n v="8"/>
  </r>
  <r>
    <n v="49"/>
    <x v="1"/>
    <s v="No"/>
    <s v="Travel_Rarely"/>
    <n v="1495"/>
    <x v="1"/>
    <n v="5"/>
    <n v="4"/>
    <s v="Technical Degree"/>
    <n v="1"/>
    <n v="1473"/>
    <n v="1"/>
    <s v="Male"/>
    <n v="96"/>
    <n v="3"/>
    <x v="0"/>
    <x v="4"/>
    <n v="3"/>
    <s v="Married"/>
    <n v="6651"/>
    <n v="21534"/>
    <n v="2"/>
    <s v="Y"/>
    <s v="No"/>
    <s v="No"/>
    <n v="14"/>
    <n v="3"/>
    <n v="2"/>
    <n v="80"/>
    <n v="1"/>
    <n v="20"/>
    <s v="&gt;15"/>
    <n v="0"/>
    <n v="2"/>
    <n v="3"/>
    <n v="2"/>
    <n v="1"/>
    <n v="2"/>
  </r>
  <r>
    <n v="40"/>
    <x v="1"/>
    <s v="No"/>
    <s v="Travel_Rarely"/>
    <n v="896"/>
    <x v="1"/>
    <n v="2"/>
    <n v="3"/>
    <s v="Medical"/>
    <n v="1"/>
    <n v="1474"/>
    <n v="3"/>
    <s v="Male"/>
    <n v="68"/>
    <n v="3"/>
    <x v="1"/>
    <x v="1"/>
    <n v="3"/>
    <s v="Divorced"/>
    <n v="2345"/>
    <n v="8045"/>
    <n v="2"/>
    <s v="Y"/>
    <s v="No"/>
    <s v="No"/>
    <n v="14"/>
    <n v="3"/>
    <n v="3"/>
    <n v="80"/>
    <n v="1"/>
    <n v="8"/>
    <s v="6-15"/>
    <n v="3"/>
    <n v="4"/>
    <n v="3"/>
    <n v="1"/>
    <n v="1"/>
    <n v="2"/>
  </r>
  <r>
    <n v="44"/>
    <x v="1"/>
    <s v="No"/>
    <s v="Travel_Rarely"/>
    <n v="1467"/>
    <x v="1"/>
    <n v="20"/>
    <n v="3"/>
    <s v="Life Sciences"/>
    <n v="1"/>
    <n v="1475"/>
    <n v="4"/>
    <s v="Male"/>
    <n v="49"/>
    <n v="3"/>
    <x v="1"/>
    <x v="1"/>
    <n v="2"/>
    <s v="Single"/>
    <n v="3420"/>
    <n v="21158"/>
    <n v="1"/>
    <s v="Y"/>
    <s v="No"/>
    <s v="No"/>
    <n v="13"/>
    <n v="3"/>
    <n v="3"/>
    <n v="80"/>
    <n v="0"/>
    <n v="6"/>
    <s v="6-15"/>
    <n v="3"/>
    <n v="2"/>
    <n v="5"/>
    <n v="2"/>
    <n v="1"/>
    <n v="3"/>
  </r>
  <r>
    <n v="33"/>
    <x v="1"/>
    <s v="No"/>
    <s v="Travel_Frequently"/>
    <n v="430"/>
    <x v="0"/>
    <n v="7"/>
    <n v="3"/>
    <s v="Medical"/>
    <n v="1"/>
    <n v="1477"/>
    <n v="4"/>
    <s v="Male"/>
    <n v="54"/>
    <n v="3"/>
    <x v="0"/>
    <x v="0"/>
    <n v="1"/>
    <s v="Married"/>
    <n v="4373"/>
    <n v="17456"/>
    <n v="0"/>
    <s v="Y"/>
    <s v="No"/>
    <s v="No"/>
    <n v="14"/>
    <n v="3"/>
    <n v="1"/>
    <n v="80"/>
    <n v="2"/>
    <n v="5"/>
    <s v="0-5"/>
    <n v="2"/>
    <n v="3"/>
    <n v="4"/>
    <n v="3"/>
    <n v="0"/>
    <n v="3"/>
  </r>
  <r>
    <n v="34"/>
    <x v="1"/>
    <s v="No"/>
    <s v="Travel_Rarely"/>
    <n v="1326"/>
    <x v="0"/>
    <n v="3"/>
    <n v="3"/>
    <s v="Other"/>
    <n v="1"/>
    <n v="1478"/>
    <n v="4"/>
    <s v="Male"/>
    <n v="81"/>
    <n v="1"/>
    <x v="0"/>
    <x v="0"/>
    <n v="1"/>
    <s v="Single"/>
    <n v="4759"/>
    <n v="15891"/>
    <n v="3"/>
    <s v="Y"/>
    <s v="No"/>
    <s v="No"/>
    <n v="18"/>
    <n v="3"/>
    <n v="4"/>
    <n v="80"/>
    <n v="0"/>
    <n v="15"/>
    <s v="6-15"/>
    <n v="2"/>
    <n v="3"/>
    <n v="13"/>
    <n v="9"/>
    <n v="3"/>
    <n v="12"/>
  </r>
  <r>
    <n v="30"/>
    <x v="1"/>
    <s v="No"/>
    <s v="Travel_Rarely"/>
    <n v="1358"/>
    <x v="0"/>
    <n v="16"/>
    <n v="1"/>
    <s v="Life Sciences"/>
    <n v="1"/>
    <n v="1479"/>
    <n v="4"/>
    <s v="Male"/>
    <n v="96"/>
    <n v="3"/>
    <x v="0"/>
    <x v="0"/>
    <n v="3"/>
    <s v="Married"/>
    <n v="5301"/>
    <n v="2939"/>
    <n v="8"/>
    <s v="Y"/>
    <s v="No"/>
    <s v="No"/>
    <n v="15"/>
    <n v="3"/>
    <n v="3"/>
    <n v="80"/>
    <n v="2"/>
    <n v="4"/>
    <s v="0-5"/>
    <n v="2"/>
    <n v="2"/>
    <n v="2"/>
    <n v="1"/>
    <n v="2"/>
    <n v="2"/>
  </r>
  <r>
    <n v="42"/>
    <x v="1"/>
    <s v="No"/>
    <s v="Travel_Frequently"/>
    <n v="748"/>
    <x v="1"/>
    <n v="9"/>
    <n v="2"/>
    <s v="Medical"/>
    <n v="1"/>
    <n v="1480"/>
    <n v="1"/>
    <s v="Female"/>
    <n v="74"/>
    <n v="3"/>
    <x v="1"/>
    <x v="2"/>
    <n v="4"/>
    <s v="Single"/>
    <n v="3673"/>
    <n v="16458"/>
    <n v="1"/>
    <s v="Y"/>
    <s v="No"/>
    <s v="No"/>
    <n v="13"/>
    <n v="3"/>
    <n v="3"/>
    <n v="80"/>
    <n v="0"/>
    <n v="12"/>
    <s v="6-15"/>
    <n v="3"/>
    <n v="3"/>
    <n v="12"/>
    <n v="9"/>
    <n v="5"/>
    <n v="8"/>
  </r>
  <r>
    <n v="44"/>
    <x v="1"/>
    <s v="No"/>
    <s v="Travel_Frequently"/>
    <n v="383"/>
    <x v="0"/>
    <n v="1"/>
    <n v="5"/>
    <s v="Marketing"/>
    <n v="1"/>
    <n v="1481"/>
    <n v="1"/>
    <s v="Female"/>
    <n v="79"/>
    <n v="3"/>
    <x v="0"/>
    <x v="0"/>
    <n v="3"/>
    <s v="Married"/>
    <n v="4768"/>
    <n v="9282"/>
    <n v="7"/>
    <s v="Y"/>
    <s v="No"/>
    <s v="No"/>
    <n v="12"/>
    <n v="3"/>
    <n v="3"/>
    <n v="80"/>
    <n v="1"/>
    <n v="11"/>
    <s v="6-15"/>
    <n v="4"/>
    <n v="2"/>
    <n v="1"/>
    <n v="0"/>
    <n v="0"/>
    <n v="0"/>
  </r>
  <r>
    <n v="30"/>
    <x v="1"/>
    <s v="No"/>
    <s v="Non-Travel"/>
    <n v="990"/>
    <x v="1"/>
    <n v="7"/>
    <n v="3"/>
    <s v="Technical Degree"/>
    <n v="1"/>
    <n v="1482"/>
    <n v="3"/>
    <s v="Male"/>
    <n v="64"/>
    <n v="3"/>
    <x v="1"/>
    <x v="1"/>
    <n v="3"/>
    <s v="Divorced"/>
    <n v="1274"/>
    <n v="7152"/>
    <n v="1"/>
    <s v="Y"/>
    <s v="No"/>
    <s v="No"/>
    <n v="13"/>
    <n v="3"/>
    <n v="2"/>
    <n v="80"/>
    <n v="2"/>
    <n v="1"/>
    <s v="0-5"/>
    <n v="2"/>
    <n v="2"/>
    <n v="1"/>
    <n v="0"/>
    <n v="0"/>
    <n v="0"/>
  </r>
  <r>
    <n v="57"/>
    <x v="1"/>
    <s v="No"/>
    <s v="Travel_Rarely"/>
    <n v="405"/>
    <x v="1"/>
    <n v="1"/>
    <n v="2"/>
    <s v="Life Sciences"/>
    <n v="1"/>
    <n v="1483"/>
    <n v="2"/>
    <s v="Male"/>
    <n v="93"/>
    <n v="4"/>
    <x v="0"/>
    <x v="1"/>
    <n v="3"/>
    <s v="Married"/>
    <n v="4900"/>
    <n v="2721"/>
    <n v="0"/>
    <s v="Y"/>
    <s v="No"/>
    <s v="No"/>
    <n v="24"/>
    <n v="4"/>
    <n v="1"/>
    <n v="80"/>
    <n v="1"/>
    <n v="13"/>
    <s v="6-15"/>
    <n v="2"/>
    <n v="2"/>
    <n v="12"/>
    <n v="9"/>
    <n v="2"/>
    <n v="8"/>
  </r>
  <r>
    <n v="49"/>
    <x v="1"/>
    <s v="No"/>
    <s v="Travel_Rarely"/>
    <n v="1490"/>
    <x v="1"/>
    <n v="7"/>
    <n v="4"/>
    <s v="Life Sciences"/>
    <n v="1"/>
    <n v="1484"/>
    <n v="3"/>
    <s v="Male"/>
    <n v="35"/>
    <n v="3"/>
    <x v="2"/>
    <x v="4"/>
    <n v="2"/>
    <s v="Divorced"/>
    <n v="10466"/>
    <n v="20948"/>
    <n v="3"/>
    <s v="Y"/>
    <s v="No"/>
    <s v="No"/>
    <n v="14"/>
    <n v="3"/>
    <n v="2"/>
    <n v="80"/>
    <n v="2"/>
    <n v="29"/>
    <s v="&gt;15"/>
    <n v="3"/>
    <n v="3"/>
    <n v="8"/>
    <n v="7"/>
    <n v="0"/>
    <n v="7"/>
  </r>
  <r>
    <n v="34"/>
    <x v="1"/>
    <s v="No"/>
    <s v="Travel_Frequently"/>
    <n v="829"/>
    <x v="1"/>
    <n v="15"/>
    <n v="3"/>
    <s v="Medical"/>
    <n v="1"/>
    <n v="1485"/>
    <n v="2"/>
    <s v="Male"/>
    <n v="71"/>
    <n v="3"/>
    <x v="3"/>
    <x v="7"/>
    <n v="1"/>
    <s v="Divorced"/>
    <n v="17007"/>
    <n v="11929"/>
    <n v="7"/>
    <s v="Y"/>
    <s v="No"/>
    <s v="No"/>
    <n v="14"/>
    <n v="3"/>
    <n v="4"/>
    <n v="80"/>
    <n v="2"/>
    <n v="16"/>
    <s v="&gt;15"/>
    <n v="3"/>
    <n v="2"/>
    <n v="14"/>
    <n v="8"/>
    <n v="6"/>
    <n v="9"/>
  </r>
  <r>
    <n v="28"/>
    <x v="0"/>
    <s v="Yes"/>
    <s v="Travel_Frequently"/>
    <n v="1496"/>
    <x v="0"/>
    <n v="1"/>
    <n v="3"/>
    <s v="Technical Degree"/>
    <n v="1"/>
    <n v="1486"/>
    <n v="1"/>
    <s v="Male"/>
    <n v="92"/>
    <n v="3"/>
    <x v="1"/>
    <x v="6"/>
    <n v="3"/>
    <s v="Married"/>
    <n v="2909"/>
    <n v="15747"/>
    <n v="3"/>
    <s v="Y"/>
    <s v="No"/>
    <s v="No"/>
    <n v="15"/>
    <n v="3"/>
    <n v="4"/>
    <n v="80"/>
    <n v="1"/>
    <n v="5"/>
    <s v="0-5"/>
    <n v="3"/>
    <n v="4"/>
    <n v="3"/>
    <n v="2"/>
    <n v="1"/>
    <n v="2"/>
  </r>
  <r>
    <n v="29"/>
    <x v="0"/>
    <s v="Yes"/>
    <s v="Travel_Frequently"/>
    <n v="115"/>
    <x v="0"/>
    <n v="13"/>
    <n v="3"/>
    <s v="Technical Degree"/>
    <n v="1"/>
    <n v="1487"/>
    <n v="1"/>
    <s v="Female"/>
    <n v="51"/>
    <n v="3"/>
    <x v="0"/>
    <x v="0"/>
    <n v="2"/>
    <s v="Single"/>
    <n v="5765"/>
    <n v="17485"/>
    <n v="5"/>
    <s v="Y"/>
    <s v="No"/>
    <s v="No"/>
    <n v="11"/>
    <n v="3"/>
    <n v="1"/>
    <n v="80"/>
    <n v="0"/>
    <n v="7"/>
    <s v="6-15"/>
    <n v="4"/>
    <n v="1"/>
    <n v="5"/>
    <n v="3"/>
    <n v="0"/>
    <n v="0"/>
  </r>
  <r>
    <n v="34"/>
    <x v="0"/>
    <s v="Yes"/>
    <s v="Travel_Rarely"/>
    <n v="790"/>
    <x v="0"/>
    <n v="24"/>
    <n v="4"/>
    <s v="Medical"/>
    <n v="1"/>
    <n v="1489"/>
    <n v="1"/>
    <s v="Female"/>
    <n v="40"/>
    <n v="2"/>
    <x v="0"/>
    <x v="0"/>
    <n v="2"/>
    <s v="Single"/>
    <n v="4599"/>
    <n v="7815"/>
    <n v="0"/>
    <s v="Y"/>
    <s v="Yes"/>
    <s v="Yes"/>
    <n v="23"/>
    <n v="4"/>
    <n v="3"/>
    <n v="80"/>
    <n v="0"/>
    <n v="16"/>
    <s v="&gt;15"/>
    <n v="2"/>
    <n v="4"/>
    <n v="15"/>
    <n v="9"/>
    <n v="10"/>
    <n v="10"/>
  </r>
  <r>
    <n v="35"/>
    <x v="1"/>
    <s v="No"/>
    <s v="Travel_Rarely"/>
    <n v="660"/>
    <x v="0"/>
    <n v="7"/>
    <n v="1"/>
    <s v="Life Sciences"/>
    <n v="1"/>
    <n v="1492"/>
    <n v="4"/>
    <s v="Male"/>
    <n v="76"/>
    <n v="3"/>
    <x v="1"/>
    <x v="6"/>
    <n v="3"/>
    <s v="Married"/>
    <n v="2404"/>
    <n v="16192"/>
    <n v="1"/>
    <s v="Y"/>
    <s v="No"/>
    <s v="No"/>
    <n v="13"/>
    <n v="3"/>
    <n v="1"/>
    <n v="80"/>
    <n v="1"/>
    <n v="1"/>
    <s v="0-5"/>
    <n v="3"/>
    <n v="3"/>
    <n v="1"/>
    <n v="0"/>
    <n v="0"/>
    <n v="0"/>
  </r>
  <r>
    <n v="24"/>
    <x v="0"/>
    <s v="Yes"/>
    <s v="Travel_Frequently"/>
    <n v="381"/>
    <x v="1"/>
    <n v="9"/>
    <n v="3"/>
    <s v="Medical"/>
    <n v="1"/>
    <n v="1494"/>
    <n v="2"/>
    <s v="Male"/>
    <n v="89"/>
    <n v="3"/>
    <x v="1"/>
    <x v="2"/>
    <n v="1"/>
    <s v="Single"/>
    <n v="3172"/>
    <n v="16998"/>
    <n v="2"/>
    <s v="Y"/>
    <s v="Yes"/>
    <s v="Yes"/>
    <n v="11"/>
    <n v="3"/>
    <n v="3"/>
    <n v="80"/>
    <n v="0"/>
    <n v="4"/>
    <s v="0-5"/>
    <n v="2"/>
    <n v="2"/>
    <n v="0"/>
    <n v="0"/>
    <n v="0"/>
    <n v="0"/>
  </r>
  <r>
    <n v="24"/>
    <x v="1"/>
    <s v="No"/>
    <s v="Non-Travel"/>
    <n v="830"/>
    <x v="0"/>
    <n v="13"/>
    <n v="2"/>
    <s v="Life Sciences"/>
    <n v="1"/>
    <n v="1495"/>
    <n v="4"/>
    <s v="Female"/>
    <n v="78"/>
    <n v="3"/>
    <x v="1"/>
    <x v="6"/>
    <n v="2"/>
    <s v="Married"/>
    <n v="2033"/>
    <n v="7103"/>
    <n v="1"/>
    <s v="Y"/>
    <s v="No"/>
    <s v="No"/>
    <n v="13"/>
    <n v="3"/>
    <n v="3"/>
    <n v="80"/>
    <n v="1"/>
    <n v="1"/>
    <s v="0-5"/>
    <n v="2"/>
    <n v="3"/>
    <n v="1"/>
    <n v="0"/>
    <n v="0"/>
    <n v="0"/>
  </r>
  <r>
    <n v="44"/>
    <x v="1"/>
    <s v="No"/>
    <s v="Travel_Frequently"/>
    <n v="1193"/>
    <x v="1"/>
    <n v="2"/>
    <n v="1"/>
    <s v="Medical"/>
    <n v="1"/>
    <n v="1496"/>
    <n v="2"/>
    <s v="Male"/>
    <n v="86"/>
    <n v="3"/>
    <x v="2"/>
    <x v="3"/>
    <n v="3"/>
    <s v="Single"/>
    <n v="10209"/>
    <n v="19719"/>
    <n v="5"/>
    <s v="Y"/>
    <s v="Yes"/>
    <s v="Yes"/>
    <n v="18"/>
    <n v="3"/>
    <n v="2"/>
    <n v="80"/>
    <n v="0"/>
    <n v="16"/>
    <s v="&gt;15"/>
    <n v="2"/>
    <n v="2"/>
    <n v="2"/>
    <n v="2"/>
    <n v="2"/>
    <n v="2"/>
  </r>
  <r>
    <n v="29"/>
    <x v="1"/>
    <s v="No"/>
    <s v="Travel_Rarely"/>
    <n v="1246"/>
    <x v="0"/>
    <n v="19"/>
    <n v="3"/>
    <s v="Life Sciences"/>
    <n v="1"/>
    <n v="1497"/>
    <n v="3"/>
    <s v="Male"/>
    <n v="77"/>
    <n v="2"/>
    <x v="0"/>
    <x v="0"/>
    <n v="3"/>
    <s v="Divorced"/>
    <n v="8620"/>
    <n v="23757"/>
    <n v="1"/>
    <s v="Y"/>
    <s v="No"/>
    <s v="No"/>
    <n v="14"/>
    <n v="3"/>
    <n v="3"/>
    <n v="80"/>
    <n v="2"/>
    <n v="10"/>
    <s v="6-15"/>
    <n v="3"/>
    <n v="3"/>
    <n v="10"/>
    <n v="7"/>
    <n v="0"/>
    <n v="4"/>
  </r>
  <r>
    <n v="30"/>
    <x v="1"/>
    <s v="No"/>
    <s v="Travel_Rarely"/>
    <n v="330"/>
    <x v="2"/>
    <n v="1"/>
    <n v="3"/>
    <s v="Life Sciences"/>
    <n v="1"/>
    <n v="1499"/>
    <n v="3"/>
    <s v="Male"/>
    <n v="46"/>
    <n v="3"/>
    <x v="1"/>
    <x v="8"/>
    <n v="3"/>
    <s v="Divorced"/>
    <n v="2064"/>
    <n v="15428"/>
    <n v="0"/>
    <s v="Y"/>
    <s v="No"/>
    <s v="No"/>
    <n v="21"/>
    <n v="4"/>
    <n v="1"/>
    <n v="80"/>
    <n v="1"/>
    <n v="6"/>
    <s v="6-15"/>
    <n v="3"/>
    <n v="4"/>
    <n v="5"/>
    <n v="3"/>
    <n v="1"/>
    <n v="3"/>
  </r>
  <r>
    <n v="55"/>
    <x v="1"/>
    <s v="No"/>
    <s v="Travel_Rarely"/>
    <n v="1229"/>
    <x v="1"/>
    <n v="4"/>
    <n v="4"/>
    <s v="Life Sciences"/>
    <n v="1"/>
    <n v="1501"/>
    <n v="4"/>
    <s v="Male"/>
    <n v="30"/>
    <n v="3"/>
    <x v="0"/>
    <x v="4"/>
    <n v="3"/>
    <s v="Married"/>
    <n v="4035"/>
    <n v="16143"/>
    <n v="0"/>
    <s v="Y"/>
    <s v="Yes"/>
    <s v="Yes"/>
    <n v="16"/>
    <n v="3"/>
    <n v="2"/>
    <n v="80"/>
    <n v="0"/>
    <n v="4"/>
    <s v="0-5"/>
    <n v="2"/>
    <n v="3"/>
    <n v="3"/>
    <n v="2"/>
    <n v="1"/>
    <n v="2"/>
  </r>
  <r>
    <n v="33"/>
    <x v="1"/>
    <s v="No"/>
    <s v="Travel_Rarely"/>
    <n v="1099"/>
    <x v="1"/>
    <n v="4"/>
    <n v="4"/>
    <s v="Medical"/>
    <n v="1"/>
    <n v="1502"/>
    <n v="1"/>
    <s v="Female"/>
    <n v="82"/>
    <n v="2"/>
    <x v="1"/>
    <x v="2"/>
    <n v="2"/>
    <s v="Married"/>
    <n v="3838"/>
    <n v="8192"/>
    <n v="8"/>
    <s v="Y"/>
    <s v="No"/>
    <s v="No"/>
    <n v="11"/>
    <n v="3"/>
    <n v="4"/>
    <n v="80"/>
    <n v="0"/>
    <n v="8"/>
    <s v="6-15"/>
    <n v="5"/>
    <n v="3"/>
    <n v="5"/>
    <n v="4"/>
    <n v="0"/>
    <n v="2"/>
  </r>
  <r>
    <n v="47"/>
    <x v="1"/>
    <s v="No"/>
    <s v="Travel_Rarely"/>
    <n v="571"/>
    <x v="0"/>
    <n v="14"/>
    <n v="3"/>
    <s v="Medical"/>
    <n v="1"/>
    <n v="1503"/>
    <n v="3"/>
    <s v="Female"/>
    <n v="78"/>
    <n v="3"/>
    <x v="0"/>
    <x v="0"/>
    <n v="3"/>
    <s v="Married"/>
    <n v="4591"/>
    <n v="24200"/>
    <n v="3"/>
    <s v="Y"/>
    <s v="Yes"/>
    <s v="Yes"/>
    <n v="17"/>
    <n v="3"/>
    <n v="3"/>
    <n v="80"/>
    <n v="1"/>
    <n v="11"/>
    <s v="6-15"/>
    <n v="4"/>
    <n v="2"/>
    <n v="5"/>
    <n v="4"/>
    <n v="1"/>
    <n v="2"/>
  </r>
  <r>
    <n v="28"/>
    <x v="0"/>
    <s v="Yes"/>
    <s v="Travel_Frequently"/>
    <n v="289"/>
    <x v="1"/>
    <n v="2"/>
    <n v="2"/>
    <s v="Medical"/>
    <n v="1"/>
    <n v="1504"/>
    <n v="3"/>
    <s v="Male"/>
    <n v="38"/>
    <n v="2"/>
    <x v="1"/>
    <x v="2"/>
    <n v="1"/>
    <s v="Single"/>
    <n v="2561"/>
    <n v="5355"/>
    <n v="7"/>
    <s v="Y"/>
    <s v="No"/>
    <s v="No"/>
    <n v="11"/>
    <n v="3"/>
    <n v="3"/>
    <n v="80"/>
    <n v="0"/>
    <n v="8"/>
    <s v="6-15"/>
    <n v="2"/>
    <n v="2"/>
    <n v="0"/>
    <n v="0"/>
    <n v="0"/>
    <n v="0"/>
  </r>
  <r>
    <n v="28"/>
    <x v="1"/>
    <s v="No"/>
    <s v="Travel_Rarely"/>
    <n v="1423"/>
    <x v="1"/>
    <n v="1"/>
    <n v="3"/>
    <s v="Life Sciences"/>
    <n v="1"/>
    <n v="1506"/>
    <n v="1"/>
    <s v="Male"/>
    <n v="72"/>
    <n v="2"/>
    <x v="1"/>
    <x v="1"/>
    <n v="3"/>
    <s v="Divorced"/>
    <n v="1563"/>
    <n v="12530"/>
    <n v="1"/>
    <s v="Y"/>
    <s v="No"/>
    <s v="No"/>
    <n v="14"/>
    <n v="3"/>
    <n v="4"/>
    <n v="80"/>
    <n v="1"/>
    <n v="1"/>
    <s v="0-5"/>
    <n v="2"/>
    <n v="1"/>
    <n v="1"/>
    <n v="0"/>
    <n v="0"/>
    <n v="0"/>
  </r>
  <r>
    <n v="28"/>
    <x v="1"/>
    <s v="No"/>
    <s v="Travel_Frequently"/>
    <n v="467"/>
    <x v="0"/>
    <n v="7"/>
    <n v="3"/>
    <s v="Life Sciences"/>
    <n v="1"/>
    <n v="1507"/>
    <n v="3"/>
    <s v="Male"/>
    <n v="55"/>
    <n v="3"/>
    <x v="0"/>
    <x v="0"/>
    <n v="1"/>
    <s v="Single"/>
    <n v="4898"/>
    <n v="11827"/>
    <n v="0"/>
    <s v="Y"/>
    <s v="No"/>
    <s v="No"/>
    <n v="14"/>
    <n v="3"/>
    <n v="4"/>
    <n v="80"/>
    <n v="0"/>
    <n v="5"/>
    <s v="0-5"/>
    <n v="5"/>
    <n v="3"/>
    <n v="4"/>
    <n v="2"/>
    <n v="1"/>
    <n v="3"/>
  </r>
  <r>
    <n v="49"/>
    <x v="1"/>
    <s v="No"/>
    <s v="Travel_Rarely"/>
    <n v="271"/>
    <x v="1"/>
    <n v="3"/>
    <n v="2"/>
    <s v="Medical"/>
    <n v="1"/>
    <n v="1509"/>
    <n v="3"/>
    <s v="Female"/>
    <n v="43"/>
    <n v="2"/>
    <x v="0"/>
    <x v="2"/>
    <n v="1"/>
    <s v="Married"/>
    <n v="4789"/>
    <n v="23070"/>
    <n v="4"/>
    <s v="Y"/>
    <s v="No"/>
    <s v="No"/>
    <n v="25"/>
    <n v="4"/>
    <n v="1"/>
    <n v="80"/>
    <n v="1"/>
    <n v="10"/>
    <s v="6-15"/>
    <n v="3"/>
    <n v="3"/>
    <n v="3"/>
    <n v="2"/>
    <n v="1"/>
    <n v="2"/>
  </r>
  <r>
    <n v="29"/>
    <x v="1"/>
    <s v="No"/>
    <s v="Travel_Frequently"/>
    <n v="410"/>
    <x v="1"/>
    <n v="2"/>
    <n v="1"/>
    <s v="Life Sciences"/>
    <n v="1"/>
    <n v="1513"/>
    <n v="4"/>
    <s v="Female"/>
    <n v="97"/>
    <n v="3"/>
    <x v="1"/>
    <x v="2"/>
    <n v="2"/>
    <s v="Married"/>
    <n v="3180"/>
    <n v="4668"/>
    <n v="0"/>
    <s v="Y"/>
    <s v="No"/>
    <s v="No"/>
    <n v="13"/>
    <n v="3"/>
    <n v="3"/>
    <n v="80"/>
    <n v="3"/>
    <n v="4"/>
    <s v="0-5"/>
    <n v="3"/>
    <n v="3"/>
    <n v="3"/>
    <n v="2"/>
    <n v="0"/>
    <n v="2"/>
  </r>
  <r>
    <n v="28"/>
    <x v="1"/>
    <s v="No"/>
    <s v="Travel_Rarely"/>
    <n v="1083"/>
    <x v="1"/>
    <n v="29"/>
    <n v="1"/>
    <s v="Life Sciences"/>
    <n v="1"/>
    <n v="1514"/>
    <n v="3"/>
    <s v="Male"/>
    <n v="96"/>
    <n v="1"/>
    <x v="0"/>
    <x v="3"/>
    <n v="2"/>
    <s v="Married"/>
    <n v="6549"/>
    <n v="3173"/>
    <n v="1"/>
    <s v="Y"/>
    <s v="No"/>
    <s v="No"/>
    <n v="14"/>
    <n v="3"/>
    <n v="2"/>
    <n v="80"/>
    <n v="2"/>
    <n v="8"/>
    <s v="6-15"/>
    <n v="2"/>
    <n v="2"/>
    <n v="8"/>
    <n v="6"/>
    <n v="1"/>
    <n v="7"/>
  </r>
  <r>
    <n v="33"/>
    <x v="1"/>
    <s v="No"/>
    <s v="Travel_Rarely"/>
    <n v="516"/>
    <x v="1"/>
    <n v="8"/>
    <n v="5"/>
    <s v="Life Sciences"/>
    <n v="1"/>
    <n v="1515"/>
    <n v="4"/>
    <s v="Male"/>
    <n v="69"/>
    <n v="3"/>
    <x v="0"/>
    <x v="4"/>
    <n v="3"/>
    <s v="Single"/>
    <n v="6388"/>
    <n v="22049"/>
    <n v="2"/>
    <s v="Y"/>
    <s v="Yes"/>
    <s v="Yes"/>
    <n v="17"/>
    <n v="3"/>
    <n v="1"/>
    <n v="80"/>
    <n v="0"/>
    <n v="14"/>
    <s v="6-15"/>
    <n v="6"/>
    <n v="3"/>
    <n v="0"/>
    <n v="0"/>
    <n v="0"/>
    <n v="0"/>
  </r>
  <r>
    <n v="32"/>
    <x v="1"/>
    <s v="No"/>
    <s v="Travel_Rarely"/>
    <n v="495"/>
    <x v="1"/>
    <n v="10"/>
    <n v="3"/>
    <s v="Medical"/>
    <n v="1"/>
    <n v="1516"/>
    <n v="3"/>
    <s v="Male"/>
    <n v="64"/>
    <n v="3"/>
    <x v="2"/>
    <x v="5"/>
    <n v="4"/>
    <s v="Single"/>
    <n v="11244"/>
    <n v="21072"/>
    <n v="2"/>
    <s v="Y"/>
    <s v="No"/>
    <s v="No"/>
    <n v="25"/>
    <n v="4"/>
    <n v="2"/>
    <n v="80"/>
    <n v="0"/>
    <n v="10"/>
    <s v="6-15"/>
    <n v="5"/>
    <n v="4"/>
    <n v="5"/>
    <n v="2"/>
    <n v="0"/>
    <n v="0"/>
  </r>
  <r>
    <n v="54"/>
    <x v="1"/>
    <s v="No"/>
    <s v="Travel_Frequently"/>
    <n v="1050"/>
    <x v="1"/>
    <n v="11"/>
    <n v="4"/>
    <s v="Medical"/>
    <n v="1"/>
    <n v="1520"/>
    <n v="2"/>
    <s v="Female"/>
    <n v="87"/>
    <n v="3"/>
    <x v="3"/>
    <x v="5"/>
    <n v="4"/>
    <s v="Divorced"/>
    <n v="16032"/>
    <n v="24456"/>
    <n v="3"/>
    <s v="Y"/>
    <s v="No"/>
    <s v="No"/>
    <n v="20"/>
    <n v="4"/>
    <n v="1"/>
    <n v="80"/>
    <n v="1"/>
    <n v="26"/>
    <s v="&gt;15"/>
    <n v="2"/>
    <n v="3"/>
    <n v="14"/>
    <n v="9"/>
    <n v="1"/>
    <n v="12"/>
  </r>
  <r>
    <n v="29"/>
    <x v="0"/>
    <s v="Yes"/>
    <s v="Travel_Rarely"/>
    <n v="224"/>
    <x v="1"/>
    <n v="1"/>
    <n v="4"/>
    <s v="Technical Degree"/>
    <n v="1"/>
    <n v="1522"/>
    <n v="1"/>
    <s v="Male"/>
    <n v="100"/>
    <n v="2"/>
    <x v="1"/>
    <x v="1"/>
    <n v="1"/>
    <s v="Single"/>
    <n v="2362"/>
    <n v="7568"/>
    <n v="6"/>
    <s v="Y"/>
    <s v="No"/>
    <s v="No"/>
    <n v="13"/>
    <n v="3"/>
    <n v="3"/>
    <n v="80"/>
    <n v="0"/>
    <n v="11"/>
    <s v="6-15"/>
    <n v="2"/>
    <n v="1"/>
    <n v="9"/>
    <n v="7"/>
    <n v="0"/>
    <n v="7"/>
  </r>
  <r>
    <n v="44"/>
    <x v="1"/>
    <s v="No"/>
    <s v="Travel_Rarely"/>
    <n v="136"/>
    <x v="1"/>
    <n v="28"/>
    <n v="3"/>
    <s v="Life Sciences"/>
    <n v="1"/>
    <n v="1523"/>
    <n v="4"/>
    <s v="Male"/>
    <n v="32"/>
    <n v="3"/>
    <x v="3"/>
    <x v="7"/>
    <n v="1"/>
    <s v="Married"/>
    <n v="16328"/>
    <n v="22074"/>
    <n v="3"/>
    <s v="Y"/>
    <s v="No"/>
    <s v="No"/>
    <n v="13"/>
    <n v="3"/>
    <n v="3"/>
    <n v="80"/>
    <n v="1"/>
    <n v="24"/>
    <s v="&gt;15"/>
    <n v="1"/>
    <n v="4"/>
    <n v="20"/>
    <n v="6"/>
    <n v="14"/>
    <n v="17"/>
  </r>
  <r>
    <n v="39"/>
    <x v="1"/>
    <s v="No"/>
    <s v="Travel_Rarely"/>
    <n v="1089"/>
    <x v="1"/>
    <n v="6"/>
    <n v="3"/>
    <s v="Life Sciences"/>
    <n v="1"/>
    <n v="1525"/>
    <n v="2"/>
    <s v="Female"/>
    <n v="32"/>
    <n v="3"/>
    <x v="2"/>
    <x v="3"/>
    <n v="2"/>
    <s v="Single"/>
    <n v="8376"/>
    <n v="9150"/>
    <n v="4"/>
    <s v="Y"/>
    <s v="No"/>
    <s v="No"/>
    <n v="18"/>
    <n v="3"/>
    <n v="4"/>
    <n v="80"/>
    <n v="0"/>
    <n v="9"/>
    <s v="6-15"/>
    <n v="3"/>
    <n v="3"/>
    <n v="2"/>
    <n v="0"/>
    <n v="2"/>
    <n v="2"/>
  </r>
  <r>
    <n v="46"/>
    <x v="1"/>
    <s v="No"/>
    <s v="Travel_Rarely"/>
    <n v="228"/>
    <x v="0"/>
    <n v="3"/>
    <n v="3"/>
    <s v="Life Sciences"/>
    <n v="1"/>
    <n v="1527"/>
    <n v="3"/>
    <s v="Female"/>
    <n v="51"/>
    <n v="3"/>
    <x v="3"/>
    <x v="5"/>
    <n v="2"/>
    <s v="Married"/>
    <n v="16606"/>
    <n v="11380"/>
    <n v="8"/>
    <s v="Y"/>
    <s v="No"/>
    <s v="No"/>
    <n v="12"/>
    <n v="3"/>
    <n v="4"/>
    <n v="80"/>
    <n v="1"/>
    <n v="23"/>
    <s v="&gt;15"/>
    <n v="2"/>
    <n v="4"/>
    <n v="13"/>
    <n v="12"/>
    <n v="5"/>
    <n v="1"/>
  </r>
  <r>
    <n v="35"/>
    <x v="1"/>
    <s v="No"/>
    <s v="Travel_Rarely"/>
    <n v="1029"/>
    <x v="1"/>
    <n v="16"/>
    <n v="3"/>
    <s v="Life Sciences"/>
    <n v="1"/>
    <n v="1529"/>
    <n v="4"/>
    <s v="Female"/>
    <n v="91"/>
    <n v="2"/>
    <x v="2"/>
    <x v="4"/>
    <n v="2"/>
    <s v="Single"/>
    <n v="8606"/>
    <n v="21195"/>
    <n v="1"/>
    <s v="Y"/>
    <s v="No"/>
    <s v="No"/>
    <n v="19"/>
    <n v="3"/>
    <n v="4"/>
    <n v="80"/>
    <n v="0"/>
    <n v="11"/>
    <s v="6-15"/>
    <n v="3"/>
    <n v="1"/>
    <n v="11"/>
    <n v="8"/>
    <n v="3"/>
    <n v="3"/>
  </r>
  <r>
    <n v="23"/>
    <x v="1"/>
    <s v="No"/>
    <s v="Travel_Rarely"/>
    <n v="507"/>
    <x v="1"/>
    <n v="20"/>
    <n v="1"/>
    <s v="Life Sciences"/>
    <n v="1"/>
    <n v="1533"/>
    <n v="1"/>
    <s v="Male"/>
    <n v="97"/>
    <n v="3"/>
    <x v="0"/>
    <x v="2"/>
    <n v="3"/>
    <s v="Single"/>
    <n v="2272"/>
    <n v="24812"/>
    <n v="0"/>
    <s v="Y"/>
    <s v="No"/>
    <s v="No"/>
    <n v="14"/>
    <n v="3"/>
    <n v="2"/>
    <n v="80"/>
    <n v="0"/>
    <n v="5"/>
    <s v="0-5"/>
    <n v="2"/>
    <n v="3"/>
    <n v="4"/>
    <n v="3"/>
    <n v="1"/>
    <n v="2"/>
  </r>
  <r>
    <n v="40"/>
    <x v="0"/>
    <s v="Yes"/>
    <s v="Travel_Rarely"/>
    <n v="676"/>
    <x v="1"/>
    <n v="9"/>
    <n v="4"/>
    <s v="Life Sciences"/>
    <n v="1"/>
    <n v="1534"/>
    <n v="4"/>
    <s v="Male"/>
    <n v="86"/>
    <n v="3"/>
    <x v="1"/>
    <x v="2"/>
    <n v="1"/>
    <s v="Single"/>
    <n v="2018"/>
    <n v="21831"/>
    <n v="3"/>
    <s v="Y"/>
    <s v="No"/>
    <s v="No"/>
    <n v="14"/>
    <n v="3"/>
    <n v="2"/>
    <n v="80"/>
    <n v="0"/>
    <n v="15"/>
    <s v="6-15"/>
    <n v="3"/>
    <n v="1"/>
    <n v="5"/>
    <n v="4"/>
    <n v="1"/>
    <n v="0"/>
  </r>
  <r>
    <n v="34"/>
    <x v="1"/>
    <s v="No"/>
    <s v="Travel_Rarely"/>
    <n v="971"/>
    <x v="0"/>
    <n v="1"/>
    <n v="3"/>
    <s v="Technical Degree"/>
    <n v="1"/>
    <n v="1535"/>
    <n v="4"/>
    <s v="Male"/>
    <n v="64"/>
    <n v="2"/>
    <x v="2"/>
    <x v="0"/>
    <n v="3"/>
    <s v="Married"/>
    <n v="7083"/>
    <n v="12288"/>
    <n v="1"/>
    <s v="Y"/>
    <s v="Yes"/>
    <s v="Yes"/>
    <n v="14"/>
    <n v="3"/>
    <n v="4"/>
    <n v="80"/>
    <n v="0"/>
    <n v="10"/>
    <s v="6-15"/>
    <n v="3"/>
    <n v="3"/>
    <n v="10"/>
    <n v="9"/>
    <n v="8"/>
    <n v="6"/>
  </r>
  <r>
    <n v="31"/>
    <x v="0"/>
    <s v="Yes"/>
    <s v="Travel_Frequently"/>
    <n v="561"/>
    <x v="1"/>
    <n v="3"/>
    <n v="3"/>
    <s v="Life Sciences"/>
    <n v="1"/>
    <n v="1537"/>
    <n v="4"/>
    <s v="Female"/>
    <n v="33"/>
    <n v="3"/>
    <x v="1"/>
    <x v="1"/>
    <n v="3"/>
    <s v="Single"/>
    <n v="4084"/>
    <n v="4156"/>
    <n v="1"/>
    <s v="Y"/>
    <s v="No"/>
    <s v="No"/>
    <n v="12"/>
    <n v="3"/>
    <n v="1"/>
    <n v="80"/>
    <n v="0"/>
    <n v="7"/>
    <s v="6-15"/>
    <n v="2"/>
    <n v="1"/>
    <n v="7"/>
    <n v="2"/>
    <n v="7"/>
    <n v="7"/>
  </r>
  <r>
    <n v="50"/>
    <x v="1"/>
    <s v="No"/>
    <s v="Travel_Frequently"/>
    <n v="333"/>
    <x v="1"/>
    <n v="22"/>
    <n v="5"/>
    <s v="Medical"/>
    <n v="1"/>
    <n v="1539"/>
    <n v="3"/>
    <s v="Male"/>
    <n v="88"/>
    <n v="1"/>
    <x v="3"/>
    <x v="7"/>
    <n v="4"/>
    <s v="Single"/>
    <n v="14411"/>
    <n v="24450"/>
    <n v="1"/>
    <s v="Y"/>
    <s v="Yes"/>
    <s v="Yes"/>
    <n v="13"/>
    <n v="3"/>
    <n v="4"/>
    <n v="80"/>
    <n v="0"/>
    <n v="32"/>
    <s v="&gt;15"/>
    <n v="2"/>
    <n v="3"/>
    <n v="32"/>
    <n v="6"/>
    <n v="13"/>
    <n v="9"/>
  </r>
  <r>
    <n v="34"/>
    <x v="1"/>
    <s v="No"/>
    <s v="Travel_Rarely"/>
    <n v="1440"/>
    <x v="0"/>
    <n v="7"/>
    <n v="2"/>
    <s v="Technical Degree"/>
    <n v="1"/>
    <n v="1541"/>
    <n v="2"/>
    <s v="Male"/>
    <n v="55"/>
    <n v="3"/>
    <x v="1"/>
    <x v="6"/>
    <n v="3"/>
    <s v="Married"/>
    <n v="2308"/>
    <n v="4944"/>
    <n v="0"/>
    <s v="Y"/>
    <s v="Yes"/>
    <s v="Yes"/>
    <n v="25"/>
    <n v="4"/>
    <n v="2"/>
    <n v="80"/>
    <n v="1"/>
    <n v="12"/>
    <s v="6-15"/>
    <n v="4"/>
    <n v="3"/>
    <n v="11"/>
    <n v="10"/>
    <n v="5"/>
    <n v="7"/>
  </r>
  <r>
    <n v="42"/>
    <x v="1"/>
    <s v="No"/>
    <s v="Travel_Rarely"/>
    <n v="1210"/>
    <x v="1"/>
    <n v="2"/>
    <n v="3"/>
    <s v="Medical"/>
    <n v="1"/>
    <n v="1542"/>
    <n v="3"/>
    <s v="Male"/>
    <n v="68"/>
    <n v="2"/>
    <x v="1"/>
    <x v="2"/>
    <n v="2"/>
    <s v="Married"/>
    <n v="4841"/>
    <n v="24052"/>
    <n v="4"/>
    <s v="Y"/>
    <s v="No"/>
    <s v="No"/>
    <n v="14"/>
    <n v="3"/>
    <n v="2"/>
    <n v="80"/>
    <n v="1"/>
    <n v="4"/>
    <s v="0-5"/>
    <n v="3"/>
    <n v="3"/>
    <n v="1"/>
    <n v="0"/>
    <n v="0"/>
    <n v="0"/>
  </r>
  <r>
    <n v="37"/>
    <x v="1"/>
    <s v="No"/>
    <s v="Travel_Rarely"/>
    <n v="674"/>
    <x v="1"/>
    <n v="13"/>
    <n v="3"/>
    <s v="Medical"/>
    <n v="1"/>
    <n v="1543"/>
    <n v="1"/>
    <s v="Male"/>
    <n v="47"/>
    <n v="3"/>
    <x v="0"/>
    <x v="1"/>
    <n v="4"/>
    <s v="Married"/>
    <n v="4285"/>
    <n v="3031"/>
    <n v="1"/>
    <s v="Y"/>
    <s v="No"/>
    <s v="No"/>
    <n v="17"/>
    <n v="3"/>
    <n v="1"/>
    <n v="80"/>
    <n v="0"/>
    <n v="10"/>
    <s v="6-15"/>
    <n v="2"/>
    <n v="3"/>
    <n v="10"/>
    <n v="8"/>
    <n v="3"/>
    <n v="7"/>
  </r>
  <r>
    <n v="29"/>
    <x v="1"/>
    <s v="No"/>
    <s v="Travel_Rarely"/>
    <n v="441"/>
    <x v="1"/>
    <n v="8"/>
    <n v="1"/>
    <s v="Other"/>
    <n v="1"/>
    <n v="1544"/>
    <n v="3"/>
    <s v="Female"/>
    <n v="39"/>
    <n v="1"/>
    <x v="0"/>
    <x v="4"/>
    <n v="1"/>
    <s v="Married"/>
    <n v="9715"/>
    <n v="7288"/>
    <n v="3"/>
    <s v="Y"/>
    <s v="No"/>
    <s v="No"/>
    <n v="13"/>
    <n v="3"/>
    <n v="3"/>
    <n v="80"/>
    <n v="1"/>
    <n v="9"/>
    <s v="6-15"/>
    <n v="3"/>
    <n v="3"/>
    <n v="7"/>
    <n v="7"/>
    <n v="0"/>
    <n v="7"/>
  </r>
  <r>
    <n v="33"/>
    <x v="1"/>
    <s v="No"/>
    <s v="Travel_Rarely"/>
    <n v="575"/>
    <x v="1"/>
    <n v="25"/>
    <n v="3"/>
    <s v="Life Sciences"/>
    <n v="1"/>
    <n v="1545"/>
    <n v="4"/>
    <s v="Male"/>
    <n v="44"/>
    <n v="2"/>
    <x v="0"/>
    <x v="3"/>
    <n v="2"/>
    <s v="Single"/>
    <n v="4320"/>
    <n v="24152"/>
    <n v="1"/>
    <s v="Y"/>
    <s v="No"/>
    <s v="No"/>
    <n v="13"/>
    <n v="3"/>
    <n v="4"/>
    <n v="80"/>
    <n v="0"/>
    <n v="5"/>
    <s v="0-5"/>
    <n v="2"/>
    <n v="3"/>
    <n v="5"/>
    <n v="3"/>
    <n v="0"/>
    <n v="2"/>
  </r>
  <r>
    <n v="45"/>
    <x v="1"/>
    <s v="No"/>
    <s v="Travel_Rarely"/>
    <n v="950"/>
    <x v="1"/>
    <n v="28"/>
    <n v="3"/>
    <s v="Technical Degree"/>
    <n v="1"/>
    <n v="1546"/>
    <n v="4"/>
    <s v="Male"/>
    <n v="97"/>
    <n v="3"/>
    <x v="1"/>
    <x v="1"/>
    <n v="4"/>
    <s v="Married"/>
    <n v="2132"/>
    <n v="4585"/>
    <n v="4"/>
    <s v="Y"/>
    <s v="No"/>
    <s v="No"/>
    <n v="20"/>
    <n v="4"/>
    <n v="4"/>
    <n v="80"/>
    <n v="1"/>
    <n v="8"/>
    <s v="6-15"/>
    <n v="3"/>
    <n v="3"/>
    <n v="5"/>
    <n v="4"/>
    <n v="0"/>
    <n v="3"/>
  </r>
  <r>
    <n v="42"/>
    <x v="1"/>
    <s v="No"/>
    <s v="Travel_Frequently"/>
    <n v="288"/>
    <x v="1"/>
    <n v="2"/>
    <n v="3"/>
    <s v="Life Sciences"/>
    <n v="1"/>
    <n v="1547"/>
    <n v="4"/>
    <s v="Male"/>
    <n v="40"/>
    <n v="3"/>
    <x v="2"/>
    <x v="4"/>
    <n v="4"/>
    <s v="Married"/>
    <n v="10124"/>
    <n v="18611"/>
    <n v="2"/>
    <s v="Y"/>
    <s v="Yes"/>
    <s v="Yes"/>
    <n v="14"/>
    <n v="3"/>
    <n v="3"/>
    <n v="80"/>
    <n v="1"/>
    <n v="24"/>
    <s v="&gt;15"/>
    <n v="3"/>
    <n v="1"/>
    <n v="20"/>
    <n v="8"/>
    <n v="13"/>
    <n v="9"/>
  </r>
  <r>
    <n v="40"/>
    <x v="1"/>
    <s v="No"/>
    <s v="Travel_Rarely"/>
    <n v="1342"/>
    <x v="0"/>
    <n v="9"/>
    <n v="2"/>
    <s v="Medical"/>
    <n v="1"/>
    <n v="1548"/>
    <n v="1"/>
    <s v="Male"/>
    <n v="47"/>
    <n v="3"/>
    <x v="0"/>
    <x v="0"/>
    <n v="1"/>
    <s v="Married"/>
    <n v="5473"/>
    <n v="19345"/>
    <n v="0"/>
    <s v="Y"/>
    <s v="No"/>
    <s v="No"/>
    <n v="12"/>
    <n v="3"/>
    <n v="4"/>
    <n v="80"/>
    <n v="0"/>
    <n v="9"/>
    <s v="6-15"/>
    <n v="5"/>
    <n v="4"/>
    <n v="8"/>
    <n v="4"/>
    <n v="7"/>
    <n v="1"/>
  </r>
  <r>
    <n v="33"/>
    <x v="1"/>
    <s v="No"/>
    <s v="Travel_Rarely"/>
    <n v="589"/>
    <x v="1"/>
    <n v="28"/>
    <n v="4"/>
    <s v="Life Sciences"/>
    <n v="1"/>
    <n v="1549"/>
    <n v="2"/>
    <s v="Male"/>
    <n v="79"/>
    <n v="3"/>
    <x v="0"/>
    <x v="2"/>
    <n v="3"/>
    <s v="Married"/>
    <n v="5207"/>
    <n v="22949"/>
    <n v="1"/>
    <s v="Y"/>
    <s v="Yes"/>
    <s v="Yes"/>
    <n v="12"/>
    <n v="3"/>
    <n v="2"/>
    <n v="80"/>
    <n v="1"/>
    <n v="15"/>
    <s v="6-15"/>
    <n v="3"/>
    <n v="3"/>
    <n v="15"/>
    <n v="14"/>
    <n v="5"/>
    <n v="7"/>
  </r>
  <r>
    <n v="40"/>
    <x v="1"/>
    <s v="No"/>
    <s v="Travel_Rarely"/>
    <n v="898"/>
    <x v="2"/>
    <n v="6"/>
    <n v="2"/>
    <s v="Medical"/>
    <n v="1"/>
    <n v="1550"/>
    <n v="3"/>
    <s v="Male"/>
    <n v="38"/>
    <n v="3"/>
    <x v="3"/>
    <x v="5"/>
    <n v="4"/>
    <s v="Single"/>
    <n v="16437"/>
    <n v="17381"/>
    <n v="1"/>
    <s v="Y"/>
    <s v="Yes"/>
    <s v="Yes"/>
    <n v="21"/>
    <n v="4"/>
    <n v="4"/>
    <n v="80"/>
    <n v="0"/>
    <n v="21"/>
    <s v="&gt;15"/>
    <n v="2"/>
    <n v="3"/>
    <n v="21"/>
    <n v="7"/>
    <n v="7"/>
    <n v="7"/>
  </r>
  <r>
    <n v="24"/>
    <x v="1"/>
    <s v="No"/>
    <s v="Travel_Rarely"/>
    <n v="350"/>
    <x v="1"/>
    <n v="21"/>
    <n v="2"/>
    <s v="Technical Degree"/>
    <n v="1"/>
    <n v="1551"/>
    <n v="3"/>
    <s v="Male"/>
    <n v="57"/>
    <n v="2"/>
    <x v="1"/>
    <x v="2"/>
    <n v="1"/>
    <s v="Divorced"/>
    <n v="2296"/>
    <n v="10036"/>
    <n v="0"/>
    <s v="Y"/>
    <s v="No"/>
    <s v="No"/>
    <n v="14"/>
    <n v="3"/>
    <n v="2"/>
    <n v="80"/>
    <n v="3"/>
    <n v="2"/>
    <s v="0-5"/>
    <n v="3"/>
    <n v="3"/>
    <n v="1"/>
    <n v="1"/>
    <n v="0"/>
    <n v="0"/>
  </r>
  <r>
    <n v="40"/>
    <x v="1"/>
    <s v="No"/>
    <s v="Non-Travel"/>
    <n v="1142"/>
    <x v="1"/>
    <n v="8"/>
    <n v="2"/>
    <s v="Life Sciences"/>
    <n v="1"/>
    <n v="1552"/>
    <n v="4"/>
    <s v="Male"/>
    <n v="72"/>
    <n v="3"/>
    <x v="0"/>
    <x v="4"/>
    <n v="4"/>
    <s v="Divorced"/>
    <n v="4069"/>
    <n v="8841"/>
    <n v="3"/>
    <s v="Y"/>
    <s v="Yes"/>
    <s v="Yes"/>
    <n v="18"/>
    <n v="3"/>
    <n v="3"/>
    <n v="80"/>
    <n v="0"/>
    <n v="8"/>
    <s v="6-15"/>
    <n v="2"/>
    <n v="3"/>
    <n v="2"/>
    <n v="2"/>
    <n v="2"/>
    <n v="2"/>
  </r>
  <r>
    <n v="45"/>
    <x v="1"/>
    <s v="No"/>
    <s v="Travel_Rarely"/>
    <n v="538"/>
    <x v="1"/>
    <n v="1"/>
    <n v="4"/>
    <s v="Technical Degree"/>
    <n v="1"/>
    <n v="1553"/>
    <n v="1"/>
    <s v="Male"/>
    <n v="66"/>
    <n v="3"/>
    <x v="2"/>
    <x v="4"/>
    <n v="2"/>
    <s v="Divorced"/>
    <n v="7441"/>
    <n v="20933"/>
    <n v="1"/>
    <s v="Y"/>
    <s v="No"/>
    <s v="No"/>
    <n v="12"/>
    <n v="3"/>
    <n v="1"/>
    <n v="80"/>
    <n v="3"/>
    <n v="10"/>
    <s v="6-15"/>
    <n v="4"/>
    <n v="3"/>
    <n v="10"/>
    <n v="8"/>
    <n v="7"/>
    <n v="7"/>
  </r>
  <r>
    <n v="35"/>
    <x v="1"/>
    <s v="No"/>
    <s v="Travel_Rarely"/>
    <n v="1402"/>
    <x v="0"/>
    <n v="28"/>
    <n v="4"/>
    <s v="Life Sciences"/>
    <n v="1"/>
    <n v="1554"/>
    <n v="2"/>
    <s v="Female"/>
    <n v="98"/>
    <n v="2"/>
    <x v="1"/>
    <x v="6"/>
    <n v="3"/>
    <s v="Married"/>
    <n v="2430"/>
    <n v="26204"/>
    <n v="0"/>
    <s v="Y"/>
    <s v="No"/>
    <s v="No"/>
    <n v="23"/>
    <n v="4"/>
    <n v="1"/>
    <n v="80"/>
    <n v="2"/>
    <n v="6"/>
    <s v="6-15"/>
    <n v="5"/>
    <n v="3"/>
    <n v="5"/>
    <n v="3"/>
    <n v="4"/>
    <n v="2"/>
  </r>
  <r>
    <n v="32"/>
    <x v="1"/>
    <s v="No"/>
    <s v="Travel_Rarely"/>
    <n v="824"/>
    <x v="1"/>
    <n v="5"/>
    <n v="2"/>
    <s v="Life Sciences"/>
    <n v="1"/>
    <n v="1555"/>
    <n v="4"/>
    <s v="Female"/>
    <n v="67"/>
    <n v="2"/>
    <x v="0"/>
    <x v="1"/>
    <n v="2"/>
    <s v="Married"/>
    <n v="5878"/>
    <n v="15624"/>
    <n v="3"/>
    <s v="Y"/>
    <s v="No"/>
    <s v="No"/>
    <n v="12"/>
    <n v="3"/>
    <n v="1"/>
    <n v="80"/>
    <n v="1"/>
    <n v="12"/>
    <s v="6-15"/>
    <n v="2"/>
    <n v="3"/>
    <n v="7"/>
    <n v="1"/>
    <n v="2"/>
    <n v="5"/>
  </r>
  <r>
    <n v="36"/>
    <x v="1"/>
    <s v="No"/>
    <s v="Travel_Rarely"/>
    <n v="1157"/>
    <x v="0"/>
    <n v="2"/>
    <n v="4"/>
    <s v="Life Sciences"/>
    <n v="1"/>
    <n v="1556"/>
    <n v="3"/>
    <s v="Male"/>
    <n v="70"/>
    <n v="3"/>
    <x v="1"/>
    <x v="6"/>
    <n v="4"/>
    <s v="Single"/>
    <n v="2644"/>
    <n v="17001"/>
    <n v="3"/>
    <s v="Y"/>
    <s v="Yes"/>
    <s v="Yes"/>
    <n v="21"/>
    <n v="4"/>
    <n v="4"/>
    <n v="80"/>
    <n v="0"/>
    <n v="7"/>
    <s v="6-15"/>
    <n v="3"/>
    <n v="2"/>
    <n v="3"/>
    <n v="2"/>
    <n v="1"/>
    <n v="2"/>
  </r>
  <r>
    <n v="48"/>
    <x v="1"/>
    <s v="No"/>
    <s v="Travel_Rarely"/>
    <n v="492"/>
    <x v="0"/>
    <n v="16"/>
    <n v="4"/>
    <s v="Life Sciences"/>
    <n v="1"/>
    <n v="1557"/>
    <n v="3"/>
    <s v="Female"/>
    <n v="96"/>
    <n v="3"/>
    <x v="0"/>
    <x v="0"/>
    <n v="3"/>
    <s v="Divorced"/>
    <n v="6439"/>
    <n v="13693"/>
    <n v="8"/>
    <s v="Y"/>
    <s v="No"/>
    <s v="No"/>
    <n v="14"/>
    <n v="3"/>
    <n v="3"/>
    <n v="80"/>
    <n v="1"/>
    <n v="18"/>
    <s v="&gt;15"/>
    <n v="2"/>
    <n v="3"/>
    <n v="8"/>
    <n v="7"/>
    <n v="7"/>
    <n v="7"/>
  </r>
  <r>
    <n v="29"/>
    <x v="1"/>
    <s v="No"/>
    <s v="Travel_Rarely"/>
    <n v="598"/>
    <x v="1"/>
    <n v="9"/>
    <n v="3"/>
    <s v="Life Sciences"/>
    <n v="1"/>
    <n v="1558"/>
    <n v="3"/>
    <s v="Male"/>
    <n v="91"/>
    <n v="4"/>
    <x v="1"/>
    <x v="1"/>
    <n v="3"/>
    <s v="Married"/>
    <n v="2451"/>
    <n v="22376"/>
    <n v="6"/>
    <s v="Y"/>
    <s v="No"/>
    <s v="No"/>
    <n v="18"/>
    <n v="3"/>
    <n v="1"/>
    <n v="80"/>
    <n v="2"/>
    <n v="5"/>
    <s v="0-5"/>
    <n v="2"/>
    <n v="2"/>
    <n v="1"/>
    <n v="0"/>
    <n v="0"/>
    <n v="0"/>
  </r>
  <r>
    <n v="33"/>
    <x v="1"/>
    <s v="No"/>
    <s v="Travel_Rarely"/>
    <n v="1242"/>
    <x v="0"/>
    <n v="8"/>
    <n v="4"/>
    <s v="Life Sciences"/>
    <n v="1"/>
    <n v="1560"/>
    <n v="1"/>
    <s v="Male"/>
    <n v="46"/>
    <n v="3"/>
    <x v="0"/>
    <x v="0"/>
    <n v="1"/>
    <s v="Married"/>
    <n v="6392"/>
    <n v="10589"/>
    <n v="2"/>
    <s v="Y"/>
    <s v="No"/>
    <s v="No"/>
    <n v="13"/>
    <n v="3"/>
    <n v="4"/>
    <n v="80"/>
    <n v="1"/>
    <n v="8"/>
    <s v="6-15"/>
    <n v="6"/>
    <n v="1"/>
    <n v="2"/>
    <n v="2"/>
    <n v="2"/>
    <n v="2"/>
  </r>
  <r>
    <n v="30"/>
    <x v="0"/>
    <s v="Yes"/>
    <s v="Travel_Rarely"/>
    <n v="740"/>
    <x v="0"/>
    <n v="1"/>
    <n v="3"/>
    <s v="Life Sciences"/>
    <n v="1"/>
    <n v="1562"/>
    <n v="2"/>
    <s v="Male"/>
    <n v="64"/>
    <n v="2"/>
    <x v="0"/>
    <x v="0"/>
    <n v="1"/>
    <s v="Married"/>
    <n v="9714"/>
    <n v="5323"/>
    <n v="1"/>
    <s v="Y"/>
    <s v="No"/>
    <s v="No"/>
    <n v="11"/>
    <n v="3"/>
    <n v="4"/>
    <n v="80"/>
    <n v="1"/>
    <n v="10"/>
    <s v="6-15"/>
    <n v="4"/>
    <n v="3"/>
    <n v="10"/>
    <n v="8"/>
    <n v="6"/>
    <n v="7"/>
  </r>
  <r>
    <n v="38"/>
    <x v="1"/>
    <s v="No"/>
    <s v="Travel_Frequently"/>
    <n v="888"/>
    <x v="2"/>
    <n v="10"/>
    <n v="4"/>
    <s v="Human Resources"/>
    <n v="1"/>
    <n v="1563"/>
    <n v="3"/>
    <s v="Male"/>
    <n v="71"/>
    <n v="3"/>
    <x v="0"/>
    <x v="8"/>
    <n v="3"/>
    <s v="Married"/>
    <n v="6077"/>
    <n v="14814"/>
    <n v="3"/>
    <s v="Y"/>
    <s v="No"/>
    <s v="No"/>
    <n v="11"/>
    <n v="3"/>
    <n v="3"/>
    <n v="80"/>
    <n v="0"/>
    <n v="10"/>
    <s v="6-15"/>
    <n v="2"/>
    <n v="3"/>
    <n v="6"/>
    <n v="3"/>
    <n v="1"/>
    <n v="2"/>
  </r>
  <r>
    <n v="35"/>
    <x v="1"/>
    <s v="No"/>
    <s v="Travel_Rarely"/>
    <n v="992"/>
    <x v="1"/>
    <n v="1"/>
    <n v="3"/>
    <s v="Medical"/>
    <n v="1"/>
    <n v="1564"/>
    <n v="4"/>
    <s v="Male"/>
    <n v="68"/>
    <n v="2"/>
    <x v="1"/>
    <x v="2"/>
    <n v="1"/>
    <s v="Single"/>
    <n v="2450"/>
    <n v="21731"/>
    <n v="1"/>
    <s v="Y"/>
    <s v="No"/>
    <s v="No"/>
    <n v="19"/>
    <n v="3"/>
    <n v="2"/>
    <n v="80"/>
    <n v="0"/>
    <n v="3"/>
    <s v="0-5"/>
    <n v="3"/>
    <n v="3"/>
    <n v="3"/>
    <n v="0"/>
    <n v="1"/>
    <n v="2"/>
  </r>
  <r>
    <n v="30"/>
    <x v="1"/>
    <s v="No"/>
    <s v="Travel_Rarely"/>
    <n v="1288"/>
    <x v="0"/>
    <n v="29"/>
    <n v="4"/>
    <s v="Technical Degree"/>
    <n v="1"/>
    <n v="1568"/>
    <n v="3"/>
    <s v="Male"/>
    <n v="33"/>
    <n v="3"/>
    <x v="2"/>
    <x v="0"/>
    <n v="2"/>
    <s v="Married"/>
    <n v="9250"/>
    <n v="17799"/>
    <n v="3"/>
    <s v="Y"/>
    <s v="No"/>
    <s v="No"/>
    <n v="12"/>
    <n v="3"/>
    <n v="2"/>
    <n v="80"/>
    <n v="1"/>
    <n v="9"/>
    <s v="6-15"/>
    <n v="3"/>
    <n v="3"/>
    <n v="4"/>
    <n v="2"/>
    <n v="1"/>
    <n v="3"/>
  </r>
  <r>
    <n v="35"/>
    <x v="0"/>
    <s v="Yes"/>
    <s v="Travel_Rarely"/>
    <n v="104"/>
    <x v="1"/>
    <n v="2"/>
    <n v="3"/>
    <s v="Life Sciences"/>
    <n v="1"/>
    <n v="1569"/>
    <n v="1"/>
    <s v="Female"/>
    <n v="69"/>
    <n v="3"/>
    <x v="1"/>
    <x v="2"/>
    <n v="1"/>
    <s v="Divorced"/>
    <n v="2074"/>
    <n v="26619"/>
    <n v="1"/>
    <s v="Y"/>
    <s v="Yes"/>
    <s v="Yes"/>
    <n v="12"/>
    <n v="3"/>
    <n v="4"/>
    <n v="80"/>
    <n v="1"/>
    <n v="1"/>
    <s v="0-5"/>
    <n v="2"/>
    <n v="3"/>
    <n v="1"/>
    <n v="0"/>
    <n v="0"/>
    <n v="0"/>
  </r>
  <r>
    <n v="53"/>
    <x v="0"/>
    <s v="Yes"/>
    <s v="Travel_Rarely"/>
    <n v="607"/>
    <x v="1"/>
    <n v="2"/>
    <n v="5"/>
    <s v="Technical Degree"/>
    <n v="1"/>
    <n v="1572"/>
    <n v="3"/>
    <s v="Female"/>
    <n v="78"/>
    <n v="2"/>
    <x v="2"/>
    <x v="3"/>
    <n v="4"/>
    <s v="Married"/>
    <n v="10169"/>
    <n v="14618"/>
    <n v="0"/>
    <s v="Y"/>
    <s v="No"/>
    <s v="No"/>
    <n v="16"/>
    <n v="3"/>
    <n v="2"/>
    <n v="80"/>
    <n v="1"/>
    <n v="34"/>
    <s v="&gt;15"/>
    <n v="4"/>
    <n v="3"/>
    <n v="33"/>
    <n v="7"/>
    <n v="1"/>
    <n v="9"/>
  </r>
  <r>
    <n v="38"/>
    <x v="0"/>
    <s v="Yes"/>
    <s v="Travel_Rarely"/>
    <n v="903"/>
    <x v="1"/>
    <n v="2"/>
    <n v="3"/>
    <s v="Medical"/>
    <n v="1"/>
    <n v="1573"/>
    <n v="3"/>
    <s v="Male"/>
    <n v="81"/>
    <n v="3"/>
    <x v="0"/>
    <x v="3"/>
    <n v="2"/>
    <s v="Married"/>
    <n v="4855"/>
    <n v="7653"/>
    <n v="4"/>
    <s v="Y"/>
    <s v="No"/>
    <s v="No"/>
    <n v="11"/>
    <n v="3"/>
    <n v="1"/>
    <n v="80"/>
    <n v="2"/>
    <n v="7"/>
    <s v="6-15"/>
    <n v="2"/>
    <n v="3"/>
    <n v="5"/>
    <n v="2"/>
    <n v="1"/>
    <n v="4"/>
  </r>
  <r>
    <n v="32"/>
    <x v="1"/>
    <s v="No"/>
    <s v="Non-Travel"/>
    <n v="1200"/>
    <x v="1"/>
    <n v="1"/>
    <n v="4"/>
    <s v="Technical Degree"/>
    <n v="1"/>
    <n v="1574"/>
    <n v="4"/>
    <s v="Male"/>
    <n v="62"/>
    <n v="3"/>
    <x v="0"/>
    <x v="1"/>
    <n v="1"/>
    <s v="Married"/>
    <n v="4087"/>
    <n v="25174"/>
    <n v="4"/>
    <s v="Y"/>
    <s v="No"/>
    <s v="No"/>
    <n v="14"/>
    <n v="3"/>
    <n v="2"/>
    <n v="80"/>
    <n v="1"/>
    <n v="9"/>
    <s v="6-15"/>
    <n v="3"/>
    <n v="2"/>
    <n v="6"/>
    <n v="5"/>
    <n v="1"/>
    <n v="2"/>
  </r>
  <r>
    <n v="48"/>
    <x v="1"/>
    <s v="No"/>
    <s v="Travel_Rarely"/>
    <n v="1108"/>
    <x v="1"/>
    <n v="15"/>
    <n v="4"/>
    <s v="Other"/>
    <n v="1"/>
    <n v="1576"/>
    <n v="3"/>
    <s v="Female"/>
    <n v="65"/>
    <n v="3"/>
    <x v="1"/>
    <x v="1"/>
    <n v="1"/>
    <s v="Married"/>
    <n v="2367"/>
    <n v="16530"/>
    <n v="8"/>
    <s v="Y"/>
    <s v="No"/>
    <s v="No"/>
    <n v="12"/>
    <n v="3"/>
    <n v="4"/>
    <n v="80"/>
    <n v="1"/>
    <n v="10"/>
    <s v="6-15"/>
    <n v="3"/>
    <n v="2"/>
    <n v="8"/>
    <n v="2"/>
    <n v="7"/>
    <n v="6"/>
  </r>
  <r>
    <n v="34"/>
    <x v="1"/>
    <s v="No"/>
    <s v="Travel_Rarely"/>
    <n v="479"/>
    <x v="1"/>
    <n v="7"/>
    <n v="4"/>
    <s v="Medical"/>
    <n v="1"/>
    <n v="1577"/>
    <n v="1"/>
    <s v="Male"/>
    <n v="35"/>
    <n v="3"/>
    <x v="1"/>
    <x v="1"/>
    <n v="4"/>
    <s v="Single"/>
    <n v="2972"/>
    <n v="22061"/>
    <n v="1"/>
    <s v="Y"/>
    <s v="No"/>
    <s v="No"/>
    <n v="13"/>
    <n v="3"/>
    <n v="3"/>
    <n v="80"/>
    <n v="0"/>
    <n v="1"/>
    <s v="0-5"/>
    <n v="4"/>
    <n v="1"/>
    <n v="1"/>
    <n v="0"/>
    <n v="0"/>
    <n v="0"/>
  </r>
  <r>
    <n v="55"/>
    <x v="1"/>
    <s v="No"/>
    <s v="Travel_Rarely"/>
    <n v="685"/>
    <x v="0"/>
    <n v="26"/>
    <n v="5"/>
    <s v="Marketing"/>
    <n v="1"/>
    <n v="1578"/>
    <n v="3"/>
    <s v="Male"/>
    <n v="60"/>
    <n v="2"/>
    <x v="4"/>
    <x v="5"/>
    <n v="4"/>
    <s v="Married"/>
    <n v="19586"/>
    <n v="23037"/>
    <n v="1"/>
    <s v="Y"/>
    <s v="No"/>
    <s v="No"/>
    <n v="21"/>
    <n v="4"/>
    <n v="3"/>
    <n v="80"/>
    <n v="1"/>
    <n v="36"/>
    <s v="&gt;15"/>
    <n v="3"/>
    <n v="3"/>
    <n v="36"/>
    <n v="6"/>
    <n v="2"/>
    <n v="13"/>
  </r>
  <r>
    <n v="34"/>
    <x v="1"/>
    <s v="No"/>
    <s v="Travel_Rarely"/>
    <n v="1351"/>
    <x v="1"/>
    <n v="1"/>
    <n v="4"/>
    <s v="Life Sciences"/>
    <n v="1"/>
    <n v="1580"/>
    <n v="2"/>
    <s v="Male"/>
    <n v="45"/>
    <n v="3"/>
    <x v="0"/>
    <x v="1"/>
    <n v="4"/>
    <s v="Married"/>
    <n v="5484"/>
    <n v="13008"/>
    <n v="9"/>
    <s v="Y"/>
    <s v="No"/>
    <s v="No"/>
    <n v="17"/>
    <n v="3"/>
    <n v="2"/>
    <n v="80"/>
    <n v="1"/>
    <n v="9"/>
    <s v="6-15"/>
    <n v="3"/>
    <n v="2"/>
    <n v="2"/>
    <n v="2"/>
    <n v="2"/>
    <n v="1"/>
  </r>
  <r>
    <n v="26"/>
    <x v="1"/>
    <s v="No"/>
    <s v="Travel_Rarely"/>
    <n v="474"/>
    <x v="1"/>
    <n v="3"/>
    <n v="3"/>
    <s v="Life Sciences"/>
    <n v="1"/>
    <n v="1581"/>
    <n v="1"/>
    <s v="Female"/>
    <n v="89"/>
    <n v="3"/>
    <x v="1"/>
    <x v="1"/>
    <n v="4"/>
    <s v="Married"/>
    <n v="2061"/>
    <n v="11133"/>
    <n v="1"/>
    <s v="Y"/>
    <s v="No"/>
    <s v="No"/>
    <n v="21"/>
    <n v="4"/>
    <n v="1"/>
    <n v="80"/>
    <n v="0"/>
    <n v="1"/>
    <s v="0-5"/>
    <n v="5"/>
    <n v="3"/>
    <n v="1"/>
    <n v="0"/>
    <n v="0"/>
    <n v="0"/>
  </r>
  <r>
    <n v="38"/>
    <x v="1"/>
    <s v="No"/>
    <s v="Travel_Rarely"/>
    <n v="1245"/>
    <x v="0"/>
    <n v="14"/>
    <n v="3"/>
    <s v="Life Sciences"/>
    <n v="1"/>
    <n v="1582"/>
    <n v="3"/>
    <s v="Male"/>
    <n v="80"/>
    <n v="3"/>
    <x v="0"/>
    <x v="0"/>
    <n v="2"/>
    <s v="Married"/>
    <n v="9924"/>
    <n v="12355"/>
    <n v="0"/>
    <s v="Y"/>
    <s v="No"/>
    <s v="No"/>
    <n v="11"/>
    <n v="3"/>
    <n v="4"/>
    <n v="80"/>
    <n v="1"/>
    <n v="10"/>
    <s v="6-15"/>
    <n v="3"/>
    <n v="3"/>
    <n v="9"/>
    <n v="8"/>
    <n v="7"/>
    <n v="7"/>
  </r>
  <r>
    <n v="38"/>
    <x v="1"/>
    <s v="No"/>
    <s v="Travel_Rarely"/>
    <n v="437"/>
    <x v="0"/>
    <n v="16"/>
    <n v="3"/>
    <s v="Life Sciences"/>
    <n v="1"/>
    <n v="1583"/>
    <n v="2"/>
    <s v="Female"/>
    <n v="90"/>
    <n v="3"/>
    <x v="0"/>
    <x v="0"/>
    <n v="2"/>
    <s v="Single"/>
    <n v="4198"/>
    <n v="16379"/>
    <n v="2"/>
    <s v="Y"/>
    <s v="No"/>
    <s v="No"/>
    <n v="12"/>
    <n v="3"/>
    <n v="2"/>
    <n v="80"/>
    <n v="0"/>
    <n v="8"/>
    <s v="6-15"/>
    <n v="5"/>
    <n v="4"/>
    <n v="3"/>
    <n v="2"/>
    <n v="1"/>
    <n v="2"/>
  </r>
  <r>
    <n v="36"/>
    <x v="1"/>
    <s v="No"/>
    <s v="Travel_Rarely"/>
    <n v="884"/>
    <x v="0"/>
    <n v="1"/>
    <n v="4"/>
    <s v="Life Sciences"/>
    <n v="1"/>
    <n v="1585"/>
    <n v="2"/>
    <s v="Female"/>
    <n v="73"/>
    <n v="3"/>
    <x v="0"/>
    <x v="0"/>
    <n v="3"/>
    <s v="Single"/>
    <n v="6815"/>
    <n v="21447"/>
    <n v="6"/>
    <s v="Y"/>
    <s v="No"/>
    <s v="No"/>
    <n v="13"/>
    <n v="3"/>
    <n v="1"/>
    <n v="80"/>
    <n v="0"/>
    <n v="15"/>
    <s v="6-15"/>
    <n v="5"/>
    <n v="3"/>
    <n v="1"/>
    <n v="0"/>
    <n v="0"/>
    <n v="0"/>
  </r>
  <r>
    <n v="29"/>
    <x v="1"/>
    <s v="No"/>
    <s v="Travel_Rarely"/>
    <n v="1370"/>
    <x v="1"/>
    <n v="3"/>
    <n v="1"/>
    <s v="Medical"/>
    <n v="1"/>
    <n v="1586"/>
    <n v="2"/>
    <s v="Male"/>
    <n v="87"/>
    <n v="3"/>
    <x v="1"/>
    <x v="2"/>
    <n v="1"/>
    <s v="Single"/>
    <n v="4723"/>
    <n v="16213"/>
    <n v="1"/>
    <s v="Y"/>
    <s v="Yes"/>
    <s v="Yes"/>
    <n v="18"/>
    <n v="3"/>
    <n v="4"/>
    <n v="80"/>
    <n v="0"/>
    <n v="10"/>
    <s v="6-15"/>
    <n v="3"/>
    <n v="3"/>
    <n v="10"/>
    <n v="9"/>
    <n v="1"/>
    <n v="5"/>
  </r>
  <r>
    <n v="35"/>
    <x v="1"/>
    <s v="No"/>
    <s v="Travel_Rarely"/>
    <n v="670"/>
    <x v="1"/>
    <n v="10"/>
    <n v="4"/>
    <s v="Medical"/>
    <n v="1"/>
    <n v="1587"/>
    <n v="1"/>
    <s v="Female"/>
    <n v="51"/>
    <n v="3"/>
    <x v="0"/>
    <x v="4"/>
    <n v="3"/>
    <s v="Single"/>
    <n v="6142"/>
    <n v="4223"/>
    <n v="3"/>
    <s v="Y"/>
    <s v="Yes"/>
    <s v="Yes"/>
    <n v="16"/>
    <n v="3"/>
    <n v="3"/>
    <n v="80"/>
    <n v="0"/>
    <n v="10"/>
    <s v="6-15"/>
    <n v="4"/>
    <n v="3"/>
    <n v="5"/>
    <n v="2"/>
    <n v="0"/>
    <n v="4"/>
  </r>
  <r>
    <n v="39"/>
    <x v="1"/>
    <s v="No"/>
    <s v="Travel_Rarely"/>
    <n v="1462"/>
    <x v="0"/>
    <n v="6"/>
    <n v="3"/>
    <s v="Medical"/>
    <n v="1"/>
    <n v="1588"/>
    <n v="4"/>
    <s v="Male"/>
    <n v="38"/>
    <n v="4"/>
    <x v="2"/>
    <x v="0"/>
    <n v="3"/>
    <s v="Married"/>
    <n v="8237"/>
    <n v="4658"/>
    <n v="2"/>
    <s v="Y"/>
    <s v="No"/>
    <s v="No"/>
    <n v="11"/>
    <n v="3"/>
    <n v="1"/>
    <n v="80"/>
    <n v="1"/>
    <n v="11"/>
    <s v="6-15"/>
    <n v="3"/>
    <n v="3"/>
    <n v="7"/>
    <n v="6"/>
    <n v="7"/>
    <n v="6"/>
  </r>
  <r>
    <n v="29"/>
    <x v="1"/>
    <s v="No"/>
    <s v="Travel_Frequently"/>
    <n v="995"/>
    <x v="1"/>
    <n v="2"/>
    <n v="1"/>
    <s v="Life Sciences"/>
    <n v="1"/>
    <n v="1590"/>
    <n v="1"/>
    <s v="Male"/>
    <n v="87"/>
    <n v="3"/>
    <x v="0"/>
    <x v="4"/>
    <n v="4"/>
    <s v="Divorced"/>
    <n v="8853"/>
    <n v="24483"/>
    <n v="1"/>
    <s v="Y"/>
    <s v="No"/>
    <s v="No"/>
    <n v="19"/>
    <n v="3"/>
    <n v="4"/>
    <n v="80"/>
    <n v="1"/>
    <n v="6"/>
    <s v="6-15"/>
    <n v="0"/>
    <n v="4"/>
    <n v="6"/>
    <n v="4"/>
    <n v="1"/>
    <n v="3"/>
  </r>
  <r>
    <n v="50"/>
    <x v="1"/>
    <s v="No"/>
    <s v="Travel_Rarely"/>
    <n v="264"/>
    <x v="0"/>
    <n v="9"/>
    <n v="3"/>
    <s v="Marketing"/>
    <n v="1"/>
    <n v="1591"/>
    <n v="3"/>
    <s v="Male"/>
    <n v="59"/>
    <n v="3"/>
    <x v="4"/>
    <x v="5"/>
    <n v="3"/>
    <s v="Married"/>
    <n v="19331"/>
    <n v="19519"/>
    <n v="4"/>
    <s v="Y"/>
    <s v="Yes"/>
    <s v="Yes"/>
    <n v="16"/>
    <n v="3"/>
    <n v="3"/>
    <n v="80"/>
    <n v="1"/>
    <n v="27"/>
    <s v="&gt;15"/>
    <n v="2"/>
    <n v="3"/>
    <n v="1"/>
    <n v="0"/>
    <n v="0"/>
    <n v="0"/>
  </r>
  <r>
    <n v="23"/>
    <x v="1"/>
    <s v="No"/>
    <s v="Travel_Rarely"/>
    <n v="977"/>
    <x v="1"/>
    <n v="10"/>
    <n v="3"/>
    <s v="Technical Degree"/>
    <n v="1"/>
    <n v="1592"/>
    <n v="4"/>
    <s v="Male"/>
    <n v="45"/>
    <n v="4"/>
    <x v="1"/>
    <x v="1"/>
    <n v="3"/>
    <s v="Married"/>
    <n v="2073"/>
    <n v="12826"/>
    <n v="2"/>
    <s v="Y"/>
    <s v="No"/>
    <s v="No"/>
    <n v="16"/>
    <n v="3"/>
    <n v="4"/>
    <n v="80"/>
    <n v="1"/>
    <n v="4"/>
    <s v="0-5"/>
    <n v="2"/>
    <n v="3"/>
    <n v="2"/>
    <n v="2"/>
    <n v="2"/>
    <n v="2"/>
  </r>
  <r>
    <n v="36"/>
    <x v="1"/>
    <s v="No"/>
    <s v="Travel_Frequently"/>
    <n v="1302"/>
    <x v="1"/>
    <n v="6"/>
    <n v="4"/>
    <s v="Life Sciences"/>
    <n v="1"/>
    <n v="1594"/>
    <n v="1"/>
    <s v="Male"/>
    <n v="80"/>
    <n v="4"/>
    <x v="0"/>
    <x v="2"/>
    <n v="1"/>
    <s v="Married"/>
    <n v="5562"/>
    <n v="19711"/>
    <n v="3"/>
    <s v="Y"/>
    <s v="Yes"/>
    <s v="Yes"/>
    <n v="13"/>
    <n v="3"/>
    <n v="4"/>
    <n v="80"/>
    <n v="1"/>
    <n v="9"/>
    <s v="6-15"/>
    <n v="3"/>
    <n v="3"/>
    <n v="3"/>
    <n v="2"/>
    <n v="0"/>
    <n v="2"/>
  </r>
  <r>
    <n v="42"/>
    <x v="1"/>
    <s v="No"/>
    <s v="Travel_Rarely"/>
    <n v="1059"/>
    <x v="1"/>
    <n v="9"/>
    <n v="2"/>
    <s v="Other"/>
    <n v="1"/>
    <n v="1595"/>
    <n v="4"/>
    <s v="Male"/>
    <n v="93"/>
    <n v="2"/>
    <x v="4"/>
    <x v="5"/>
    <n v="4"/>
    <s v="Single"/>
    <n v="19613"/>
    <n v="26362"/>
    <n v="8"/>
    <s v="Y"/>
    <s v="No"/>
    <s v="No"/>
    <n v="22"/>
    <n v="4"/>
    <n v="4"/>
    <n v="80"/>
    <n v="0"/>
    <n v="24"/>
    <s v="&gt;15"/>
    <n v="2"/>
    <n v="3"/>
    <n v="1"/>
    <n v="0"/>
    <n v="0"/>
    <n v="1"/>
  </r>
  <r>
    <n v="35"/>
    <x v="1"/>
    <s v="No"/>
    <s v="Travel_Rarely"/>
    <n v="750"/>
    <x v="1"/>
    <n v="28"/>
    <n v="3"/>
    <s v="Life Sciences"/>
    <n v="1"/>
    <n v="1596"/>
    <n v="2"/>
    <s v="Male"/>
    <n v="46"/>
    <n v="4"/>
    <x v="0"/>
    <x v="2"/>
    <n v="3"/>
    <s v="Married"/>
    <n v="3407"/>
    <n v="25348"/>
    <n v="1"/>
    <s v="Y"/>
    <s v="No"/>
    <s v="No"/>
    <n v="17"/>
    <n v="3"/>
    <n v="4"/>
    <n v="80"/>
    <n v="2"/>
    <n v="10"/>
    <s v="6-15"/>
    <n v="3"/>
    <n v="2"/>
    <n v="10"/>
    <n v="9"/>
    <n v="6"/>
    <n v="8"/>
  </r>
  <r>
    <n v="34"/>
    <x v="1"/>
    <s v="No"/>
    <s v="Travel_Frequently"/>
    <n v="653"/>
    <x v="1"/>
    <n v="10"/>
    <n v="4"/>
    <s v="Technical Degree"/>
    <n v="1"/>
    <n v="1597"/>
    <n v="4"/>
    <s v="Male"/>
    <n v="92"/>
    <n v="2"/>
    <x v="0"/>
    <x v="4"/>
    <n v="3"/>
    <s v="Married"/>
    <n v="5063"/>
    <n v="15332"/>
    <n v="1"/>
    <s v="Y"/>
    <s v="No"/>
    <s v="No"/>
    <n v="14"/>
    <n v="3"/>
    <n v="2"/>
    <n v="80"/>
    <n v="1"/>
    <n v="8"/>
    <s v="6-15"/>
    <n v="3"/>
    <n v="2"/>
    <n v="8"/>
    <n v="2"/>
    <n v="7"/>
    <n v="7"/>
  </r>
  <r>
    <n v="40"/>
    <x v="1"/>
    <s v="No"/>
    <s v="Travel_Rarely"/>
    <n v="118"/>
    <x v="0"/>
    <n v="14"/>
    <n v="2"/>
    <s v="Life Sciences"/>
    <n v="1"/>
    <n v="1598"/>
    <n v="4"/>
    <s v="Female"/>
    <n v="84"/>
    <n v="3"/>
    <x v="0"/>
    <x v="0"/>
    <n v="1"/>
    <s v="Married"/>
    <n v="4639"/>
    <n v="11262"/>
    <n v="1"/>
    <s v="Y"/>
    <s v="No"/>
    <s v="No"/>
    <n v="15"/>
    <n v="3"/>
    <n v="3"/>
    <n v="80"/>
    <n v="1"/>
    <n v="5"/>
    <s v="0-5"/>
    <n v="2"/>
    <n v="3"/>
    <n v="5"/>
    <n v="4"/>
    <n v="1"/>
    <n v="2"/>
  </r>
  <r>
    <n v="43"/>
    <x v="1"/>
    <s v="No"/>
    <s v="Travel_Rarely"/>
    <n v="990"/>
    <x v="1"/>
    <n v="27"/>
    <n v="3"/>
    <s v="Technical Degree"/>
    <n v="1"/>
    <n v="1599"/>
    <n v="4"/>
    <s v="Male"/>
    <n v="87"/>
    <n v="4"/>
    <x v="1"/>
    <x v="2"/>
    <n v="2"/>
    <s v="Divorced"/>
    <n v="4876"/>
    <n v="5855"/>
    <n v="5"/>
    <s v="Y"/>
    <s v="No"/>
    <s v="No"/>
    <n v="12"/>
    <n v="3"/>
    <n v="3"/>
    <n v="80"/>
    <n v="1"/>
    <n v="8"/>
    <s v="6-15"/>
    <n v="0"/>
    <n v="3"/>
    <n v="6"/>
    <n v="4"/>
    <n v="0"/>
    <n v="2"/>
  </r>
  <r>
    <n v="35"/>
    <x v="1"/>
    <s v="No"/>
    <s v="Travel_Rarely"/>
    <n v="1349"/>
    <x v="1"/>
    <n v="7"/>
    <n v="2"/>
    <s v="Life Sciences"/>
    <n v="1"/>
    <n v="1601"/>
    <n v="3"/>
    <s v="Male"/>
    <n v="63"/>
    <n v="2"/>
    <x v="1"/>
    <x v="2"/>
    <n v="4"/>
    <s v="Married"/>
    <n v="2690"/>
    <n v="7713"/>
    <n v="1"/>
    <s v="Y"/>
    <s v="No"/>
    <s v="No"/>
    <n v="18"/>
    <n v="3"/>
    <n v="4"/>
    <n v="80"/>
    <n v="1"/>
    <n v="1"/>
    <s v="0-5"/>
    <n v="5"/>
    <n v="2"/>
    <n v="1"/>
    <n v="0"/>
    <n v="0"/>
    <n v="1"/>
  </r>
  <r>
    <n v="46"/>
    <x v="1"/>
    <s v="No"/>
    <s v="Travel_Rarely"/>
    <n v="563"/>
    <x v="0"/>
    <n v="1"/>
    <n v="4"/>
    <s v="Life Sciences"/>
    <n v="1"/>
    <n v="1602"/>
    <n v="4"/>
    <s v="Male"/>
    <n v="56"/>
    <n v="4"/>
    <x v="3"/>
    <x v="5"/>
    <n v="1"/>
    <s v="Single"/>
    <n v="17567"/>
    <n v="3156"/>
    <n v="1"/>
    <s v="Y"/>
    <s v="No"/>
    <s v="No"/>
    <n v="15"/>
    <n v="3"/>
    <n v="2"/>
    <n v="80"/>
    <n v="0"/>
    <n v="27"/>
    <s v="&gt;15"/>
    <n v="5"/>
    <n v="1"/>
    <n v="26"/>
    <n v="0"/>
    <n v="0"/>
    <n v="12"/>
  </r>
  <r>
    <n v="28"/>
    <x v="0"/>
    <s v="Yes"/>
    <s v="Travel_Rarely"/>
    <n v="329"/>
    <x v="1"/>
    <n v="24"/>
    <n v="3"/>
    <s v="Medical"/>
    <n v="1"/>
    <n v="1604"/>
    <n v="3"/>
    <s v="Male"/>
    <n v="51"/>
    <n v="3"/>
    <x v="1"/>
    <x v="2"/>
    <n v="2"/>
    <s v="Married"/>
    <n v="2408"/>
    <n v="7324"/>
    <n v="1"/>
    <s v="Y"/>
    <s v="Yes"/>
    <s v="Yes"/>
    <n v="17"/>
    <n v="3"/>
    <n v="3"/>
    <n v="80"/>
    <n v="3"/>
    <n v="1"/>
    <s v="0-5"/>
    <n v="3"/>
    <n v="3"/>
    <n v="1"/>
    <n v="1"/>
    <n v="0"/>
    <n v="0"/>
  </r>
  <r>
    <n v="22"/>
    <x v="1"/>
    <s v="No"/>
    <s v="Non-Travel"/>
    <n v="457"/>
    <x v="1"/>
    <n v="26"/>
    <n v="2"/>
    <s v="Other"/>
    <n v="1"/>
    <n v="1605"/>
    <n v="2"/>
    <s v="Female"/>
    <n v="85"/>
    <n v="2"/>
    <x v="1"/>
    <x v="1"/>
    <n v="3"/>
    <s v="Married"/>
    <n v="2814"/>
    <n v="10293"/>
    <n v="1"/>
    <s v="Y"/>
    <s v="Yes"/>
    <s v="Yes"/>
    <n v="14"/>
    <n v="3"/>
    <n v="2"/>
    <n v="80"/>
    <n v="0"/>
    <n v="4"/>
    <s v="0-5"/>
    <n v="2"/>
    <n v="2"/>
    <n v="4"/>
    <n v="2"/>
    <n v="1"/>
    <n v="3"/>
  </r>
  <r>
    <n v="50"/>
    <x v="1"/>
    <s v="No"/>
    <s v="Travel_Frequently"/>
    <n v="1234"/>
    <x v="1"/>
    <n v="20"/>
    <n v="5"/>
    <s v="Medical"/>
    <n v="1"/>
    <n v="1606"/>
    <n v="2"/>
    <s v="Male"/>
    <n v="41"/>
    <n v="3"/>
    <x v="3"/>
    <x v="4"/>
    <n v="3"/>
    <s v="Married"/>
    <n v="11245"/>
    <n v="20689"/>
    <n v="2"/>
    <s v="Y"/>
    <s v="Yes"/>
    <s v="Yes"/>
    <n v="15"/>
    <n v="3"/>
    <n v="3"/>
    <n v="80"/>
    <n v="1"/>
    <n v="32"/>
    <s v="&gt;15"/>
    <n v="3"/>
    <n v="3"/>
    <n v="30"/>
    <n v="8"/>
    <n v="12"/>
    <n v="13"/>
  </r>
  <r>
    <n v="32"/>
    <x v="1"/>
    <s v="No"/>
    <s v="Travel_Rarely"/>
    <n v="634"/>
    <x v="1"/>
    <n v="5"/>
    <n v="4"/>
    <s v="Other"/>
    <n v="1"/>
    <n v="1607"/>
    <n v="2"/>
    <s v="Female"/>
    <n v="35"/>
    <n v="4"/>
    <x v="1"/>
    <x v="1"/>
    <n v="4"/>
    <s v="Married"/>
    <n v="3312"/>
    <n v="18783"/>
    <n v="3"/>
    <s v="Y"/>
    <s v="No"/>
    <s v="No"/>
    <n v="17"/>
    <n v="3"/>
    <n v="4"/>
    <n v="80"/>
    <n v="2"/>
    <n v="6"/>
    <s v="6-15"/>
    <n v="3"/>
    <n v="3"/>
    <n v="3"/>
    <n v="2"/>
    <n v="0"/>
    <n v="2"/>
  </r>
  <r>
    <n v="44"/>
    <x v="1"/>
    <s v="No"/>
    <s v="Travel_Rarely"/>
    <n v="1313"/>
    <x v="1"/>
    <n v="7"/>
    <n v="3"/>
    <s v="Medical"/>
    <n v="1"/>
    <n v="1608"/>
    <n v="2"/>
    <s v="Female"/>
    <n v="31"/>
    <n v="3"/>
    <x v="4"/>
    <x v="7"/>
    <n v="4"/>
    <s v="Divorced"/>
    <n v="19049"/>
    <n v="3549"/>
    <n v="0"/>
    <s v="Y"/>
    <s v="Yes"/>
    <s v="Yes"/>
    <n v="14"/>
    <n v="3"/>
    <n v="4"/>
    <n v="80"/>
    <n v="1"/>
    <n v="23"/>
    <s v="&gt;15"/>
    <n v="4"/>
    <n v="2"/>
    <n v="22"/>
    <n v="7"/>
    <n v="1"/>
    <n v="10"/>
  </r>
  <r>
    <n v="30"/>
    <x v="1"/>
    <s v="No"/>
    <s v="Travel_Rarely"/>
    <n v="241"/>
    <x v="1"/>
    <n v="7"/>
    <n v="3"/>
    <s v="Medical"/>
    <n v="1"/>
    <n v="1609"/>
    <n v="2"/>
    <s v="Male"/>
    <n v="48"/>
    <n v="2"/>
    <x v="1"/>
    <x v="1"/>
    <n v="2"/>
    <s v="Married"/>
    <n v="2141"/>
    <n v="5348"/>
    <n v="1"/>
    <s v="Y"/>
    <s v="No"/>
    <s v="No"/>
    <n v="12"/>
    <n v="3"/>
    <n v="2"/>
    <n v="80"/>
    <n v="1"/>
    <n v="6"/>
    <s v="6-15"/>
    <n v="3"/>
    <n v="2"/>
    <n v="6"/>
    <n v="4"/>
    <n v="1"/>
    <n v="1"/>
  </r>
  <r>
    <n v="45"/>
    <x v="1"/>
    <s v="No"/>
    <s v="Travel_Rarely"/>
    <n v="1015"/>
    <x v="1"/>
    <n v="5"/>
    <n v="5"/>
    <s v="Medical"/>
    <n v="1"/>
    <n v="1611"/>
    <n v="3"/>
    <s v="Female"/>
    <n v="50"/>
    <n v="1"/>
    <x v="0"/>
    <x v="2"/>
    <n v="1"/>
    <s v="Single"/>
    <n v="5769"/>
    <n v="23447"/>
    <n v="1"/>
    <s v="Y"/>
    <s v="Yes"/>
    <s v="Yes"/>
    <n v="14"/>
    <n v="3"/>
    <n v="1"/>
    <n v="80"/>
    <n v="0"/>
    <n v="10"/>
    <s v="6-15"/>
    <n v="3"/>
    <n v="3"/>
    <n v="10"/>
    <n v="7"/>
    <n v="1"/>
    <n v="4"/>
  </r>
  <r>
    <n v="45"/>
    <x v="1"/>
    <s v="No"/>
    <s v="Non-Travel"/>
    <n v="336"/>
    <x v="0"/>
    <n v="26"/>
    <n v="3"/>
    <s v="Marketing"/>
    <n v="1"/>
    <n v="1612"/>
    <n v="1"/>
    <s v="Male"/>
    <n v="52"/>
    <n v="2"/>
    <x v="0"/>
    <x v="0"/>
    <n v="1"/>
    <s v="Married"/>
    <n v="4385"/>
    <n v="24162"/>
    <n v="1"/>
    <s v="Y"/>
    <s v="No"/>
    <s v="No"/>
    <n v="15"/>
    <n v="3"/>
    <n v="1"/>
    <n v="80"/>
    <n v="1"/>
    <n v="10"/>
    <s v="6-15"/>
    <n v="2"/>
    <n v="3"/>
    <n v="10"/>
    <n v="7"/>
    <n v="4"/>
    <n v="5"/>
  </r>
  <r>
    <n v="31"/>
    <x v="1"/>
    <s v="No"/>
    <s v="Travel_Frequently"/>
    <n v="715"/>
    <x v="0"/>
    <n v="2"/>
    <n v="4"/>
    <s v="Other"/>
    <n v="1"/>
    <n v="1613"/>
    <n v="4"/>
    <s v="Male"/>
    <n v="54"/>
    <n v="3"/>
    <x v="0"/>
    <x v="0"/>
    <n v="1"/>
    <s v="Single"/>
    <n v="5332"/>
    <n v="21602"/>
    <n v="7"/>
    <s v="Y"/>
    <s v="No"/>
    <s v="No"/>
    <n v="13"/>
    <n v="3"/>
    <n v="4"/>
    <n v="80"/>
    <n v="0"/>
    <n v="10"/>
    <s v="6-15"/>
    <n v="3"/>
    <n v="3"/>
    <n v="5"/>
    <n v="2"/>
    <n v="0"/>
    <n v="3"/>
  </r>
  <r>
    <n v="36"/>
    <x v="1"/>
    <s v="No"/>
    <s v="Travel_Rarely"/>
    <n v="559"/>
    <x v="1"/>
    <n v="12"/>
    <n v="4"/>
    <s v="Life Sciences"/>
    <n v="1"/>
    <n v="1614"/>
    <n v="3"/>
    <s v="Female"/>
    <n v="76"/>
    <n v="3"/>
    <x v="0"/>
    <x v="3"/>
    <n v="3"/>
    <s v="Married"/>
    <n v="4663"/>
    <n v="12421"/>
    <n v="9"/>
    <s v="Y"/>
    <s v="Yes"/>
    <s v="Yes"/>
    <n v="12"/>
    <n v="3"/>
    <n v="2"/>
    <n v="80"/>
    <n v="2"/>
    <n v="7"/>
    <s v="6-15"/>
    <n v="2"/>
    <n v="3"/>
    <n v="3"/>
    <n v="2"/>
    <n v="1"/>
    <n v="1"/>
  </r>
  <r>
    <n v="34"/>
    <x v="1"/>
    <s v="No"/>
    <s v="Travel_Frequently"/>
    <n v="426"/>
    <x v="1"/>
    <n v="10"/>
    <n v="4"/>
    <s v="Life Sciences"/>
    <n v="1"/>
    <n v="1615"/>
    <n v="3"/>
    <s v="Male"/>
    <n v="42"/>
    <n v="4"/>
    <x v="0"/>
    <x v="3"/>
    <n v="4"/>
    <s v="Divorced"/>
    <n v="4724"/>
    <n v="17000"/>
    <n v="1"/>
    <s v="Y"/>
    <s v="No"/>
    <s v="No"/>
    <n v="13"/>
    <n v="3"/>
    <n v="1"/>
    <n v="80"/>
    <n v="1"/>
    <n v="9"/>
    <s v="6-15"/>
    <n v="3"/>
    <n v="3"/>
    <n v="9"/>
    <n v="7"/>
    <n v="7"/>
    <n v="2"/>
  </r>
  <r>
    <n v="49"/>
    <x v="1"/>
    <s v="No"/>
    <s v="Travel_Rarely"/>
    <n v="722"/>
    <x v="1"/>
    <n v="25"/>
    <n v="4"/>
    <s v="Life Sciences"/>
    <n v="1"/>
    <n v="1617"/>
    <n v="3"/>
    <s v="Female"/>
    <n v="84"/>
    <n v="3"/>
    <x v="1"/>
    <x v="2"/>
    <n v="1"/>
    <s v="Married"/>
    <n v="3211"/>
    <n v="22102"/>
    <n v="1"/>
    <s v="Y"/>
    <s v="No"/>
    <s v="No"/>
    <n v="14"/>
    <n v="3"/>
    <n v="4"/>
    <n v="80"/>
    <n v="1"/>
    <n v="10"/>
    <s v="6-15"/>
    <n v="3"/>
    <n v="2"/>
    <n v="9"/>
    <n v="6"/>
    <n v="1"/>
    <n v="4"/>
  </r>
  <r>
    <n v="39"/>
    <x v="1"/>
    <s v="No"/>
    <s v="Travel_Rarely"/>
    <n v="1387"/>
    <x v="1"/>
    <n v="10"/>
    <n v="5"/>
    <s v="Medical"/>
    <n v="1"/>
    <n v="1618"/>
    <n v="2"/>
    <s v="Male"/>
    <n v="76"/>
    <n v="3"/>
    <x v="0"/>
    <x v="3"/>
    <n v="1"/>
    <s v="Married"/>
    <n v="5377"/>
    <n v="3835"/>
    <n v="2"/>
    <s v="Y"/>
    <s v="No"/>
    <s v="No"/>
    <n v="13"/>
    <n v="3"/>
    <n v="4"/>
    <n v="80"/>
    <n v="3"/>
    <n v="10"/>
    <s v="6-15"/>
    <n v="3"/>
    <n v="3"/>
    <n v="7"/>
    <n v="7"/>
    <n v="7"/>
    <n v="7"/>
  </r>
  <r>
    <n v="27"/>
    <x v="1"/>
    <s v="No"/>
    <s v="Travel_Rarely"/>
    <n v="1302"/>
    <x v="1"/>
    <n v="19"/>
    <n v="3"/>
    <s v="Other"/>
    <n v="1"/>
    <n v="1619"/>
    <n v="4"/>
    <s v="Male"/>
    <n v="67"/>
    <n v="2"/>
    <x v="1"/>
    <x v="2"/>
    <n v="1"/>
    <s v="Divorced"/>
    <n v="4066"/>
    <n v="16290"/>
    <n v="1"/>
    <s v="Y"/>
    <s v="No"/>
    <s v="No"/>
    <n v="11"/>
    <n v="3"/>
    <n v="1"/>
    <n v="80"/>
    <n v="2"/>
    <n v="7"/>
    <s v="6-15"/>
    <n v="3"/>
    <n v="3"/>
    <n v="7"/>
    <n v="7"/>
    <n v="0"/>
    <n v="7"/>
  </r>
  <r>
    <n v="35"/>
    <x v="1"/>
    <s v="No"/>
    <s v="Travel_Rarely"/>
    <n v="819"/>
    <x v="1"/>
    <n v="18"/>
    <n v="5"/>
    <s v="Life Sciences"/>
    <n v="1"/>
    <n v="1621"/>
    <n v="2"/>
    <s v="Male"/>
    <n v="48"/>
    <n v="4"/>
    <x v="0"/>
    <x v="1"/>
    <n v="1"/>
    <s v="Married"/>
    <n v="5208"/>
    <n v="26312"/>
    <n v="1"/>
    <s v="Y"/>
    <s v="No"/>
    <s v="No"/>
    <n v="11"/>
    <n v="3"/>
    <n v="4"/>
    <n v="80"/>
    <n v="0"/>
    <n v="16"/>
    <s v="&gt;15"/>
    <n v="2"/>
    <n v="3"/>
    <n v="16"/>
    <n v="15"/>
    <n v="1"/>
    <n v="10"/>
  </r>
  <r>
    <n v="28"/>
    <x v="1"/>
    <s v="No"/>
    <s v="Travel_Rarely"/>
    <n v="580"/>
    <x v="1"/>
    <n v="27"/>
    <n v="3"/>
    <s v="Medical"/>
    <n v="1"/>
    <n v="1622"/>
    <n v="2"/>
    <s v="Female"/>
    <n v="39"/>
    <n v="1"/>
    <x v="0"/>
    <x v="3"/>
    <n v="1"/>
    <s v="Divorced"/>
    <n v="4877"/>
    <n v="20460"/>
    <n v="0"/>
    <s v="Y"/>
    <s v="No"/>
    <s v="No"/>
    <n v="21"/>
    <n v="4"/>
    <n v="2"/>
    <n v="80"/>
    <n v="1"/>
    <n v="6"/>
    <s v="6-15"/>
    <n v="5"/>
    <n v="2"/>
    <n v="5"/>
    <n v="3"/>
    <n v="0"/>
    <n v="0"/>
  </r>
  <r>
    <n v="21"/>
    <x v="1"/>
    <s v="No"/>
    <s v="Travel_Rarely"/>
    <n v="546"/>
    <x v="1"/>
    <n v="5"/>
    <n v="1"/>
    <s v="Medical"/>
    <n v="1"/>
    <n v="1623"/>
    <n v="3"/>
    <s v="Male"/>
    <n v="97"/>
    <n v="3"/>
    <x v="1"/>
    <x v="1"/>
    <n v="4"/>
    <s v="Single"/>
    <n v="3117"/>
    <n v="26009"/>
    <n v="1"/>
    <s v="Y"/>
    <s v="No"/>
    <s v="No"/>
    <n v="18"/>
    <n v="3"/>
    <n v="3"/>
    <n v="80"/>
    <n v="0"/>
    <n v="3"/>
    <s v="0-5"/>
    <n v="2"/>
    <n v="3"/>
    <n v="2"/>
    <n v="2"/>
    <n v="2"/>
    <n v="2"/>
  </r>
  <r>
    <n v="18"/>
    <x v="0"/>
    <s v="Yes"/>
    <s v="Travel_Frequently"/>
    <n v="544"/>
    <x v="0"/>
    <n v="3"/>
    <n v="2"/>
    <s v="Medical"/>
    <n v="1"/>
    <n v="1624"/>
    <n v="2"/>
    <s v="Female"/>
    <n v="70"/>
    <n v="3"/>
    <x v="1"/>
    <x v="6"/>
    <n v="4"/>
    <s v="Single"/>
    <n v="1569"/>
    <n v="18420"/>
    <n v="1"/>
    <s v="Y"/>
    <s v="Yes"/>
    <s v="Yes"/>
    <n v="12"/>
    <n v="3"/>
    <n v="3"/>
    <n v="80"/>
    <n v="0"/>
    <n v="0"/>
    <s v="0-5"/>
    <n v="2"/>
    <n v="4"/>
    <n v="0"/>
    <n v="0"/>
    <n v="0"/>
    <n v="0"/>
  </r>
  <r>
    <n v="47"/>
    <x v="1"/>
    <s v="No"/>
    <s v="Travel_Rarely"/>
    <n v="1176"/>
    <x v="2"/>
    <n v="26"/>
    <n v="4"/>
    <s v="Life Sciences"/>
    <n v="1"/>
    <n v="1625"/>
    <n v="4"/>
    <s v="Female"/>
    <n v="98"/>
    <n v="3"/>
    <x v="4"/>
    <x v="5"/>
    <n v="3"/>
    <s v="Married"/>
    <n v="19658"/>
    <n v="5220"/>
    <n v="3"/>
    <s v="Y"/>
    <s v="No"/>
    <s v="No"/>
    <n v="11"/>
    <n v="3"/>
    <n v="3"/>
    <n v="80"/>
    <n v="1"/>
    <n v="27"/>
    <s v="&gt;15"/>
    <n v="2"/>
    <n v="3"/>
    <n v="5"/>
    <n v="2"/>
    <n v="1"/>
    <n v="0"/>
  </r>
  <r>
    <n v="39"/>
    <x v="1"/>
    <s v="No"/>
    <s v="Travel_Rarely"/>
    <n v="170"/>
    <x v="1"/>
    <n v="3"/>
    <n v="2"/>
    <s v="Medical"/>
    <n v="1"/>
    <n v="1627"/>
    <n v="3"/>
    <s v="Male"/>
    <n v="76"/>
    <n v="2"/>
    <x v="0"/>
    <x v="2"/>
    <n v="3"/>
    <s v="Divorced"/>
    <n v="3069"/>
    <n v="10302"/>
    <n v="0"/>
    <s v="Y"/>
    <s v="No"/>
    <s v="No"/>
    <n v="15"/>
    <n v="3"/>
    <n v="4"/>
    <n v="80"/>
    <n v="1"/>
    <n v="11"/>
    <s v="6-15"/>
    <n v="3"/>
    <n v="3"/>
    <n v="10"/>
    <n v="8"/>
    <n v="0"/>
    <n v="7"/>
  </r>
  <r>
    <n v="40"/>
    <x v="1"/>
    <s v="No"/>
    <s v="Travel_Rarely"/>
    <n v="884"/>
    <x v="1"/>
    <n v="15"/>
    <n v="3"/>
    <s v="Life Sciences"/>
    <n v="1"/>
    <n v="1628"/>
    <n v="1"/>
    <s v="Female"/>
    <n v="80"/>
    <n v="2"/>
    <x v="2"/>
    <x v="3"/>
    <n v="3"/>
    <s v="Married"/>
    <n v="10435"/>
    <n v="25800"/>
    <n v="1"/>
    <s v="Y"/>
    <s v="No"/>
    <s v="No"/>
    <n v="13"/>
    <n v="3"/>
    <n v="4"/>
    <n v="80"/>
    <n v="2"/>
    <n v="18"/>
    <s v="&gt;15"/>
    <n v="2"/>
    <n v="3"/>
    <n v="18"/>
    <n v="15"/>
    <n v="14"/>
    <n v="12"/>
  </r>
  <r>
    <n v="35"/>
    <x v="1"/>
    <s v="No"/>
    <s v="Non-Travel"/>
    <n v="208"/>
    <x v="1"/>
    <n v="8"/>
    <n v="4"/>
    <s v="Life Sciences"/>
    <n v="1"/>
    <n v="1630"/>
    <n v="3"/>
    <s v="Female"/>
    <n v="52"/>
    <n v="3"/>
    <x v="0"/>
    <x v="4"/>
    <n v="3"/>
    <s v="Married"/>
    <n v="4148"/>
    <n v="12250"/>
    <n v="1"/>
    <s v="Y"/>
    <s v="No"/>
    <s v="No"/>
    <n v="12"/>
    <n v="3"/>
    <n v="4"/>
    <n v="80"/>
    <n v="1"/>
    <n v="15"/>
    <s v="6-15"/>
    <n v="5"/>
    <n v="3"/>
    <n v="14"/>
    <n v="11"/>
    <n v="2"/>
    <n v="9"/>
  </r>
  <r>
    <n v="37"/>
    <x v="1"/>
    <s v="No"/>
    <s v="Travel_Rarely"/>
    <n v="671"/>
    <x v="1"/>
    <n v="19"/>
    <n v="3"/>
    <s v="Life Sciences"/>
    <n v="1"/>
    <n v="1631"/>
    <n v="3"/>
    <s v="Male"/>
    <n v="85"/>
    <n v="3"/>
    <x v="0"/>
    <x v="3"/>
    <n v="3"/>
    <s v="Married"/>
    <n v="5768"/>
    <n v="26493"/>
    <n v="3"/>
    <s v="Y"/>
    <s v="No"/>
    <s v="No"/>
    <n v="17"/>
    <n v="3"/>
    <n v="1"/>
    <n v="80"/>
    <n v="3"/>
    <n v="9"/>
    <s v="6-15"/>
    <n v="2"/>
    <n v="2"/>
    <n v="4"/>
    <n v="3"/>
    <n v="0"/>
    <n v="2"/>
  </r>
  <r>
    <n v="39"/>
    <x v="1"/>
    <s v="No"/>
    <s v="Travel_Frequently"/>
    <n v="711"/>
    <x v="1"/>
    <n v="4"/>
    <n v="3"/>
    <s v="Medical"/>
    <n v="1"/>
    <n v="1633"/>
    <n v="1"/>
    <s v="Female"/>
    <n v="81"/>
    <n v="3"/>
    <x v="0"/>
    <x v="3"/>
    <n v="3"/>
    <s v="Single"/>
    <n v="5042"/>
    <n v="3140"/>
    <n v="0"/>
    <s v="Y"/>
    <s v="No"/>
    <s v="No"/>
    <n v="13"/>
    <n v="3"/>
    <n v="4"/>
    <n v="80"/>
    <n v="0"/>
    <n v="10"/>
    <s v="6-15"/>
    <n v="2"/>
    <n v="1"/>
    <n v="9"/>
    <n v="2"/>
    <n v="3"/>
    <n v="8"/>
  </r>
  <r>
    <n v="45"/>
    <x v="1"/>
    <s v="No"/>
    <s v="Travel_Rarely"/>
    <n v="1329"/>
    <x v="1"/>
    <n v="2"/>
    <n v="2"/>
    <s v="Other"/>
    <n v="1"/>
    <n v="1635"/>
    <n v="4"/>
    <s v="Female"/>
    <n v="59"/>
    <n v="2"/>
    <x v="0"/>
    <x v="3"/>
    <n v="4"/>
    <s v="Divorced"/>
    <n v="5770"/>
    <n v="5388"/>
    <n v="1"/>
    <s v="Y"/>
    <s v="No"/>
    <s v="No"/>
    <n v="19"/>
    <n v="3"/>
    <n v="1"/>
    <n v="80"/>
    <n v="2"/>
    <n v="10"/>
    <s v="6-15"/>
    <n v="3"/>
    <n v="3"/>
    <n v="10"/>
    <n v="7"/>
    <n v="3"/>
    <n v="9"/>
  </r>
  <r>
    <n v="38"/>
    <x v="1"/>
    <s v="No"/>
    <s v="Travel_Rarely"/>
    <n v="397"/>
    <x v="1"/>
    <n v="2"/>
    <n v="2"/>
    <s v="Medical"/>
    <n v="1"/>
    <n v="1638"/>
    <n v="4"/>
    <s v="Female"/>
    <n v="54"/>
    <n v="2"/>
    <x v="2"/>
    <x v="3"/>
    <n v="3"/>
    <s v="Married"/>
    <n v="7756"/>
    <n v="14199"/>
    <n v="3"/>
    <s v="Y"/>
    <s v="Yes"/>
    <s v="Yes"/>
    <n v="19"/>
    <n v="3"/>
    <n v="4"/>
    <n v="80"/>
    <n v="1"/>
    <n v="10"/>
    <s v="6-15"/>
    <n v="6"/>
    <n v="4"/>
    <n v="5"/>
    <n v="4"/>
    <n v="0"/>
    <n v="2"/>
  </r>
  <r>
    <n v="35"/>
    <x v="0"/>
    <s v="Yes"/>
    <s v="Travel_Rarely"/>
    <n v="737"/>
    <x v="0"/>
    <n v="10"/>
    <n v="3"/>
    <s v="Medical"/>
    <n v="1"/>
    <n v="1639"/>
    <n v="4"/>
    <s v="Male"/>
    <n v="55"/>
    <n v="2"/>
    <x v="2"/>
    <x v="0"/>
    <n v="1"/>
    <s v="Married"/>
    <n v="10306"/>
    <n v="21530"/>
    <n v="9"/>
    <s v="Y"/>
    <s v="No"/>
    <s v="No"/>
    <n v="17"/>
    <n v="3"/>
    <n v="3"/>
    <n v="80"/>
    <n v="0"/>
    <n v="15"/>
    <s v="6-15"/>
    <n v="3"/>
    <n v="3"/>
    <n v="13"/>
    <n v="12"/>
    <n v="6"/>
    <n v="0"/>
  </r>
  <r>
    <n v="37"/>
    <x v="1"/>
    <s v="No"/>
    <s v="Travel_Rarely"/>
    <n v="1470"/>
    <x v="1"/>
    <n v="10"/>
    <n v="3"/>
    <s v="Medical"/>
    <n v="1"/>
    <n v="1640"/>
    <n v="2"/>
    <s v="Female"/>
    <n v="71"/>
    <n v="3"/>
    <x v="1"/>
    <x v="1"/>
    <n v="2"/>
    <s v="Married"/>
    <n v="3936"/>
    <n v="9953"/>
    <n v="1"/>
    <s v="Y"/>
    <s v="No"/>
    <s v="No"/>
    <n v="11"/>
    <n v="3"/>
    <n v="1"/>
    <n v="80"/>
    <n v="1"/>
    <n v="8"/>
    <s v="6-15"/>
    <n v="2"/>
    <n v="1"/>
    <n v="8"/>
    <n v="4"/>
    <n v="7"/>
    <n v="7"/>
  </r>
  <r>
    <n v="40"/>
    <x v="1"/>
    <s v="No"/>
    <s v="Travel_Rarely"/>
    <n v="448"/>
    <x v="1"/>
    <n v="16"/>
    <n v="3"/>
    <s v="Life Sciences"/>
    <n v="1"/>
    <n v="1641"/>
    <n v="3"/>
    <s v="Female"/>
    <n v="84"/>
    <n v="3"/>
    <x v="2"/>
    <x v="3"/>
    <n v="4"/>
    <s v="Single"/>
    <n v="7945"/>
    <n v="19948"/>
    <n v="6"/>
    <s v="Y"/>
    <s v="Yes"/>
    <s v="Yes"/>
    <n v="15"/>
    <n v="3"/>
    <n v="4"/>
    <n v="80"/>
    <n v="0"/>
    <n v="18"/>
    <s v="&gt;15"/>
    <n v="2"/>
    <n v="2"/>
    <n v="4"/>
    <n v="2"/>
    <n v="3"/>
    <n v="3"/>
  </r>
  <r>
    <n v="44"/>
    <x v="1"/>
    <s v="No"/>
    <s v="Travel_Frequently"/>
    <n v="602"/>
    <x v="2"/>
    <n v="1"/>
    <n v="5"/>
    <s v="Human Resources"/>
    <n v="1"/>
    <n v="1642"/>
    <n v="1"/>
    <s v="Male"/>
    <n v="37"/>
    <n v="3"/>
    <x v="0"/>
    <x v="8"/>
    <n v="4"/>
    <s v="Married"/>
    <n v="5743"/>
    <n v="10503"/>
    <n v="4"/>
    <s v="Y"/>
    <s v="Yes"/>
    <s v="Yes"/>
    <n v="11"/>
    <n v="3"/>
    <n v="3"/>
    <n v="80"/>
    <n v="0"/>
    <n v="14"/>
    <s v="6-15"/>
    <n v="3"/>
    <n v="3"/>
    <n v="10"/>
    <n v="7"/>
    <n v="0"/>
    <n v="2"/>
  </r>
  <r>
    <n v="48"/>
    <x v="1"/>
    <s v="No"/>
    <s v="Travel_Frequently"/>
    <n v="365"/>
    <x v="1"/>
    <n v="4"/>
    <n v="5"/>
    <s v="Medical"/>
    <n v="1"/>
    <n v="1644"/>
    <n v="3"/>
    <s v="Male"/>
    <n v="89"/>
    <n v="2"/>
    <x v="3"/>
    <x v="5"/>
    <n v="4"/>
    <s v="Married"/>
    <n v="15202"/>
    <n v="5602"/>
    <n v="2"/>
    <s v="Y"/>
    <s v="No"/>
    <s v="No"/>
    <n v="25"/>
    <n v="4"/>
    <n v="2"/>
    <n v="80"/>
    <n v="1"/>
    <n v="23"/>
    <s v="&gt;15"/>
    <n v="3"/>
    <n v="3"/>
    <n v="2"/>
    <n v="2"/>
    <n v="2"/>
    <n v="2"/>
  </r>
  <r>
    <n v="35"/>
    <x v="0"/>
    <s v="Yes"/>
    <s v="Travel_Rarely"/>
    <n v="763"/>
    <x v="0"/>
    <n v="15"/>
    <n v="2"/>
    <s v="Medical"/>
    <n v="1"/>
    <n v="1645"/>
    <n v="1"/>
    <s v="Male"/>
    <n v="59"/>
    <n v="1"/>
    <x v="0"/>
    <x v="0"/>
    <n v="4"/>
    <s v="Divorced"/>
    <n v="5440"/>
    <n v="22098"/>
    <n v="6"/>
    <s v="Y"/>
    <s v="Yes"/>
    <s v="Yes"/>
    <n v="14"/>
    <n v="3"/>
    <n v="4"/>
    <n v="80"/>
    <n v="2"/>
    <n v="7"/>
    <s v="6-15"/>
    <n v="2"/>
    <n v="2"/>
    <n v="2"/>
    <n v="2"/>
    <n v="2"/>
    <n v="2"/>
  </r>
  <r>
    <n v="24"/>
    <x v="1"/>
    <s v="No"/>
    <s v="Travel_Frequently"/>
    <n v="567"/>
    <x v="1"/>
    <n v="2"/>
    <n v="1"/>
    <s v="Technical Degree"/>
    <n v="1"/>
    <n v="1646"/>
    <n v="1"/>
    <s v="Female"/>
    <n v="32"/>
    <n v="3"/>
    <x v="1"/>
    <x v="1"/>
    <n v="4"/>
    <s v="Single"/>
    <n v="3760"/>
    <n v="17218"/>
    <n v="1"/>
    <s v="Y"/>
    <s v="Yes"/>
    <s v="Yes"/>
    <n v="13"/>
    <n v="3"/>
    <n v="3"/>
    <n v="80"/>
    <n v="0"/>
    <n v="6"/>
    <s v="6-15"/>
    <n v="2"/>
    <n v="3"/>
    <n v="6"/>
    <n v="3"/>
    <n v="1"/>
    <n v="3"/>
  </r>
  <r>
    <n v="27"/>
    <x v="1"/>
    <s v="No"/>
    <s v="Travel_Rarely"/>
    <n v="486"/>
    <x v="1"/>
    <n v="8"/>
    <n v="3"/>
    <s v="Medical"/>
    <n v="1"/>
    <n v="1647"/>
    <n v="2"/>
    <s v="Female"/>
    <n v="86"/>
    <n v="4"/>
    <x v="1"/>
    <x v="1"/>
    <n v="3"/>
    <s v="Married"/>
    <n v="3517"/>
    <n v="22490"/>
    <n v="7"/>
    <s v="Y"/>
    <s v="No"/>
    <s v="No"/>
    <n v="17"/>
    <n v="3"/>
    <n v="1"/>
    <n v="80"/>
    <n v="0"/>
    <n v="5"/>
    <s v="0-5"/>
    <n v="0"/>
    <n v="3"/>
    <n v="3"/>
    <n v="2"/>
    <n v="0"/>
    <n v="2"/>
  </r>
  <r>
    <n v="27"/>
    <x v="1"/>
    <s v="No"/>
    <s v="Travel_Frequently"/>
    <n v="591"/>
    <x v="1"/>
    <n v="2"/>
    <n v="3"/>
    <s v="Medical"/>
    <n v="1"/>
    <n v="1648"/>
    <n v="4"/>
    <s v="Male"/>
    <n v="87"/>
    <n v="3"/>
    <x v="1"/>
    <x v="1"/>
    <n v="4"/>
    <s v="Single"/>
    <n v="2580"/>
    <n v="6297"/>
    <n v="2"/>
    <s v="Y"/>
    <s v="No"/>
    <s v="No"/>
    <n v="13"/>
    <n v="3"/>
    <n v="3"/>
    <n v="80"/>
    <n v="0"/>
    <n v="6"/>
    <s v="6-15"/>
    <n v="0"/>
    <n v="2"/>
    <n v="4"/>
    <n v="2"/>
    <n v="1"/>
    <n v="2"/>
  </r>
  <r>
    <n v="40"/>
    <x v="0"/>
    <s v="Yes"/>
    <s v="Travel_Rarely"/>
    <n v="1329"/>
    <x v="1"/>
    <n v="7"/>
    <n v="3"/>
    <s v="Life Sciences"/>
    <n v="1"/>
    <n v="1649"/>
    <n v="1"/>
    <s v="Male"/>
    <n v="73"/>
    <n v="3"/>
    <x v="1"/>
    <x v="2"/>
    <n v="1"/>
    <s v="Single"/>
    <n v="2166"/>
    <n v="3339"/>
    <n v="3"/>
    <s v="Y"/>
    <s v="Yes"/>
    <s v="Yes"/>
    <n v="14"/>
    <n v="3"/>
    <n v="2"/>
    <n v="80"/>
    <n v="0"/>
    <n v="10"/>
    <s v="6-15"/>
    <n v="3"/>
    <n v="1"/>
    <n v="4"/>
    <n v="2"/>
    <n v="0"/>
    <n v="3"/>
  </r>
  <r>
    <n v="29"/>
    <x v="1"/>
    <s v="No"/>
    <s v="Travel_Rarely"/>
    <n v="469"/>
    <x v="0"/>
    <n v="10"/>
    <n v="3"/>
    <s v="Medical"/>
    <n v="1"/>
    <n v="1650"/>
    <n v="3"/>
    <s v="Male"/>
    <n v="42"/>
    <n v="2"/>
    <x v="0"/>
    <x v="0"/>
    <n v="3"/>
    <s v="Single"/>
    <n v="5869"/>
    <n v="23413"/>
    <n v="9"/>
    <s v="Y"/>
    <s v="No"/>
    <s v="No"/>
    <n v="11"/>
    <n v="3"/>
    <n v="3"/>
    <n v="80"/>
    <n v="0"/>
    <n v="8"/>
    <s v="6-15"/>
    <n v="2"/>
    <n v="3"/>
    <n v="5"/>
    <n v="2"/>
    <n v="1"/>
    <n v="4"/>
  </r>
  <r>
    <n v="36"/>
    <x v="1"/>
    <s v="No"/>
    <s v="Travel_Rarely"/>
    <n v="711"/>
    <x v="1"/>
    <n v="5"/>
    <n v="4"/>
    <s v="Life Sciences"/>
    <n v="1"/>
    <n v="1651"/>
    <n v="2"/>
    <s v="Female"/>
    <n v="42"/>
    <n v="3"/>
    <x v="2"/>
    <x v="4"/>
    <n v="1"/>
    <s v="Married"/>
    <n v="8008"/>
    <n v="22792"/>
    <n v="4"/>
    <s v="Y"/>
    <s v="No"/>
    <s v="No"/>
    <n v="12"/>
    <n v="3"/>
    <n v="3"/>
    <n v="80"/>
    <n v="2"/>
    <n v="9"/>
    <s v="6-15"/>
    <n v="6"/>
    <n v="3"/>
    <n v="3"/>
    <n v="2"/>
    <n v="0"/>
    <n v="2"/>
  </r>
  <r>
    <n v="25"/>
    <x v="1"/>
    <s v="No"/>
    <s v="Travel_Frequently"/>
    <n v="772"/>
    <x v="1"/>
    <n v="2"/>
    <n v="1"/>
    <s v="Life Sciences"/>
    <n v="1"/>
    <n v="1653"/>
    <n v="4"/>
    <s v="Male"/>
    <n v="77"/>
    <n v="4"/>
    <x v="0"/>
    <x v="3"/>
    <n v="3"/>
    <s v="Divorced"/>
    <n v="5206"/>
    <n v="4973"/>
    <n v="1"/>
    <s v="Y"/>
    <s v="No"/>
    <s v="No"/>
    <n v="17"/>
    <n v="3"/>
    <n v="3"/>
    <n v="80"/>
    <n v="2"/>
    <n v="7"/>
    <s v="6-15"/>
    <n v="6"/>
    <n v="3"/>
    <n v="7"/>
    <n v="7"/>
    <n v="0"/>
    <n v="7"/>
  </r>
  <r>
    <n v="39"/>
    <x v="1"/>
    <s v="No"/>
    <s v="Travel_Rarely"/>
    <n v="492"/>
    <x v="1"/>
    <n v="12"/>
    <n v="3"/>
    <s v="Medical"/>
    <n v="1"/>
    <n v="1654"/>
    <n v="4"/>
    <s v="Male"/>
    <n v="66"/>
    <n v="3"/>
    <x v="0"/>
    <x v="3"/>
    <n v="2"/>
    <s v="Married"/>
    <n v="5295"/>
    <n v="7693"/>
    <n v="4"/>
    <s v="Y"/>
    <s v="No"/>
    <s v="No"/>
    <n v="21"/>
    <n v="4"/>
    <n v="3"/>
    <n v="80"/>
    <n v="0"/>
    <n v="7"/>
    <s v="6-15"/>
    <n v="3"/>
    <n v="3"/>
    <n v="5"/>
    <n v="4"/>
    <n v="1"/>
    <n v="0"/>
  </r>
  <r>
    <n v="49"/>
    <x v="1"/>
    <s v="No"/>
    <s v="Travel_Rarely"/>
    <n v="301"/>
    <x v="1"/>
    <n v="22"/>
    <n v="4"/>
    <s v="Other"/>
    <n v="1"/>
    <n v="1655"/>
    <n v="1"/>
    <s v="Female"/>
    <n v="72"/>
    <n v="3"/>
    <x v="3"/>
    <x v="7"/>
    <n v="2"/>
    <s v="Married"/>
    <n v="16413"/>
    <n v="3498"/>
    <n v="3"/>
    <s v="Y"/>
    <s v="No"/>
    <s v="No"/>
    <n v="16"/>
    <n v="3"/>
    <n v="2"/>
    <n v="80"/>
    <n v="2"/>
    <n v="27"/>
    <s v="&gt;15"/>
    <n v="2"/>
    <n v="3"/>
    <n v="4"/>
    <n v="2"/>
    <n v="1"/>
    <n v="2"/>
  </r>
  <r>
    <n v="50"/>
    <x v="1"/>
    <s v="No"/>
    <s v="Travel_Rarely"/>
    <n v="813"/>
    <x v="1"/>
    <n v="17"/>
    <n v="5"/>
    <s v="Life Sciences"/>
    <n v="1"/>
    <n v="1656"/>
    <n v="4"/>
    <s v="Female"/>
    <n v="50"/>
    <n v="2"/>
    <x v="2"/>
    <x v="7"/>
    <n v="1"/>
    <s v="Divorced"/>
    <n v="13269"/>
    <n v="21981"/>
    <n v="5"/>
    <s v="Y"/>
    <s v="No"/>
    <s v="No"/>
    <n v="15"/>
    <n v="3"/>
    <n v="3"/>
    <n v="80"/>
    <n v="3"/>
    <n v="19"/>
    <s v="&gt;15"/>
    <n v="3"/>
    <n v="3"/>
    <n v="14"/>
    <n v="11"/>
    <n v="1"/>
    <n v="11"/>
  </r>
  <r>
    <n v="20"/>
    <x v="1"/>
    <s v="No"/>
    <s v="Travel_Rarely"/>
    <n v="1141"/>
    <x v="0"/>
    <n v="2"/>
    <n v="3"/>
    <s v="Medical"/>
    <n v="1"/>
    <n v="1657"/>
    <n v="3"/>
    <s v="Female"/>
    <n v="31"/>
    <n v="3"/>
    <x v="1"/>
    <x v="6"/>
    <n v="3"/>
    <s v="Single"/>
    <n v="2783"/>
    <n v="13251"/>
    <n v="1"/>
    <s v="Y"/>
    <s v="No"/>
    <s v="No"/>
    <n v="19"/>
    <n v="3"/>
    <n v="1"/>
    <n v="80"/>
    <n v="0"/>
    <n v="2"/>
    <s v="0-5"/>
    <n v="3"/>
    <n v="3"/>
    <n v="2"/>
    <n v="2"/>
    <n v="2"/>
    <n v="2"/>
  </r>
  <r>
    <n v="34"/>
    <x v="1"/>
    <s v="No"/>
    <s v="Travel_Rarely"/>
    <n v="1130"/>
    <x v="1"/>
    <n v="3"/>
    <n v="3"/>
    <s v="Life Sciences"/>
    <n v="1"/>
    <n v="1658"/>
    <n v="4"/>
    <s v="Female"/>
    <n v="66"/>
    <n v="3"/>
    <x v="0"/>
    <x v="1"/>
    <n v="2"/>
    <s v="Divorced"/>
    <n v="5433"/>
    <n v="19332"/>
    <n v="1"/>
    <s v="Y"/>
    <s v="No"/>
    <s v="No"/>
    <n v="12"/>
    <n v="3"/>
    <n v="3"/>
    <n v="80"/>
    <n v="1"/>
    <n v="11"/>
    <s v="6-15"/>
    <n v="2"/>
    <n v="3"/>
    <n v="11"/>
    <n v="8"/>
    <n v="7"/>
    <n v="9"/>
  </r>
  <r>
    <n v="36"/>
    <x v="1"/>
    <s v="No"/>
    <s v="Travel_Rarely"/>
    <n v="311"/>
    <x v="1"/>
    <n v="7"/>
    <n v="3"/>
    <s v="Life Sciences"/>
    <n v="1"/>
    <n v="1659"/>
    <n v="1"/>
    <s v="Male"/>
    <n v="77"/>
    <n v="3"/>
    <x v="1"/>
    <x v="2"/>
    <n v="2"/>
    <s v="Single"/>
    <n v="2013"/>
    <n v="10950"/>
    <n v="2"/>
    <s v="Y"/>
    <s v="No"/>
    <s v="No"/>
    <n v="11"/>
    <n v="3"/>
    <n v="3"/>
    <n v="80"/>
    <n v="0"/>
    <n v="15"/>
    <s v="6-15"/>
    <n v="4"/>
    <n v="3"/>
    <n v="4"/>
    <n v="3"/>
    <n v="1"/>
    <n v="3"/>
  </r>
  <r>
    <n v="49"/>
    <x v="1"/>
    <s v="No"/>
    <s v="Travel_Rarely"/>
    <n v="465"/>
    <x v="1"/>
    <n v="6"/>
    <n v="1"/>
    <s v="Life Sciences"/>
    <n v="1"/>
    <n v="1661"/>
    <n v="3"/>
    <s v="Female"/>
    <n v="41"/>
    <n v="2"/>
    <x v="3"/>
    <x v="4"/>
    <n v="3"/>
    <s v="Married"/>
    <n v="13966"/>
    <n v="11652"/>
    <n v="2"/>
    <s v="Y"/>
    <s v="Yes"/>
    <s v="Yes"/>
    <n v="19"/>
    <n v="3"/>
    <n v="2"/>
    <n v="80"/>
    <n v="1"/>
    <n v="30"/>
    <s v="&gt;15"/>
    <n v="3"/>
    <n v="3"/>
    <n v="15"/>
    <n v="11"/>
    <n v="2"/>
    <n v="12"/>
  </r>
  <r>
    <n v="36"/>
    <x v="1"/>
    <s v="No"/>
    <s v="Non-Travel"/>
    <n v="894"/>
    <x v="1"/>
    <n v="1"/>
    <n v="4"/>
    <s v="Medical"/>
    <n v="1"/>
    <n v="1662"/>
    <n v="4"/>
    <s v="Female"/>
    <n v="33"/>
    <n v="2"/>
    <x v="0"/>
    <x v="3"/>
    <n v="3"/>
    <s v="Married"/>
    <n v="4374"/>
    <n v="15411"/>
    <n v="0"/>
    <s v="Y"/>
    <s v="No"/>
    <s v="No"/>
    <n v="15"/>
    <n v="3"/>
    <n v="3"/>
    <n v="80"/>
    <n v="0"/>
    <n v="4"/>
    <s v="0-5"/>
    <n v="6"/>
    <n v="3"/>
    <n v="3"/>
    <n v="2"/>
    <n v="1"/>
    <n v="2"/>
  </r>
  <r>
    <n v="36"/>
    <x v="1"/>
    <s v="No"/>
    <s v="Travel_Rarely"/>
    <n v="1040"/>
    <x v="1"/>
    <n v="3"/>
    <n v="2"/>
    <s v="Life Sciences"/>
    <n v="1"/>
    <n v="1664"/>
    <n v="4"/>
    <s v="Male"/>
    <n v="79"/>
    <n v="4"/>
    <x v="0"/>
    <x v="4"/>
    <n v="1"/>
    <s v="Divorced"/>
    <n v="6842"/>
    <n v="26308"/>
    <n v="6"/>
    <s v="Y"/>
    <s v="No"/>
    <s v="No"/>
    <n v="20"/>
    <n v="4"/>
    <n v="1"/>
    <n v="80"/>
    <n v="1"/>
    <n v="13"/>
    <s v="6-15"/>
    <n v="3"/>
    <n v="3"/>
    <n v="5"/>
    <n v="4"/>
    <n v="0"/>
    <n v="4"/>
  </r>
  <r>
    <n v="54"/>
    <x v="1"/>
    <s v="No"/>
    <s v="Travel_Rarely"/>
    <n v="584"/>
    <x v="1"/>
    <n v="22"/>
    <n v="5"/>
    <s v="Medical"/>
    <n v="1"/>
    <n v="1665"/>
    <n v="2"/>
    <s v="Female"/>
    <n v="91"/>
    <n v="3"/>
    <x v="3"/>
    <x v="5"/>
    <n v="3"/>
    <s v="Married"/>
    <n v="17426"/>
    <n v="18685"/>
    <n v="3"/>
    <s v="Y"/>
    <s v="No"/>
    <s v="No"/>
    <n v="25"/>
    <n v="4"/>
    <n v="3"/>
    <n v="80"/>
    <n v="1"/>
    <n v="36"/>
    <s v="&gt;15"/>
    <n v="6"/>
    <n v="3"/>
    <n v="10"/>
    <n v="8"/>
    <n v="4"/>
    <n v="7"/>
  </r>
  <r>
    <n v="43"/>
    <x v="1"/>
    <s v="No"/>
    <s v="Travel_Rarely"/>
    <n v="1291"/>
    <x v="1"/>
    <n v="15"/>
    <n v="2"/>
    <s v="Life Sciences"/>
    <n v="1"/>
    <n v="1666"/>
    <n v="3"/>
    <s v="Male"/>
    <n v="65"/>
    <n v="2"/>
    <x v="3"/>
    <x v="7"/>
    <n v="3"/>
    <s v="Married"/>
    <n v="17603"/>
    <n v="3525"/>
    <n v="1"/>
    <s v="Y"/>
    <s v="No"/>
    <s v="No"/>
    <n v="24"/>
    <n v="4"/>
    <n v="1"/>
    <n v="80"/>
    <n v="1"/>
    <n v="14"/>
    <s v="6-15"/>
    <n v="3"/>
    <n v="3"/>
    <n v="14"/>
    <n v="10"/>
    <n v="6"/>
    <n v="11"/>
  </r>
  <r>
    <n v="35"/>
    <x v="0"/>
    <s v="Yes"/>
    <s v="Travel_Frequently"/>
    <n v="880"/>
    <x v="0"/>
    <n v="12"/>
    <n v="4"/>
    <s v="Other"/>
    <n v="1"/>
    <n v="1667"/>
    <n v="4"/>
    <s v="Male"/>
    <n v="36"/>
    <n v="3"/>
    <x v="0"/>
    <x v="0"/>
    <n v="4"/>
    <s v="Single"/>
    <n v="4581"/>
    <n v="10414"/>
    <n v="3"/>
    <s v="Y"/>
    <s v="Yes"/>
    <s v="Yes"/>
    <n v="24"/>
    <n v="4"/>
    <n v="1"/>
    <n v="80"/>
    <n v="0"/>
    <n v="13"/>
    <s v="6-15"/>
    <n v="2"/>
    <n v="4"/>
    <n v="11"/>
    <n v="9"/>
    <n v="6"/>
    <n v="7"/>
  </r>
  <r>
    <n v="38"/>
    <x v="1"/>
    <s v="No"/>
    <s v="Travel_Frequently"/>
    <n v="1189"/>
    <x v="1"/>
    <n v="1"/>
    <n v="3"/>
    <s v="Life Sciences"/>
    <n v="1"/>
    <n v="1668"/>
    <n v="4"/>
    <s v="Male"/>
    <n v="90"/>
    <n v="3"/>
    <x v="0"/>
    <x v="1"/>
    <n v="4"/>
    <s v="Married"/>
    <n v="4735"/>
    <n v="9867"/>
    <n v="7"/>
    <s v="Y"/>
    <s v="No"/>
    <s v="No"/>
    <n v="15"/>
    <n v="3"/>
    <n v="4"/>
    <n v="80"/>
    <n v="2"/>
    <n v="19"/>
    <s v="&gt;15"/>
    <n v="4"/>
    <n v="4"/>
    <n v="13"/>
    <n v="11"/>
    <n v="2"/>
    <n v="9"/>
  </r>
  <r>
    <n v="29"/>
    <x v="1"/>
    <s v="No"/>
    <s v="Travel_Rarely"/>
    <n v="991"/>
    <x v="0"/>
    <n v="5"/>
    <n v="3"/>
    <s v="Medical"/>
    <n v="1"/>
    <n v="1669"/>
    <n v="1"/>
    <s v="Male"/>
    <n v="43"/>
    <n v="2"/>
    <x v="0"/>
    <x v="0"/>
    <n v="2"/>
    <s v="Divorced"/>
    <n v="4187"/>
    <n v="3356"/>
    <n v="1"/>
    <s v="Y"/>
    <s v="Yes"/>
    <s v="Yes"/>
    <n v="13"/>
    <n v="3"/>
    <n v="2"/>
    <n v="80"/>
    <n v="1"/>
    <n v="10"/>
    <s v="6-15"/>
    <n v="3"/>
    <n v="2"/>
    <n v="10"/>
    <n v="0"/>
    <n v="0"/>
    <n v="9"/>
  </r>
  <r>
    <n v="33"/>
    <x v="1"/>
    <s v="No"/>
    <s v="Travel_Rarely"/>
    <n v="392"/>
    <x v="0"/>
    <n v="2"/>
    <n v="4"/>
    <s v="Medical"/>
    <n v="1"/>
    <n v="1670"/>
    <n v="4"/>
    <s v="Male"/>
    <n v="93"/>
    <n v="3"/>
    <x v="0"/>
    <x v="0"/>
    <n v="4"/>
    <s v="Divorced"/>
    <n v="5505"/>
    <n v="3921"/>
    <n v="1"/>
    <s v="Y"/>
    <s v="No"/>
    <s v="No"/>
    <n v="14"/>
    <n v="3"/>
    <n v="3"/>
    <n v="80"/>
    <n v="2"/>
    <n v="6"/>
    <s v="6-15"/>
    <n v="5"/>
    <n v="3"/>
    <n v="6"/>
    <n v="2"/>
    <n v="0"/>
    <n v="4"/>
  </r>
  <r>
    <n v="32"/>
    <x v="1"/>
    <s v="No"/>
    <s v="Travel_Rarely"/>
    <n v="977"/>
    <x v="1"/>
    <n v="2"/>
    <n v="3"/>
    <s v="Medical"/>
    <n v="1"/>
    <n v="1671"/>
    <n v="4"/>
    <s v="Male"/>
    <n v="45"/>
    <n v="3"/>
    <x v="0"/>
    <x v="1"/>
    <n v="2"/>
    <s v="Divorced"/>
    <n v="5470"/>
    <n v="25518"/>
    <n v="0"/>
    <s v="Y"/>
    <s v="No"/>
    <s v="No"/>
    <n v="13"/>
    <n v="3"/>
    <n v="3"/>
    <n v="80"/>
    <n v="2"/>
    <n v="10"/>
    <s v="6-15"/>
    <n v="4"/>
    <n v="2"/>
    <n v="9"/>
    <n v="5"/>
    <n v="1"/>
    <n v="6"/>
  </r>
  <r>
    <n v="31"/>
    <x v="1"/>
    <s v="No"/>
    <s v="Travel_Rarely"/>
    <n v="1112"/>
    <x v="0"/>
    <n v="5"/>
    <n v="4"/>
    <s v="Life Sciences"/>
    <n v="1"/>
    <n v="1673"/>
    <n v="1"/>
    <s v="Female"/>
    <n v="67"/>
    <n v="3"/>
    <x v="0"/>
    <x v="0"/>
    <n v="4"/>
    <s v="Married"/>
    <n v="5476"/>
    <n v="22589"/>
    <n v="1"/>
    <s v="Y"/>
    <s v="No"/>
    <s v="No"/>
    <n v="11"/>
    <n v="3"/>
    <n v="1"/>
    <n v="80"/>
    <n v="2"/>
    <n v="10"/>
    <s v="6-15"/>
    <n v="2"/>
    <n v="3"/>
    <n v="10"/>
    <n v="0"/>
    <n v="0"/>
    <n v="2"/>
  </r>
  <r>
    <n v="49"/>
    <x v="1"/>
    <s v="No"/>
    <s v="Travel_Rarely"/>
    <n v="464"/>
    <x v="1"/>
    <n v="16"/>
    <n v="3"/>
    <s v="Medical"/>
    <n v="1"/>
    <n v="1674"/>
    <n v="4"/>
    <s v="Female"/>
    <n v="74"/>
    <n v="3"/>
    <x v="1"/>
    <x v="2"/>
    <n v="1"/>
    <s v="Divorced"/>
    <n v="2587"/>
    <n v="24941"/>
    <n v="4"/>
    <s v="Y"/>
    <s v="Yes"/>
    <s v="Yes"/>
    <n v="16"/>
    <n v="3"/>
    <n v="2"/>
    <n v="80"/>
    <n v="1"/>
    <n v="17"/>
    <s v="&gt;15"/>
    <n v="2"/>
    <n v="2"/>
    <n v="2"/>
    <n v="2"/>
    <n v="2"/>
    <n v="2"/>
  </r>
  <r>
    <n v="38"/>
    <x v="1"/>
    <s v="No"/>
    <s v="Travel_Frequently"/>
    <n v="148"/>
    <x v="1"/>
    <n v="2"/>
    <n v="3"/>
    <s v="Medical"/>
    <n v="1"/>
    <n v="1675"/>
    <n v="4"/>
    <s v="Female"/>
    <n v="42"/>
    <n v="2"/>
    <x v="1"/>
    <x v="2"/>
    <n v="2"/>
    <s v="Single"/>
    <n v="2440"/>
    <n v="23826"/>
    <n v="1"/>
    <s v="Y"/>
    <s v="No"/>
    <s v="No"/>
    <n v="22"/>
    <n v="4"/>
    <n v="2"/>
    <n v="80"/>
    <n v="0"/>
    <n v="4"/>
    <s v="0-5"/>
    <n v="3"/>
    <n v="3"/>
    <n v="4"/>
    <n v="3"/>
    <n v="3"/>
    <n v="3"/>
  </r>
  <r>
    <n v="47"/>
    <x v="1"/>
    <s v="No"/>
    <s v="Travel_Rarely"/>
    <n v="1225"/>
    <x v="0"/>
    <n v="2"/>
    <n v="4"/>
    <s v="Life Sciences"/>
    <n v="1"/>
    <n v="1676"/>
    <n v="2"/>
    <s v="Female"/>
    <n v="47"/>
    <n v="4"/>
    <x v="3"/>
    <x v="5"/>
    <n v="2"/>
    <s v="Divorced"/>
    <n v="15972"/>
    <n v="21086"/>
    <n v="6"/>
    <s v="Y"/>
    <s v="No"/>
    <s v="No"/>
    <n v="14"/>
    <n v="3"/>
    <n v="3"/>
    <n v="80"/>
    <n v="3"/>
    <n v="29"/>
    <s v="&gt;15"/>
    <n v="2"/>
    <n v="3"/>
    <n v="3"/>
    <n v="2"/>
    <n v="1"/>
    <n v="2"/>
  </r>
  <r>
    <n v="49"/>
    <x v="1"/>
    <s v="No"/>
    <s v="Travel_Rarely"/>
    <n v="809"/>
    <x v="1"/>
    <n v="1"/>
    <n v="3"/>
    <s v="Life Sciences"/>
    <n v="1"/>
    <n v="1677"/>
    <n v="3"/>
    <s v="Male"/>
    <n v="36"/>
    <n v="3"/>
    <x v="3"/>
    <x v="5"/>
    <n v="3"/>
    <s v="Single"/>
    <n v="15379"/>
    <n v="22384"/>
    <n v="4"/>
    <s v="Y"/>
    <s v="No"/>
    <s v="No"/>
    <n v="14"/>
    <n v="3"/>
    <n v="1"/>
    <n v="80"/>
    <n v="0"/>
    <n v="23"/>
    <s v="&gt;15"/>
    <n v="2"/>
    <n v="3"/>
    <n v="8"/>
    <n v="7"/>
    <n v="0"/>
    <n v="0"/>
  </r>
  <r>
    <n v="41"/>
    <x v="1"/>
    <s v="No"/>
    <s v="Travel_Rarely"/>
    <n v="1206"/>
    <x v="0"/>
    <n v="23"/>
    <n v="2"/>
    <s v="Life Sciences"/>
    <n v="1"/>
    <n v="1678"/>
    <n v="4"/>
    <s v="Male"/>
    <n v="80"/>
    <n v="3"/>
    <x v="2"/>
    <x v="0"/>
    <n v="3"/>
    <s v="Single"/>
    <n v="7082"/>
    <n v="11591"/>
    <n v="3"/>
    <s v="Y"/>
    <s v="Yes"/>
    <s v="Yes"/>
    <n v="16"/>
    <n v="3"/>
    <n v="4"/>
    <n v="80"/>
    <n v="0"/>
    <n v="21"/>
    <s v="&gt;15"/>
    <n v="2"/>
    <n v="3"/>
    <n v="2"/>
    <n v="0"/>
    <n v="0"/>
    <n v="2"/>
  </r>
  <r>
    <n v="20"/>
    <x v="1"/>
    <s v="No"/>
    <s v="Travel_Rarely"/>
    <n v="727"/>
    <x v="0"/>
    <n v="9"/>
    <n v="1"/>
    <s v="Life Sciences"/>
    <n v="1"/>
    <n v="1680"/>
    <n v="4"/>
    <s v="Male"/>
    <n v="54"/>
    <n v="3"/>
    <x v="1"/>
    <x v="6"/>
    <n v="1"/>
    <s v="Single"/>
    <n v="2728"/>
    <n v="21082"/>
    <n v="1"/>
    <s v="Y"/>
    <s v="No"/>
    <s v="No"/>
    <n v="11"/>
    <n v="3"/>
    <n v="1"/>
    <n v="80"/>
    <n v="0"/>
    <n v="2"/>
    <s v="0-5"/>
    <n v="3"/>
    <n v="3"/>
    <n v="2"/>
    <n v="2"/>
    <n v="0"/>
    <n v="2"/>
  </r>
  <r>
    <n v="33"/>
    <x v="1"/>
    <s v="No"/>
    <s v="Non-Travel"/>
    <n v="530"/>
    <x v="0"/>
    <n v="16"/>
    <n v="3"/>
    <s v="Life Sciences"/>
    <n v="1"/>
    <n v="1681"/>
    <n v="3"/>
    <s v="Female"/>
    <n v="36"/>
    <n v="3"/>
    <x v="0"/>
    <x v="0"/>
    <n v="4"/>
    <s v="Divorced"/>
    <n v="5368"/>
    <n v="16130"/>
    <n v="1"/>
    <s v="Y"/>
    <s v="Yes"/>
    <s v="Yes"/>
    <n v="25"/>
    <n v="4"/>
    <n v="3"/>
    <n v="80"/>
    <n v="1"/>
    <n v="7"/>
    <s v="6-15"/>
    <n v="2"/>
    <n v="3"/>
    <n v="6"/>
    <n v="5"/>
    <n v="1"/>
    <n v="2"/>
  </r>
  <r>
    <n v="36"/>
    <x v="1"/>
    <s v="No"/>
    <s v="Travel_Rarely"/>
    <n v="1351"/>
    <x v="1"/>
    <n v="26"/>
    <n v="4"/>
    <s v="Life Sciences"/>
    <n v="1"/>
    <n v="1682"/>
    <n v="1"/>
    <s v="Male"/>
    <n v="80"/>
    <n v="3"/>
    <x v="0"/>
    <x v="4"/>
    <n v="3"/>
    <s v="Married"/>
    <n v="5347"/>
    <n v="7419"/>
    <n v="6"/>
    <s v="Y"/>
    <s v="No"/>
    <s v="No"/>
    <n v="14"/>
    <n v="3"/>
    <n v="2"/>
    <n v="80"/>
    <n v="2"/>
    <n v="10"/>
    <s v="6-15"/>
    <n v="2"/>
    <n v="2"/>
    <n v="3"/>
    <n v="2"/>
    <n v="0"/>
    <n v="2"/>
  </r>
  <r>
    <n v="44"/>
    <x v="1"/>
    <s v="No"/>
    <s v="Travel_Rarely"/>
    <n v="528"/>
    <x v="2"/>
    <n v="1"/>
    <n v="3"/>
    <s v="Life Sciences"/>
    <n v="1"/>
    <n v="1683"/>
    <n v="3"/>
    <s v="Female"/>
    <n v="44"/>
    <n v="3"/>
    <x v="1"/>
    <x v="8"/>
    <n v="4"/>
    <s v="Divorced"/>
    <n v="3195"/>
    <n v="4167"/>
    <n v="4"/>
    <s v="Y"/>
    <s v="Yes"/>
    <s v="Yes"/>
    <n v="18"/>
    <n v="3"/>
    <n v="1"/>
    <n v="80"/>
    <n v="3"/>
    <n v="8"/>
    <s v="6-15"/>
    <n v="2"/>
    <n v="3"/>
    <n v="2"/>
    <n v="2"/>
    <n v="2"/>
    <n v="2"/>
  </r>
  <r>
    <n v="23"/>
    <x v="0"/>
    <s v="Yes"/>
    <s v="Travel_Rarely"/>
    <n v="1320"/>
    <x v="1"/>
    <n v="8"/>
    <n v="1"/>
    <s v="Medical"/>
    <n v="1"/>
    <n v="1684"/>
    <n v="4"/>
    <s v="Male"/>
    <n v="93"/>
    <n v="2"/>
    <x v="1"/>
    <x v="2"/>
    <n v="3"/>
    <s v="Single"/>
    <n v="3989"/>
    <n v="20586"/>
    <n v="1"/>
    <s v="Y"/>
    <s v="Yes"/>
    <s v="Yes"/>
    <n v="11"/>
    <n v="3"/>
    <n v="1"/>
    <n v="80"/>
    <n v="0"/>
    <n v="5"/>
    <s v="0-5"/>
    <n v="2"/>
    <n v="3"/>
    <n v="5"/>
    <n v="4"/>
    <n v="1"/>
    <n v="2"/>
  </r>
  <r>
    <n v="38"/>
    <x v="1"/>
    <s v="No"/>
    <s v="Travel_Rarely"/>
    <n v="1495"/>
    <x v="1"/>
    <n v="4"/>
    <n v="2"/>
    <s v="Medical"/>
    <n v="1"/>
    <n v="1687"/>
    <n v="4"/>
    <s v="Female"/>
    <n v="87"/>
    <n v="3"/>
    <x v="1"/>
    <x v="2"/>
    <n v="3"/>
    <s v="Married"/>
    <n v="3306"/>
    <n v="26176"/>
    <n v="7"/>
    <s v="Y"/>
    <s v="No"/>
    <s v="No"/>
    <n v="19"/>
    <n v="3"/>
    <n v="4"/>
    <n v="80"/>
    <n v="1"/>
    <n v="7"/>
    <s v="6-15"/>
    <n v="5"/>
    <n v="2"/>
    <n v="0"/>
    <n v="0"/>
    <n v="0"/>
    <n v="0"/>
  </r>
  <r>
    <n v="53"/>
    <x v="1"/>
    <s v="No"/>
    <s v="Travel_Rarely"/>
    <n v="1395"/>
    <x v="1"/>
    <n v="24"/>
    <n v="4"/>
    <s v="Medical"/>
    <n v="1"/>
    <n v="1689"/>
    <n v="2"/>
    <s v="Male"/>
    <n v="48"/>
    <n v="4"/>
    <x v="2"/>
    <x v="4"/>
    <n v="4"/>
    <s v="Married"/>
    <n v="7005"/>
    <n v="3458"/>
    <n v="3"/>
    <s v="Y"/>
    <s v="No"/>
    <s v="No"/>
    <n v="15"/>
    <n v="3"/>
    <n v="3"/>
    <n v="80"/>
    <n v="0"/>
    <n v="11"/>
    <s v="6-15"/>
    <n v="2"/>
    <n v="3"/>
    <n v="4"/>
    <n v="3"/>
    <n v="1"/>
    <n v="2"/>
  </r>
  <r>
    <n v="48"/>
    <x v="0"/>
    <s v="Yes"/>
    <s v="Travel_Frequently"/>
    <n v="708"/>
    <x v="0"/>
    <n v="7"/>
    <n v="2"/>
    <s v="Medical"/>
    <n v="1"/>
    <n v="1691"/>
    <n v="4"/>
    <s v="Female"/>
    <n v="95"/>
    <n v="3"/>
    <x v="1"/>
    <x v="6"/>
    <n v="3"/>
    <s v="Married"/>
    <n v="2655"/>
    <n v="11740"/>
    <n v="2"/>
    <s v="Y"/>
    <s v="Yes"/>
    <s v="Yes"/>
    <n v="11"/>
    <n v="3"/>
    <n v="3"/>
    <n v="80"/>
    <n v="2"/>
    <n v="19"/>
    <s v="&gt;15"/>
    <n v="3"/>
    <n v="3"/>
    <n v="9"/>
    <n v="7"/>
    <n v="7"/>
    <n v="7"/>
  </r>
  <r>
    <n v="32"/>
    <x v="0"/>
    <s v="Yes"/>
    <s v="Travel_Rarely"/>
    <n v="1259"/>
    <x v="1"/>
    <n v="2"/>
    <n v="4"/>
    <s v="Life Sciences"/>
    <n v="1"/>
    <n v="1692"/>
    <n v="4"/>
    <s v="Male"/>
    <n v="95"/>
    <n v="3"/>
    <x v="1"/>
    <x v="2"/>
    <n v="2"/>
    <s v="Single"/>
    <n v="1393"/>
    <n v="24852"/>
    <n v="1"/>
    <s v="Y"/>
    <s v="No"/>
    <s v="No"/>
    <n v="12"/>
    <n v="3"/>
    <n v="1"/>
    <n v="80"/>
    <n v="0"/>
    <n v="1"/>
    <s v="0-5"/>
    <n v="2"/>
    <n v="3"/>
    <n v="1"/>
    <n v="0"/>
    <n v="0"/>
    <n v="0"/>
  </r>
  <r>
    <n v="26"/>
    <x v="1"/>
    <s v="No"/>
    <s v="Non-Travel"/>
    <n v="786"/>
    <x v="1"/>
    <n v="7"/>
    <n v="3"/>
    <s v="Medical"/>
    <n v="1"/>
    <n v="1693"/>
    <n v="4"/>
    <s v="Male"/>
    <n v="76"/>
    <n v="3"/>
    <x v="1"/>
    <x v="2"/>
    <n v="4"/>
    <s v="Single"/>
    <n v="2570"/>
    <n v="11925"/>
    <n v="1"/>
    <s v="Y"/>
    <s v="No"/>
    <s v="No"/>
    <n v="20"/>
    <n v="4"/>
    <n v="3"/>
    <n v="80"/>
    <n v="0"/>
    <n v="7"/>
    <s v="6-15"/>
    <n v="5"/>
    <n v="3"/>
    <n v="7"/>
    <n v="7"/>
    <n v="5"/>
    <n v="7"/>
  </r>
  <r>
    <n v="55"/>
    <x v="1"/>
    <s v="No"/>
    <s v="Travel_Rarely"/>
    <n v="1441"/>
    <x v="1"/>
    <n v="22"/>
    <n v="3"/>
    <s v="Technical Degree"/>
    <n v="1"/>
    <n v="1694"/>
    <n v="1"/>
    <s v="Male"/>
    <n v="94"/>
    <n v="2"/>
    <x v="1"/>
    <x v="1"/>
    <n v="2"/>
    <s v="Divorced"/>
    <n v="3537"/>
    <n v="23737"/>
    <n v="5"/>
    <s v="Y"/>
    <s v="No"/>
    <s v="No"/>
    <n v="12"/>
    <n v="3"/>
    <n v="4"/>
    <n v="80"/>
    <n v="1"/>
    <n v="8"/>
    <s v="6-15"/>
    <n v="1"/>
    <n v="3"/>
    <n v="4"/>
    <n v="2"/>
    <n v="1"/>
    <n v="2"/>
  </r>
  <r>
    <n v="34"/>
    <x v="1"/>
    <s v="No"/>
    <s v="Travel_Rarely"/>
    <n v="1157"/>
    <x v="1"/>
    <n v="5"/>
    <n v="2"/>
    <s v="Medical"/>
    <n v="1"/>
    <n v="1696"/>
    <n v="2"/>
    <s v="Male"/>
    <n v="57"/>
    <n v="2"/>
    <x v="0"/>
    <x v="2"/>
    <n v="4"/>
    <s v="Married"/>
    <n v="3986"/>
    <n v="11912"/>
    <n v="1"/>
    <s v="Y"/>
    <s v="No"/>
    <s v="No"/>
    <n v="14"/>
    <n v="3"/>
    <n v="3"/>
    <n v="80"/>
    <n v="1"/>
    <n v="15"/>
    <s v="6-15"/>
    <n v="3"/>
    <n v="4"/>
    <n v="15"/>
    <n v="10"/>
    <n v="4"/>
    <n v="13"/>
  </r>
  <r>
    <n v="60"/>
    <x v="1"/>
    <s v="No"/>
    <s v="Travel_Rarely"/>
    <n v="370"/>
    <x v="1"/>
    <n v="1"/>
    <n v="4"/>
    <s v="Medical"/>
    <n v="1"/>
    <n v="1697"/>
    <n v="3"/>
    <s v="Male"/>
    <n v="92"/>
    <n v="1"/>
    <x v="2"/>
    <x v="4"/>
    <n v="4"/>
    <s v="Divorced"/>
    <n v="10883"/>
    <n v="20467"/>
    <n v="3"/>
    <s v="Y"/>
    <s v="No"/>
    <s v="No"/>
    <n v="20"/>
    <n v="4"/>
    <n v="3"/>
    <n v="80"/>
    <n v="1"/>
    <n v="19"/>
    <s v="&gt;15"/>
    <n v="2"/>
    <n v="4"/>
    <n v="1"/>
    <n v="0"/>
    <n v="0"/>
    <n v="0"/>
  </r>
  <r>
    <n v="33"/>
    <x v="1"/>
    <s v="No"/>
    <s v="Travel_Rarely"/>
    <n v="267"/>
    <x v="1"/>
    <n v="21"/>
    <n v="3"/>
    <s v="Medical"/>
    <n v="1"/>
    <n v="1698"/>
    <n v="2"/>
    <s v="Male"/>
    <n v="79"/>
    <n v="4"/>
    <x v="1"/>
    <x v="2"/>
    <n v="2"/>
    <s v="Married"/>
    <n v="2028"/>
    <n v="13637"/>
    <n v="1"/>
    <s v="Y"/>
    <s v="No"/>
    <s v="No"/>
    <n v="18"/>
    <n v="3"/>
    <n v="4"/>
    <n v="80"/>
    <n v="3"/>
    <n v="14"/>
    <s v="6-15"/>
    <n v="6"/>
    <n v="3"/>
    <n v="14"/>
    <n v="11"/>
    <n v="2"/>
    <n v="13"/>
  </r>
  <r>
    <n v="37"/>
    <x v="1"/>
    <s v="No"/>
    <s v="Travel_Frequently"/>
    <n v="1278"/>
    <x v="0"/>
    <n v="1"/>
    <n v="4"/>
    <s v="Medical"/>
    <n v="1"/>
    <n v="1700"/>
    <n v="3"/>
    <s v="Male"/>
    <n v="31"/>
    <n v="1"/>
    <x v="0"/>
    <x v="0"/>
    <n v="4"/>
    <s v="Divorced"/>
    <n v="9525"/>
    <n v="7677"/>
    <n v="1"/>
    <s v="Y"/>
    <s v="No"/>
    <s v="No"/>
    <n v="14"/>
    <n v="3"/>
    <n v="3"/>
    <n v="80"/>
    <n v="2"/>
    <n v="6"/>
    <s v="6-15"/>
    <n v="2"/>
    <n v="2"/>
    <n v="6"/>
    <n v="3"/>
    <n v="1"/>
    <n v="3"/>
  </r>
  <r>
    <n v="34"/>
    <x v="1"/>
    <s v="No"/>
    <s v="Travel_Rarely"/>
    <n v="678"/>
    <x v="1"/>
    <n v="19"/>
    <n v="3"/>
    <s v="Life Sciences"/>
    <n v="1"/>
    <n v="1701"/>
    <n v="2"/>
    <s v="Female"/>
    <n v="35"/>
    <n v="2"/>
    <x v="1"/>
    <x v="1"/>
    <n v="4"/>
    <s v="Married"/>
    <n v="2929"/>
    <n v="20338"/>
    <n v="1"/>
    <s v="Y"/>
    <s v="No"/>
    <s v="No"/>
    <n v="12"/>
    <n v="3"/>
    <n v="2"/>
    <n v="80"/>
    <n v="0"/>
    <n v="10"/>
    <s v="6-15"/>
    <n v="3"/>
    <n v="3"/>
    <n v="10"/>
    <n v="9"/>
    <n v="8"/>
    <n v="7"/>
  </r>
  <r>
    <n v="23"/>
    <x v="0"/>
    <s v="Yes"/>
    <s v="Travel_Rarely"/>
    <n v="427"/>
    <x v="0"/>
    <n v="7"/>
    <n v="3"/>
    <s v="Life Sciences"/>
    <n v="1"/>
    <n v="1702"/>
    <n v="3"/>
    <s v="Male"/>
    <n v="99"/>
    <n v="3"/>
    <x v="1"/>
    <x v="6"/>
    <n v="4"/>
    <s v="Divorced"/>
    <n v="2275"/>
    <n v="25103"/>
    <n v="1"/>
    <s v="Y"/>
    <s v="Yes"/>
    <s v="Yes"/>
    <n v="21"/>
    <n v="4"/>
    <n v="2"/>
    <n v="80"/>
    <n v="1"/>
    <n v="3"/>
    <s v="0-5"/>
    <n v="2"/>
    <n v="3"/>
    <n v="3"/>
    <n v="2"/>
    <n v="0"/>
    <n v="2"/>
  </r>
  <r>
    <n v="44"/>
    <x v="1"/>
    <s v="No"/>
    <s v="Travel_Rarely"/>
    <n v="921"/>
    <x v="1"/>
    <n v="2"/>
    <n v="3"/>
    <s v="Life Sciences"/>
    <n v="1"/>
    <n v="1703"/>
    <n v="3"/>
    <s v="Female"/>
    <n v="96"/>
    <n v="4"/>
    <x v="2"/>
    <x v="4"/>
    <n v="4"/>
    <s v="Married"/>
    <n v="7879"/>
    <n v="14810"/>
    <n v="1"/>
    <s v="Y"/>
    <s v="Yes"/>
    <s v="Yes"/>
    <n v="19"/>
    <n v="3"/>
    <n v="2"/>
    <n v="80"/>
    <n v="1"/>
    <n v="9"/>
    <s v="6-15"/>
    <n v="2"/>
    <n v="3"/>
    <n v="8"/>
    <n v="7"/>
    <n v="6"/>
    <n v="7"/>
  </r>
  <r>
    <n v="35"/>
    <x v="1"/>
    <s v="No"/>
    <s v="Travel_Frequently"/>
    <n v="146"/>
    <x v="1"/>
    <n v="2"/>
    <n v="4"/>
    <s v="Medical"/>
    <n v="1"/>
    <n v="1704"/>
    <n v="1"/>
    <s v="Male"/>
    <n v="79"/>
    <n v="2"/>
    <x v="1"/>
    <x v="1"/>
    <n v="4"/>
    <s v="Single"/>
    <n v="4930"/>
    <n v="13970"/>
    <n v="0"/>
    <s v="Y"/>
    <s v="Yes"/>
    <s v="Yes"/>
    <n v="14"/>
    <n v="3"/>
    <n v="3"/>
    <n v="80"/>
    <n v="0"/>
    <n v="6"/>
    <s v="6-15"/>
    <n v="2"/>
    <n v="4"/>
    <n v="5"/>
    <n v="4"/>
    <n v="1"/>
    <n v="4"/>
  </r>
  <r>
    <n v="43"/>
    <x v="1"/>
    <s v="No"/>
    <s v="Travel_Rarely"/>
    <n v="1179"/>
    <x v="0"/>
    <n v="2"/>
    <n v="3"/>
    <s v="Medical"/>
    <n v="1"/>
    <n v="1706"/>
    <n v="4"/>
    <s v="Male"/>
    <n v="73"/>
    <n v="3"/>
    <x v="0"/>
    <x v="0"/>
    <n v="4"/>
    <s v="Married"/>
    <n v="7847"/>
    <n v="6069"/>
    <n v="1"/>
    <s v="Y"/>
    <s v="Yes"/>
    <s v="Yes"/>
    <n v="17"/>
    <n v="3"/>
    <n v="1"/>
    <n v="80"/>
    <n v="1"/>
    <n v="10"/>
    <s v="6-15"/>
    <n v="3"/>
    <n v="3"/>
    <n v="10"/>
    <n v="9"/>
    <n v="8"/>
    <n v="8"/>
  </r>
  <r>
    <n v="24"/>
    <x v="1"/>
    <s v="No"/>
    <s v="Travel_Rarely"/>
    <n v="581"/>
    <x v="1"/>
    <n v="9"/>
    <n v="3"/>
    <s v="Medical"/>
    <n v="1"/>
    <n v="1707"/>
    <n v="3"/>
    <s v="Male"/>
    <n v="62"/>
    <n v="4"/>
    <x v="1"/>
    <x v="1"/>
    <n v="3"/>
    <s v="Married"/>
    <n v="4401"/>
    <n v="17616"/>
    <n v="1"/>
    <s v="Y"/>
    <s v="No"/>
    <s v="No"/>
    <n v="16"/>
    <n v="3"/>
    <n v="4"/>
    <n v="80"/>
    <n v="1"/>
    <n v="5"/>
    <s v="0-5"/>
    <n v="1"/>
    <n v="3"/>
    <n v="5"/>
    <n v="3"/>
    <n v="0"/>
    <n v="4"/>
  </r>
  <r>
    <n v="41"/>
    <x v="1"/>
    <s v="No"/>
    <s v="Travel_Rarely"/>
    <n v="918"/>
    <x v="0"/>
    <n v="6"/>
    <n v="3"/>
    <s v="Marketing"/>
    <n v="1"/>
    <n v="1708"/>
    <n v="4"/>
    <s v="Male"/>
    <n v="35"/>
    <n v="3"/>
    <x v="2"/>
    <x v="0"/>
    <n v="3"/>
    <s v="Single"/>
    <n v="9241"/>
    <n v="15869"/>
    <n v="1"/>
    <s v="Y"/>
    <s v="No"/>
    <s v="No"/>
    <n v="12"/>
    <n v="3"/>
    <n v="2"/>
    <n v="80"/>
    <n v="0"/>
    <n v="10"/>
    <s v="6-15"/>
    <n v="3"/>
    <n v="3"/>
    <n v="10"/>
    <n v="8"/>
    <n v="8"/>
    <n v="7"/>
  </r>
  <r>
    <n v="29"/>
    <x v="1"/>
    <s v="No"/>
    <s v="Travel_Rarely"/>
    <n v="1082"/>
    <x v="1"/>
    <n v="9"/>
    <n v="4"/>
    <s v="Medical"/>
    <n v="1"/>
    <n v="1709"/>
    <n v="4"/>
    <s v="Female"/>
    <n v="43"/>
    <n v="3"/>
    <x v="1"/>
    <x v="2"/>
    <n v="3"/>
    <s v="Married"/>
    <n v="2974"/>
    <n v="25412"/>
    <n v="9"/>
    <s v="Y"/>
    <s v="No"/>
    <s v="No"/>
    <n v="17"/>
    <n v="3"/>
    <n v="3"/>
    <n v="80"/>
    <n v="1"/>
    <n v="9"/>
    <s v="6-15"/>
    <n v="2"/>
    <n v="3"/>
    <n v="5"/>
    <n v="3"/>
    <n v="1"/>
    <n v="2"/>
  </r>
  <r>
    <n v="36"/>
    <x v="1"/>
    <s v="No"/>
    <s v="Travel_Rarely"/>
    <n v="530"/>
    <x v="0"/>
    <n v="2"/>
    <n v="4"/>
    <s v="Life Sciences"/>
    <n v="1"/>
    <n v="1710"/>
    <n v="3"/>
    <s v="Female"/>
    <n v="51"/>
    <n v="3"/>
    <x v="0"/>
    <x v="6"/>
    <n v="4"/>
    <s v="Single"/>
    <n v="4502"/>
    <n v="7439"/>
    <n v="3"/>
    <s v="Y"/>
    <s v="No"/>
    <s v="No"/>
    <n v="15"/>
    <n v="3"/>
    <n v="3"/>
    <n v="80"/>
    <n v="0"/>
    <n v="17"/>
    <s v="&gt;15"/>
    <n v="2"/>
    <n v="2"/>
    <n v="13"/>
    <n v="7"/>
    <n v="6"/>
    <n v="7"/>
  </r>
  <r>
    <n v="45"/>
    <x v="1"/>
    <s v="No"/>
    <s v="Non-Travel"/>
    <n v="1238"/>
    <x v="1"/>
    <n v="1"/>
    <n v="1"/>
    <s v="Life Sciences"/>
    <n v="1"/>
    <n v="1712"/>
    <n v="3"/>
    <s v="Male"/>
    <n v="74"/>
    <n v="2"/>
    <x v="2"/>
    <x v="4"/>
    <n v="3"/>
    <s v="Married"/>
    <n v="10748"/>
    <n v="3395"/>
    <n v="3"/>
    <s v="Y"/>
    <s v="No"/>
    <s v="No"/>
    <n v="23"/>
    <n v="4"/>
    <n v="4"/>
    <n v="80"/>
    <n v="1"/>
    <n v="25"/>
    <s v="&gt;15"/>
    <n v="3"/>
    <n v="2"/>
    <n v="23"/>
    <n v="15"/>
    <n v="14"/>
    <n v="4"/>
  </r>
  <r>
    <n v="24"/>
    <x v="0"/>
    <s v="Yes"/>
    <s v="Travel_Rarely"/>
    <n v="240"/>
    <x v="2"/>
    <n v="22"/>
    <n v="1"/>
    <s v="Human Resources"/>
    <n v="1"/>
    <n v="1714"/>
    <n v="4"/>
    <s v="Male"/>
    <n v="58"/>
    <n v="1"/>
    <x v="1"/>
    <x v="8"/>
    <n v="3"/>
    <s v="Married"/>
    <n v="1555"/>
    <n v="11585"/>
    <n v="1"/>
    <s v="Y"/>
    <s v="No"/>
    <s v="No"/>
    <n v="11"/>
    <n v="3"/>
    <n v="3"/>
    <n v="80"/>
    <n v="1"/>
    <n v="1"/>
    <s v="0-5"/>
    <n v="2"/>
    <n v="3"/>
    <n v="1"/>
    <n v="0"/>
    <n v="0"/>
    <n v="0"/>
  </r>
  <r>
    <n v="47"/>
    <x v="0"/>
    <s v="Yes"/>
    <s v="Travel_Frequently"/>
    <n v="1093"/>
    <x v="0"/>
    <n v="9"/>
    <n v="3"/>
    <s v="Life Sciences"/>
    <n v="1"/>
    <n v="1716"/>
    <n v="3"/>
    <s v="Male"/>
    <n v="82"/>
    <n v="1"/>
    <x v="3"/>
    <x v="0"/>
    <n v="3"/>
    <s v="Married"/>
    <n v="12936"/>
    <n v="24164"/>
    <n v="7"/>
    <s v="Y"/>
    <s v="No"/>
    <s v="No"/>
    <n v="11"/>
    <n v="3"/>
    <n v="3"/>
    <n v="80"/>
    <n v="0"/>
    <n v="25"/>
    <s v="&gt;15"/>
    <n v="3"/>
    <n v="1"/>
    <n v="23"/>
    <n v="5"/>
    <n v="14"/>
    <n v="10"/>
  </r>
  <r>
    <n v="26"/>
    <x v="1"/>
    <s v="No"/>
    <s v="Travel_Rarely"/>
    <n v="390"/>
    <x v="1"/>
    <n v="17"/>
    <n v="4"/>
    <s v="Medical"/>
    <n v="1"/>
    <n v="1718"/>
    <n v="4"/>
    <s v="Male"/>
    <n v="62"/>
    <n v="1"/>
    <x v="1"/>
    <x v="2"/>
    <n v="3"/>
    <s v="Married"/>
    <n v="2305"/>
    <n v="6217"/>
    <n v="1"/>
    <s v="Y"/>
    <s v="No"/>
    <s v="No"/>
    <n v="15"/>
    <n v="3"/>
    <n v="3"/>
    <n v="80"/>
    <n v="3"/>
    <n v="3"/>
    <s v="0-5"/>
    <n v="3"/>
    <n v="4"/>
    <n v="3"/>
    <n v="2"/>
    <n v="0"/>
    <n v="2"/>
  </r>
  <r>
    <n v="45"/>
    <x v="1"/>
    <s v="No"/>
    <s v="Travel_Rarely"/>
    <n v="1005"/>
    <x v="1"/>
    <n v="28"/>
    <n v="2"/>
    <s v="Technical Degree"/>
    <n v="1"/>
    <n v="1719"/>
    <n v="4"/>
    <s v="Female"/>
    <n v="48"/>
    <n v="2"/>
    <x v="3"/>
    <x v="7"/>
    <n v="2"/>
    <s v="Single"/>
    <n v="16704"/>
    <n v="17119"/>
    <n v="1"/>
    <s v="Y"/>
    <s v="No"/>
    <s v="No"/>
    <n v="11"/>
    <n v="3"/>
    <n v="3"/>
    <n v="80"/>
    <n v="0"/>
    <n v="21"/>
    <s v="&gt;15"/>
    <n v="2"/>
    <n v="3"/>
    <n v="21"/>
    <n v="6"/>
    <n v="8"/>
    <n v="6"/>
  </r>
  <r>
    <n v="32"/>
    <x v="1"/>
    <s v="No"/>
    <s v="Travel_Frequently"/>
    <n v="585"/>
    <x v="1"/>
    <n v="10"/>
    <n v="3"/>
    <s v="Life Sciences"/>
    <n v="1"/>
    <n v="1720"/>
    <n v="1"/>
    <s v="Male"/>
    <n v="56"/>
    <n v="3"/>
    <x v="1"/>
    <x v="1"/>
    <n v="3"/>
    <s v="Married"/>
    <n v="3433"/>
    <n v="17360"/>
    <n v="6"/>
    <s v="Y"/>
    <s v="No"/>
    <s v="No"/>
    <n v="13"/>
    <n v="3"/>
    <n v="1"/>
    <n v="80"/>
    <n v="1"/>
    <n v="10"/>
    <s v="6-15"/>
    <n v="3"/>
    <n v="2"/>
    <n v="5"/>
    <n v="2"/>
    <n v="1"/>
    <n v="3"/>
  </r>
  <r>
    <n v="31"/>
    <x v="1"/>
    <s v="No"/>
    <s v="Travel_Rarely"/>
    <n v="741"/>
    <x v="1"/>
    <n v="2"/>
    <n v="4"/>
    <s v="Life Sciences"/>
    <n v="1"/>
    <n v="1721"/>
    <n v="2"/>
    <s v="Male"/>
    <n v="69"/>
    <n v="3"/>
    <x v="1"/>
    <x v="2"/>
    <n v="3"/>
    <s v="Married"/>
    <n v="3477"/>
    <n v="18103"/>
    <n v="1"/>
    <s v="Y"/>
    <s v="No"/>
    <s v="No"/>
    <n v="14"/>
    <n v="3"/>
    <n v="4"/>
    <n v="80"/>
    <n v="1"/>
    <n v="6"/>
    <s v="6-15"/>
    <n v="2"/>
    <n v="4"/>
    <n v="5"/>
    <n v="2"/>
    <n v="0"/>
    <n v="3"/>
  </r>
  <r>
    <n v="41"/>
    <x v="1"/>
    <s v="No"/>
    <s v="Non-Travel"/>
    <n v="552"/>
    <x v="2"/>
    <n v="4"/>
    <n v="3"/>
    <s v="Human Resources"/>
    <n v="1"/>
    <n v="1722"/>
    <n v="3"/>
    <s v="Male"/>
    <n v="60"/>
    <n v="1"/>
    <x v="0"/>
    <x v="8"/>
    <n v="2"/>
    <s v="Married"/>
    <n v="6430"/>
    <n v="20794"/>
    <n v="6"/>
    <s v="Y"/>
    <s v="No"/>
    <s v="No"/>
    <n v="19"/>
    <n v="3"/>
    <n v="2"/>
    <n v="80"/>
    <n v="1"/>
    <n v="10"/>
    <s v="6-15"/>
    <n v="4"/>
    <n v="3"/>
    <n v="3"/>
    <n v="2"/>
    <n v="1"/>
    <n v="2"/>
  </r>
  <r>
    <n v="40"/>
    <x v="1"/>
    <s v="No"/>
    <s v="Travel_Rarely"/>
    <n v="369"/>
    <x v="1"/>
    <n v="8"/>
    <n v="2"/>
    <s v="Life Sciences"/>
    <n v="1"/>
    <n v="1724"/>
    <n v="2"/>
    <s v="Female"/>
    <n v="92"/>
    <n v="3"/>
    <x v="0"/>
    <x v="3"/>
    <n v="1"/>
    <s v="Married"/>
    <n v="6516"/>
    <n v="5041"/>
    <n v="2"/>
    <s v="Y"/>
    <s v="Yes"/>
    <s v="Yes"/>
    <n v="16"/>
    <n v="3"/>
    <n v="2"/>
    <n v="80"/>
    <n v="1"/>
    <n v="18"/>
    <s v="&gt;15"/>
    <n v="3"/>
    <n v="3"/>
    <n v="1"/>
    <n v="0"/>
    <n v="0"/>
    <n v="0"/>
  </r>
  <r>
    <n v="24"/>
    <x v="1"/>
    <s v="No"/>
    <s v="Travel_Rarely"/>
    <n v="506"/>
    <x v="1"/>
    <n v="29"/>
    <n v="1"/>
    <s v="Medical"/>
    <n v="1"/>
    <n v="1725"/>
    <n v="2"/>
    <s v="Male"/>
    <n v="91"/>
    <n v="3"/>
    <x v="1"/>
    <x v="2"/>
    <n v="1"/>
    <s v="Divorced"/>
    <n v="3907"/>
    <n v="3622"/>
    <n v="1"/>
    <s v="Y"/>
    <s v="No"/>
    <s v="No"/>
    <n v="13"/>
    <n v="3"/>
    <n v="2"/>
    <n v="80"/>
    <n v="3"/>
    <n v="6"/>
    <s v="6-15"/>
    <n v="2"/>
    <n v="4"/>
    <n v="6"/>
    <n v="2"/>
    <n v="1"/>
    <n v="2"/>
  </r>
  <r>
    <n v="46"/>
    <x v="1"/>
    <s v="No"/>
    <s v="Travel_Rarely"/>
    <n v="717"/>
    <x v="1"/>
    <n v="13"/>
    <n v="4"/>
    <s v="Life Sciences"/>
    <n v="1"/>
    <n v="1727"/>
    <n v="3"/>
    <s v="Male"/>
    <n v="34"/>
    <n v="3"/>
    <x v="0"/>
    <x v="4"/>
    <n v="2"/>
    <s v="Single"/>
    <n v="5562"/>
    <n v="9697"/>
    <n v="6"/>
    <s v="Y"/>
    <s v="No"/>
    <s v="No"/>
    <n v="14"/>
    <n v="3"/>
    <n v="4"/>
    <n v="80"/>
    <n v="0"/>
    <n v="19"/>
    <s v="&gt;15"/>
    <n v="3"/>
    <n v="3"/>
    <n v="10"/>
    <n v="7"/>
    <n v="0"/>
    <n v="9"/>
  </r>
  <r>
    <n v="35"/>
    <x v="1"/>
    <s v="No"/>
    <s v="Travel_Rarely"/>
    <n v="1370"/>
    <x v="1"/>
    <n v="27"/>
    <n v="4"/>
    <s v="Life Sciences"/>
    <n v="1"/>
    <n v="1728"/>
    <n v="4"/>
    <s v="Male"/>
    <n v="49"/>
    <n v="3"/>
    <x v="0"/>
    <x v="3"/>
    <n v="3"/>
    <s v="Married"/>
    <n v="6883"/>
    <n v="5151"/>
    <n v="2"/>
    <s v="Y"/>
    <s v="No"/>
    <s v="No"/>
    <n v="16"/>
    <n v="3"/>
    <n v="2"/>
    <n v="80"/>
    <n v="1"/>
    <n v="17"/>
    <s v="&gt;15"/>
    <n v="3"/>
    <n v="3"/>
    <n v="7"/>
    <n v="7"/>
    <n v="0"/>
    <n v="7"/>
  </r>
  <r>
    <n v="30"/>
    <x v="1"/>
    <s v="No"/>
    <s v="Travel_Rarely"/>
    <n v="793"/>
    <x v="1"/>
    <n v="16"/>
    <n v="1"/>
    <s v="Life Sciences"/>
    <n v="1"/>
    <n v="1729"/>
    <n v="2"/>
    <s v="Male"/>
    <n v="33"/>
    <n v="3"/>
    <x v="1"/>
    <x v="1"/>
    <n v="4"/>
    <s v="Married"/>
    <n v="2862"/>
    <n v="3811"/>
    <n v="1"/>
    <s v="Y"/>
    <s v="No"/>
    <s v="No"/>
    <n v="12"/>
    <n v="3"/>
    <n v="2"/>
    <n v="80"/>
    <n v="1"/>
    <n v="10"/>
    <s v="6-15"/>
    <n v="2"/>
    <n v="2"/>
    <n v="10"/>
    <n v="0"/>
    <n v="0"/>
    <n v="8"/>
  </r>
  <r>
    <n v="47"/>
    <x v="1"/>
    <s v="No"/>
    <s v="Non-Travel"/>
    <n v="543"/>
    <x v="0"/>
    <n v="2"/>
    <n v="4"/>
    <s v="Marketing"/>
    <n v="1"/>
    <n v="1731"/>
    <n v="3"/>
    <s v="Male"/>
    <n v="87"/>
    <n v="3"/>
    <x v="0"/>
    <x v="0"/>
    <n v="2"/>
    <s v="Married"/>
    <n v="4978"/>
    <n v="3536"/>
    <n v="7"/>
    <s v="Y"/>
    <s v="No"/>
    <s v="No"/>
    <n v="11"/>
    <n v="3"/>
    <n v="4"/>
    <n v="80"/>
    <n v="1"/>
    <n v="4"/>
    <s v="0-5"/>
    <n v="3"/>
    <n v="1"/>
    <n v="1"/>
    <n v="0"/>
    <n v="0"/>
    <n v="0"/>
  </r>
  <r>
    <n v="46"/>
    <x v="1"/>
    <s v="No"/>
    <s v="Travel_Rarely"/>
    <n v="1277"/>
    <x v="0"/>
    <n v="2"/>
    <n v="3"/>
    <s v="Life Sciences"/>
    <n v="1"/>
    <n v="1732"/>
    <n v="3"/>
    <s v="Male"/>
    <n v="74"/>
    <n v="3"/>
    <x v="2"/>
    <x v="0"/>
    <n v="4"/>
    <s v="Divorced"/>
    <n v="10368"/>
    <n v="5596"/>
    <n v="4"/>
    <s v="Y"/>
    <s v="Yes"/>
    <s v="Yes"/>
    <n v="12"/>
    <n v="3"/>
    <n v="2"/>
    <n v="80"/>
    <n v="1"/>
    <n v="13"/>
    <s v="6-15"/>
    <n v="5"/>
    <n v="2"/>
    <n v="10"/>
    <n v="6"/>
    <n v="0"/>
    <n v="3"/>
  </r>
  <r>
    <n v="36"/>
    <x v="0"/>
    <s v="Yes"/>
    <s v="Travel_Rarely"/>
    <n v="1456"/>
    <x v="0"/>
    <n v="13"/>
    <n v="5"/>
    <s v="Marketing"/>
    <n v="1"/>
    <n v="1733"/>
    <n v="2"/>
    <s v="Male"/>
    <n v="96"/>
    <n v="2"/>
    <x v="0"/>
    <x v="0"/>
    <n v="1"/>
    <s v="Divorced"/>
    <n v="6134"/>
    <n v="8658"/>
    <n v="5"/>
    <s v="Y"/>
    <s v="Yes"/>
    <s v="Yes"/>
    <n v="13"/>
    <n v="3"/>
    <n v="2"/>
    <n v="80"/>
    <n v="3"/>
    <n v="16"/>
    <s v="&gt;15"/>
    <n v="3"/>
    <n v="3"/>
    <n v="2"/>
    <n v="2"/>
    <n v="2"/>
    <n v="2"/>
  </r>
  <r>
    <n v="32"/>
    <x v="0"/>
    <s v="Yes"/>
    <s v="Travel_Rarely"/>
    <n v="964"/>
    <x v="0"/>
    <n v="1"/>
    <n v="2"/>
    <s v="Life Sciences"/>
    <n v="1"/>
    <n v="1734"/>
    <n v="1"/>
    <s v="Male"/>
    <n v="34"/>
    <n v="1"/>
    <x v="0"/>
    <x v="0"/>
    <n v="2"/>
    <s v="Single"/>
    <n v="6735"/>
    <n v="12147"/>
    <n v="6"/>
    <s v="Y"/>
    <s v="No"/>
    <s v="No"/>
    <n v="15"/>
    <n v="3"/>
    <n v="2"/>
    <n v="80"/>
    <n v="0"/>
    <n v="10"/>
    <s v="6-15"/>
    <n v="2"/>
    <n v="3"/>
    <n v="0"/>
    <n v="0"/>
    <n v="0"/>
    <n v="0"/>
  </r>
  <r>
    <n v="23"/>
    <x v="1"/>
    <s v="No"/>
    <s v="Travel_Rarely"/>
    <n v="160"/>
    <x v="1"/>
    <n v="4"/>
    <n v="1"/>
    <s v="Medical"/>
    <n v="1"/>
    <n v="1735"/>
    <n v="3"/>
    <s v="Female"/>
    <n v="51"/>
    <n v="3"/>
    <x v="1"/>
    <x v="2"/>
    <n v="2"/>
    <s v="Single"/>
    <n v="3295"/>
    <n v="12862"/>
    <n v="1"/>
    <s v="Y"/>
    <s v="No"/>
    <s v="No"/>
    <n v="13"/>
    <n v="3"/>
    <n v="3"/>
    <n v="80"/>
    <n v="0"/>
    <n v="3"/>
    <s v="0-5"/>
    <n v="3"/>
    <n v="1"/>
    <n v="3"/>
    <n v="2"/>
    <n v="1"/>
    <n v="2"/>
  </r>
  <r>
    <n v="31"/>
    <x v="1"/>
    <s v="No"/>
    <s v="Travel_Frequently"/>
    <n v="163"/>
    <x v="1"/>
    <n v="24"/>
    <n v="1"/>
    <s v="Technical Degree"/>
    <n v="1"/>
    <n v="1736"/>
    <n v="4"/>
    <s v="Female"/>
    <n v="30"/>
    <n v="3"/>
    <x v="0"/>
    <x v="3"/>
    <n v="4"/>
    <s v="Single"/>
    <n v="5238"/>
    <n v="6670"/>
    <n v="2"/>
    <s v="Y"/>
    <s v="No"/>
    <s v="No"/>
    <n v="20"/>
    <n v="4"/>
    <n v="4"/>
    <n v="80"/>
    <n v="0"/>
    <n v="9"/>
    <s v="6-15"/>
    <n v="3"/>
    <n v="2"/>
    <n v="5"/>
    <n v="4"/>
    <n v="1"/>
    <n v="4"/>
  </r>
  <r>
    <n v="39"/>
    <x v="1"/>
    <s v="No"/>
    <s v="Non-Travel"/>
    <n v="792"/>
    <x v="1"/>
    <n v="1"/>
    <n v="3"/>
    <s v="Life Sciences"/>
    <n v="1"/>
    <n v="1737"/>
    <n v="4"/>
    <s v="Male"/>
    <n v="77"/>
    <n v="3"/>
    <x v="0"/>
    <x v="2"/>
    <n v="4"/>
    <s v="Married"/>
    <n v="6472"/>
    <n v="8989"/>
    <n v="1"/>
    <s v="Y"/>
    <s v="Yes"/>
    <s v="Yes"/>
    <n v="15"/>
    <n v="3"/>
    <n v="4"/>
    <n v="80"/>
    <n v="1"/>
    <n v="9"/>
    <s v="6-15"/>
    <n v="2"/>
    <n v="3"/>
    <n v="9"/>
    <n v="8"/>
    <n v="5"/>
    <n v="8"/>
  </r>
  <r>
    <n v="32"/>
    <x v="1"/>
    <s v="No"/>
    <s v="Travel_Rarely"/>
    <n v="371"/>
    <x v="0"/>
    <n v="19"/>
    <n v="3"/>
    <s v="Life Sciences"/>
    <n v="1"/>
    <n v="1739"/>
    <n v="4"/>
    <s v="Male"/>
    <n v="80"/>
    <n v="1"/>
    <x v="2"/>
    <x v="0"/>
    <n v="3"/>
    <s v="Married"/>
    <n v="9610"/>
    <n v="3840"/>
    <n v="3"/>
    <s v="Y"/>
    <s v="No"/>
    <s v="No"/>
    <n v="13"/>
    <n v="3"/>
    <n v="3"/>
    <n v="80"/>
    <n v="1"/>
    <n v="10"/>
    <s v="6-15"/>
    <n v="2"/>
    <n v="1"/>
    <n v="4"/>
    <n v="3"/>
    <n v="0"/>
    <n v="2"/>
  </r>
  <r>
    <n v="40"/>
    <x v="1"/>
    <s v="No"/>
    <s v="Travel_Rarely"/>
    <n v="611"/>
    <x v="0"/>
    <n v="7"/>
    <n v="4"/>
    <s v="Medical"/>
    <n v="1"/>
    <n v="1740"/>
    <n v="2"/>
    <s v="Male"/>
    <n v="88"/>
    <n v="3"/>
    <x v="4"/>
    <x v="5"/>
    <n v="2"/>
    <s v="Single"/>
    <n v="19833"/>
    <n v="4349"/>
    <n v="1"/>
    <s v="Y"/>
    <s v="No"/>
    <s v="No"/>
    <n v="14"/>
    <n v="3"/>
    <n v="2"/>
    <n v="80"/>
    <n v="0"/>
    <n v="21"/>
    <s v="&gt;15"/>
    <n v="3"/>
    <n v="2"/>
    <n v="21"/>
    <n v="8"/>
    <n v="12"/>
    <n v="8"/>
  </r>
  <r>
    <n v="45"/>
    <x v="1"/>
    <s v="No"/>
    <s v="Travel_Rarely"/>
    <n v="176"/>
    <x v="2"/>
    <n v="4"/>
    <n v="3"/>
    <s v="Life Sciences"/>
    <n v="1"/>
    <n v="1744"/>
    <n v="3"/>
    <s v="Female"/>
    <n v="56"/>
    <n v="1"/>
    <x v="2"/>
    <x v="8"/>
    <n v="3"/>
    <s v="Married"/>
    <n v="9756"/>
    <n v="6595"/>
    <n v="4"/>
    <s v="Y"/>
    <s v="No"/>
    <s v="No"/>
    <n v="21"/>
    <n v="4"/>
    <n v="3"/>
    <n v="80"/>
    <n v="2"/>
    <n v="9"/>
    <s v="6-15"/>
    <n v="2"/>
    <n v="4"/>
    <n v="5"/>
    <n v="0"/>
    <n v="0"/>
    <n v="3"/>
  </r>
  <r>
    <n v="30"/>
    <x v="1"/>
    <s v="No"/>
    <s v="Travel_Frequently"/>
    <n v="1312"/>
    <x v="1"/>
    <n v="2"/>
    <n v="4"/>
    <s v="Technical Degree"/>
    <n v="1"/>
    <n v="1745"/>
    <n v="4"/>
    <s v="Female"/>
    <n v="78"/>
    <n v="2"/>
    <x v="1"/>
    <x v="1"/>
    <n v="1"/>
    <s v="Single"/>
    <n v="4968"/>
    <n v="26427"/>
    <n v="0"/>
    <s v="Y"/>
    <s v="No"/>
    <s v="No"/>
    <n v="16"/>
    <n v="3"/>
    <n v="4"/>
    <n v="80"/>
    <n v="0"/>
    <n v="10"/>
    <s v="6-15"/>
    <n v="2"/>
    <n v="3"/>
    <n v="9"/>
    <n v="7"/>
    <n v="0"/>
    <n v="7"/>
  </r>
  <r>
    <n v="24"/>
    <x v="1"/>
    <s v="No"/>
    <s v="Travel_Frequently"/>
    <n v="897"/>
    <x v="2"/>
    <n v="10"/>
    <n v="3"/>
    <s v="Medical"/>
    <n v="1"/>
    <n v="1746"/>
    <n v="1"/>
    <s v="Male"/>
    <n v="59"/>
    <n v="3"/>
    <x v="1"/>
    <x v="8"/>
    <n v="4"/>
    <s v="Married"/>
    <n v="2145"/>
    <n v="2097"/>
    <n v="0"/>
    <s v="Y"/>
    <s v="No"/>
    <s v="No"/>
    <n v="14"/>
    <n v="3"/>
    <n v="4"/>
    <n v="80"/>
    <n v="1"/>
    <n v="3"/>
    <s v="0-5"/>
    <n v="2"/>
    <n v="3"/>
    <n v="2"/>
    <n v="2"/>
    <n v="2"/>
    <n v="1"/>
  </r>
  <r>
    <n v="30"/>
    <x v="0"/>
    <s v="Yes"/>
    <s v="Travel_Frequently"/>
    <n v="600"/>
    <x v="2"/>
    <n v="8"/>
    <n v="3"/>
    <s v="Human Resources"/>
    <n v="1"/>
    <n v="1747"/>
    <n v="3"/>
    <s v="Female"/>
    <n v="66"/>
    <n v="2"/>
    <x v="1"/>
    <x v="8"/>
    <n v="4"/>
    <s v="Divorced"/>
    <n v="2180"/>
    <n v="9732"/>
    <n v="6"/>
    <s v="Y"/>
    <s v="No"/>
    <s v="No"/>
    <n v="11"/>
    <n v="3"/>
    <n v="3"/>
    <n v="80"/>
    <n v="1"/>
    <n v="6"/>
    <s v="6-15"/>
    <n v="0"/>
    <n v="2"/>
    <n v="4"/>
    <n v="2"/>
    <n v="1"/>
    <n v="2"/>
  </r>
  <r>
    <n v="31"/>
    <x v="1"/>
    <s v="No"/>
    <s v="Travel_Rarely"/>
    <n v="1003"/>
    <x v="0"/>
    <n v="5"/>
    <n v="3"/>
    <s v="Technical Degree"/>
    <n v="1"/>
    <n v="1749"/>
    <n v="1"/>
    <s v="Male"/>
    <n v="51"/>
    <n v="3"/>
    <x v="0"/>
    <x v="0"/>
    <n v="3"/>
    <s v="Married"/>
    <n v="8346"/>
    <n v="20943"/>
    <n v="1"/>
    <s v="Y"/>
    <s v="No"/>
    <s v="No"/>
    <n v="19"/>
    <n v="3"/>
    <n v="3"/>
    <n v="80"/>
    <n v="1"/>
    <n v="6"/>
    <s v="6-15"/>
    <n v="3"/>
    <n v="3"/>
    <n v="5"/>
    <n v="2"/>
    <n v="0"/>
    <n v="2"/>
  </r>
  <r>
    <n v="27"/>
    <x v="1"/>
    <s v="No"/>
    <s v="Travel_Rarely"/>
    <n v="1054"/>
    <x v="1"/>
    <n v="8"/>
    <n v="3"/>
    <s v="Medical"/>
    <n v="1"/>
    <n v="1751"/>
    <n v="3"/>
    <s v="Female"/>
    <n v="67"/>
    <n v="3"/>
    <x v="1"/>
    <x v="1"/>
    <n v="4"/>
    <s v="Single"/>
    <n v="3445"/>
    <n v="6152"/>
    <n v="1"/>
    <s v="Y"/>
    <s v="No"/>
    <s v="No"/>
    <n v="11"/>
    <n v="3"/>
    <n v="3"/>
    <n v="80"/>
    <n v="0"/>
    <n v="6"/>
    <s v="6-15"/>
    <n v="5"/>
    <n v="2"/>
    <n v="6"/>
    <n v="2"/>
    <n v="1"/>
    <n v="4"/>
  </r>
  <r>
    <n v="29"/>
    <x v="0"/>
    <s v="Yes"/>
    <s v="Travel_Rarely"/>
    <n v="428"/>
    <x v="0"/>
    <n v="9"/>
    <n v="3"/>
    <s v="Marketing"/>
    <n v="1"/>
    <n v="1752"/>
    <n v="2"/>
    <s v="Female"/>
    <n v="52"/>
    <n v="1"/>
    <x v="1"/>
    <x v="6"/>
    <n v="2"/>
    <s v="Single"/>
    <n v="2760"/>
    <n v="14630"/>
    <n v="1"/>
    <s v="Y"/>
    <s v="No"/>
    <s v="No"/>
    <n v="13"/>
    <n v="3"/>
    <n v="3"/>
    <n v="80"/>
    <n v="0"/>
    <n v="2"/>
    <s v="0-5"/>
    <n v="3"/>
    <n v="3"/>
    <n v="2"/>
    <n v="2"/>
    <n v="2"/>
    <n v="2"/>
  </r>
  <r>
    <n v="29"/>
    <x v="1"/>
    <s v="No"/>
    <s v="Travel_Frequently"/>
    <n v="461"/>
    <x v="1"/>
    <n v="1"/>
    <n v="3"/>
    <s v="Life Sciences"/>
    <n v="1"/>
    <n v="1753"/>
    <n v="4"/>
    <s v="Male"/>
    <n v="70"/>
    <n v="4"/>
    <x v="0"/>
    <x v="4"/>
    <n v="3"/>
    <s v="Single"/>
    <n v="6294"/>
    <n v="23060"/>
    <n v="8"/>
    <s v="Y"/>
    <s v="Yes"/>
    <s v="Yes"/>
    <n v="12"/>
    <n v="3"/>
    <n v="4"/>
    <n v="80"/>
    <n v="0"/>
    <n v="10"/>
    <s v="6-15"/>
    <n v="5"/>
    <n v="4"/>
    <n v="3"/>
    <n v="2"/>
    <n v="0"/>
    <n v="2"/>
  </r>
  <r>
    <n v="30"/>
    <x v="1"/>
    <s v="No"/>
    <s v="Travel_Rarely"/>
    <n v="979"/>
    <x v="0"/>
    <n v="15"/>
    <n v="2"/>
    <s v="Marketing"/>
    <n v="1"/>
    <n v="1754"/>
    <n v="3"/>
    <s v="Male"/>
    <n v="94"/>
    <n v="2"/>
    <x v="2"/>
    <x v="0"/>
    <n v="1"/>
    <s v="Divorced"/>
    <n v="7140"/>
    <n v="3088"/>
    <n v="2"/>
    <s v="Y"/>
    <s v="No"/>
    <s v="No"/>
    <n v="11"/>
    <n v="3"/>
    <n v="1"/>
    <n v="80"/>
    <n v="1"/>
    <n v="12"/>
    <s v="6-15"/>
    <n v="2"/>
    <n v="3"/>
    <n v="7"/>
    <n v="7"/>
    <n v="1"/>
    <n v="7"/>
  </r>
  <r>
    <n v="34"/>
    <x v="1"/>
    <s v="No"/>
    <s v="Travel_Rarely"/>
    <n v="181"/>
    <x v="1"/>
    <n v="2"/>
    <n v="4"/>
    <s v="Medical"/>
    <n v="1"/>
    <n v="1755"/>
    <n v="4"/>
    <s v="Male"/>
    <n v="97"/>
    <n v="4"/>
    <x v="1"/>
    <x v="1"/>
    <n v="4"/>
    <s v="Married"/>
    <n v="2932"/>
    <n v="5586"/>
    <n v="0"/>
    <s v="Y"/>
    <s v="Yes"/>
    <s v="Yes"/>
    <n v="14"/>
    <n v="3"/>
    <n v="1"/>
    <n v="80"/>
    <n v="3"/>
    <n v="6"/>
    <s v="6-15"/>
    <n v="3"/>
    <n v="3"/>
    <n v="5"/>
    <n v="0"/>
    <n v="1"/>
    <n v="2"/>
  </r>
  <r>
    <n v="33"/>
    <x v="1"/>
    <s v="No"/>
    <s v="Non-Travel"/>
    <n v="1283"/>
    <x v="0"/>
    <n v="2"/>
    <n v="3"/>
    <s v="Marketing"/>
    <n v="1"/>
    <n v="1756"/>
    <n v="4"/>
    <s v="Female"/>
    <n v="62"/>
    <n v="3"/>
    <x v="0"/>
    <x v="0"/>
    <n v="2"/>
    <s v="Single"/>
    <n v="5147"/>
    <n v="10697"/>
    <n v="8"/>
    <s v="Y"/>
    <s v="No"/>
    <s v="No"/>
    <n v="15"/>
    <n v="3"/>
    <n v="4"/>
    <n v="80"/>
    <n v="0"/>
    <n v="13"/>
    <s v="6-15"/>
    <n v="2"/>
    <n v="2"/>
    <n v="11"/>
    <n v="7"/>
    <n v="1"/>
    <n v="7"/>
  </r>
  <r>
    <n v="49"/>
    <x v="1"/>
    <s v="No"/>
    <s v="Travel_Rarely"/>
    <n v="1313"/>
    <x v="0"/>
    <n v="11"/>
    <n v="4"/>
    <s v="Marketing"/>
    <n v="1"/>
    <n v="1757"/>
    <n v="4"/>
    <s v="Female"/>
    <n v="80"/>
    <n v="3"/>
    <x v="0"/>
    <x v="0"/>
    <n v="4"/>
    <s v="Single"/>
    <n v="4507"/>
    <n v="8191"/>
    <n v="3"/>
    <s v="Y"/>
    <s v="No"/>
    <s v="No"/>
    <n v="12"/>
    <n v="3"/>
    <n v="3"/>
    <n v="80"/>
    <n v="0"/>
    <n v="8"/>
    <s v="6-15"/>
    <n v="1"/>
    <n v="4"/>
    <n v="5"/>
    <n v="1"/>
    <n v="0"/>
    <n v="4"/>
  </r>
  <r>
    <n v="33"/>
    <x v="0"/>
    <s v="Yes"/>
    <s v="Travel_Rarely"/>
    <n v="211"/>
    <x v="0"/>
    <n v="16"/>
    <n v="3"/>
    <s v="Life Sciences"/>
    <n v="1"/>
    <n v="1758"/>
    <n v="1"/>
    <s v="Female"/>
    <n v="74"/>
    <n v="3"/>
    <x v="2"/>
    <x v="0"/>
    <n v="1"/>
    <s v="Single"/>
    <n v="8564"/>
    <n v="10092"/>
    <n v="2"/>
    <s v="Y"/>
    <s v="Yes"/>
    <s v="Yes"/>
    <n v="20"/>
    <n v="4"/>
    <n v="3"/>
    <n v="80"/>
    <n v="0"/>
    <n v="11"/>
    <s v="6-15"/>
    <n v="2"/>
    <n v="2"/>
    <n v="0"/>
    <n v="0"/>
    <n v="0"/>
    <n v="0"/>
  </r>
  <r>
    <n v="38"/>
    <x v="1"/>
    <s v="No"/>
    <s v="Travel_Frequently"/>
    <n v="594"/>
    <x v="1"/>
    <n v="2"/>
    <n v="2"/>
    <s v="Medical"/>
    <n v="1"/>
    <n v="1760"/>
    <n v="3"/>
    <s v="Female"/>
    <n v="75"/>
    <n v="2"/>
    <x v="1"/>
    <x v="2"/>
    <n v="2"/>
    <s v="Married"/>
    <n v="2468"/>
    <n v="15963"/>
    <n v="4"/>
    <s v="Y"/>
    <s v="No"/>
    <s v="No"/>
    <n v="14"/>
    <n v="3"/>
    <n v="2"/>
    <n v="80"/>
    <n v="1"/>
    <n v="9"/>
    <s v="6-15"/>
    <n v="4"/>
    <n v="2"/>
    <n v="6"/>
    <n v="1"/>
    <n v="0"/>
    <n v="5"/>
  </r>
  <r>
    <n v="31"/>
    <x v="0"/>
    <s v="Yes"/>
    <s v="Travel_Rarely"/>
    <n v="1079"/>
    <x v="0"/>
    <n v="16"/>
    <n v="4"/>
    <s v="Marketing"/>
    <n v="1"/>
    <n v="1761"/>
    <n v="1"/>
    <s v="Male"/>
    <n v="70"/>
    <n v="3"/>
    <x v="2"/>
    <x v="0"/>
    <n v="3"/>
    <s v="Married"/>
    <n v="8161"/>
    <n v="19002"/>
    <n v="2"/>
    <s v="Y"/>
    <s v="No"/>
    <s v="No"/>
    <n v="13"/>
    <n v="3"/>
    <n v="1"/>
    <n v="80"/>
    <n v="3"/>
    <n v="10"/>
    <s v="6-15"/>
    <n v="2"/>
    <n v="3"/>
    <n v="1"/>
    <n v="0"/>
    <n v="0"/>
    <n v="0"/>
  </r>
  <r>
    <n v="29"/>
    <x v="1"/>
    <s v="No"/>
    <s v="Travel_Rarely"/>
    <n v="590"/>
    <x v="1"/>
    <n v="4"/>
    <n v="3"/>
    <s v="Technical Degree"/>
    <n v="1"/>
    <n v="1762"/>
    <n v="4"/>
    <s v="Female"/>
    <n v="91"/>
    <n v="2"/>
    <x v="1"/>
    <x v="1"/>
    <n v="1"/>
    <s v="Divorced"/>
    <n v="2109"/>
    <n v="10007"/>
    <n v="1"/>
    <s v="Y"/>
    <s v="No"/>
    <s v="No"/>
    <n v="13"/>
    <n v="3"/>
    <n v="3"/>
    <n v="80"/>
    <n v="1"/>
    <n v="1"/>
    <s v="0-5"/>
    <n v="2"/>
    <n v="3"/>
    <n v="1"/>
    <n v="0"/>
    <n v="0"/>
    <n v="0"/>
  </r>
  <r>
    <n v="30"/>
    <x v="1"/>
    <s v="No"/>
    <s v="Travel_Rarely"/>
    <n v="305"/>
    <x v="1"/>
    <n v="16"/>
    <n v="3"/>
    <s v="Life Sciences"/>
    <n v="1"/>
    <n v="1763"/>
    <n v="3"/>
    <s v="Male"/>
    <n v="58"/>
    <n v="4"/>
    <x v="0"/>
    <x v="4"/>
    <n v="3"/>
    <s v="Married"/>
    <n v="5294"/>
    <n v="9128"/>
    <n v="3"/>
    <s v="Y"/>
    <s v="No"/>
    <s v="No"/>
    <n v="16"/>
    <n v="3"/>
    <n v="3"/>
    <n v="80"/>
    <n v="1"/>
    <n v="10"/>
    <s v="6-15"/>
    <n v="3"/>
    <n v="3"/>
    <n v="7"/>
    <n v="0"/>
    <n v="1"/>
    <n v="7"/>
  </r>
  <r>
    <n v="32"/>
    <x v="1"/>
    <s v="No"/>
    <s v="Non-Travel"/>
    <n v="953"/>
    <x v="1"/>
    <n v="5"/>
    <n v="4"/>
    <s v="Technical Degree"/>
    <n v="1"/>
    <n v="1764"/>
    <n v="2"/>
    <s v="Male"/>
    <n v="65"/>
    <n v="3"/>
    <x v="1"/>
    <x v="1"/>
    <n v="2"/>
    <s v="Single"/>
    <n v="2718"/>
    <n v="17674"/>
    <n v="2"/>
    <s v="Y"/>
    <s v="No"/>
    <s v="No"/>
    <n v="14"/>
    <n v="3"/>
    <n v="2"/>
    <n v="80"/>
    <n v="0"/>
    <n v="12"/>
    <s v="6-15"/>
    <n v="3"/>
    <n v="3"/>
    <n v="7"/>
    <n v="7"/>
    <n v="0"/>
    <n v="7"/>
  </r>
  <r>
    <n v="38"/>
    <x v="1"/>
    <s v="No"/>
    <s v="Travel_Rarely"/>
    <n v="833"/>
    <x v="1"/>
    <n v="18"/>
    <n v="3"/>
    <s v="Medical"/>
    <n v="1"/>
    <n v="1766"/>
    <n v="2"/>
    <s v="Male"/>
    <n v="60"/>
    <n v="1"/>
    <x v="0"/>
    <x v="4"/>
    <n v="4"/>
    <s v="Married"/>
    <n v="5811"/>
    <n v="24539"/>
    <n v="3"/>
    <s v="Y"/>
    <s v="Yes"/>
    <s v="Yes"/>
    <n v="16"/>
    <n v="3"/>
    <n v="3"/>
    <n v="80"/>
    <n v="1"/>
    <n v="15"/>
    <s v="6-15"/>
    <n v="2"/>
    <n v="3"/>
    <n v="1"/>
    <n v="0"/>
    <n v="1"/>
    <n v="0"/>
  </r>
  <r>
    <n v="43"/>
    <x v="0"/>
    <s v="Yes"/>
    <s v="Travel_Frequently"/>
    <n v="807"/>
    <x v="1"/>
    <n v="17"/>
    <n v="3"/>
    <s v="Technical Degree"/>
    <n v="1"/>
    <n v="1767"/>
    <n v="3"/>
    <s v="Male"/>
    <n v="38"/>
    <n v="2"/>
    <x v="1"/>
    <x v="1"/>
    <n v="3"/>
    <s v="Married"/>
    <n v="2437"/>
    <n v="15587"/>
    <n v="9"/>
    <s v="Y"/>
    <s v="Yes"/>
    <s v="Yes"/>
    <n v="16"/>
    <n v="3"/>
    <n v="4"/>
    <n v="80"/>
    <n v="1"/>
    <n v="6"/>
    <s v="6-15"/>
    <n v="4"/>
    <n v="3"/>
    <n v="1"/>
    <n v="0"/>
    <n v="0"/>
    <n v="0"/>
  </r>
  <r>
    <n v="42"/>
    <x v="1"/>
    <s v="No"/>
    <s v="Travel_Rarely"/>
    <n v="855"/>
    <x v="1"/>
    <n v="12"/>
    <n v="3"/>
    <s v="Medical"/>
    <n v="1"/>
    <n v="1768"/>
    <n v="2"/>
    <s v="Male"/>
    <n v="57"/>
    <n v="3"/>
    <x v="1"/>
    <x v="2"/>
    <n v="2"/>
    <s v="Divorced"/>
    <n v="2766"/>
    <n v="8952"/>
    <n v="8"/>
    <s v="Y"/>
    <s v="No"/>
    <s v="No"/>
    <n v="22"/>
    <n v="4"/>
    <n v="2"/>
    <n v="80"/>
    <n v="3"/>
    <n v="7"/>
    <s v="6-15"/>
    <n v="6"/>
    <n v="2"/>
    <n v="5"/>
    <n v="3"/>
    <n v="0"/>
    <n v="4"/>
  </r>
  <r>
    <n v="55"/>
    <x v="1"/>
    <s v="No"/>
    <s v="Travel_Rarely"/>
    <n v="478"/>
    <x v="1"/>
    <n v="2"/>
    <n v="3"/>
    <s v="Medical"/>
    <n v="1"/>
    <n v="1770"/>
    <n v="3"/>
    <s v="Male"/>
    <n v="60"/>
    <n v="2"/>
    <x v="4"/>
    <x v="7"/>
    <n v="1"/>
    <s v="Married"/>
    <n v="19038"/>
    <n v="19805"/>
    <n v="8"/>
    <s v="Y"/>
    <s v="No"/>
    <s v="No"/>
    <n v="12"/>
    <n v="3"/>
    <n v="2"/>
    <n v="80"/>
    <n v="3"/>
    <n v="34"/>
    <s v="&gt;15"/>
    <n v="2"/>
    <n v="3"/>
    <n v="1"/>
    <n v="0"/>
    <n v="0"/>
    <n v="0"/>
  </r>
  <r>
    <n v="33"/>
    <x v="1"/>
    <s v="No"/>
    <s v="Non-Travel"/>
    <n v="775"/>
    <x v="1"/>
    <n v="4"/>
    <n v="3"/>
    <s v="Technical Degree"/>
    <n v="1"/>
    <n v="1771"/>
    <n v="4"/>
    <s v="Male"/>
    <n v="90"/>
    <n v="3"/>
    <x v="0"/>
    <x v="1"/>
    <n v="2"/>
    <s v="Divorced"/>
    <n v="3055"/>
    <n v="6194"/>
    <n v="5"/>
    <s v="Y"/>
    <s v="No"/>
    <s v="No"/>
    <n v="15"/>
    <n v="3"/>
    <n v="4"/>
    <n v="80"/>
    <n v="2"/>
    <n v="11"/>
    <s v="6-15"/>
    <n v="2"/>
    <n v="2"/>
    <n v="9"/>
    <n v="8"/>
    <n v="1"/>
    <n v="7"/>
  </r>
  <r>
    <n v="41"/>
    <x v="1"/>
    <s v="No"/>
    <s v="Travel_Rarely"/>
    <n v="548"/>
    <x v="1"/>
    <n v="9"/>
    <n v="4"/>
    <s v="Life Sciences"/>
    <n v="1"/>
    <n v="1772"/>
    <n v="3"/>
    <s v="Male"/>
    <n v="94"/>
    <n v="3"/>
    <x v="1"/>
    <x v="2"/>
    <n v="1"/>
    <s v="Divorced"/>
    <n v="2289"/>
    <n v="20520"/>
    <n v="1"/>
    <s v="Y"/>
    <s v="No"/>
    <s v="No"/>
    <n v="20"/>
    <n v="4"/>
    <n v="2"/>
    <n v="80"/>
    <n v="2"/>
    <n v="5"/>
    <s v="0-5"/>
    <n v="2"/>
    <n v="3"/>
    <n v="5"/>
    <n v="3"/>
    <n v="0"/>
    <n v="4"/>
  </r>
  <r>
    <n v="34"/>
    <x v="1"/>
    <s v="No"/>
    <s v="Non-Travel"/>
    <n v="1375"/>
    <x v="0"/>
    <n v="10"/>
    <n v="3"/>
    <s v="Life Sciences"/>
    <n v="1"/>
    <n v="1774"/>
    <n v="4"/>
    <s v="Male"/>
    <n v="87"/>
    <n v="3"/>
    <x v="0"/>
    <x v="0"/>
    <n v="3"/>
    <s v="Divorced"/>
    <n v="4001"/>
    <n v="12313"/>
    <n v="1"/>
    <s v="Y"/>
    <s v="Yes"/>
    <s v="Yes"/>
    <n v="14"/>
    <n v="3"/>
    <n v="3"/>
    <n v="80"/>
    <n v="1"/>
    <n v="15"/>
    <s v="6-15"/>
    <n v="3"/>
    <n v="3"/>
    <n v="15"/>
    <n v="14"/>
    <n v="0"/>
    <n v="7"/>
  </r>
  <r>
    <n v="53"/>
    <x v="1"/>
    <s v="No"/>
    <s v="Non-Travel"/>
    <n v="661"/>
    <x v="1"/>
    <n v="1"/>
    <n v="4"/>
    <s v="Medical"/>
    <n v="1"/>
    <n v="1775"/>
    <n v="1"/>
    <s v="Female"/>
    <n v="60"/>
    <n v="2"/>
    <x v="3"/>
    <x v="3"/>
    <n v="3"/>
    <s v="Married"/>
    <n v="12965"/>
    <n v="22308"/>
    <n v="4"/>
    <s v="Y"/>
    <s v="Yes"/>
    <s v="Yes"/>
    <n v="20"/>
    <n v="4"/>
    <n v="4"/>
    <n v="80"/>
    <n v="3"/>
    <n v="27"/>
    <s v="&gt;15"/>
    <n v="2"/>
    <n v="2"/>
    <n v="3"/>
    <n v="2"/>
    <n v="0"/>
    <n v="2"/>
  </r>
  <r>
    <n v="43"/>
    <x v="1"/>
    <s v="No"/>
    <s v="Travel_Rarely"/>
    <n v="244"/>
    <x v="2"/>
    <n v="2"/>
    <n v="3"/>
    <s v="Life Sciences"/>
    <n v="1"/>
    <n v="1778"/>
    <n v="2"/>
    <s v="Male"/>
    <n v="97"/>
    <n v="3"/>
    <x v="1"/>
    <x v="8"/>
    <n v="4"/>
    <s v="Single"/>
    <n v="3539"/>
    <n v="5033"/>
    <n v="0"/>
    <s v="Y"/>
    <s v="No"/>
    <s v="No"/>
    <n v="13"/>
    <n v="3"/>
    <n v="2"/>
    <n v="80"/>
    <n v="0"/>
    <n v="10"/>
    <s v="6-15"/>
    <n v="5"/>
    <n v="3"/>
    <n v="9"/>
    <n v="7"/>
    <n v="1"/>
    <n v="8"/>
  </r>
  <r>
    <n v="34"/>
    <x v="1"/>
    <s v="No"/>
    <s v="Travel_Rarely"/>
    <n v="511"/>
    <x v="0"/>
    <n v="3"/>
    <n v="2"/>
    <s v="Life Sciences"/>
    <n v="1"/>
    <n v="1779"/>
    <n v="4"/>
    <s v="Female"/>
    <n v="32"/>
    <n v="1"/>
    <x v="0"/>
    <x v="0"/>
    <n v="4"/>
    <s v="Single"/>
    <n v="6029"/>
    <n v="25353"/>
    <n v="5"/>
    <s v="Y"/>
    <s v="No"/>
    <s v="No"/>
    <n v="12"/>
    <n v="3"/>
    <n v="1"/>
    <n v="80"/>
    <n v="0"/>
    <n v="6"/>
    <s v="6-15"/>
    <n v="3"/>
    <n v="3"/>
    <n v="2"/>
    <n v="2"/>
    <n v="2"/>
    <n v="2"/>
  </r>
  <r>
    <n v="21"/>
    <x v="0"/>
    <s v="Yes"/>
    <s v="Travel_Rarely"/>
    <n v="337"/>
    <x v="0"/>
    <n v="7"/>
    <n v="1"/>
    <s v="Marketing"/>
    <n v="1"/>
    <n v="1780"/>
    <n v="2"/>
    <s v="Male"/>
    <n v="31"/>
    <n v="3"/>
    <x v="1"/>
    <x v="6"/>
    <n v="2"/>
    <s v="Single"/>
    <n v="2679"/>
    <n v="4567"/>
    <n v="1"/>
    <s v="Y"/>
    <s v="No"/>
    <s v="No"/>
    <n v="13"/>
    <n v="3"/>
    <n v="2"/>
    <n v="80"/>
    <n v="0"/>
    <n v="1"/>
    <s v="0-5"/>
    <n v="3"/>
    <n v="3"/>
    <n v="1"/>
    <n v="0"/>
    <n v="1"/>
    <n v="0"/>
  </r>
  <r>
    <n v="38"/>
    <x v="1"/>
    <s v="No"/>
    <s v="Travel_Rarely"/>
    <n v="1153"/>
    <x v="1"/>
    <n v="6"/>
    <n v="2"/>
    <s v="Other"/>
    <n v="1"/>
    <n v="1782"/>
    <n v="4"/>
    <s v="Female"/>
    <n v="40"/>
    <n v="2"/>
    <x v="1"/>
    <x v="2"/>
    <n v="3"/>
    <s v="Married"/>
    <n v="3702"/>
    <n v="16376"/>
    <n v="1"/>
    <s v="Y"/>
    <s v="No"/>
    <s v="No"/>
    <n v="11"/>
    <n v="3"/>
    <n v="2"/>
    <n v="80"/>
    <n v="1"/>
    <n v="5"/>
    <s v="0-5"/>
    <n v="3"/>
    <n v="3"/>
    <n v="5"/>
    <n v="4"/>
    <n v="0"/>
    <n v="4"/>
  </r>
  <r>
    <n v="22"/>
    <x v="0"/>
    <s v="Yes"/>
    <s v="Travel_Rarely"/>
    <n v="1294"/>
    <x v="1"/>
    <n v="8"/>
    <n v="1"/>
    <s v="Medical"/>
    <n v="1"/>
    <n v="1783"/>
    <n v="3"/>
    <s v="Female"/>
    <n v="79"/>
    <n v="3"/>
    <x v="1"/>
    <x v="2"/>
    <n v="1"/>
    <s v="Married"/>
    <n v="2398"/>
    <n v="15999"/>
    <n v="1"/>
    <s v="Y"/>
    <s v="Yes"/>
    <s v="Yes"/>
    <n v="17"/>
    <n v="3"/>
    <n v="3"/>
    <n v="80"/>
    <n v="0"/>
    <n v="1"/>
    <s v="0-5"/>
    <n v="6"/>
    <n v="3"/>
    <n v="1"/>
    <n v="0"/>
    <n v="0"/>
    <n v="0"/>
  </r>
  <r>
    <n v="31"/>
    <x v="1"/>
    <s v="No"/>
    <s v="Travel_Rarely"/>
    <n v="196"/>
    <x v="0"/>
    <n v="29"/>
    <n v="4"/>
    <s v="Marketing"/>
    <n v="1"/>
    <n v="1784"/>
    <n v="1"/>
    <s v="Female"/>
    <n v="91"/>
    <n v="2"/>
    <x v="0"/>
    <x v="0"/>
    <n v="4"/>
    <s v="Married"/>
    <n v="5468"/>
    <n v="13402"/>
    <n v="1"/>
    <s v="Y"/>
    <s v="No"/>
    <s v="No"/>
    <n v="14"/>
    <n v="3"/>
    <n v="1"/>
    <n v="80"/>
    <n v="2"/>
    <n v="13"/>
    <s v="6-15"/>
    <n v="3"/>
    <n v="3"/>
    <n v="12"/>
    <n v="7"/>
    <n v="5"/>
    <n v="7"/>
  </r>
  <r>
    <n v="51"/>
    <x v="1"/>
    <s v="No"/>
    <s v="Travel_Rarely"/>
    <n v="942"/>
    <x v="1"/>
    <n v="3"/>
    <n v="3"/>
    <s v="Technical Degree"/>
    <n v="1"/>
    <n v="1786"/>
    <n v="1"/>
    <s v="Female"/>
    <n v="53"/>
    <n v="3"/>
    <x v="2"/>
    <x v="5"/>
    <n v="3"/>
    <s v="Married"/>
    <n v="13116"/>
    <n v="22984"/>
    <n v="2"/>
    <s v="Y"/>
    <s v="No"/>
    <s v="No"/>
    <n v="11"/>
    <n v="3"/>
    <n v="4"/>
    <n v="80"/>
    <n v="0"/>
    <n v="15"/>
    <s v="6-15"/>
    <n v="2"/>
    <n v="3"/>
    <n v="2"/>
    <n v="2"/>
    <n v="2"/>
    <n v="2"/>
  </r>
  <r>
    <n v="37"/>
    <x v="1"/>
    <s v="No"/>
    <s v="Travel_Rarely"/>
    <n v="589"/>
    <x v="0"/>
    <n v="9"/>
    <n v="2"/>
    <s v="Marketing"/>
    <n v="1"/>
    <n v="1787"/>
    <n v="2"/>
    <s v="Male"/>
    <n v="46"/>
    <n v="2"/>
    <x v="0"/>
    <x v="0"/>
    <n v="2"/>
    <s v="Married"/>
    <n v="4189"/>
    <n v="8800"/>
    <n v="1"/>
    <s v="Y"/>
    <s v="No"/>
    <s v="No"/>
    <n v="14"/>
    <n v="3"/>
    <n v="1"/>
    <n v="80"/>
    <n v="2"/>
    <n v="5"/>
    <s v="0-5"/>
    <n v="2"/>
    <n v="3"/>
    <n v="5"/>
    <n v="2"/>
    <n v="0"/>
    <n v="3"/>
  </r>
  <r>
    <n v="46"/>
    <x v="1"/>
    <s v="No"/>
    <s v="Travel_Rarely"/>
    <n v="734"/>
    <x v="1"/>
    <n v="2"/>
    <n v="4"/>
    <s v="Medical"/>
    <n v="1"/>
    <n v="1789"/>
    <n v="3"/>
    <s v="Male"/>
    <n v="46"/>
    <n v="3"/>
    <x v="4"/>
    <x v="7"/>
    <n v="4"/>
    <s v="Divorced"/>
    <n v="19328"/>
    <n v="14218"/>
    <n v="7"/>
    <s v="Y"/>
    <s v="Yes"/>
    <s v="Yes"/>
    <n v="17"/>
    <n v="3"/>
    <n v="3"/>
    <n v="80"/>
    <n v="1"/>
    <n v="24"/>
    <s v="&gt;15"/>
    <n v="3"/>
    <n v="3"/>
    <n v="2"/>
    <n v="1"/>
    <n v="2"/>
    <n v="2"/>
  </r>
  <r>
    <n v="36"/>
    <x v="1"/>
    <s v="No"/>
    <s v="Travel_Rarely"/>
    <n v="1383"/>
    <x v="1"/>
    <n v="10"/>
    <n v="3"/>
    <s v="Life Sciences"/>
    <n v="1"/>
    <n v="1790"/>
    <n v="4"/>
    <s v="Male"/>
    <n v="90"/>
    <n v="3"/>
    <x v="2"/>
    <x v="4"/>
    <n v="1"/>
    <s v="Married"/>
    <n v="8321"/>
    <n v="25949"/>
    <n v="7"/>
    <s v="Y"/>
    <s v="Yes"/>
    <s v="Yes"/>
    <n v="13"/>
    <n v="3"/>
    <n v="4"/>
    <n v="80"/>
    <n v="1"/>
    <n v="15"/>
    <s v="6-15"/>
    <n v="1"/>
    <n v="3"/>
    <n v="12"/>
    <n v="8"/>
    <n v="5"/>
    <n v="7"/>
  </r>
  <r>
    <n v="44"/>
    <x v="0"/>
    <s v="Yes"/>
    <s v="Travel_Frequently"/>
    <n v="429"/>
    <x v="1"/>
    <n v="1"/>
    <n v="2"/>
    <s v="Medical"/>
    <n v="1"/>
    <n v="1792"/>
    <n v="3"/>
    <s v="Male"/>
    <n v="99"/>
    <n v="3"/>
    <x v="1"/>
    <x v="1"/>
    <n v="2"/>
    <s v="Divorced"/>
    <n v="2342"/>
    <n v="11092"/>
    <n v="1"/>
    <s v="Y"/>
    <s v="Yes"/>
    <s v="Yes"/>
    <n v="12"/>
    <n v="3"/>
    <n v="3"/>
    <n v="80"/>
    <n v="3"/>
    <n v="6"/>
    <s v="6-15"/>
    <n v="2"/>
    <n v="2"/>
    <n v="5"/>
    <n v="3"/>
    <n v="2"/>
    <n v="3"/>
  </r>
  <r>
    <n v="37"/>
    <x v="1"/>
    <s v="No"/>
    <s v="Travel_Rarely"/>
    <n v="1239"/>
    <x v="2"/>
    <n v="8"/>
    <n v="2"/>
    <s v="Other"/>
    <n v="1"/>
    <n v="1794"/>
    <n v="3"/>
    <s v="Male"/>
    <n v="89"/>
    <n v="3"/>
    <x v="0"/>
    <x v="8"/>
    <n v="2"/>
    <s v="Divorced"/>
    <n v="4071"/>
    <n v="12832"/>
    <n v="2"/>
    <s v="Y"/>
    <s v="No"/>
    <s v="No"/>
    <n v="13"/>
    <n v="3"/>
    <n v="3"/>
    <n v="80"/>
    <n v="0"/>
    <n v="19"/>
    <s v="&gt;15"/>
    <n v="4"/>
    <n v="2"/>
    <n v="10"/>
    <n v="0"/>
    <n v="4"/>
    <n v="7"/>
  </r>
  <r>
    <n v="35"/>
    <x v="0"/>
    <s v="Yes"/>
    <s v="Travel_Rarely"/>
    <n v="303"/>
    <x v="0"/>
    <n v="27"/>
    <n v="3"/>
    <s v="Life Sciences"/>
    <n v="1"/>
    <n v="1797"/>
    <n v="3"/>
    <s v="Male"/>
    <n v="84"/>
    <n v="3"/>
    <x v="0"/>
    <x v="0"/>
    <n v="4"/>
    <s v="Single"/>
    <n v="5813"/>
    <n v="13492"/>
    <n v="1"/>
    <s v="Y"/>
    <s v="Yes"/>
    <s v="Yes"/>
    <n v="18"/>
    <n v="3"/>
    <n v="4"/>
    <n v="80"/>
    <n v="0"/>
    <n v="10"/>
    <s v="6-15"/>
    <n v="2"/>
    <n v="3"/>
    <n v="10"/>
    <n v="7"/>
    <n v="7"/>
    <n v="7"/>
  </r>
  <r>
    <n v="33"/>
    <x v="1"/>
    <s v="No"/>
    <s v="Travel_Rarely"/>
    <n v="867"/>
    <x v="1"/>
    <n v="8"/>
    <n v="4"/>
    <s v="Life Sciences"/>
    <n v="1"/>
    <n v="1798"/>
    <n v="4"/>
    <s v="Male"/>
    <n v="90"/>
    <n v="4"/>
    <x v="1"/>
    <x v="1"/>
    <n v="1"/>
    <s v="Married"/>
    <n v="3143"/>
    <n v="6076"/>
    <n v="6"/>
    <s v="Y"/>
    <s v="No"/>
    <s v="No"/>
    <n v="19"/>
    <n v="3"/>
    <n v="2"/>
    <n v="80"/>
    <n v="1"/>
    <n v="14"/>
    <s v="6-15"/>
    <n v="1"/>
    <n v="3"/>
    <n v="10"/>
    <n v="8"/>
    <n v="7"/>
    <n v="6"/>
  </r>
  <r>
    <n v="28"/>
    <x v="1"/>
    <s v="No"/>
    <s v="Travel_Rarely"/>
    <n v="1181"/>
    <x v="1"/>
    <n v="1"/>
    <n v="3"/>
    <s v="Life Sciences"/>
    <n v="1"/>
    <n v="1799"/>
    <n v="3"/>
    <s v="Male"/>
    <n v="82"/>
    <n v="3"/>
    <x v="1"/>
    <x v="1"/>
    <n v="4"/>
    <s v="Married"/>
    <n v="2044"/>
    <n v="5531"/>
    <n v="1"/>
    <s v="Y"/>
    <s v="No"/>
    <s v="No"/>
    <n v="11"/>
    <n v="3"/>
    <n v="3"/>
    <n v="80"/>
    <n v="1"/>
    <n v="5"/>
    <s v="0-5"/>
    <n v="6"/>
    <n v="4"/>
    <n v="5"/>
    <n v="3"/>
    <n v="0"/>
    <n v="3"/>
  </r>
  <r>
    <n v="39"/>
    <x v="1"/>
    <s v="No"/>
    <s v="Travel_Rarely"/>
    <n v="1253"/>
    <x v="1"/>
    <n v="10"/>
    <n v="1"/>
    <s v="Medical"/>
    <n v="1"/>
    <n v="1800"/>
    <n v="3"/>
    <s v="Male"/>
    <n v="65"/>
    <n v="3"/>
    <x v="2"/>
    <x v="7"/>
    <n v="3"/>
    <s v="Single"/>
    <n v="13464"/>
    <n v="7914"/>
    <n v="7"/>
    <s v="Y"/>
    <s v="No"/>
    <s v="No"/>
    <n v="21"/>
    <n v="4"/>
    <n v="3"/>
    <n v="80"/>
    <n v="0"/>
    <n v="9"/>
    <s v="6-15"/>
    <n v="3"/>
    <n v="3"/>
    <n v="4"/>
    <n v="3"/>
    <n v="2"/>
    <n v="2"/>
  </r>
  <r>
    <n v="46"/>
    <x v="1"/>
    <s v="No"/>
    <s v="Non-Travel"/>
    <n v="849"/>
    <x v="0"/>
    <n v="26"/>
    <n v="2"/>
    <s v="Life Sciences"/>
    <n v="1"/>
    <n v="1801"/>
    <n v="2"/>
    <s v="Male"/>
    <n v="98"/>
    <n v="2"/>
    <x v="0"/>
    <x v="0"/>
    <n v="2"/>
    <s v="Single"/>
    <n v="7991"/>
    <n v="25166"/>
    <n v="8"/>
    <s v="Y"/>
    <s v="No"/>
    <s v="No"/>
    <n v="15"/>
    <n v="3"/>
    <n v="3"/>
    <n v="80"/>
    <n v="0"/>
    <n v="6"/>
    <s v="6-15"/>
    <n v="3"/>
    <n v="3"/>
    <n v="2"/>
    <n v="2"/>
    <n v="2"/>
    <n v="2"/>
  </r>
  <r>
    <n v="40"/>
    <x v="1"/>
    <s v="No"/>
    <s v="Travel_Rarely"/>
    <n v="616"/>
    <x v="1"/>
    <n v="2"/>
    <n v="2"/>
    <s v="Life Sciences"/>
    <n v="1"/>
    <n v="1802"/>
    <n v="3"/>
    <s v="Female"/>
    <n v="99"/>
    <n v="3"/>
    <x v="1"/>
    <x v="2"/>
    <n v="1"/>
    <s v="Married"/>
    <n v="3377"/>
    <n v="25605"/>
    <n v="4"/>
    <s v="Y"/>
    <s v="No"/>
    <s v="No"/>
    <n v="17"/>
    <n v="3"/>
    <n v="4"/>
    <n v="80"/>
    <n v="1"/>
    <n v="7"/>
    <s v="6-15"/>
    <n v="5"/>
    <n v="2"/>
    <n v="4"/>
    <n v="3"/>
    <n v="0"/>
    <n v="2"/>
  </r>
  <r>
    <n v="42"/>
    <x v="1"/>
    <s v="No"/>
    <s v="Travel_Rarely"/>
    <n v="1128"/>
    <x v="1"/>
    <n v="13"/>
    <n v="3"/>
    <s v="Medical"/>
    <n v="1"/>
    <n v="1803"/>
    <n v="2"/>
    <s v="Male"/>
    <n v="95"/>
    <n v="4"/>
    <x v="0"/>
    <x v="4"/>
    <n v="1"/>
    <s v="Married"/>
    <n v="5538"/>
    <n v="5696"/>
    <n v="5"/>
    <s v="Y"/>
    <s v="No"/>
    <s v="No"/>
    <n v="18"/>
    <n v="3"/>
    <n v="3"/>
    <n v="80"/>
    <n v="2"/>
    <n v="10"/>
    <s v="6-15"/>
    <n v="2"/>
    <n v="2"/>
    <n v="0"/>
    <n v="0"/>
    <n v="0"/>
    <n v="0"/>
  </r>
  <r>
    <n v="35"/>
    <x v="1"/>
    <s v="No"/>
    <s v="Non-Travel"/>
    <n v="1180"/>
    <x v="1"/>
    <n v="2"/>
    <n v="2"/>
    <s v="Medical"/>
    <n v="1"/>
    <n v="1804"/>
    <n v="2"/>
    <s v="Male"/>
    <n v="90"/>
    <n v="3"/>
    <x v="0"/>
    <x v="3"/>
    <n v="4"/>
    <s v="Divorced"/>
    <n v="5762"/>
    <n v="24442"/>
    <n v="2"/>
    <s v="Y"/>
    <s v="No"/>
    <s v="No"/>
    <n v="14"/>
    <n v="3"/>
    <n v="3"/>
    <n v="80"/>
    <n v="1"/>
    <n v="15"/>
    <s v="6-15"/>
    <n v="6"/>
    <n v="3"/>
    <n v="7"/>
    <n v="7"/>
    <n v="1"/>
    <n v="7"/>
  </r>
  <r>
    <n v="38"/>
    <x v="1"/>
    <s v="No"/>
    <s v="Non-Travel"/>
    <n v="1336"/>
    <x v="2"/>
    <n v="2"/>
    <n v="3"/>
    <s v="Human Resources"/>
    <n v="1"/>
    <n v="1805"/>
    <n v="1"/>
    <s v="Male"/>
    <n v="100"/>
    <n v="3"/>
    <x v="1"/>
    <x v="8"/>
    <n v="2"/>
    <s v="Divorced"/>
    <n v="2592"/>
    <n v="7129"/>
    <n v="5"/>
    <s v="Y"/>
    <s v="No"/>
    <s v="No"/>
    <n v="13"/>
    <n v="3"/>
    <n v="4"/>
    <n v="80"/>
    <n v="3"/>
    <n v="13"/>
    <s v="6-15"/>
    <n v="3"/>
    <n v="3"/>
    <n v="11"/>
    <n v="10"/>
    <n v="3"/>
    <n v="8"/>
  </r>
  <r>
    <n v="34"/>
    <x v="0"/>
    <s v="Yes"/>
    <s v="Travel_Frequently"/>
    <n v="234"/>
    <x v="1"/>
    <n v="9"/>
    <n v="4"/>
    <s v="Life Sciences"/>
    <n v="1"/>
    <n v="1807"/>
    <n v="4"/>
    <s v="Male"/>
    <n v="93"/>
    <n v="3"/>
    <x v="0"/>
    <x v="2"/>
    <n v="1"/>
    <s v="Married"/>
    <n v="5346"/>
    <n v="6208"/>
    <n v="4"/>
    <s v="Y"/>
    <s v="No"/>
    <s v="No"/>
    <n v="17"/>
    <n v="3"/>
    <n v="3"/>
    <n v="80"/>
    <n v="1"/>
    <n v="11"/>
    <s v="6-15"/>
    <n v="3"/>
    <n v="2"/>
    <n v="7"/>
    <n v="1"/>
    <n v="0"/>
    <n v="7"/>
  </r>
  <r>
    <n v="37"/>
    <x v="0"/>
    <s v="Yes"/>
    <s v="Travel_Rarely"/>
    <n v="370"/>
    <x v="1"/>
    <n v="10"/>
    <n v="4"/>
    <s v="Medical"/>
    <n v="1"/>
    <n v="1809"/>
    <n v="4"/>
    <s v="Male"/>
    <n v="58"/>
    <n v="3"/>
    <x v="0"/>
    <x v="3"/>
    <n v="1"/>
    <s v="Single"/>
    <n v="4213"/>
    <n v="4992"/>
    <n v="1"/>
    <s v="Y"/>
    <s v="No"/>
    <s v="No"/>
    <n v="15"/>
    <n v="3"/>
    <n v="2"/>
    <n v="80"/>
    <n v="0"/>
    <n v="10"/>
    <s v="6-15"/>
    <n v="4"/>
    <n v="1"/>
    <n v="10"/>
    <n v="3"/>
    <n v="0"/>
    <n v="8"/>
  </r>
  <r>
    <n v="39"/>
    <x v="1"/>
    <s v="No"/>
    <s v="Travel_Frequently"/>
    <n v="766"/>
    <x v="0"/>
    <n v="20"/>
    <n v="3"/>
    <s v="Life Sciences"/>
    <n v="1"/>
    <n v="1812"/>
    <n v="3"/>
    <s v="Male"/>
    <n v="83"/>
    <n v="3"/>
    <x v="0"/>
    <x v="0"/>
    <n v="4"/>
    <s v="Divorced"/>
    <n v="4127"/>
    <n v="19188"/>
    <n v="2"/>
    <s v="Y"/>
    <s v="No"/>
    <s v="No"/>
    <n v="18"/>
    <n v="3"/>
    <n v="4"/>
    <n v="80"/>
    <n v="1"/>
    <n v="7"/>
    <s v="6-15"/>
    <n v="6"/>
    <n v="3"/>
    <n v="2"/>
    <n v="1"/>
    <n v="2"/>
    <n v="2"/>
  </r>
  <r>
    <n v="43"/>
    <x v="1"/>
    <s v="No"/>
    <s v="Non-Travel"/>
    <n v="343"/>
    <x v="1"/>
    <n v="9"/>
    <n v="3"/>
    <s v="Life Sciences"/>
    <n v="1"/>
    <n v="1813"/>
    <n v="1"/>
    <s v="Male"/>
    <n v="52"/>
    <n v="3"/>
    <x v="1"/>
    <x v="1"/>
    <n v="3"/>
    <s v="Single"/>
    <n v="2438"/>
    <n v="24978"/>
    <n v="4"/>
    <s v="Y"/>
    <s v="No"/>
    <s v="No"/>
    <n v="13"/>
    <n v="3"/>
    <n v="3"/>
    <n v="80"/>
    <n v="0"/>
    <n v="7"/>
    <s v="6-15"/>
    <n v="2"/>
    <n v="2"/>
    <n v="3"/>
    <n v="2"/>
    <n v="1"/>
    <n v="2"/>
  </r>
  <r>
    <n v="41"/>
    <x v="1"/>
    <s v="No"/>
    <s v="Travel_Rarely"/>
    <n v="447"/>
    <x v="1"/>
    <n v="5"/>
    <n v="3"/>
    <s v="Life Sciences"/>
    <n v="1"/>
    <n v="1814"/>
    <n v="2"/>
    <s v="Male"/>
    <n v="85"/>
    <n v="4"/>
    <x v="0"/>
    <x v="4"/>
    <n v="2"/>
    <s v="Single"/>
    <n v="6870"/>
    <n v="15530"/>
    <n v="3"/>
    <s v="Y"/>
    <s v="No"/>
    <s v="No"/>
    <n v="12"/>
    <n v="3"/>
    <n v="1"/>
    <n v="80"/>
    <n v="0"/>
    <n v="11"/>
    <s v="6-15"/>
    <n v="3"/>
    <n v="1"/>
    <n v="3"/>
    <n v="2"/>
    <n v="1"/>
    <n v="2"/>
  </r>
  <r>
    <n v="41"/>
    <x v="1"/>
    <s v="No"/>
    <s v="Travel_Rarely"/>
    <n v="796"/>
    <x v="0"/>
    <n v="4"/>
    <n v="1"/>
    <s v="Marketing"/>
    <n v="1"/>
    <n v="1815"/>
    <n v="3"/>
    <s v="Female"/>
    <n v="81"/>
    <n v="3"/>
    <x v="2"/>
    <x v="0"/>
    <n v="3"/>
    <s v="Divorced"/>
    <n v="10447"/>
    <n v="26458"/>
    <n v="0"/>
    <s v="Y"/>
    <s v="Yes"/>
    <s v="Yes"/>
    <n v="13"/>
    <n v="3"/>
    <n v="4"/>
    <n v="80"/>
    <n v="1"/>
    <n v="23"/>
    <s v="&gt;15"/>
    <n v="3"/>
    <n v="4"/>
    <n v="22"/>
    <n v="14"/>
    <n v="13"/>
    <n v="5"/>
  </r>
  <r>
    <n v="30"/>
    <x v="1"/>
    <s v="No"/>
    <s v="Travel_Rarely"/>
    <n v="1092"/>
    <x v="1"/>
    <n v="10"/>
    <n v="3"/>
    <s v="Medical"/>
    <n v="1"/>
    <n v="1816"/>
    <n v="1"/>
    <s v="Female"/>
    <n v="64"/>
    <n v="3"/>
    <x v="2"/>
    <x v="3"/>
    <n v="3"/>
    <s v="Single"/>
    <n v="9667"/>
    <n v="2739"/>
    <n v="9"/>
    <s v="Y"/>
    <s v="No"/>
    <s v="No"/>
    <n v="14"/>
    <n v="3"/>
    <n v="2"/>
    <n v="80"/>
    <n v="0"/>
    <n v="9"/>
    <s v="6-15"/>
    <n v="3"/>
    <n v="3"/>
    <n v="7"/>
    <n v="7"/>
    <n v="0"/>
    <n v="2"/>
  </r>
  <r>
    <n v="26"/>
    <x v="0"/>
    <s v="Yes"/>
    <s v="Travel_Rarely"/>
    <n v="920"/>
    <x v="2"/>
    <n v="20"/>
    <n v="2"/>
    <s v="Medical"/>
    <n v="1"/>
    <n v="1818"/>
    <n v="4"/>
    <s v="Female"/>
    <n v="69"/>
    <n v="3"/>
    <x v="1"/>
    <x v="8"/>
    <n v="2"/>
    <s v="Married"/>
    <n v="2148"/>
    <n v="6889"/>
    <n v="0"/>
    <s v="Y"/>
    <s v="Yes"/>
    <s v="Yes"/>
    <n v="11"/>
    <n v="3"/>
    <n v="3"/>
    <n v="80"/>
    <n v="0"/>
    <n v="6"/>
    <s v="6-15"/>
    <n v="3"/>
    <n v="3"/>
    <n v="5"/>
    <n v="1"/>
    <n v="1"/>
    <n v="4"/>
  </r>
  <r>
    <n v="46"/>
    <x v="0"/>
    <s v="Yes"/>
    <s v="Travel_Rarely"/>
    <n v="261"/>
    <x v="1"/>
    <n v="21"/>
    <n v="2"/>
    <s v="Medical"/>
    <n v="1"/>
    <n v="1821"/>
    <n v="4"/>
    <s v="Female"/>
    <n v="66"/>
    <n v="3"/>
    <x v="0"/>
    <x v="4"/>
    <n v="2"/>
    <s v="Married"/>
    <n v="8926"/>
    <n v="10842"/>
    <n v="4"/>
    <s v="Y"/>
    <s v="No"/>
    <s v="No"/>
    <n v="22"/>
    <n v="4"/>
    <n v="4"/>
    <n v="80"/>
    <n v="1"/>
    <n v="13"/>
    <s v="6-15"/>
    <n v="2"/>
    <n v="4"/>
    <n v="9"/>
    <n v="7"/>
    <n v="3"/>
    <n v="7"/>
  </r>
  <r>
    <n v="40"/>
    <x v="1"/>
    <s v="No"/>
    <s v="Travel_Rarely"/>
    <n v="1194"/>
    <x v="1"/>
    <n v="1"/>
    <n v="3"/>
    <s v="Life Sciences"/>
    <n v="1"/>
    <n v="1822"/>
    <n v="3"/>
    <s v="Female"/>
    <n v="52"/>
    <n v="3"/>
    <x v="0"/>
    <x v="4"/>
    <n v="4"/>
    <s v="Divorced"/>
    <n v="6513"/>
    <n v="9060"/>
    <n v="4"/>
    <s v="Y"/>
    <s v="No"/>
    <s v="No"/>
    <n v="17"/>
    <n v="3"/>
    <n v="4"/>
    <n v="80"/>
    <n v="1"/>
    <n v="12"/>
    <s v="6-15"/>
    <n v="3"/>
    <n v="3"/>
    <n v="5"/>
    <n v="3"/>
    <n v="0"/>
    <n v="3"/>
  </r>
  <r>
    <n v="34"/>
    <x v="1"/>
    <s v="No"/>
    <s v="Travel_Rarely"/>
    <n v="810"/>
    <x v="0"/>
    <n v="8"/>
    <n v="2"/>
    <s v="Technical Degree"/>
    <n v="1"/>
    <n v="1823"/>
    <n v="2"/>
    <s v="Male"/>
    <n v="92"/>
    <n v="4"/>
    <x v="0"/>
    <x v="0"/>
    <n v="3"/>
    <s v="Married"/>
    <n v="6799"/>
    <n v="22128"/>
    <n v="1"/>
    <s v="Y"/>
    <s v="No"/>
    <s v="No"/>
    <n v="21"/>
    <n v="4"/>
    <n v="3"/>
    <n v="80"/>
    <n v="2"/>
    <n v="10"/>
    <s v="6-15"/>
    <n v="5"/>
    <n v="3"/>
    <n v="10"/>
    <n v="8"/>
    <n v="4"/>
    <n v="8"/>
  </r>
  <r>
    <n v="58"/>
    <x v="1"/>
    <s v="No"/>
    <s v="Non-Travel"/>
    <n v="350"/>
    <x v="0"/>
    <n v="2"/>
    <n v="3"/>
    <s v="Medical"/>
    <n v="1"/>
    <n v="1824"/>
    <n v="2"/>
    <s v="Male"/>
    <n v="52"/>
    <n v="3"/>
    <x v="3"/>
    <x v="5"/>
    <n v="2"/>
    <s v="Divorced"/>
    <n v="16291"/>
    <n v="22577"/>
    <n v="4"/>
    <s v="Y"/>
    <s v="No"/>
    <s v="No"/>
    <n v="22"/>
    <n v="4"/>
    <n v="4"/>
    <n v="80"/>
    <n v="1"/>
    <n v="37"/>
    <s v="&gt;15"/>
    <n v="0"/>
    <n v="2"/>
    <n v="16"/>
    <n v="9"/>
    <n v="14"/>
    <n v="14"/>
  </r>
  <r>
    <n v="35"/>
    <x v="1"/>
    <s v="No"/>
    <s v="Travel_Rarely"/>
    <n v="185"/>
    <x v="1"/>
    <n v="23"/>
    <n v="4"/>
    <s v="Medical"/>
    <n v="1"/>
    <n v="1826"/>
    <n v="2"/>
    <s v="Male"/>
    <n v="91"/>
    <n v="1"/>
    <x v="1"/>
    <x v="2"/>
    <n v="3"/>
    <s v="Married"/>
    <n v="2705"/>
    <n v="9696"/>
    <n v="0"/>
    <s v="Y"/>
    <s v="No"/>
    <s v="No"/>
    <n v="16"/>
    <n v="3"/>
    <n v="2"/>
    <n v="80"/>
    <n v="1"/>
    <n v="6"/>
    <s v="6-15"/>
    <n v="2"/>
    <n v="4"/>
    <n v="5"/>
    <n v="4"/>
    <n v="0"/>
    <n v="3"/>
  </r>
  <r>
    <n v="47"/>
    <x v="1"/>
    <s v="No"/>
    <s v="Travel_Rarely"/>
    <n v="1001"/>
    <x v="1"/>
    <n v="4"/>
    <n v="3"/>
    <s v="Life Sciences"/>
    <n v="1"/>
    <n v="1827"/>
    <n v="3"/>
    <s v="Female"/>
    <n v="92"/>
    <n v="2"/>
    <x v="2"/>
    <x v="3"/>
    <n v="2"/>
    <s v="Divorced"/>
    <n v="10333"/>
    <n v="19271"/>
    <n v="8"/>
    <s v="Y"/>
    <s v="Yes"/>
    <s v="Yes"/>
    <n v="12"/>
    <n v="3"/>
    <n v="3"/>
    <n v="80"/>
    <n v="1"/>
    <n v="28"/>
    <s v="&gt;15"/>
    <n v="4"/>
    <n v="3"/>
    <n v="22"/>
    <n v="11"/>
    <n v="14"/>
    <n v="10"/>
  </r>
  <r>
    <n v="40"/>
    <x v="1"/>
    <s v="No"/>
    <s v="Travel_Rarely"/>
    <n v="750"/>
    <x v="1"/>
    <n v="12"/>
    <n v="3"/>
    <s v="Life Sciences"/>
    <n v="1"/>
    <n v="1829"/>
    <n v="2"/>
    <s v="Female"/>
    <n v="47"/>
    <n v="3"/>
    <x v="0"/>
    <x v="4"/>
    <n v="1"/>
    <s v="Divorced"/>
    <n v="4448"/>
    <n v="10748"/>
    <n v="2"/>
    <s v="Y"/>
    <s v="No"/>
    <s v="No"/>
    <n v="12"/>
    <n v="3"/>
    <n v="2"/>
    <n v="80"/>
    <n v="1"/>
    <n v="15"/>
    <s v="6-15"/>
    <n v="3"/>
    <n v="3"/>
    <n v="7"/>
    <n v="4"/>
    <n v="7"/>
    <n v="7"/>
  </r>
  <r>
    <n v="54"/>
    <x v="1"/>
    <s v="No"/>
    <s v="Travel_Rarely"/>
    <n v="431"/>
    <x v="1"/>
    <n v="7"/>
    <n v="4"/>
    <s v="Medical"/>
    <n v="1"/>
    <n v="1830"/>
    <n v="4"/>
    <s v="Female"/>
    <n v="68"/>
    <n v="3"/>
    <x v="0"/>
    <x v="1"/>
    <n v="4"/>
    <s v="Married"/>
    <n v="6854"/>
    <n v="15696"/>
    <n v="4"/>
    <s v="Y"/>
    <s v="No"/>
    <s v="No"/>
    <n v="15"/>
    <n v="3"/>
    <n v="2"/>
    <n v="80"/>
    <n v="1"/>
    <n v="14"/>
    <s v="6-15"/>
    <n v="2"/>
    <n v="2"/>
    <n v="7"/>
    <n v="1"/>
    <n v="1"/>
    <n v="7"/>
  </r>
  <r>
    <n v="31"/>
    <x v="1"/>
    <s v="No"/>
    <s v="Travel_Frequently"/>
    <n v="1125"/>
    <x v="0"/>
    <n v="7"/>
    <n v="4"/>
    <s v="Marketing"/>
    <n v="1"/>
    <n v="1833"/>
    <n v="1"/>
    <s v="Female"/>
    <n v="68"/>
    <n v="3"/>
    <x v="2"/>
    <x v="0"/>
    <n v="1"/>
    <s v="Married"/>
    <n v="9637"/>
    <n v="8277"/>
    <n v="2"/>
    <s v="Y"/>
    <s v="No"/>
    <s v="No"/>
    <n v="14"/>
    <n v="3"/>
    <n v="4"/>
    <n v="80"/>
    <n v="2"/>
    <n v="9"/>
    <s v="6-15"/>
    <n v="3"/>
    <n v="3"/>
    <n v="3"/>
    <n v="2"/>
    <n v="2"/>
    <n v="2"/>
  </r>
  <r>
    <n v="28"/>
    <x v="1"/>
    <s v="No"/>
    <s v="Travel_Rarely"/>
    <n v="1217"/>
    <x v="1"/>
    <n v="1"/>
    <n v="3"/>
    <s v="Medical"/>
    <n v="1"/>
    <n v="1834"/>
    <n v="3"/>
    <s v="Female"/>
    <n v="67"/>
    <n v="3"/>
    <x v="1"/>
    <x v="1"/>
    <n v="1"/>
    <s v="Married"/>
    <n v="3591"/>
    <n v="12719"/>
    <n v="1"/>
    <s v="Y"/>
    <s v="No"/>
    <s v="No"/>
    <n v="25"/>
    <n v="4"/>
    <n v="3"/>
    <n v="80"/>
    <n v="1"/>
    <n v="3"/>
    <s v="0-5"/>
    <n v="3"/>
    <n v="3"/>
    <n v="3"/>
    <n v="2"/>
    <n v="1"/>
    <n v="2"/>
  </r>
  <r>
    <n v="38"/>
    <x v="1"/>
    <s v="No"/>
    <s v="Travel_Rarely"/>
    <n v="723"/>
    <x v="0"/>
    <n v="2"/>
    <n v="4"/>
    <s v="Marketing"/>
    <n v="1"/>
    <n v="1835"/>
    <n v="2"/>
    <s v="Female"/>
    <n v="77"/>
    <n v="1"/>
    <x v="0"/>
    <x v="6"/>
    <n v="4"/>
    <s v="Married"/>
    <n v="5405"/>
    <n v="4244"/>
    <n v="2"/>
    <s v="Y"/>
    <s v="Yes"/>
    <s v="Yes"/>
    <n v="20"/>
    <n v="4"/>
    <n v="1"/>
    <n v="80"/>
    <n v="2"/>
    <n v="20"/>
    <s v="&gt;15"/>
    <n v="4"/>
    <n v="2"/>
    <n v="4"/>
    <n v="2"/>
    <n v="0"/>
    <n v="3"/>
  </r>
  <r>
    <n v="26"/>
    <x v="1"/>
    <s v="No"/>
    <s v="Travel_Rarely"/>
    <n v="572"/>
    <x v="0"/>
    <n v="10"/>
    <n v="3"/>
    <s v="Medical"/>
    <n v="1"/>
    <n v="1836"/>
    <n v="3"/>
    <s v="Male"/>
    <n v="46"/>
    <n v="3"/>
    <x v="0"/>
    <x v="0"/>
    <n v="4"/>
    <s v="Single"/>
    <n v="4684"/>
    <n v="9125"/>
    <n v="1"/>
    <s v="Y"/>
    <s v="No"/>
    <s v="No"/>
    <n v="13"/>
    <n v="3"/>
    <n v="1"/>
    <n v="80"/>
    <n v="0"/>
    <n v="5"/>
    <s v="0-5"/>
    <n v="4"/>
    <n v="3"/>
    <n v="5"/>
    <n v="3"/>
    <n v="1"/>
    <n v="2"/>
  </r>
  <r>
    <n v="58"/>
    <x v="1"/>
    <s v="No"/>
    <s v="Travel_Frequently"/>
    <n v="1216"/>
    <x v="1"/>
    <n v="15"/>
    <n v="4"/>
    <s v="Life Sciences"/>
    <n v="1"/>
    <n v="1837"/>
    <n v="1"/>
    <s v="Male"/>
    <n v="87"/>
    <n v="3"/>
    <x v="3"/>
    <x v="7"/>
    <n v="3"/>
    <s v="Married"/>
    <n v="15787"/>
    <n v="21624"/>
    <n v="2"/>
    <s v="Y"/>
    <s v="Yes"/>
    <s v="Yes"/>
    <n v="14"/>
    <n v="3"/>
    <n v="2"/>
    <n v="80"/>
    <n v="0"/>
    <n v="23"/>
    <s v="&gt;15"/>
    <n v="3"/>
    <n v="3"/>
    <n v="2"/>
    <n v="2"/>
    <n v="2"/>
    <n v="2"/>
  </r>
  <r>
    <n v="18"/>
    <x v="1"/>
    <s v="No"/>
    <s v="Non-Travel"/>
    <n v="1431"/>
    <x v="1"/>
    <n v="14"/>
    <n v="3"/>
    <s v="Medical"/>
    <n v="1"/>
    <n v="1839"/>
    <n v="2"/>
    <s v="Female"/>
    <n v="33"/>
    <n v="3"/>
    <x v="1"/>
    <x v="1"/>
    <n v="3"/>
    <s v="Single"/>
    <n v="1514"/>
    <n v="8018"/>
    <n v="1"/>
    <s v="Y"/>
    <s v="No"/>
    <s v="No"/>
    <n v="16"/>
    <n v="3"/>
    <n v="3"/>
    <n v="80"/>
    <n v="0"/>
    <n v="0"/>
    <s v="0-5"/>
    <n v="4"/>
    <n v="1"/>
    <n v="0"/>
    <n v="0"/>
    <n v="0"/>
    <n v="0"/>
  </r>
  <r>
    <n v="31"/>
    <x v="0"/>
    <s v="Yes"/>
    <s v="Travel_Rarely"/>
    <n v="359"/>
    <x v="2"/>
    <n v="18"/>
    <n v="5"/>
    <s v="Human Resources"/>
    <n v="1"/>
    <n v="1842"/>
    <n v="4"/>
    <s v="Male"/>
    <n v="89"/>
    <n v="4"/>
    <x v="1"/>
    <x v="8"/>
    <n v="1"/>
    <s v="Married"/>
    <n v="2956"/>
    <n v="21495"/>
    <n v="0"/>
    <s v="Y"/>
    <s v="No"/>
    <s v="No"/>
    <n v="17"/>
    <n v="3"/>
    <n v="3"/>
    <n v="80"/>
    <n v="0"/>
    <n v="2"/>
    <s v="0-5"/>
    <n v="4"/>
    <n v="3"/>
    <n v="1"/>
    <n v="0"/>
    <n v="0"/>
    <n v="0"/>
  </r>
  <r>
    <n v="29"/>
    <x v="0"/>
    <s v="Yes"/>
    <s v="Travel_Rarely"/>
    <n v="350"/>
    <x v="2"/>
    <n v="13"/>
    <n v="3"/>
    <s v="Human Resources"/>
    <n v="1"/>
    <n v="1844"/>
    <n v="1"/>
    <s v="Male"/>
    <n v="56"/>
    <n v="2"/>
    <x v="1"/>
    <x v="8"/>
    <n v="1"/>
    <s v="Divorced"/>
    <n v="2335"/>
    <n v="3157"/>
    <n v="4"/>
    <s v="Y"/>
    <s v="Yes"/>
    <s v="Yes"/>
    <n v="15"/>
    <n v="3"/>
    <n v="4"/>
    <n v="80"/>
    <n v="3"/>
    <n v="4"/>
    <s v="0-5"/>
    <n v="3"/>
    <n v="3"/>
    <n v="2"/>
    <n v="2"/>
    <n v="2"/>
    <n v="0"/>
  </r>
  <r>
    <n v="45"/>
    <x v="1"/>
    <s v="No"/>
    <s v="Non-Travel"/>
    <n v="589"/>
    <x v="0"/>
    <n v="2"/>
    <n v="4"/>
    <s v="Life Sciences"/>
    <n v="1"/>
    <n v="1845"/>
    <n v="3"/>
    <s v="Female"/>
    <n v="67"/>
    <n v="3"/>
    <x v="0"/>
    <x v="0"/>
    <n v="3"/>
    <s v="Married"/>
    <n v="5154"/>
    <n v="19665"/>
    <n v="4"/>
    <s v="Y"/>
    <s v="No"/>
    <s v="No"/>
    <n v="22"/>
    <n v="4"/>
    <n v="2"/>
    <n v="80"/>
    <n v="2"/>
    <n v="10"/>
    <s v="6-15"/>
    <n v="3"/>
    <n v="4"/>
    <n v="8"/>
    <n v="7"/>
    <n v="5"/>
    <n v="7"/>
  </r>
  <r>
    <n v="36"/>
    <x v="1"/>
    <s v="No"/>
    <s v="Travel_Rarely"/>
    <n v="430"/>
    <x v="1"/>
    <n v="2"/>
    <n v="4"/>
    <s v="Other"/>
    <n v="1"/>
    <n v="1847"/>
    <n v="4"/>
    <s v="Female"/>
    <n v="73"/>
    <n v="3"/>
    <x v="0"/>
    <x v="1"/>
    <n v="2"/>
    <s v="Married"/>
    <n v="6962"/>
    <n v="19573"/>
    <n v="4"/>
    <s v="Y"/>
    <s v="Yes"/>
    <s v="Yes"/>
    <n v="22"/>
    <n v="4"/>
    <n v="4"/>
    <n v="80"/>
    <n v="1"/>
    <n v="15"/>
    <s v="6-15"/>
    <n v="2"/>
    <n v="3"/>
    <n v="1"/>
    <n v="0"/>
    <n v="0"/>
    <n v="0"/>
  </r>
  <r>
    <n v="43"/>
    <x v="1"/>
    <s v="No"/>
    <s v="Travel_Frequently"/>
    <n v="1422"/>
    <x v="0"/>
    <n v="2"/>
    <n v="4"/>
    <s v="Life Sciences"/>
    <n v="1"/>
    <n v="1849"/>
    <n v="1"/>
    <s v="Male"/>
    <n v="92"/>
    <n v="3"/>
    <x v="0"/>
    <x v="0"/>
    <n v="4"/>
    <s v="Married"/>
    <n v="5675"/>
    <n v="19246"/>
    <n v="1"/>
    <s v="Y"/>
    <s v="No"/>
    <s v="No"/>
    <n v="20"/>
    <n v="4"/>
    <n v="3"/>
    <n v="80"/>
    <n v="1"/>
    <n v="7"/>
    <s v="6-15"/>
    <n v="5"/>
    <n v="3"/>
    <n v="7"/>
    <n v="7"/>
    <n v="7"/>
    <n v="7"/>
  </r>
  <r>
    <n v="27"/>
    <x v="1"/>
    <s v="No"/>
    <s v="Travel_Frequently"/>
    <n v="1297"/>
    <x v="1"/>
    <n v="5"/>
    <n v="2"/>
    <s v="Life Sciences"/>
    <n v="1"/>
    <n v="1850"/>
    <n v="4"/>
    <s v="Female"/>
    <n v="53"/>
    <n v="3"/>
    <x v="1"/>
    <x v="2"/>
    <n v="4"/>
    <s v="Single"/>
    <n v="2379"/>
    <n v="19826"/>
    <n v="0"/>
    <s v="Y"/>
    <s v="Yes"/>
    <s v="Yes"/>
    <n v="14"/>
    <n v="3"/>
    <n v="3"/>
    <n v="80"/>
    <n v="0"/>
    <n v="6"/>
    <s v="6-15"/>
    <n v="3"/>
    <n v="2"/>
    <n v="5"/>
    <n v="4"/>
    <n v="0"/>
    <n v="2"/>
  </r>
  <r>
    <n v="29"/>
    <x v="1"/>
    <s v="No"/>
    <s v="Travel_Frequently"/>
    <n v="574"/>
    <x v="1"/>
    <n v="20"/>
    <n v="1"/>
    <s v="Medical"/>
    <n v="1"/>
    <n v="1852"/>
    <n v="4"/>
    <s v="Male"/>
    <n v="40"/>
    <n v="3"/>
    <x v="1"/>
    <x v="2"/>
    <n v="4"/>
    <s v="Married"/>
    <n v="3812"/>
    <n v="7003"/>
    <n v="1"/>
    <s v="Y"/>
    <s v="No"/>
    <s v="No"/>
    <n v="13"/>
    <n v="3"/>
    <n v="2"/>
    <n v="80"/>
    <n v="0"/>
    <n v="11"/>
    <s v="6-15"/>
    <n v="3"/>
    <n v="4"/>
    <n v="11"/>
    <n v="8"/>
    <n v="3"/>
    <n v="10"/>
  </r>
  <r>
    <n v="32"/>
    <x v="1"/>
    <s v="No"/>
    <s v="Travel_Frequently"/>
    <n v="1318"/>
    <x v="0"/>
    <n v="10"/>
    <n v="4"/>
    <s v="Marketing"/>
    <n v="1"/>
    <n v="1853"/>
    <n v="4"/>
    <s v="Male"/>
    <n v="79"/>
    <n v="3"/>
    <x v="0"/>
    <x v="0"/>
    <n v="4"/>
    <s v="Single"/>
    <n v="4648"/>
    <n v="26075"/>
    <n v="8"/>
    <s v="Y"/>
    <s v="No"/>
    <s v="No"/>
    <n v="13"/>
    <n v="3"/>
    <n v="3"/>
    <n v="80"/>
    <n v="0"/>
    <n v="4"/>
    <s v="0-5"/>
    <n v="2"/>
    <n v="4"/>
    <n v="0"/>
    <n v="0"/>
    <n v="0"/>
    <n v="0"/>
  </r>
  <r>
    <n v="42"/>
    <x v="1"/>
    <s v="No"/>
    <s v="Non-Travel"/>
    <n v="355"/>
    <x v="1"/>
    <n v="10"/>
    <n v="4"/>
    <s v="Technical Degree"/>
    <n v="1"/>
    <n v="1854"/>
    <n v="3"/>
    <s v="Male"/>
    <n v="38"/>
    <n v="3"/>
    <x v="1"/>
    <x v="1"/>
    <n v="3"/>
    <s v="Married"/>
    <n v="2936"/>
    <n v="6161"/>
    <n v="3"/>
    <s v="Y"/>
    <s v="No"/>
    <s v="No"/>
    <n v="22"/>
    <n v="4"/>
    <n v="2"/>
    <n v="80"/>
    <n v="2"/>
    <n v="10"/>
    <s v="6-15"/>
    <n v="1"/>
    <n v="2"/>
    <n v="6"/>
    <n v="3"/>
    <n v="3"/>
    <n v="3"/>
  </r>
  <r>
    <n v="47"/>
    <x v="1"/>
    <s v="No"/>
    <s v="Travel_Rarely"/>
    <n v="207"/>
    <x v="1"/>
    <n v="9"/>
    <n v="4"/>
    <s v="Life Sciences"/>
    <n v="1"/>
    <n v="1856"/>
    <n v="2"/>
    <s v="Female"/>
    <n v="64"/>
    <n v="3"/>
    <x v="1"/>
    <x v="2"/>
    <n v="3"/>
    <s v="Single"/>
    <n v="2105"/>
    <n v="5411"/>
    <n v="4"/>
    <s v="Y"/>
    <s v="No"/>
    <s v="No"/>
    <n v="12"/>
    <n v="3"/>
    <n v="3"/>
    <n v="80"/>
    <n v="0"/>
    <n v="7"/>
    <s v="6-15"/>
    <n v="2"/>
    <n v="3"/>
    <n v="2"/>
    <n v="2"/>
    <n v="2"/>
    <n v="0"/>
  </r>
  <r>
    <n v="46"/>
    <x v="1"/>
    <s v="No"/>
    <s v="Travel_Rarely"/>
    <n v="706"/>
    <x v="1"/>
    <n v="2"/>
    <n v="2"/>
    <s v="Life Sciences"/>
    <n v="1"/>
    <n v="1857"/>
    <n v="4"/>
    <s v="Male"/>
    <n v="82"/>
    <n v="3"/>
    <x v="2"/>
    <x v="3"/>
    <n v="4"/>
    <s v="Divorced"/>
    <n v="8578"/>
    <n v="19989"/>
    <n v="3"/>
    <s v="Y"/>
    <s v="No"/>
    <s v="No"/>
    <n v="14"/>
    <n v="3"/>
    <n v="3"/>
    <n v="80"/>
    <n v="1"/>
    <n v="12"/>
    <s v="6-15"/>
    <n v="4"/>
    <n v="2"/>
    <n v="9"/>
    <n v="8"/>
    <n v="4"/>
    <n v="7"/>
  </r>
  <r>
    <n v="28"/>
    <x v="1"/>
    <s v="No"/>
    <s v="Non-Travel"/>
    <n v="280"/>
    <x v="2"/>
    <n v="1"/>
    <n v="2"/>
    <s v="Life Sciences"/>
    <n v="1"/>
    <n v="1858"/>
    <n v="3"/>
    <s v="Male"/>
    <n v="43"/>
    <n v="3"/>
    <x v="1"/>
    <x v="8"/>
    <n v="4"/>
    <s v="Divorced"/>
    <n v="2706"/>
    <n v="10494"/>
    <n v="1"/>
    <s v="Y"/>
    <s v="No"/>
    <s v="No"/>
    <n v="15"/>
    <n v="3"/>
    <n v="2"/>
    <n v="80"/>
    <n v="1"/>
    <n v="3"/>
    <s v="0-5"/>
    <n v="2"/>
    <n v="3"/>
    <n v="3"/>
    <n v="2"/>
    <n v="2"/>
    <n v="2"/>
  </r>
  <r>
    <n v="29"/>
    <x v="1"/>
    <s v="No"/>
    <s v="Travel_Rarely"/>
    <n v="726"/>
    <x v="1"/>
    <n v="29"/>
    <n v="1"/>
    <s v="Life Sciences"/>
    <n v="1"/>
    <n v="1859"/>
    <n v="4"/>
    <s v="Male"/>
    <n v="93"/>
    <n v="1"/>
    <x v="0"/>
    <x v="4"/>
    <n v="3"/>
    <s v="Divorced"/>
    <n v="6384"/>
    <n v="21143"/>
    <n v="8"/>
    <s v="Y"/>
    <s v="No"/>
    <s v="No"/>
    <n v="17"/>
    <n v="3"/>
    <n v="4"/>
    <n v="80"/>
    <n v="2"/>
    <n v="11"/>
    <s v="6-15"/>
    <n v="3"/>
    <n v="3"/>
    <n v="7"/>
    <n v="0"/>
    <n v="1"/>
    <n v="6"/>
  </r>
  <r>
    <n v="42"/>
    <x v="1"/>
    <s v="No"/>
    <s v="Travel_Rarely"/>
    <n v="1142"/>
    <x v="1"/>
    <n v="8"/>
    <n v="3"/>
    <s v="Life Sciences"/>
    <n v="1"/>
    <n v="1860"/>
    <n v="4"/>
    <s v="Male"/>
    <n v="81"/>
    <n v="3"/>
    <x v="1"/>
    <x v="2"/>
    <n v="3"/>
    <s v="Single"/>
    <n v="3968"/>
    <n v="13624"/>
    <n v="4"/>
    <s v="Y"/>
    <s v="No"/>
    <s v="No"/>
    <n v="13"/>
    <n v="3"/>
    <n v="4"/>
    <n v="80"/>
    <n v="0"/>
    <n v="8"/>
    <s v="6-15"/>
    <n v="3"/>
    <n v="3"/>
    <n v="0"/>
    <n v="0"/>
    <n v="0"/>
    <n v="0"/>
  </r>
  <r>
    <n v="32"/>
    <x v="0"/>
    <s v="Yes"/>
    <s v="Travel_Rarely"/>
    <n v="414"/>
    <x v="0"/>
    <n v="2"/>
    <n v="4"/>
    <s v="Marketing"/>
    <n v="1"/>
    <n v="1862"/>
    <n v="3"/>
    <s v="Male"/>
    <n v="82"/>
    <n v="2"/>
    <x v="0"/>
    <x v="0"/>
    <n v="2"/>
    <s v="Single"/>
    <n v="9907"/>
    <n v="26186"/>
    <n v="7"/>
    <s v="Y"/>
    <s v="Yes"/>
    <s v="Yes"/>
    <n v="12"/>
    <n v="3"/>
    <n v="3"/>
    <n v="80"/>
    <n v="0"/>
    <n v="7"/>
    <s v="6-15"/>
    <n v="3"/>
    <n v="2"/>
    <n v="2"/>
    <n v="2"/>
    <n v="2"/>
    <n v="2"/>
  </r>
  <r>
    <n v="46"/>
    <x v="1"/>
    <s v="No"/>
    <s v="Travel_Rarely"/>
    <n v="1319"/>
    <x v="0"/>
    <n v="3"/>
    <n v="3"/>
    <s v="Technical Degree"/>
    <n v="1"/>
    <n v="1863"/>
    <n v="1"/>
    <s v="Female"/>
    <n v="45"/>
    <n v="4"/>
    <x v="3"/>
    <x v="0"/>
    <n v="1"/>
    <s v="Divorced"/>
    <n v="13225"/>
    <n v="7739"/>
    <n v="2"/>
    <s v="Y"/>
    <s v="No"/>
    <s v="No"/>
    <n v="12"/>
    <n v="3"/>
    <n v="4"/>
    <n v="80"/>
    <n v="1"/>
    <n v="25"/>
    <s v="&gt;15"/>
    <n v="5"/>
    <n v="3"/>
    <n v="19"/>
    <n v="17"/>
    <n v="2"/>
    <n v="8"/>
  </r>
  <r>
    <n v="27"/>
    <x v="1"/>
    <s v="No"/>
    <s v="Travel_Rarely"/>
    <n v="728"/>
    <x v="0"/>
    <n v="23"/>
    <n v="1"/>
    <s v="Medical"/>
    <n v="1"/>
    <n v="1864"/>
    <n v="2"/>
    <s v="Female"/>
    <n v="36"/>
    <n v="2"/>
    <x v="0"/>
    <x v="6"/>
    <n v="3"/>
    <s v="Married"/>
    <n v="3540"/>
    <n v="7018"/>
    <n v="1"/>
    <s v="Y"/>
    <s v="No"/>
    <s v="No"/>
    <n v="21"/>
    <n v="4"/>
    <n v="4"/>
    <n v="80"/>
    <n v="1"/>
    <n v="9"/>
    <s v="6-15"/>
    <n v="5"/>
    <n v="3"/>
    <n v="9"/>
    <n v="8"/>
    <n v="5"/>
    <n v="8"/>
  </r>
  <r>
    <n v="29"/>
    <x v="1"/>
    <s v="No"/>
    <s v="Travel_Rarely"/>
    <n v="352"/>
    <x v="2"/>
    <n v="6"/>
    <n v="1"/>
    <s v="Medical"/>
    <n v="1"/>
    <n v="1865"/>
    <n v="4"/>
    <s v="Male"/>
    <n v="87"/>
    <n v="2"/>
    <x v="1"/>
    <x v="8"/>
    <n v="2"/>
    <s v="Married"/>
    <n v="2804"/>
    <n v="15434"/>
    <n v="1"/>
    <s v="Y"/>
    <s v="No"/>
    <s v="No"/>
    <n v="11"/>
    <n v="3"/>
    <n v="4"/>
    <n v="80"/>
    <n v="0"/>
    <n v="1"/>
    <s v="0-5"/>
    <n v="3"/>
    <n v="3"/>
    <n v="1"/>
    <n v="0"/>
    <n v="0"/>
    <n v="0"/>
  </r>
  <r>
    <n v="43"/>
    <x v="1"/>
    <s v="No"/>
    <s v="Travel_Rarely"/>
    <n v="823"/>
    <x v="1"/>
    <n v="6"/>
    <n v="3"/>
    <s v="Medical"/>
    <n v="1"/>
    <n v="1866"/>
    <n v="1"/>
    <s v="Female"/>
    <n v="81"/>
    <n v="2"/>
    <x v="4"/>
    <x v="5"/>
    <n v="3"/>
    <s v="Married"/>
    <n v="19392"/>
    <n v="22539"/>
    <n v="7"/>
    <s v="Y"/>
    <s v="No"/>
    <s v="No"/>
    <n v="13"/>
    <n v="3"/>
    <n v="4"/>
    <n v="80"/>
    <n v="0"/>
    <n v="21"/>
    <s v="&gt;15"/>
    <n v="2"/>
    <n v="3"/>
    <n v="16"/>
    <n v="12"/>
    <n v="6"/>
    <n v="14"/>
  </r>
  <r>
    <n v="48"/>
    <x v="1"/>
    <s v="No"/>
    <s v="Travel_Rarely"/>
    <n v="1224"/>
    <x v="1"/>
    <n v="10"/>
    <n v="3"/>
    <s v="Life Sciences"/>
    <n v="1"/>
    <n v="1867"/>
    <n v="4"/>
    <s v="Male"/>
    <n v="91"/>
    <n v="2"/>
    <x v="4"/>
    <x v="7"/>
    <n v="2"/>
    <s v="Married"/>
    <n v="19665"/>
    <n v="13583"/>
    <n v="4"/>
    <s v="Y"/>
    <s v="No"/>
    <s v="No"/>
    <n v="12"/>
    <n v="3"/>
    <n v="4"/>
    <n v="80"/>
    <n v="0"/>
    <n v="29"/>
    <s v="&gt;15"/>
    <n v="3"/>
    <n v="3"/>
    <n v="22"/>
    <n v="10"/>
    <n v="12"/>
    <n v="9"/>
  </r>
  <r>
    <n v="29"/>
    <x v="0"/>
    <s v="Yes"/>
    <s v="Travel_Frequently"/>
    <n v="459"/>
    <x v="1"/>
    <n v="24"/>
    <n v="2"/>
    <s v="Life Sciences"/>
    <n v="1"/>
    <n v="1868"/>
    <n v="4"/>
    <s v="Male"/>
    <n v="73"/>
    <n v="2"/>
    <x v="1"/>
    <x v="1"/>
    <n v="4"/>
    <s v="Single"/>
    <n v="2439"/>
    <n v="14753"/>
    <n v="1"/>
    <s v="Y"/>
    <s v="Yes"/>
    <s v="Yes"/>
    <n v="24"/>
    <n v="4"/>
    <n v="2"/>
    <n v="80"/>
    <n v="0"/>
    <n v="1"/>
    <s v="0-5"/>
    <n v="3"/>
    <n v="2"/>
    <n v="1"/>
    <n v="0"/>
    <n v="1"/>
    <n v="0"/>
  </r>
  <r>
    <n v="46"/>
    <x v="0"/>
    <s v="Yes"/>
    <s v="Travel_Rarely"/>
    <n v="1254"/>
    <x v="0"/>
    <n v="10"/>
    <n v="3"/>
    <s v="Life Sciences"/>
    <n v="1"/>
    <n v="1869"/>
    <n v="3"/>
    <s v="Female"/>
    <n v="64"/>
    <n v="3"/>
    <x v="2"/>
    <x v="0"/>
    <n v="2"/>
    <s v="Married"/>
    <n v="7314"/>
    <n v="14011"/>
    <n v="5"/>
    <s v="Y"/>
    <s v="No"/>
    <s v="No"/>
    <n v="21"/>
    <n v="4"/>
    <n v="3"/>
    <n v="80"/>
    <n v="3"/>
    <n v="14"/>
    <s v="6-15"/>
    <n v="2"/>
    <n v="3"/>
    <n v="8"/>
    <n v="7"/>
    <n v="0"/>
    <n v="7"/>
  </r>
  <r>
    <n v="27"/>
    <x v="1"/>
    <s v="No"/>
    <s v="Travel_Frequently"/>
    <n v="1131"/>
    <x v="1"/>
    <n v="15"/>
    <n v="3"/>
    <s v="Life Sciences"/>
    <n v="1"/>
    <n v="1870"/>
    <n v="4"/>
    <s v="Female"/>
    <n v="77"/>
    <n v="2"/>
    <x v="1"/>
    <x v="1"/>
    <n v="1"/>
    <s v="Married"/>
    <n v="4774"/>
    <n v="23844"/>
    <n v="0"/>
    <s v="Y"/>
    <s v="No"/>
    <s v="No"/>
    <n v="19"/>
    <n v="3"/>
    <n v="4"/>
    <n v="80"/>
    <n v="1"/>
    <n v="8"/>
    <s v="6-15"/>
    <n v="2"/>
    <n v="2"/>
    <n v="7"/>
    <n v="6"/>
    <n v="7"/>
    <n v="3"/>
  </r>
  <r>
    <n v="39"/>
    <x v="1"/>
    <s v="No"/>
    <s v="Travel_Rarely"/>
    <n v="835"/>
    <x v="1"/>
    <n v="19"/>
    <n v="4"/>
    <s v="Other"/>
    <n v="1"/>
    <n v="1871"/>
    <n v="4"/>
    <s v="Male"/>
    <n v="41"/>
    <n v="3"/>
    <x v="0"/>
    <x v="1"/>
    <n v="4"/>
    <s v="Divorced"/>
    <n v="3902"/>
    <n v="5141"/>
    <n v="8"/>
    <s v="Y"/>
    <s v="No"/>
    <s v="No"/>
    <n v="14"/>
    <n v="3"/>
    <n v="2"/>
    <n v="80"/>
    <n v="3"/>
    <n v="7"/>
    <s v="6-15"/>
    <n v="2"/>
    <n v="3"/>
    <n v="2"/>
    <n v="2"/>
    <n v="2"/>
    <n v="2"/>
  </r>
  <r>
    <n v="55"/>
    <x v="1"/>
    <s v="No"/>
    <s v="Travel_Rarely"/>
    <n v="836"/>
    <x v="1"/>
    <n v="2"/>
    <n v="4"/>
    <s v="Technical Degree"/>
    <n v="1"/>
    <n v="1873"/>
    <n v="2"/>
    <s v="Male"/>
    <n v="98"/>
    <n v="2"/>
    <x v="1"/>
    <x v="1"/>
    <n v="4"/>
    <s v="Married"/>
    <n v="2662"/>
    <n v="7975"/>
    <n v="8"/>
    <s v="Y"/>
    <s v="No"/>
    <s v="No"/>
    <n v="20"/>
    <n v="4"/>
    <n v="2"/>
    <n v="80"/>
    <n v="1"/>
    <n v="19"/>
    <s v="&gt;15"/>
    <n v="2"/>
    <n v="4"/>
    <n v="5"/>
    <n v="2"/>
    <n v="0"/>
    <n v="4"/>
  </r>
  <r>
    <n v="28"/>
    <x v="1"/>
    <s v="No"/>
    <s v="Travel_Rarely"/>
    <n v="1172"/>
    <x v="0"/>
    <n v="3"/>
    <n v="3"/>
    <s v="Medical"/>
    <n v="1"/>
    <n v="1875"/>
    <n v="2"/>
    <s v="Female"/>
    <n v="78"/>
    <n v="3"/>
    <x v="1"/>
    <x v="6"/>
    <n v="2"/>
    <s v="Married"/>
    <n v="2856"/>
    <n v="3692"/>
    <n v="1"/>
    <s v="Y"/>
    <s v="No"/>
    <s v="No"/>
    <n v="19"/>
    <n v="3"/>
    <n v="4"/>
    <n v="80"/>
    <n v="1"/>
    <n v="1"/>
    <s v="0-5"/>
    <n v="3"/>
    <n v="3"/>
    <n v="1"/>
    <n v="0"/>
    <n v="0"/>
    <n v="0"/>
  </r>
  <r>
    <n v="30"/>
    <x v="0"/>
    <s v="Yes"/>
    <s v="Travel_Rarely"/>
    <n v="945"/>
    <x v="0"/>
    <n v="9"/>
    <n v="3"/>
    <s v="Medical"/>
    <n v="1"/>
    <n v="1876"/>
    <n v="2"/>
    <s v="Male"/>
    <n v="89"/>
    <n v="3"/>
    <x v="1"/>
    <x v="6"/>
    <n v="4"/>
    <s v="Single"/>
    <n v="1081"/>
    <n v="16019"/>
    <n v="1"/>
    <s v="Y"/>
    <s v="No"/>
    <s v="No"/>
    <n v="13"/>
    <n v="3"/>
    <n v="3"/>
    <n v="80"/>
    <n v="0"/>
    <n v="1"/>
    <s v="0-5"/>
    <n v="3"/>
    <n v="2"/>
    <n v="1"/>
    <n v="0"/>
    <n v="0"/>
    <n v="0"/>
  </r>
  <r>
    <n v="22"/>
    <x v="0"/>
    <s v="Yes"/>
    <s v="Travel_Rarely"/>
    <n v="391"/>
    <x v="1"/>
    <n v="7"/>
    <n v="1"/>
    <s v="Life Sciences"/>
    <n v="1"/>
    <n v="1878"/>
    <n v="4"/>
    <s v="Male"/>
    <n v="75"/>
    <n v="3"/>
    <x v="1"/>
    <x v="1"/>
    <n v="2"/>
    <s v="Single"/>
    <n v="2472"/>
    <n v="26092"/>
    <n v="1"/>
    <s v="Y"/>
    <s v="Yes"/>
    <s v="Yes"/>
    <n v="23"/>
    <n v="4"/>
    <n v="1"/>
    <n v="80"/>
    <n v="0"/>
    <n v="1"/>
    <s v="0-5"/>
    <n v="2"/>
    <n v="3"/>
    <n v="1"/>
    <n v="0"/>
    <n v="0"/>
    <n v="0"/>
  </r>
  <r>
    <n v="36"/>
    <x v="1"/>
    <s v="No"/>
    <s v="Travel_Rarely"/>
    <n v="1266"/>
    <x v="0"/>
    <n v="10"/>
    <n v="4"/>
    <s v="Technical Degree"/>
    <n v="1"/>
    <n v="1880"/>
    <n v="2"/>
    <s v="Female"/>
    <n v="63"/>
    <n v="2"/>
    <x v="0"/>
    <x v="0"/>
    <n v="3"/>
    <s v="Married"/>
    <n v="5673"/>
    <n v="6060"/>
    <n v="1"/>
    <s v="Y"/>
    <s v="Yes"/>
    <s v="Yes"/>
    <n v="13"/>
    <n v="3"/>
    <n v="1"/>
    <n v="80"/>
    <n v="1"/>
    <n v="10"/>
    <s v="6-15"/>
    <n v="4"/>
    <n v="3"/>
    <n v="10"/>
    <n v="9"/>
    <n v="1"/>
    <n v="7"/>
  </r>
  <r>
    <n v="31"/>
    <x v="1"/>
    <s v="No"/>
    <s v="Travel_Rarely"/>
    <n v="311"/>
    <x v="1"/>
    <n v="20"/>
    <n v="3"/>
    <s v="Life Sciences"/>
    <n v="1"/>
    <n v="1881"/>
    <n v="2"/>
    <s v="Male"/>
    <n v="89"/>
    <n v="3"/>
    <x v="0"/>
    <x v="2"/>
    <n v="3"/>
    <s v="Divorced"/>
    <n v="4197"/>
    <n v="18624"/>
    <n v="1"/>
    <s v="Y"/>
    <s v="No"/>
    <s v="No"/>
    <n v="11"/>
    <n v="3"/>
    <n v="1"/>
    <n v="80"/>
    <n v="1"/>
    <n v="10"/>
    <s v="6-15"/>
    <n v="2"/>
    <n v="3"/>
    <n v="10"/>
    <n v="8"/>
    <n v="0"/>
    <n v="2"/>
  </r>
  <r>
    <n v="34"/>
    <x v="1"/>
    <s v="No"/>
    <s v="Travel_Rarely"/>
    <n v="1480"/>
    <x v="0"/>
    <n v="4"/>
    <n v="3"/>
    <s v="Life Sciences"/>
    <n v="1"/>
    <n v="1882"/>
    <n v="3"/>
    <s v="Male"/>
    <n v="64"/>
    <n v="3"/>
    <x v="2"/>
    <x v="0"/>
    <n v="4"/>
    <s v="Married"/>
    <n v="9713"/>
    <n v="24444"/>
    <n v="2"/>
    <s v="Y"/>
    <s v="Yes"/>
    <s v="Yes"/>
    <n v="13"/>
    <n v="3"/>
    <n v="4"/>
    <n v="80"/>
    <n v="3"/>
    <n v="9"/>
    <s v="6-15"/>
    <n v="3"/>
    <n v="3"/>
    <n v="5"/>
    <n v="3"/>
    <n v="1"/>
    <n v="0"/>
  </r>
  <r>
    <n v="29"/>
    <x v="1"/>
    <s v="No"/>
    <s v="Travel_Rarely"/>
    <n v="592"/>
    <x v="1"/>
    <n v="7"/>
    <n v="3"/>
    <s v="Life Sciences"/>
    <n v="1"/>
    <n v="1883"/>
    <n v="4"/>
    <s v="Male"/>
    <n v="59"/>
    <n v="3"/>
    <x v="1"/>
    <x v="2"/>
    <n v="1"/>
    <s v="Single"/>
    <n v="2062"/>
    <n v="19384"/>
    <n v="3"/>
    <s v="Y"/>
    <s v="No"/>
    <s v="No"/>
    <n v="14"/>
    <n v="3"/>
    <n v="2"/>
    <n v="80"/>
    <n v="0"/>
    <n v="11"/>
    <s v="6-15"/>
    <n v="2"/>
    <n v="3"/>
    <n v="3"/>
    <n v="2"/>
    <n v="1"/>
    <n v="2"/>
  </r>
  <r>
    <n v="37"/>
    <x v="1"/>
    <s v="No"/>
    <s v="Travel_Rarely"/>
    <n v="783"/>
    <x v="1"/>
    <n v="7"/>
    <n v="4"/>
    <s v="Medical"/>
    <n v="1"/>
    <n v="1885"/>
    <n v="4"/>
    <s v="Male"/>
    <n v="78"/>
    <n v="3"/>
    <x v="0"/>
    <x v="1"/>
    <n v="1"/>
    <s v="Married"/>
    <n v="4284"/>
    <n v="13588"/>
    <n v="5"/>
    <s v="Y"/>
    <s v="Yes"/>
    <s v="Yes"/>
    <n v="22"/>
    <n v="4"/>
    <n v="3"/>
    <n v="80"/>
    <n v="1"/>
    <n v="16"/>
    <s v="&gt;15"/>
    <n v="2"/>
    <n v="3"/>
    <n v="5"/>
    <n v="3"/>
    <n v="0"/>
    <n v="4"/>
  </r>
  <r>
    <n v="35"/>
    <x v="1"/>
    <s v="No"/>
    <s v="Travel_Rarely"/>
    <n v="219"/>
    <x v="1"/>
    <n v="16"/>
    <n v="2"/>
    <s v="Other"/>
    <n v="1"/>
    <n v="1886"/>
    <n v="4"/>
    <s v="Female"/>
    <n v="44"/>
    <n v="2"/>
    <x v="0"/>
    <x v="3"/>
    <n v="2"/>
    <s v="Married"/>
    <n v="4788"/>
    <n v="25388"/>
    <n v="0"/>
    <s v="Y"/>
    <s v="Yes"/>
    <s v="Yes"/>
    <n v="11"/>
    <n v="3"/>
    <n v="4"/>
    <n v="80"/>
    <n v="0"/>
    <n v="4"/>
    <s v="0-5"/>
    <n v="2"/>
    <n v="3"/>
    <n v="3"/>
    <n v="2"/>
    <n v="0"/>
    <n v="2"/>
  </r>
  <r>
    <n v="45"/>
    <x v="1"/>
    <s v="No"/>
    <s v="Travel_Rarely"/>
    <n v="556"/>
    <x v="1"/>
    <n v="25"/>
    <n v="2"/>
    <s v="Life Sciences"/>
    <n v="1"/>
    <n v="1888"/>
    <n v="2"/>
    <s v="Female"/>
    <n v="93"/>
    <n v="2"/>
    <x v="0"/>
    <x v="3"/>
    <n v="4"/>
    <s v="Married"/>
    <n v="5906"/>
    <n v="23888"/>
    <n v="0"/>
    <s v="Y"/>
    <s v="No"/>
    <s v="No"/>
    <n v="13"/>
    <n v="3"/>
    <n v="4"/>
    <n v="80"/>
    <n v="2"/>
    <n v="10"/>
    <s v="6-15"/>
    <n v="2"/>
    <n v="2"/>
    <n v="9"/>
    <n v="8"/>
    <n v="3"/>
    <n v="8"/>
  </r>
  <r>
    <n v="36"/>
    <x v="1"/>
    <s v="No"/>
    <s v="Travel_Frequently"/>
    <n v="1213"/>
    <x v="2"/>
    <n v="2"/>
    <n v="1"/>
    <s v="Human Resources"/>
    <n v="1"/>
    <n v="1890"/>
    <n v="2"/>
    <s v="Male"/>
    <n v="94"/>
    <n v="2"/>
    <x v="0"/>
    <x v="8"/>
    <n v="4"/>
    <s v="Single"/>
    <n v="3886"/>
    <n v="4223"/>
    <n v="1"/>
    <s v="Y"/>
    <s v="No"/>
    <s v="No"/>
    <n v="21"/>
    <n v="4"/>
    <n v="4"/>
    <n v="80"/>
    <n v="0"/>
    <n v="10"/>
    <s v="6-15"/>
    <n v="2"/>
    <n v="2"/>
    <n v="10"/>
    <n v="1"/>
    <n v="0"/>
    <n v="8"/>
  </r>
  <r>
    <n v="40"/>
    <x v="1"/>
    <s v="No"/>
    <s v="Travel_Rarely"/>
    <n v="1137"/>
    <x v="1"/>
    <n v="1"/>
    <n v="4"/>
    <s v="Life Sciences"/>
    <n v="1"/>
    <n v="1892"/>
    <n v="1"/>
    <s v="Male"/>
    <n v="98"/>
    <n v="3"/>
    <x v="3"/>
    <x v="5"/>
    <n v="1"/>
    <s v="Divorced"/>
    <n v="16823"/>
    <n v="18991"/>
    <n v="2"/>
    <s v="Y"/>
    <s v="No"/>
    <s v="No"/>
    <n v="11"/>
    <n v="3"/>
    <n v="1"/>
    <n v="80"/>
    <n v="1"/>
    <n v="22"/>
    <s v="&gt;15"/>
    <n v="3"/>
    <n v="3"/>
    <n v="19"/>
    <n v="7"/>
    <n v="11"/>
    <n v="16"/>
  </r>
  <r>
    <n v="26"/>
    <x v="1"/>
    <s v="No"/>
    <s v="Travel_Rarely"/>
    <n v="482"/>
    <x v="1"/>
    <n v="1"/>
    <n v="2"/>
    <s v="Life Sciences"/>
    <n v="1"/>
    <n v="1893"/>
    <n v="2"/>
    <s v="Female"/>
    <n v="90"/>
    <n v="2"/>
    <x v="1"/>
    <x v="1"/>
    <n v="3"/>
    <s v="Married"/>
    <n v="2933"/>
    <n v="14908"/>
    <n v="1"/>
    <s v="Y"/>
    <s v="Yes"/>
    <s v="Yes"/>
    <n v="13"/>
    <n v="3"/>
    <n v="3"/>
    <n v="80"/>
    <n v="1"/>
    <n v="1"/>
    <s v="0-5"/>
    <n v="3"/>
    <n v="2"/>
    <n v="1"/>
    <n v="0"/>
    <n v="1"/>
    <n v="0"/>
  </r>
  <r>
    <n v="27"/>
    <x v="1"/>
    <s v="No"/>
    <s v="Travel_Rarely"/>
    <n v="511"/>
    <x v="0"/>
    <n v="2"/>
    <n v="2"/>
    <s v="Medical"/>
    <n v="1"/>
    <n v="1898"/>
    <n v="1"/>
    <s v="Female"/>
    <n v="89"/>
    <n v="4"/>
    <x v="0"/>
    <x v="0"/>
    <n v="3"/>
    <s v="Single"/>
    <n v="6500"/>
    <n v="26997"/>
    <n v="0"/>
    <s v="Y"/>
    <s v="No"/>
    <s v="No"/>
    <n v="14"/>
    <n v="3"/>
    <n v="2"/>
    <n v="80"/>
    <n v="0"/>
    <n v="9"/>
    <s v="6-15"/>
    <n v="5"/>
    <n v="2"/>
    <n v="8"/>
    <n v="7"/>
    <n v="0"/>
    <n v="7"/>
  </r>
  <r>
    <n v="48"/>
    <x v="1"/>
    <s v="No"/>
    <s v="Travel_Frequently"/>
    <n v="117"/>
    <x v="1"/>
    <n v="22"/>
    <n v="3"/>
    <s v="Medical"/>
    <n v="1"/>
    <n v="1900"/>
    <n v="4"/>
    <s v="Female"/>
    <n v="58"/>
    <n v="3"/>
    <x v="3"/>
    <x v="5"/>
    <n v="4"/>
    <s v="Divorced"/>
    <n v="17174"/>
    <n v="2437"/>
    <n v="3"/>
    <s v="Y"/>
    <s v="No"/>
    <s v="No"/>
    <n v="11"/>
    <n v="3"/>
    <n v="2"/>
    <n v="80"/>
    <n v="1"/>
    <n v="24"/>
    <s v="&gt;15"/>
    <n v="3"/>
    <n v="3"/>
    <n v="22"/>
    <n v="17"/>
    <n v="4"/>
    <n v="7"/>
  </r>
  <r>
    <n v="44"/>
    <x v="1"/>
    <s v="No"/>
    <s v="Travel_Rarely"/>
    <n v="170"/>
    <x v="1"/>
    <n v="1"/>
    <n v="4"/>
    <s v="Life Sciences"/>
    <n v="1"/>
    <n v="1903"/>
    <n v="2"/>
    <s v="Male"/>
    <n v="78"/>
    <n v="4"/>
    <x v="0"/>
    <x v="4"/>
    <n v="1"/>
    <s v="Married"/>
    <n v="5033"/>
    <n v="9364"/>
    <n v="2"/>
    <s v="Y"/>
    <s v="No"/>
    <s v="No"/>
    <n v="15"/>
    <n v="3"/>
    <n v="4"/>
    <n v="80"/>
    <n v="1"/>
    <n v="10"/>
    <s v="6-15"/>
    <n v="5"/>
    <n v="3"/>
    <n v="2"/>
    <n v="0"/>
    <n v="2"/>
    <n v="2"/>
  </r>
  <r>
    <n v="34"/>
    <x v="0"/>
    <s v="Yes"/>
    <s v="Non-Travel"/>
    <n v="967"/>
    <x v="1"/>
    <n v="16"/>
    <n v="4"/>
    <s v="Technical Degree"/>
    <n v="1"/>
    <n v="1905"/>
    <n v="4"/>
    <s v="Male"/>
    <n v="85"/>
    <n v="1"/>
    <x v="1"/>
    <x v="1"/>
    <n v="1"/>
    <s v="Married"/>
    <n v="2307"/>
    <n v="14460"/>
    <n v="1"/>
    <s v="Y"/>
    <s v="Yes"/>
    <s v="Yes"/>
    <n v="23"/>
    <n v="4"/>
    <n v="2"/>
    <n v="80"/>
    <n v="1"/>
    <n v="5"/>
    <s v="0-5"/>
    <n v="2"/>
    <n v="3"/>
    <n v="5"/>
    <n v="2"/>
    <n v="3"/>
    <n v="0"/>
  </r>
  <r>
    <n v="56"/>
    <x v="0"/>
    <s v="Yes"/>
    <s v="Travel_Rarely"/>
    <n v="1162"/>
    <x v="1"/>
    <n v="24"/>
    <n v="2"/>
    <s v="Life Sciences"/>
    <n v="1"/>
    <n v="1907"/>
    <n v="1"/>
    <s v="Male"/>
    <n v="97"/>
    <n v="3"/>
    <x v="1"/>
    <x v="2"/>
    <n v="4"/>
    <s v="Single"/>
    <n v="2587"/>
    <n v="10261"/>
    <n v="1"/>
    <s v="Y"/>
    <s v="No"/>
    <s v="No"/>
    <n v="16"/>
    <n v="3"/>
    <n v="4"/>
    <n v="80"/>
    <n v="0"/>
    <n v="5"/>
    <s v="0-5"/>
    <n v="3"/>
    <n v="3"/>
    <n v="4"/>
    <n v="2"/>
    <n v="1"/>
    <n v="0"/>
  </r>
  <r>
    <n v="36"/>
    <x v="1"/>
    <s v="No"/>
    <s v="Travel_Rarely"/>
    <n v="335"/>
    <x v="0"/>
    <n v="17"/>
    <n v="2"/>
    <s v="Marketing"/>
    <n v="1"/>
    <n v="1908"/>
    <n v="3"/>
    <s v="Male"/>
    <n v="33"/>
    <n v="2"/>
    <x v="0"/>
    <x v="0"/>
    <n v="2"/>
    <s v="Married"/>
    <n v="5507"/>
    <n v="16822"/>
    <n v="2"/>
    <s v="Y"/>
    <s v="No"/>
    <s v="No"/>
    <n v="16"/>
    <n v="3"/>
    <n v="3"/>
    <n v="80"/>
    <n v="2"/>
    <n v="12"/>
    <s v="6-15"/>
    <n v="1"/>
    <n v="1"/>
    <n v="4"/>
    <n v="2"/>
    <n v="1"/>
    <n v="3"/>
  </r>
  <r>
    <n v="41"/>
    <x v="1"/>
    <s v="No"/>
    <s v="Travel_Rarely"/>
    <n v="337"/>
    <x v="0"/>
    <n v="8"/>
    <n v="3"/>
    <s v="Marketing"/>
    <n v="1"/>
    <n v="1909"/>
    <n v="3"/>
    <s v="Female"/>
    <n v="54"/>
    <n v="3"/>
    <x v="0"/>
    <x v="0"/>
    <n v="2"/>
    <s v="Married"/>
    <n v="4393"/>
    <n v="26841"/>
    <n v="5"/>
    <s v="Y"/>
    <s v="No"/>
    <s v="No"/>
    <n v="21"/>
    <n v="4"/>
    <n v="3"/>
    <n v="80"/>
    <n v="1"/>
    <n v="14"/>
    <s v="6-15"/>
    <n v="3"/>
    <n v="3"/>
    <n v="5"/>
    <n v="4"/>
    <n v="1"/>
    <n v="4"/>
  </r>
  <r>
    <n v="42"/>
    <x v="1"/>
    <s v="No"/>
    <s v="Travel_Rarely"/>
    <n v="1396"/>
    <x v="1"/>
    <n v="6"/>
    <n v="3"/>
    <s v="Medical"/>
    <n v="1"/>
    <n v="1911"/>
    <n v="3"/>
    <s v="Male"/>
    <n v="83"/>
    <n v="3"/>
    <x v="2"/>
    <x v="7"/>
    <n v="1"/>
    <s v="Married"/>
    <n v="13348"/>
    <n v="14842"/>
    <n v="9"/>
    <s v="Y"/>
    <s v="No"/>
    <s v="No"/>
    <n v="13"/>
    <n v="3"/>
    <n v="2"/>
    <n v="80"/>
    <n v="1"/>
    <n v="18"/>
    <s v="&gt;15"/>
    <n v="3"/>
    <n v="4"/>
    <n v="13"/>
    <n v="7"/>
    <n v="5"/>
    <n v="7"/>
  </r>
  <r>
    <n v="31"/>
    <x v="1"/>
    <s v="No"/>
    <s v="Travel_Rarely"/>
    <n v="1079"/>
    <x v="0"/>
    <n v="10"/>
    <n v="2"/>
    <s v="Medical"/>
    <n v="1"/>
    <n v="1912"/>
    <n v="3"/>
    <s v="Female"/>
    <n v="86"/>
    <n v="3"/>
    <x v="0"/>
    <x v="0"/>
    <n v="4"/>
    <s v="Divorced"/>
    <n v="6583"/>
    <n v="20115"/>
    <n v="2"/>
    <s v="Y"/>
    <s v="Yes"/>
    <s v="Yes"/>
    <n v="11"/>
    <n v="3"/>
    <n v="4"/>
    <n v="80"/>
    <n v="1"/>
    <n v="8"/>
    <s v="6-15"/>
    <n v="2"/>
    <n v="3"/>
    <n v="5"/>
    <n v="2"/>
    <n v="1"/>
    <n v="4"/>
  </r>
  <r>
    <n v="34"/>
    <x v="1"/>
    <s v="No"/>
    <s v="Travel_Rarely"/>
    <n v="735"/>
    <x v="0"/>
    <n v="3"/>
    <n v="1"/>
    <s v="Medical"/>
    <n v="1"/>
    <n v="1915"/>
    <n v="4"/>
    <s v="Female"/>
    <n v="75"/>
    <n v="2"/>
    <x v="0"/>
    <x v="0"/>
    <n v="4"/>
    <s v="Married"/>
    <n v="8103"/>
    <n v="16495"/>
    <n v="3"/>
    <s v="Y"/>
    <s v="Yes"/>
    <s v="Yes"/>
    <n v="12"/>
    <n v="3"/>
    <n v="3"/>
    <n v="80"/>
    <n v="0"/>
    <n v="9"/>
    <s v="6-15"/>
    <n v="3"/>
    <n v="2"/>
    <n v="4"/>
    <n v="2"/>
    <n v="0"/>
    <n v="1"/>
  </r>
  <r>
    <n v="31"/>
    <x v="1"/>
    <s v="No"/>
    <s v="Travel_Rarely"/>
    <n v="471"/>
    <x v="1"/>
    <n v="4"/>
    <n v="3"/>
    <s v="Medical"/>
    <n v="1"/>
    <n v="1916"/>
    <n v="1"/>
    <s v="Female"/>
    <n v="62"/>
    <n v="4"/>
    <x v="1"/>
    <x v="2"/>
    <n v="3"/>
    <s v="Divorced"/>
    <n v="3978"/>
    <n v="16031"/>
    <n v="8"/>
    <s v="Y"/>
    <s v="No"/>
    <s v="No"/>
    <n v="12"/>
    <n v="3"/>
    <n v="2"/>
    <n v="80"/>
    <n v="1"/>
    <n v="4"/>
    <s v="0-5"/>
    <n v="0"/>
    <n v="2"/>
    <n v="2"/>
    <n v="2"/>
    <n v="2"/>
    <n v="2"/>
  </r>
  <r>
    <n v="26"/>
    <x v="1"/>
    <s v="No"/>
    <s v="Travel_Frequently"/>
    <n v="1096"/>
    <x v="1"/>
    <n v="6"/>
    <n v="3"/>
    <s v="Other"/>
    <n v="1"/>
    <n v="1918"/>
    <n v="3"/>
    <s v="Male"/>
    <n v="61"/>
    <n v="4"/>
    <x v="1"/>
    <x v="2"/>
    <n v="4"/>
    <s v="Married"/>
    <n v="2544"/>
    <n v="7102"/>
    <n v="0"/>
    <s v="Y"/>
    <s v="No"/>
    <s v="No"/>
    <n v="18"/>
    <n v="3"/>
    <n v="1"/>
    <n v="80"/>
    <n v="1"/>
    <n v="8"/>
    <s v="6-15"/>
    <n v="3"/>
    <n v="3"/>
    <n v="7"/>
    <n v="7"/>
    <n v="7"/>
    <n v="7"/>
  </r>
  <r>
    <n v="45"/>
    <x v="1"/>
    <s v="No"/>
    <s v="Travel_Frequently"/>
    <n v="1297"/>
    <x v="1"/>
    <n v="1"/>
    <n v="4"/>
    <s v="Medical"/>
    <n v="1"/>
    <n v="1922"/>
    <n v="2"/>
    <s v="Male"/>
    <n v="44"/>
    <n v="3"/>
    <x v="0"/>
    <x v="4"/>
    <n v="3"/>
    <s v="Single"/>
    <n v="5399"/>
    <n v="14511"/>
    <n v="4"/>
    <s v="Y"/>
    <s v="No"/>
    <s v="No"/>
    <n v="12"/>
    <n v="3"/>
    <n v="3"/>
    <n v="80"/>
    <n v="0"/>
    <n v="12"/>
    <s v="6-15"/>
    <n v="3"/>
    <n v="3"/>
    <n v="4"/>
    <n v="2"/>
    <n v="0"/>
    <n v="3"/>
  </r>
  <r>
    <n v="33"/>
    <x v="1"/>
    <s v="No"/>
    <s v="Travel_Rarely"/>
    <n v="217"/>
    <x v="0"/>
    <n v="10"/>
    <n v="4"/>
    <s v="Marketing"/>
    <n v="1"/>
    <n v="1924"/>
    <n v="2"/>
    <s v="Male"/>
    <n v="43"/>
    <n v="3"/>
    <x v="0"/>
    <x v="0"/>
    <n v="3"/>
    <s v="Single"/>
    <n v="5487"/>
    <n v="10410"/>
    <n v="1"/>
    <s v="Y"/>
    <s v="No"/>
    <s v="No"/>
    <n v="14"/>
    <n v="3"/>
    <n v="2"/>
    <n v="80"/>
    <n v="0"/>
    <n v="10"/>
    <s v="6-15"/>
    <n v="2"/>
    <n v="2"/>
    <n v="10"/>
    <n v="4"/>
    <n v="0"/>
    <n v="9"/>
  </r>
  <r>
    <n v="28"/>
    <x v="1"/>
    <s v="No"/>
    <s v="Travel_Frequently"/>
    <n v="783"/>
    <x v="0"/>
    <n v="1"/>
    <n v="2"/>
    <s v="Life Sciences"/>
    <n v="1"/>
    <n v="1927"/>
    <n v="3"/>
    <s v="Male"/>
    <n v="42"/>
    <n v="2"/>
    <x v="0"/>
    <x v="0"/>
    <n v="4"/>
    <s v="Married"/>
    <n v="6834"/>
    <n v="19255"/>
    <n v="1"/>
    <s v="Y"/>
    <s v="Yes"/>
    <s v="Yes"/>
    <n v="12"/>
    <n v="3"/>
    <n v="3"/>
    <n v="80"/>
    <n v="1"/>
    <n v="7"/>
    <s v="6-15"/>
    <n v="2"/>
    <n v="3"/>
    <n v="7"/>
    <n v="7"/>
    <n v="0"/>
    <n v="7"/>
  </r>
  <r>
    <n v="29"/>
    <x v="0"/>
    <s v="Yes"/>
    <s v="Travel_Frequently"/>
    <n v="746"/>
    <x v="0"/>
    <n v="24"/>
    <n v="3"/>
    <s v="Technical Degree"/>
    <n v="1"/>
    <n v="1928"/>
    <n v="3"/>
    <s v="Male"/>
    <n v="45"/>
    <n v="4"/>
    <x v="1"/>
    <x v="6"/>
    <n v="1"/>
    <s v="Single"/>
    <n v="1091"/>
    <n v="10642"/>
    <n v="1"/>
    <s v="Y"/>
    <s v="No"/>
    <s v="No"/>
    <n v="17"/>
    <n v="3"/>
    <n v="4"/>
    <n v="80"/>
    <n v="0"/>
    <n v="1"/>
    <s v="0-5"/>
    <n v="3"/>
    <n v="3"/>
    <n v="1"/>
    <n v="0"/>
    <n v="0"/>
    <n v="0"/>
  </r>
  <r>
    <n v="39"/>
    <x v="1"/>
    <s v="No"/>
    <s v="Non-Travel"/>
    <n v="1251"/>
    <x v="0"/>
    <n v="21"/>
    <n v="4"/>
    <s v="Life Sciences"/>
    <n v="1"/>
    <n v="1929"/>
    <n v="1"/>
    <s v="Female"/>
    <n v="32"/>
    <n v="1"/>
    <x v="0"/>
    <x v="0"/>
    <n v="3"/>
    <s v="Married"/>
    <n v="5736"/>
    <n v="3987"/>
    <n v="6"/>
    <s v="Y"/>
    <s v="No"/>
    <s v="No"/>
    <n v="19"/>
    <n v="3"/>
    <n v="3"/>
    <n v="80"/>
    <n v="1"/>
    <n v="10"/>
    <s v="6-15"/>
    <n v="1"/>
    <n v="3"/>
    <n v="3"/>
    <n v="2"/>
    <n v="1"/>
    <n v="2"/>
  </r>
  <r>
    <n v="27"/>
    <x v="1"/>
    <s v="No"/>
    <s v="Travel_Rarely"/>
    <n v="1354"/>
    <x v="1"/>
    <n v="2"/>
    <n v="4"/>
    <s v="Technical Degree"/>
    <n v="1"/>
    <n v="1931"/>
    <n v="2"/>
    <s v="Male"/>
    <n v="41"/>
    <n v="3"/>
    <x v="1"/>
    <x v="1"/>
    <n v="2"/>
    <s v="Married"/>
    <n v="2226"/>
    <n v="6073"/>
    <n v="1"/>
    <s v="Y"/>
    <s v="No"/>
    <s v="No"/>
    <n v="11"/>
    <n v="3"/>
    <n v="3"/>
    <n v="80"/>
    <n v="1"/>
    <n v="6"/>
    <s v="6-15"/>
    <n v="3"/>
    <n v="2"/>
    <n v="5"/>
    <n v="3"/>
    <n v="1"/>
    <n v="2"/>
  </r>
  <r>
    <n v="34"/>
    <x v="1"/>
    <s v="No"/>
    <s v="Travel_Frequently"/>
    <n v="735"/>
    <x v="1"/>
    <n v="22"/>
    <n v="4"/>
    <s v="Other"/>
    <n v="1"/>
    <n v="1932"/>
    <n v="3"/>
    <s v="Male"/>
    <n v="86"/>
    <n v="2"/>
    <x v="0"/>
    <x v="1"/>
    <n v="4"/>
    <s v="Married"/>
    <n v="5747"/>
    <n v="26496"/>
    <n v="1"/>
    <s v="Y"/>
    <s v="Yes"/>
    <s v="Yes"/>
    <n v="15"/>
    <n v="3"/>
    <n v="2"/>
    <n v="80"/>
    <n v="0"/>
    <n v="16"/>
    <s v="&gt;15"/>
    <n v="3"/>
    <n v="3"/>
    <n v="15"/>
    <n v="10"/>
    <n v="6"/>
    <n v="11"/>
  </r>
  <r>
    <n v="28"/>
    <x v="0"/>
    <s v="Yes"/>
    <s v="Travel_Rarely"/>
    <n v="1475"/>
    <x v="0"/>
    <n v="13"/>
    <n v="2"/>
    <s v="Marketing"/>
    <n v="1"/>
    <n v="1933"/>
    <n v="4"/>
    <s v="Female"/>
    <n v="84"/>
    <n v="3"/>
    <x v="0"/>
    <x v="0"/>
    <n v="3"/>
    <s v="Single"/>
    <n v="9854"/>
    <n v="23352"/>
    <n v="3"/>
    <s v="Y"/>
    <s v="Yes"/>
    <s v="Yes"/>
    <n v="11"/>
    <n v="3"/>
    <n v="4"/>
    <n v="80"/>
    <n v="0"/>
    <n v="6"/>
    <s v="6-15"/>
    <n v="0"/>
    <n v="3"/>
    <n v="2"/>
    <n v="0"/>
    <n v="2"/>
    <n v="2"/>
  </r>
  <r>
    <n v="47"/>
    <x v="1"/>
    <s v="No"/>
    <s v="Non-Travel"/>
    <n v="1169"/>
    <x v="1"/>
    <n v="14"/>
    <n v="4"/>
    <s v="Technical Degree"/>
    <n v="1"/>
    <n v="1934"/>
    <n v="3"/>
    <s v="Male"/>
    <n v="64"/>
    <n v="3"/>
    <x v="0"/>
    <x v="1"/>
    <n v="2"/>
    <s v="Married"/>
    <n v="5467"/>
    <n v="2125"/>
    <n v="8"/>
    <s v="Y"/>
    <s v="No"/>
    <s v="No"/>
    <n v="18"/>
    <n v="3"/>
    <n v="3"/>
    <n v="80"/>
    <n v="1"/>
    <n v="16"/>
    <s v="&gt;15"/>
    <n v="4"/>
    <n v="4"/>
    <n v="8"/>
    <n v="7"/>
    <n v="1"/>
    <n v="7"/>
  </r>
  <r>
    <n v="56"/>
    <x v="1"/>
    <s v="No"/>
    <s v="Travel_Rarely"/>
    <n v="1443"/>
    <x v="0"/>
    <n v="11"/>
    <n v="5"/>
    <s v="Marketing"/>
    <n v="1"/>
    <n v="1935"/>
    <n v="4"/>
    <s v="Female"/>
    <n v="89"/>
    <n v="2"/>
    <x v="0"/>
    <x v="0"/>
    <n v="1"/>
    <s v="Married"/>
    <n v="5380"/>
    <n v="20328"/>
    <n v="4"/>
    <s v="Y"/>
    <s v="No"/>
    <s v="No"/>
    <n v="16"/>
    <n v="3"/>
    <n v="3"/>
    <n v="80"/>
    <n v="1"/>
    <n v="6"/>
    <s v="6-15"/>
    <n v="3"/>
    <n v="3"/>
    <n v="0"/>
    <n v="0"/>
    <n v="0"/>
    <n v="0"/>
  </r>
  <r>
    <n v="39"/>
    <x v="1"/>
    <s v="No"/>
    <s v="Travel_Rarely"/>
    <n v="867"/>
    <x v="1"/>
    <n v="9"/>
    <n v="2"/>
    <s v="Medical"/>
    <n v="1"/>
    <n v="1936"/>
    <n v="1"/>
    <s v="Male"/>
    <n v="87"/>
    <n v="3"/>
    <x v="0"/>
    <x v="3"/>
    <n v="1"/>
    <s v="Married"/>
    <n v="5151"/>
    <n v="12315"/>
    <n v="1"/>
    <s v="Y"/>
    <s v="No"/>
    <s v="No"/>
    <n v="25"/>
    <n v="4"/>
    <n v="4"/>
    <n v="80"/>
    <n v="1"/>
    <n v="10"/>
    <s v="6-15"/>
    <n v="3"/>
    <n v="3"/>
    <n v="10"/>
    <n v="0"/>
    <n v="7"/>
    <n v="9"/>
  </r>
  <r>
    <n v="38"/>
    <x v="1"/>
    <s v="No"/>
    <s v="Travel_Frequently"/>
    <n v="1394"/>
    <x v="1"/>
    <n v="8"/>
    <n v="3"/>
    <s v="Medical"/>
    <n v="1"/>
    <n v="1937"/>
    <n v="4"/>
    <s v="Female"/>
    <n v="58"/>
    <n v="2"/>
    <x v="0"/>
    <x v="1"/>
    <n v="2"/>
    <s v="Divorced"/>
    <n v="2133"/>
    <n v="18115"/>
    <n v="1"/>
    <s v="Y"/>
    <s v="Yes"/>
    <s v="Yes"/>
    <n v="16"/>
    <n v="3"/>
    <n v="3"/>
    <n v="80"/>
    <n v="1"/>
    <n v="20"/>
    <s v="&gt;15"/>
    <n v="3"/>
    <n v="3"/>
    <n v="20"/>
    <n v="11"/>
    <n v="0"/>
    <n v="7"/>
  </r>
  <r>
    <n v="58"/>
    <x v="1"/>
    <s v="No"/>
    <s v="Travel_Rarely"/>
    <n v="605"/>
    <x v="0"/>
    <n v="21"/>
    <n v="3"/>
    <s v="Life Sciences"/>
    <n v="1"/>
    <n v="1938"/>
    <n v="4"/>
    <s v="Female"/>
    <n v="72"/>
    <n v="3"/>
    <x v="3"/>
    <x v="5"/>
    <n v="4"/>
    <s v="Married"/>
    <n v="17875"/>
    <n v="11761"/>
    <n v="4"/>
    <s v="Y"/>
    <s v="Yes"/>
    <s v="Yes"/>
    <n v="13"/>
    <n v="3"/>
    <n v="3"/>
    <n v="80"/>
    <n v="1"/>
    <n v="29"/>
    <s v="&gt;15"/>
    <n v="2"/>
    <n v="2"/>
    <n v="1"/>
    <n v="0"/>
    <n v="0"/>
    <n v="0"/>
  </r>
  <r>
    <n v="32"/>
    <x v="0"/>
    <s v="Yes"/>
    <s v="Travel_Frequently"/>
    <n v="238"/>
    <x v="1"/>
    <n v="5"/>
    <n v="2"/>
    <s v="Life Sciences"/>
    <n v="1"/>
    <n v="1939"/>
    <n v="1"/>
    <s v="Female"/>
    <n v="47"/>
    <n v="4"/>
    <x v="1"/>
    <x v="1"/>
    <n v="3"/>
    <s v="Single"/>
    <n v="2432"/>
    <n v="15318"/>
    <n v="3"/>
    <s v="Y"/>
    <s v="Yes"/>
    <s v="Yes"/>
    <n v="14"/>
    <n v="3"/>
    <n v="1"/>
    <n v="80"/>
    <n v="0"/>
    <n v="8"/>
    <s v="6-15"/>
    <n v="2"/>
    <n v="3"/>
    <n v="4"/>
    <n v="1"/>
    <n v="0"/>
    <n v="3"/>
  </r>
  <r>
    <n v="38"/>
    <x v="1"/>
    <s v="No"/>
    <s v="Travel_Rarely"/>
    <n v="1206"/>
    <x v="1"/>
    <n v="9"/>
    <n v="2"/>
    <s v="Life Sciences"/>
    <n v="1"/>
    <n v="1940"/>
    <n v="2"/>
    <s v="Male"/>
    <n v="71"/>
    <n v="3"/>
    <x v="1"/>
    <x v="1"/>
    <n v="4"/>
    <s v="Divorced"/>
    <n v="4771"/>
    <n v="14293"/>
    <n v="2"/>
    <s v="Y"/>
    <s v="No"/>
    <s v="No"/>
    <n v="19"/>
    <n v="3"/>
    <n v="4"/>
    <n v="80"/>
    <n v="2"/>
    <n v="10"/>
    <s v="6-15"/>
    <n v="0"/>
    <n v="4"/>
    <n v="5"/>
    <n v="2"/>
    <n v="0"/>
    <n v="3"/>
  </r>
  <r>
    <n v="49"/>
    <x v="1"/>
    <s v="No"/>
    <s v="Travel_Frequently"/>
    <n v="1064"/>
    <x v="1"/>
    <n v="2"/>
    <n v="1"/>
    <s v="Life Sciences"/>
    <n v="1"/>
    <n v="1941"/>
    <n v="2"/>
    <s v="Male"/>
    <n v="42"/>
    <n v="3"/>
    <x v="4"/>
    <x v="7"/>
    <n v="4"/>
    <s v="Married"/>
    <n v="19161"/>
    <n v="13738"/>
    <n v="3"/>
    <s v="Y"/>
    <s v="No"/>
    <s v="No"/>
    <n v="15"/>
    <n v="3"/>
    <n v="4"/>
    <n v="80"/>
    <n v="0"/>
    <n v="28"/>
    <s v="&gt;15"/>
    <n v="3"/>
    <n v="3"/>
    <n v="5"/>
    <n v="4"/>
    <n v="4"/>
    <n v="3"/>
  </r>
  <r>
    <n v="42"/>
    <x v="1"/>
    <s v="No"/>
    <s v="Travel_Rarely"/>
    <n v="419"/>
    <x v="0"/>
    <n v="12"/>
    <n v="4"/>
    <s v="Marketing"/>
    <n v="1"/>
    <n v="1943"/>
    <n v="2"/>
    <s v="Male"/>
    <n v="77"/>
    <n v="3"/>
    <x v="0"/>
    <x v="0"/>
    <n v="4"/>
    <s v="Divorced"/>
    <n v="5087"/>
    <n v="2900"/>
    <n v="3"/>
    <s v="Y"/>
    <s v="Yes"/>
    <s v="Yes"/>
    <n v="12"/>
    <n v="3"/>
    <n v="3"/>
    <n v="80"/>
    <n v="2"/>
    <n v="14"/>
    <s v="6-15"/>
    <n v="4"/>
    <n v="3"/>
    <n v="0"/>
    <n v="0"/>
    <n v="0"/>
    <n v="0"/>
  </r>
  <r>
    <n v="27"/>
    <x v="0"/>
    <s v="Yes"/>
    <s v="Travel_Frequently"/>
    <n v="1337"/>
    <x v="2"/>
    <n v="22"/>
    <n v="3"/>
    <s v="Human Resources"/>
    <n v="1"/>
    <n v="1944"/>
    <n v="1"/>
    <s v="Female"/>
    <n v="58"/>
    <n v="2"/>
    <x v="1"/>
    <x v="8"/>
    <n v="2"/>
    <s v="Married"/>
    <n v="2863"/>
    <n v="19555"/>
    <n v="1"/>
    <s v="Y"/>
    <s v="No"/>
    <s v="No"/>
    <n v="12"/>
    <n v="3"/>
    <n v="1"/>
    <n v="80"/>
    <n v="0"/>
    <n v="1"/>
    <s v="0-5"/>
    <n v="2"/>
    <n v="3"/>
    <n v="1"/>
    <n v="0"/>
    <n v="0"/>
    <n v="0"/>
  </r>
  <r>
    <n v="35"/>
    <x v="1"/>
    <s v="No"/>
    <s v="Travel_Rarely"/>
    <n v="682"/>
    <x v="0"/>
    <n v="18"/>
    <n v="4"/>
    <s v="Medical"/>
    <n v="1"/>
    <n v="1945"/>
    <n v="2"/>
    <s v="Male"/>
    <n v="71"/>
    <n v="3"/>
    <x v="0"/>
    <x v="0"/>
    <n v="1"/>
    <s v="Married"/>
    <n v="5561"/>
    <n v="15975"/>
    <n v="0"/>
    <s v="Y"/>
    <s v="No"/>
    <s v="No"/>
    <n v="16"/>
    <n v="3"/>
    <n v="4"/>
    <n v="80"/>
    <n v="1"/>
    <n v="6"/>
    <s v="6-15"/>
    <n v="2"/>
    <n v="1"/>
    <n v="5"/>
    <n v="3"/>
    <n v="0"/>
    <n v="4"/>
  </r>
  <r>
    <n v="28"/>
    <x v="1"/>
    <s v="No"/>
    <s v="Non-Travel"/>
    <n v="1103"/>
    <x v="1"/>
    <n v="16"/>
    <n v="3"/>
    <s v="Medical"/>
    <n v="1"/>
    <n v="1947"/>
    <n v="3"/>
    <s v="Male"/>
    <n v="49"/>
    <n v="3"/>
    <x v="1"/>
    <x v="1"/>
    <n v="3"/>
    <s v="Single"/>
    <n v="2144"/>
    <n v="2122"/>
    <n v="1"/>
    <s v="Y"/>
    <s v="No"/>
    <s v="No"/>
    <n v="14"/>
    <n v="3"/>
    <n v="3"/>
    <n v="80"/>
    <n v="0"/>
    <n v="5"/>
    <s v="0-5"/>
    <n v="3"/>
    <n v="2"/>
    <n v="5"/>
    <n v="3"/>
    <n v="1"/>
    <n v="4"/>
  </r>
  <r>
    <n v="31"/>
    <x v="1"/>
    <s v="No"/>
    <s v="Non-Travel"/>
    <n v="976"/>
    <x v="1"/>
    <n v="3"/>
    <n v="2"/>
    <s v="Medical"/>
    <n v="1"/>
    <n v="1948"/>
    <n v="3"/>
    <s v="Male"/>
    <n v="48"/>
    <n v="3"/>
    <x v="1"/>
    <x v="1"/>
    <n v="1"/>
    <s v="Divorced"/>
    <n v="3065"/>
    <n v="3995"/>
    <n v="1"/>
    <s v="Y"/>
    <s v="Yes"/>
    <s v="Yes"/>
    <n v="13"/>
    <n v="3"/>
    <n v="4"/>
    <n v="80"/>
    <n v="1"/>
    <n v="4"/>
    <s v="0-5"/>
    <n v="3"/>
    <n v="4"/>
    <n v="4"/>
    <n v="2"/>
    <n v="2"/>
    <n v="3"/>
  </r>
  <r>
    <n v="36"/>
    <x v="1"/>
    <s v="No"/>
    <s v="Non-Travel"/>
    <n v="1351"/>
    <x v="1"/>
    <n v="9"/>
    <n v="4"/>
    <s v="Life Sciences"/>
    <n v="1"/>
    <n v="1949"/>
    <n v="1"/>
    <s v="Male"/>
    <n v="66"/>
    <n v="4"/>
    <x v="1"/>
    <x v="2"/>
    <n v="2"/>
    <s v="Married"/>
    <n v="2810"/>
    <n v="9238"/>
    <n v="1"/>
    <s v="Y"/>
    <s v="No"/>
    <s v="No"/>
    <n v="22"/>
    <n v="4"/>
    <n v="2"/>
    <n v="80"/>
    <n v="0"/>
    <n v="5"/>
    <s v="0-5"/>
    <n v="3"/>
    <n v="3"/>
    <n v="5"/>
    <n v="4"/>
    <n v="0"/>
    <n v="2"/>
  </r>
  <r>
    <n v="34"/>
    <x v="1"/>
    <s v="No"/>
    <s v="Travel_Rarely"/>
    <n v="937"/>
    <x v="0"/>
    <n v="1"/>
    <n v="3"/>
    <s v="Marketing"/>
    <n v="1"/>
    <n v="1950"/>
    <n v="1"/>
    <s v="Male"/>
    <n v="32"/>
    <n v="3"/>
    <x v="2"/>
    <x v="0"/>
    <n v="4"/>
    <s v="Single"/>
    <n v="9888"/>
    <n v="6770"/>
    <n v="1"/>
    <s v="Y"/>
    <s v="No"/>
    <s v="No"/>
    <n v="21"/>
    <n v="4"/>
    <n v="1"/>
    <n v="80"/>
    <n v="0"/>
    <n v="14"/>
    <s v="6-15"/>
    <n v="3"/>
    <n v="2"/>
    <n v="14"/>
    <n v="8"/>
    <n v="2"/>
    <n v="1"/>
  </r>
  <r>
    <n v="34"/>
    <x v="1"/>
    <s v="No"/>
    <s v="Travel_Rarely"/>
    <n v="1239"/>
    <x v="0"/>
    <n v="13"/>
    <n v="4"/>
    <s v="Medical"/>
    <n v="1"/>
    <n v="1951"/>
    <n v="4"/>
    <s v="Male"/>
    <n v="39"/>
    <n v="3"/>
    <x v="2"/>
    <x v="0"/>
    <n v="3"/>
    <s v="Divorced"/>
    <n v="8628"/>
    <n v="22914"/>
    <n v="1"/>
    <s v="Y"/>
    <s v="No"/>
    <s v="No"/>
    <n v="18"/>
    <n v="3"/>
    <n v="3"/>
    <n v="80"/>
    <n v="1"/>
    <n v="9"/>
    <s v="6-15"/>
    <n v="2"/>
    <n v="2"/>
    <n v="8"/>
    <n v="7"/>
    <n v="1"/>
    <n v="1"/>
  </r>
  <r>
    <n v="26"/>
    <x v="1"/>
    <s v="No"/>
    <s v="Travel_Rarely"/>
    <n v="157"/>
    <x v="1"/>
    <n v="1"/>
    <n v="3"/>
    <s v="Medical"/>
    <n v="1"/>
    <n v="1952"/>
    <n v="3"/>
    <s v="Male"/>
    <n v="95"/>
    <n v="3"/>
    <x v="1"/>
    <x v="2"/>
    <n v="1"/>
    <s v="Single"/>
    <n v="2867"/>
    <n v="20006"/>
    <n v="0"/>
    <s v="Y"/>
    <s v="No"/>
    <s v="No"/>
    <n v="13"/>
    <n v="3"/>
    <n v="4"/>
    <n v="80"/>
    <n v="0"/>
    <n v="8"/>
    <s v="6-15"/>
    <n v="6"/>
    <n v="2"/>
    <n v="7"/>
    <n v="7"/>
    <n v="7"/>
    <n v="6"/>
  </r>
  <r>
    <n v="29"/>
    <x v="1"/>
    <s v="No"/>
    <s v="Travel_Rarely"/>
    <n v="136"/>
    <x v="1"/>
    <n v="1"/>
    <n v="3"/>
    <s v="Life Sciences"/>
    <n v="1"/>
    <n v="1954"/>
    <n v="1"/>
    <s v="Male"/>
    <n v="89"/>
    <n v="3"/>
    <x v="0"/>
    <x v="4"/>
    <n v="1"/>
    <s v="Married"/>
    <n v="5373"/>
    <n v="6225"/>
    <n v="0"/>
    <s v="Y"/>
    <s v="No"/>
    <s v="No"/>
    <n v="12"/>
    <n v="3"/>
    <n v="1"/>
    <n v="80"/>
    <n v="1"/>
    <n v="6"/>
    <s v="6-15"/>
    <n v="5"/>
    <n v="2"/>
    <n v="5"/>
    <n v="3"/>
    <n v="0"/>
    <n v="2"/>
  </r>
  <r>
    <n v="32"/>
    <x v="1"/>
    <s v="No"/>
    <s v="Non-Travel"/>
    <n v="1146"/>
    <x v="1"/>
    <n v="15"/>
    <n v="4"/>
    <s v="Medical"/>
    <n v="1"/>
    <n v="1955"/>
    <n v="3"/>
    <s v="Female"/>
    <n v="34"/>
    <n v="3"/>
    <x v="0"/>
    <x v="4"/>
    <n v="4"/>
    <s v="Divorced"/>
    <n v="6667"/>
    <n v="16542"/>
    <n v="5"/>
    <s v="Y"/>
    <s v="No"/>
    <s v="No"/>
    <n v="18"/>
    <n v="3"/>
    <n v="2"/>
    <n v="80"/>
    <n v="1"/>
    <n v="9"/>
    <s v="6-15"/>
    <n v="6"/>
    <n v="3"/>
    <n v="5"/>
    <n v="1"/>
    <n v="1"/>
    <n v="2"/>
  </r>
  <r>
    <n v="31"/>
    <x v="1"/>
    <s v="No"/>
    <s v="Travel_Frequently"/>
    <n v="1125"/>
    <x v="1"/>
    <n v="1"/>
    <n v="3"/>
    <s v="Life Sciences"/>
    <n v="1"/>
    <n v="1956"/>
    <n v="4"/>
    <s v="Male"/>
    <n v="48"/>
    <n v="1"/>
    <x v="0"/>
    <x v="1"/>
    <n v="1"/>
    <s v="Married"/>
    <n v="5003"/>
    <n v="5771"/>
    <n v="1"/>
    <s v="Y"/>
    <s v="No"/>
    <s v="No"/>
    <n v="21"/>
    <n v="4"/>
    <n v="2"/>
    <n v="80"/>
    <n v="0"/>
    <n v="10"/>
    <s v="6-15"/>
    <n v="6"/>
    <n v="3"/>
    <n v="10"/>
    <n v="8"/>
    <n v="8"/>
    <n v="7"/>
  </r>
  <r>
    <n v="28"/>
    <x v="0"/>
    <s v="Yes"/>
    <s v="Travel_Rarely"/>
    <n v="1404"/>
    <x v="1"/>
    <n v="17"/>
    <n v="3"/>
    <s v="Technical Degree"/>
    <n v="1"/>
    <n v="1960"/>
    <n v="3"/>
    <s v="Male"/>
    <n v="32"/>
    <n v="2"/>
    <x v="1"/>
    <x v="2"/>
    <n v="4"/>
    <s v="Divorced"/>
    <n v="2367"/>
    <n v="18779"/>
    <n v="5"/>
    <s v="Y"/>
    <s v="No"/>
    <s v="No"/>
    <n v="12"/>
    <n v="3"/>
    <n v="1"/>
    <n v="80"/>
    <n v="1"/>
    <n v="6"/>
    <s v="6-15"/>
    <n v="2"/>
    <n v="2"/>
    <n v="4"/>
    <n v="1"/>
    <n v="0"/>
    <n v="3"/>
  </r>
  <r>
    <n v="38"/>
    <x v="1"/>
    <s v="No"/>
    <s v="Travel_Rarely"/>
    <n v="1404"/>
    <x v="0"/>
    <n v="1"/>
    <n v="3"/>
    <s v="Life Sciences"/>
    <n v="1"/>
    <n v="1961"/>
    <n v="1"/>
    <s v="Male"/>
    <n v="59"/>
    <n v="2"/>
    <x v="1"/>
    <x v="6"/>
    <n v="1"/>
    <s v="Single"/>
    <n v="2858"/>
    <n v="11473"/>
    <n v="4"/>
    <s v="Y"/>
    <s v="No"/>
    <s v="No"/>
    <n v="14"/>
    <n v="3"/>
    <n v="1"/>
    <n v="80"/>
    <n v="0"/>
    <n v="20"/>
    <s v="&gt;15"/>
    <n v="3"/>
    <n v="2"/>
    <n v="1"/>
    <n v="0"/>
    <n v="0"/>
    <n v="0"/>
  </r>
  <r>
    <n v="35"/>
    <x v="1"/>
    <s v="No"/>
    <s v="Travel_Rarely"/>
    <n v="1224"/>
    <x v="0"/>
    <n v="7"/>
    <n v="4"/>
    <s v="Life Sciences"/>
    <n v="1"/>
    <n v="1962"/>
    <n v="3"/>
    <s v="Female"/>
    <n v="55"/>
    <n v="3"/>
    <x v="0"/>
    <x v="0"/>
    <n v="4"/>
    <s v="Married"/>
    <n v="5204"/>
    <n v="13586"/>
    <n v="1"/>
    <s v="Y"/>
    <s v="Yes"/>
    <s v="Yes"/>
    <n v="11"/>
    <n v="3"/>
    <n v="4"/>
    <n v="80"/>
    <n v="0"/>
    <n v="10"/>
    <s v="6-15"/>
    <n v="2"/>
    <n v="3"/>
    <n v="10"/>
    <n v="8"/>
    <n v="0"/>
    <n v="9"/>
  </r>
  <r>
    <n v="27"/>
    <x v="1"/>
    <s v="No"/>
    <s v="Travel_Rarely"/>
    <n v="954"/>
    <x v="0"/>
    <n v="9"/>
    <n v="3"/>
    <s v="Marketing"/>
    <n v="1"/>
    <n v="1965"/>
    <n v="4"/>
    <s v="Male"/>
    <n v="44"/>
    <n v="3"/>
    <x v="0"/>
    <x v="0"/>
    <n v="4"/>
    <s v="Single"/>
    <n v="4105"/>
    <n v="5099"/>
    <n v="1"/>
    <s v="Y"/>
    <s v="No"/>
    <s v="No"/>
    <n v="14"/>
    <n v="3"/>
    <n v="1"/>
    <n v="80"/>
    <n v="0"/>
    <n v="7"/>
    <s v="6-15"/>
    <n v="5"/>
    <n v="3"/>
    <n v="7"/>
    <n v="7"/>
    <n v="0"/>
    <n v="7"/>
  </r>
  <r>
    <n v="32"/>
    <x v="1"/>
    <s v="No"/>
    <s v="Travel_Rarely"/>
    <n v="1373"/>
    <x v="1"/>
    <n v="5"/>
    <n v="4"/>
    <s v="Life Sciences"/>
    <n v="1"/>
    <n v="1966"/>
    <n v="4"/>
    <s v="Male"/>
    <n v="56"/>
    <n v="2"/>
    <x v="0"/>
    <x v="3"/>
    <n v="4"/>
    <s v="Single"/>
    <n v="9679"/>
    <n v="10138"/>
    <n v="8"/>
    <s v="Y"/>
    <s v="No"/>
    <s v="No"/>
    <n v="24"/>
    <n v="4"/>
    <n v="2"/>
    <n v="80"/>
    <n v="0"/>
    <n v="8"/>
    <s v="6-15"/>
    <n v="1"/>
    <n v="3"/>
    <n v="1"/>
    <n v="0"/>
    <n v="0"/>
    <n v="0"/>
  </r>
  <r>
    <n v="31"/>
    <x v="0"/>
    <s v="Yes"/>
    <s v="Travel_Frequently"/>
    <n v="754"/>
    <x v="0"/>
    <n v="26"/>
    <n v="4"/>
    <s v="Marketing"/>
    <n v="1"/>
    <n v="1967"/>
    <n v="1"/>
    <s v="Male"/>
    <n v="63"/>
    <n v="3"/>
    <x v="0"/>
    <x v="0"/>
    <n v="4"/>
    <s v="Married"/>
    <n v="5617"/>
    <n v="21075"/>
    <n v="1"/>
    <s v="Y"/>
    <s v="Yes"/>
    <s v="Yes"/>
    <n v="11"/>
    <n v="3"/>
    <n v="3"/>
    <n v="80"/>
    <n v="0"/>
    <n v="10"/>
    <s v="6-15"/>
    <n v="4"/>
    <n v="3"/>
    <n v="10"/>
    <n v="7"/>
    <n v="0"/>
    <n v="8"/>
  </r>
  <r>
    <n v="53"/>
    <x v="0"/>
    <s v="Yes"/>
    <s v="Travel_Rarely"/>
    <n v="1168"/>
    <x v="0"/>
    <n v="24"/>
    <n v="4"/>
    <s v="Life Sciences"/>
    <n v="1"/>
    <n v="1968"/>
    <n v="1"/>
    <s v="Male"/>
    <n v="66"/>
    <n v="3"/>
    <x v="2"/>
    <x v="0"/>
    <n v="1"/>
    <s v="Single"/>
    <n v="10448"/>
    <n v="5843"/>
    <n v="6"/>
    <s v="Y"/>
    <s v="Yes"/>
    <s v="Yes"/>
    <n v="13"/>
    <n v="3"/>
    <n v="2"/>
    <n v="80"/>
    <n v="0"/>
    <n v="15"/>
    <s v="6-15"/>
    <n v="2"/>
    <n v="2"/>
    <n v="2"/>
    <n v="2"/>
    <n v="2"/>
    <n v="2"/>
  </r>
  <r>
    <n v="54"/>
    <x v="1"/>
    <s v="No"/>
    <s v="Travel_Rarely"/>
    <n v="155"/>
    <x v="1"/>
    <n v="9"/>
    <n v="2"/>
    <s v="Life Sciences"/>
    <n v="1"/>
    <n v="1969"/>
    <n v="1"/>
    <s v="Female"/>
    <n v="67"/>
    <n v="3"/>
    <x v="0"/>
    <x v="1"/>
    <n v="3"/>
    <s v="Married"/>
    <n v="2897"/>
    <n v="22474"/>
    <n v="3"/>
    <s v="Y"/>
    <s v="No"/>
    <s v="No"/>
    <n v="11"/>
    <n v="3"/>
    <n v="3"/>
    <n v="80"/>
    <n v="2"/>
    <n v="9"/>
    <s v="6-15"/>
    <n v="6"/>
    <n v="2"/>
    <n v="4"/>
    <n v="3"/>
    <n v="2"/>
    <n v="3"/>
  </r>
  <r>
    <n v="33"/>
    <x v="1"/>
    <s v="No"/>
    <s v="Travel_Frequently"/>
    <n v="1303"/>
    <x v="1"/>
    <n v="7"/>
    <n v="2"/>
    <s v="Life Sciences"/>
    <n v="1"/>
    <n v="1970"/>
    <n v="4"/>
    <s v="Male"/>
    <n v="36"/>
    <n v="3"/>
    <x v="0"/>
    <x v="4"/>
    <n v="3"/>
    <s v="Divorced"/>
    <n v="5968"/>
    <n v="18079"/>
    <n v="1"/>
    <s v="Y"/>
    <s v="No"/>
    <s v="No"/>
    <n v="20"/>
    <n v="4"/>
    <n v="3"/>
    <n v="80"/>
    <n v="3"/>
    <n v="9"/>
    <s v="6-15"/>
    <n v="2"/>
    <n v="3"/>
    <n v="9"/>
    <n v="7"/>
    <n v="2"/>
    <n v="8"/>
  </r>
  <r>
    <n v="43"/>
    <x v="1"/>
    <s v="No"/>
    <s v="Travel_Rarely"/>
    <n v="574"/>
    <x v="1"/>
    <n v="11"/>
    <n v="3"/>
    <s v="Life Sciences"/>
    <n v="1"/>
    <n v="1971"/>
    <n v="1"/>
    <s v="Male"/>
    <n v="30"/>
    <n v="3"/>
    <x v="2"/>
    <x v="4"/>
    <n v="3"/>
    <s v="Married"/>
    <n v="7510"/>
    <n v="16873"/>
    <n v="1"/>
    <s v="Y"/>
    <s v="No"/>
    <s v="No"/>
    <n v="17"/>
    <n v="3"/>
    <n v="2"/>
    <n v="80"/>
    <n v="1"/>
    <n v="10"/>
    <s v="6-15"/>
    <n v="1"/>
    <n v="3"/>
    <n v="10"/>
    <n v="9"/>
    <n v="0"/>
    <n v="9"/>
  </r>
  <r>
    <n v="38"/>
    <x v="1"/>
    <s v="No"/>
    <s v="Travel_Frequently"/>
    <n v="1444"/>
    <x v="2"/>
    <n v="1"/>
    <n v="4"/>
    <s v="Other"/>
    <n v="1"/>
    <n v="1972"/>
    <n v="4"/>
    <s v="Male"/>
    <n v="88"/>
    <n v="3"/>
    <x v="1"/>
    <x v="8"/>
    <n v="2"/>
    <s v="Married"/>
    <n v="2991"/>
    <n v="5224"/>
    <n v="0"/>
    <s v="Y"/>
    <s v="Yes"/>
    <s v="Yes"/>
    <n v="11"/>
    <n v="3"/>
    <n v="2"/>
    <n v="80"/>
    <n v="1"/>
    <n v="7"/>
    <s v="6-15"/>
    <n v="2"/>
    <n v="3"/>
    <n v="6"/>
    <n v="2"/>
    <n v="1"/>
    <n v="2"/>
  </r>
  <r>
    <n v="55"/>
    <x v="1"/>
    <s v="No"/>
    <s v="Travel_Rarely"/>
    <n v="189"/>
    <x v="2"/>
    <n v="26"/>
    <n v="4"/>
    <s v="Human Resources"/>
    <n v="1"/>
    <n v="1973"/>
    <n v="3"/>
    <s v="Male"/>
    <n v="71"/>
    <n v="4"/>
    <x v="4"/>
    <x v="5"/>
    <n v="2"/>
    <s v="Married"/>
    <n v="19636"/>
    <n v="25811"/>
    <n v="4"/>
    <s v="Y"/>
    <s v="Yes"/>
    <s v="Yes"/>
    <n v="18"/>
    <n v="3"/>
    <n v="1"/>
    <n v="80"/>
    <n v="1"/>
    <n v="35"/>
    <s v="&gt;15"/>
    <n v="0"/>
    <n v="3"/>
    <n v="10"/>
    <n v="9"/>
    <n v="1"/>
    <n v="4"/>
  </r>
  <r>
    <n v="31"/>
    <x v="1"/>
    <s v="No"/>
    <s v="Travel_Rarely"/>
    <n v="1276"/>
    <x v="1"/>
    <n v="2"/>
    <n v="1"/>
    <s v="Medical"/>
    <n v="1"/>
    <n v="1974"/>
    <n v="4"/>
    <s v="Female"/>
    <n v="59"/>
    <n v="1"/>
    <x v="1"/>
    <x v="2"/>
    <n v="4"/>
    <s v="Divorced"/>
    <n v="1129"/>
    <n v="17536"/>
    <n v="1"/>
    <s v="Y"/>
    <s v="Yes"/>
    <s v="Yes"/>
    <n v="11"/>
    <n v="3"/>
    <n v="3"/>
    <n v="80"/>
    <n v="3"/>
    <n v="1"/>
    <s v="0-5"/>
    <n v="4"/>
    <n v="3"/>
    <n v="1"/>
    <n v="0"/>
    <n v="0"/>
    <n v="0"/>
  </r>
  <r>
    <n v="39"/>
    <x v="1"/>
    <s v="No"/>
    <s v="Travel_Rarely"/>
    <n v="119"/>
    <x v="0"/>
    <n v="15"/>
    <n v="4"/>
    <s v="Marketing"/>
    <n v="1"/>
    <n v="1975"/>
    <n v="2"/>
    <s v="Male"/>
    <n v="77"/>
    <n v="3"/>
    <x v="3"/>
    <x v="0"/>
    <n v="1"/>
    <s v="Single"/>
    <n v="13341"/>
    <n v="25098"/>
    <n v="0"/>
    <s v="Y"/>
    <s v="No"/>
    <s v="No"/>
    <n v="12"/>
    <n v="3"/>
    <n v="1"/>
    <n v="80"/>
    <n v="0"/>
    <n v="21"/>
    <s v="&gt;15"/>
    <n v="3"/>
    <n v="3"/>
    <n v="20"/>
    <n v="8"/>
    <n v="11"/>
    <n v="10"/>
  </r>
  <r>
    <n v="42"/>
    <x v="1"/>
    <s v="No"/>
    <s v="Non-Travel"/>
    <n v="335"/>
    <x v="1"/>
    <n v="23"/>
    <n v="2"/>
    <s v="Life Sciences"/>
    <n v="1"/>
    <n v="1976"/>
    <n v="4"/>
    <s v="Male"/>
    <n v="37"/>
    <n v="2"/>
    <x v="0"/>
    <x v="1"/>
    <n v="3"/>
    <s v="Single"/>
    <n v="4332"/>
    <n v="14811"/>
    <n v="1"/>
    <s v="Y"/>
    <s v="No"/>
    <s v="No"/>
    <n v="12"/>
    <n v="3"/>
    <n v="4"/>
    <n v="80"/>
    <n v="0"/>
    <n v="20"/>
    <s v="&gt;15"/>
    <n v="2"/>
    <n v="3"/>
    <n v="20"/>
    <n v="9"/>
    <n v="3"/>
    <n v="7"/>
  </r>
  <r>
    <n v="31"/>
    <x v="1"/>
    <s v="No"/>
    <s v="Non-Travel"/>
    <n v="697"/>
    <x v="1"/>
    <n v="10"/>
    <n v="3"/>
    <s v="Medical"/>
    <n v="1"/>
    <n v="1979"/>
    <n v="3"/>
    <s v="Female"/>
    <n v="40"/>
    <n v="3"/>
    <x v="2"/>
    <x v="7"/>
    <n v="3"/>
    <s v="Married"/>
    <n v="11031"/>
    <n v="26862"/>
    <n v="4"/>
    <s v="Y"/>
    <s v="No"/>
    <s v="No"/>
    <n v="20"/>
    <n v="4"/>
    <n v="3"/>
    <n v="80"/>
    <n v="1"/>
    <n v="13"/>
    <s v="6-15"/>
    <n v="2"/>
    <n v="4"/>
    <n v="11"/>
    <n v="7"/>
    <n v="4"/>
    <n v="8"/>
  </r>
  <r>
    <n v="54"/>
    <x v="1"/>
    <s v="No"/>
    <s v="Travel_Rarely"/>
    <n v="157"/>
    <x v="1"/>
    <n v="10"/>
    <n v="3"/>
    <s v="Medical"/>
    <n v="1"/>
    <n v="1980"/>
    <n v="3"/>
    <s v="Female"/>
    <n v="77"/>
    <n v="3"/>
    <x v="0"/>
    <x v="3"/>
    <n v="1"/>
    <s v="Single"/>
    <n v="4440"/>
    <n v="25198"/>
    <n v="6"/>
    <s v="Y"/>
    <s v="Yes"/>
    <s v="Yes"/>
    <n v="19"/>
    <n v="3"/>
    <n v="4"/>
    <n v="80"/>
    <n v="0"/>
    <n v="9"/>
    <s v="6-15"/>
    <n v="3"/>
    <n v="3"/>
    <n v="5"/>
    <n v="2"/>
    <n v="1"/>
    <n v="4"/>
  </r>
  <r>
    <n v="24"/>
    <x v="1"/>
    <s v="No"/>
    <s v="Travel_Rarely"/>
    <n v="771"/>
    <x v="1"/>
    <n v="1"/>
    <n v="2"/>
    <s v="Life Sciences"/>
    <n v="1"/>
    <n v="1981"/>
    <n v="2"/>
    <s v="Male"/>
    <n v="45"/>
    <n v="2"/>
    <x v="0"/>
    <x v="4"/>
    <n v="3"/>
    <s v="Single"/>
    <n v="4617"/>
    <n v="14120"/>
    <n v="1"/>
    <s v="Y"/>
    <s v="No"/>
    <s v="No"/>
    <n v="12"/>
    <n v="3"/>
    <n v="2"/>
    <n v="80"/>
    <n v="0"/>
    <n v="4"/>
    <s v="0-5"/>
    <n v="2"/>
    <n v="2"/>
    <n v="4"/>
    <n v="3"/>
    <n v="1"/>
    <n v="2"/>
  </r>
  <r>
    <n v="23"/>
    <x v="1"/>
    <s v="No"/>
    <s v="Travel_Rarely"/>
    <n v="571"/>
    <x v="1"/>
    <n v="12"/>
    <n v="2"/>
    <s v="Other"/>
    <n v="1"/>
    <n v="1982"/>
    <n v="4"/>
    <s v="Male"/>
    <n v="78"/>
    <n v="3"/>
    <x v="1"/>
    <x v="2"/>
    <n v="4"/>
    <s v="Single"/>
    <n v="2647"/>
    <n v="13672"/>
    <n v="1"/>
    <s v="Y"/>
    <s v="No"/>
    <s v="No"/>
    <n v="13"/>
    <n v="3"/>
    <n v="3"/>
    <n v="80"/>
    <n v="0"/>
    <n v="5"/>
    <s v="0-5"/>
    <n v="6"/>
    <n v="4"/>
    <n v="5"/>
    <n v="2"/>
    <n v="1"/>
    <n v="4"/>
  </r>
  <r>
    <n v="40"/>
    <x v="1"/>
    <s v="No"/>
    <s v="Travel_Frequently"/>
    <n v="692"/>
    <x v="1"/>
    <n v="11"/>
    <n v="3"/>
    <s v="Technical Degree"/>
    <n v="1"/>
    <n v="1985"/>
    <n v="4"/>
    <s v="Female"/>
    <n v="73"/>
    <n v="3"/>
    <x v="0"/>
    <x v="2"/>
    <n v="3"/>
    <s v="Married"/>
    <n v="6323"/>
    <n v="26849"/>
    <n v="1"/>
    <s v="Y"/>
    <s v="No"/>
    <s v="No"/>
    <n v="11"/>
    <n v="3"/>
    <n v="1"/>
    <n v="80"/>
    <n v="1"/>
    <n v="10"/>
    <s v="6-15"/>
    <n v="2"/>
    <n v="4"/>
    <n v="10"/>
    <n v="9"/>
    <n v="9"/>
    <n v="4"/>
  </r>
  <r>
    <n v="40"/>
    <x v="1"/>
    <s v="No"/>
    <s v="Travel_Rarely"/>
    <n v="444"/>
    <x v="0"/>
    <n v="2"/>
    <n v="2"/>
    <s v="Marketing"/>
    <n v="1"/>
    <n v="1986"/>
    <n v="2"/>
    <s v="Female"/>
    <n v="92"/>
    <n v="3"/>
    <x v="0"/>
    <x v="0"/>
    <n v="2"/>
    <s v="Married"/>
    <n v="5677"/>
    <n v="4258"/>
    <n v="3"/>
    <s v="Y"/>
    <s v="No"/>
    <s v="No"/>
    <n v="14"/>
    <n v="3"/>
    <n v="3"/>
    <n v="80"/>
    <n v="1"/>
    <n v="15"/>
    <s v="6-15"/>
    <n v="4"/>
    <n v="3"/>
    <n v="11"/>
    <n v="8"/>
    <n v="5"/>
    <n v="10"/>
  </r>
  <r>
    <n v="25"/>
    <x v="1"/>
    <s v="No"/>
    <s v="Travel_Rarely"/>
    <n v="309"/>
    <x v="2"/>
    <n v="2"/>
    <n v="3"/>
    <s v="Human Resources"/>
    <n v="1"/>
    <n v="1987"/>
    <n v="3"/>
    <s v="Female"/>
    <n v="82"/>
    <n v="3"/>
    <x v="1"/>
    <x v="8"/>
    <n v="2"/>
    <s v="Married"/>
    <n v="2187"/>
    <n v="19655"/>
    <n v="4"/>
    <s v="Y"/>
    <s v="No"/>
    <s v="No"/>
    <n v="14"/>
    <n v="3"/>
    <n v="3"/>
    <n v="80"/>
    <n v="0"/>
    <n v="6"/>
    <s v="6-15"/>
    <n v="3"/>
    <n v="3"/>
    <n v="2"/>
    <n v="0"/>
    <n v="1"/>
    <n v="2"/>
  </r>
  <r>
    <n v="30"/>
    <x v="1"/>
    <s v="No"/>
    <s v="Travel_Rarely"/>
    <n v="911"/>
    <x v="1"/>
    <n v="1"/>
    <n v="2"/>
    <s v="Medical"/>
    <n v="1"/>
    <n v="1989"/>
    <n v="4"/>
    <s v="Male"/>
    <n v="76"/>
    <n v="3"/>
    <x v="1"/>
    <x v="2"/>
    <n v="2"/>
    <s v="Married"/>
    <n v="3748"/>
    <n v="4077"/>
    <n v="1"/>
    <s v="Y"/>
    <s v="No"/>
    <s v="No"/>
    <n v="13"/>
    <n v="3"/>
    <n v="3"/>
    <n v="80"/>
    <n v="0"/>
    <n v="12"/>
    <s v="6-15"/>
    <n v="6"/>
    <n v="2"/>
    <n v="12"/>
    <n v="8"/>
    <n v="1"/>
    <n v="7"/>
  </r>
  <r>
    <n v="25"/>
    <x v="1"/>
    <s v="No"/>
    <s v="Travel_Rarely"/>
    <n v="977"/>
    <x v="1"/>
    <n v="2"/>
    <n v="1"/>
    <s v="Other"/>
    <n v="1"/>
    <n v="1992"/>
    <n v="4"/>
    <s v="Male"/>
    <n v="57"/>
    <n v="3"/>
    <x v="1"/>
    <x v="2"/>
    <n v="3"/>
    <s v="Divorced"/>
    <n v="3977"/>
    <n v="7298"/>
    <n v="6"/>
    <s v="Y"/>
    <s v="Yes"/>
    <s v="Yes"/>
    <n v="19"/>
    <n v="3"/>
    <n v="3"/>
    <n v="80"/>
    <n v="1"/>
    <n v="7"/>
    <s v="6-15"/>
    <n v="2"/>
    <n v="2"/>
    <n v="2"/>
    <n v="2"/>
    <n v="0"/>
    <n v="2"/>
  </r>
  <r>
    <n v="47"/>
    <x v="1"/>
    <s v="No"/>
    <s v="Travel_Rarely"/>
    <n v="1180"/>
    <x v="1"/>
    <n v="25"/>
    <n v="3"/>
    <s v="Medical"/>
    <n v="1"/>
    <n v="1993"/>
    <n v="1"/>
    <s v="Male"/>
    <n v="84"/>
    <n v="3"/>
    <x v="2"/>
    <x v="4"/>
    <n v="3"/>
    <s v="Single"/>
    <n v="8633"/>
    <n v="13084"/>
    <n v="2"/>
    <s v="Y"/>
    <s v="No"/>
    <s v="No"/>
    <n v="23"/>
    <n v="4"/>
    <n v="2"/>
    <n v="80"/>
    <n v="0"/>
    <n v="25"/>
    <s v="&gt;15"/>
    <n v="3"/>
    <n v="3"/>
    <n v="17"/>
    <n v="14"/>
    <n v="12"/>
    <n v="11"/>
  </r>
  <r>
    <n v="33"/>
    <x v="1"/>
    <s v="No"/>
    <s v="Non-Travel"/>
    <n v="1313"/>
    <x v="1"/>
    <n v="1"/>
    <n v="2"/>
    <s v="Medical"/>
    <n v="1"/>
    <n v="1994"/>
    <n v="2"/>
    <s v="Male"/>
    <n v="59"/>
    <n v="2"/>
    <x v="1"/>
    <x v="2"/>
    <n v="3"/>
    <s v="Divorced"/>
    <n v="2008"/>
    <n v="20439"/>
    <n v="1"/>
    <s v="Y"/>
    <s v="No"/>
    <s v="No"/>
    <n v="12"/>
    <n v="3"/>
    <n v="3"/>
    <n v="80"/>
    <n v="3"/>
    <n v="1"/>
    <s v="0-5"/>
    <n v="2"/>
    <n v="2"/>
    <n v="1"/>
    <n v="1"/>
    <n v="0"/>
    <n v="0"/>
  </r>
  <r>
    <n v="38"/>
    <x v="1"/>
    <s v="No"/>
    <s v="Travel_Rarely"/>
    <n v="1321"/>
    <x v="0"/>
    <n v="1"/>
    <n v="4"/>
    <s v="Life Sciences"/>
    <n v="1"/>
    <n v="1995"/>
    <n v="4"/>
    <s v="Male"/>
    <n v="86"/>
    <n v="3"/>
    <x v="0"/>
    <x v="0"/>
    <n v="2"/>
    <s v="Married"/>
    <n v="4440"/>
    <n v="7636"/>
    <n v="0"/>
    <s v="Y"/>
    <s v="No"/>
    <s v="No"/>
    <n v="15"/>
    <n v="3"/>
    <n v="1"/>
    <n v="80"/>
    <n v="2"/>
    <n v="16"/>
    <s v="&gt;15"/>
    <n v="3"/>
    <n v="3"/>
    <n v="15"/>
    <n v="13"/>
    <n v="5"/>
    <n v="8"/>
  </r>
  <r>
    <n v="31"/>
    <x v="1"/>
    <s v="No"/>
    <s v="Travel_Rarely"/>
    <n v="1154"/>
    <x v="0"/>
    <n v="2"/>
    <n v="2"/>
    <s v="Life Sciences"/>
    <n v="1"/>
    <n v="1996"/>
    <n v="1"/>
    <s v="Male"/>
    <n v="54"/>
    <n v="3"/>
    <x v="1"/>
    <x v="6"/>
    <n v="3"/>
    <s v="Married"/>
    <n v="3067"/>
    <n v="6393"/>
    <n v="0"/>
    <s v="Y"/>
    <s v="No"/>
    <s v="No"/>
    <n v="19"/>
    <n v="3"/>
    <n v="3"/>
    <n v="80"/>
    <n v="1"/>
    <n v="3"/>
    <s v="0-5"/>
    <n v="1"/>
    <n v="3"/>
    <n v="2"/>
    <n v="2"/>
    <n v="1"/>
    <n v="2"/>
  </r>
  <r>
    <n v="38"/>
    <x v="1"/>
    <s v="No"/>
    <s v="Travel_Frequently"/>
    <n v="508"/>
    <x v="1"/>
    <n v="6"/>
    <n v="4"/>
    <s v="Life Sciences"/>
    <n v="1"/>
    <n v="1997"/>
    <n v="1"/>
    <s v="Male"/>
    <n v="72"/>
    <n v="2"/>
    <x v="0"/>
    <x v="3"/>
    <n v="3"/>
    <s v="Married"/>
    <n v="5321"/>
    <n v="14284"/>
    <n v="2"/>
    <s v="Y"/>
    <s v="No"/>
    <s v="No"/>
    <n v="11"/>
    <n v="3"/>
    <n v="4"/>
    <n v="80"/>
    <n v="1"/>
    <n v="10"/>
    <s v="6-15"/>
    <n v="1"/>
    <n v="3"/>
    <n v="8"/>
    <n v="3"/>
    <n v="7"/>
    <n v="7"/>
  </r>
  <r>
    <n v="42"/>
    <x v="1"/>
    <s v="No"/>
    <s v="Travel_Rarely"/>
    <n v="557"/>
    <x v="1"/>
    <n v="18"/>
    <n v="4"/>
    <s v="Life Sciences"/>
    <n v="1"/>
    <n v="1998"/>
    <n v="4"/>
    <s v="Male"/>
    <n v="35"/>
    <n v="3"/>
    <x v="0"/>
    <x v="1"/>
    <n v="1"/>
    <s v="Divorced"/>
    <n v="5410"/>
    <n v="11189"/>
    <n v="6"/>
    <s v="Y"/>
    <s v="Yes"/>
    <s v="Yes"/>
    <n v="17"/>
    <n v="3"/>
    <n v="3"/>
    <n v="80"/>
    <n v="1"/>
    <n v="9"/>
    <s v="6-15"/>
    <n v="3"/>
    <n v="2"/>
    <n v="4"/>
    <n v="3"/>
    <n v="1"/>
    <n v="2"/>
  </r>
  <r>
    <n v="41"/>
    <x v="1"/>
    <s v="No"/>
    <s v="Travel_Rarely"/>
    <n v="642"/>
    <x v="1"/>
    <n v="1"/>
    <n v="3"/>
    <s v="Life Sciences"/>
    <n v="1"/>
    <n v="1999"/>
    <n v="4"/>
    <s v="Male"/>
    <n v="76"/>
    <n v="3"/>
    <x v="1"/>
    <x v="1"/>
    <n v="4"/>
    <s v="Married"/>
    <n v="2782"/>
    <n v="21412"/>
    <n v="3"/>
    <s v="Y"/>
    <s v="No"/>
    <s v="No"/>
    <n v="22"/>
    <n v="4"/>
    <n v="1"/>
    <n v="80"/>
    <n v="1"/>
    <n v="12"/>
    <s v="6-15"/>
    <n v="3"/>
    <n v="3"/>
    <n v="5"/>
    <n v="3"/>
    <n v="1"/>
    <n v="0"/>
  </r>
  <r>
    <n v="47"/>
    <x v="1"/>
    <s v="No"/>
    <s v="Non-Travel"/>
    <n v="1162"/>
    <x v="1"/>
    <n v="1"/>
    <n v="1"/>
    <s v="Medical"/>
    <n v="1"/>
    <n v="2000"/>
    <n v="3"/>
    <s v="Female"/>
    <n v="98"/>
    <n v="3"/>
    <x v="2"/>
    <x v="7"/>
    <n v="2"/>
    <s v="Married"/>
    <n v="11957"/>
    <n v="17231"/>
    <n v="0"/>
    <s v="Y"/>
    <s v="No"/>
    <s v="No"/>
    <n v="18"/>
    <n v="3"/>
    <n v="1"/>
    <n v="80"/>
    <n v="2"/>
    <n v="14"/>
    <s v="6-15"/>
    <n v="3"/>
    <n v="1"/>
    <n v="13"/>
    <n v="8"/>
    <n v="5"/>
    <n v="12"/>
  </r>
  <r>
    <n v="35"/>
    <x v="1"/>
    <s v="No"/>
    <s v="Travel_Rarely"/>
    <n v="1490"/>
    <x v="1"/>
    <n v="11"/>
    <n v="4"/>
    <s v="Medical"/>
    <n v="1"/>
    <n v="2003"/>
    <n v="4"/>
    <s v="Male"/>
    <n v="43"/>
    <n v="3"/>
    <x v="1"/>
    <x v="2"/>
    <n v="3"/>
    <s v="Married"/>
    <n v="2660"/>
    <n v="20232"/>
    <n v="7"/>
    <s v="Y"/>
    <s v="Yes"/>
    <s v="Yes"/>
    <n v="11"/>
    <n v="3"/>
    <n v="3"/>
    <n v="80"/>
    <n v="1"/>
    <n v="5"/>
    <s v="0-5"/>
    <n v="3"/>
    <n v="3"/>
    <n v="2"/>
    <n v="2"/>
    <n v="2"/>
    <n v="2"/>
  </r>
  <r>
    <n v="22"/>
    <x v="1"/>
    <s v="No"/>
    <s v="Travel_Rarely"/>
    <n v="581"/>
    <x v="1"/>
    <n v="1"/>
    <n v="2"/>
    <s v="Life Sciences"/>
    <n v="1"/>
    <n v="2007"/>
    <n v="4"/>
    <s v="Male"/>
    <n v="63"/>
    <n v="3"/>
    <x v="1"/>
    <x v="1"/>
    <n v="3"/>
    <s v="Single"/>
    <n v="3375"/>
    <n v="17624"/>
    <n v="0"/>
    <s v="Y"/>
    <s v="No"/>
    <s v="No"/>
    <n v="12"/>
    <n v="3"/>
    <n v="4"/>
    <n v="80"/>
    <n v="0"/>
    <n v="4"/>
    <s v="0-5"/>
    <n v="2"/>
    <n v="4"/>
    <n v="3"/>
    <n v="2"/>
    <n v="1"/>
    <n v="2"/>
  </r>
  <r>
    <n v="35"/>
    <x v="1"/>
    <s v="No"/>
    <s v="Travel_Rarely"/>
    <n v="1395"/>
    <x v="1"/>
    <n v="9"/>
    <n v="4"/>
    <s v="Medical"/>
    <n v="1"/>
    <n v="2008"/>
    <n v="2"/>
    <s v="Male"/>
    <n v="48"/>
    <n v="3"/>
    <x v="0"/>
    <x v="1"/>
    <n v="3"/>
    <s v="Single"/>
    <n v="5098"/>
    <n v="18698"/>
    <n v="1"/>
    <s v="Y"/>
    <s v="No"/>
    <s v="No"/>
    <n v="19"/>
    <n v="3"/>
    <n v="2"/>
    <n v="80"/>
    <n v="0"/>
    <n v="10"/>
    <s v="6-15"/>
    <n v="5"/>
    <n v="3"/>
    <n v="10"/>
    <n v="7"/>
    <n v="0"/>
    <n v="8"/>
  </r>
  <r>
    <n v="33"/>
    <x v="1"/>
    <s v="No"/>
    <s v="Travel_Rarely"/>
    <n v="501"/>
    <x v="1"/>
    <n v="15"/>
    <n v="2"/>
    <s v="Medical"/>
    <n v="1"/>
    <n v="2009"/>
    <n v="2"/>
    <s v="Female"/>
    <n v="95"/>
    <n v="3"/>
    <x v="0"/>
    <x v="4"/>
    <n v="4"/>
    <s v="Married"/>
    <n v="4878"/>
    <n v="21653"/>
    <n v="0"/>
    <s v="Y"/>
    <s v="Yes"/>
    <s v="Yes"/>
    <n v="13"/>
    <n v="3"/>
    <n v="1"/>
    <n v="80"/>
    <n v="1"/>
    <n v="10"/>
    <s v="6-15"/>
    <n v="6"/>
    <n v="3"/>
    <n v="9"/>
    <n v="7"/>
    <n v="8"/>
    <n v="1"/>
  </r>
  <r>
    <n v="32"/>
    <x v="1"/>
    <s v="No"/>
    <s v="Travel_Rarely"/>
    <n v="267"/>
    <x v="1"/>
    <n v="29"/>
    <n v="4"/>
    <s v="Life Sciences"/>
    <n v="1"/>
    <n v="2010"/>
    <n v="3"/>
    <s v="Female"/>
    <n v="49"/>
    <n v="2"/>
    <x v="1"/>
    <x v="2"/>
    <n v="2"/>
    <s v="Single"/>
    <n v="2837"/>
    <n v="15919"/>
    <n v="1"/>
    <s v="Y"/>
    <s v="No"/>
    <s v="No"/>
    <n v="13"/>
    <n v="3"/>
    <n v="3"/>
    <n v="80"/>
    <n v="0"/>
    <n v="6"/>
    <s v="6-15"/>
    <n v="3"/>
    <n v="3"/>
    <n v="6"/>
    <n v="2"/>
    <n v="4"/>
    <n v="1"/>
  </r>
  <r>
    <n v="40"/>
    <x v="1"/>
    <s v="No"/>
    <s v="Travel_Rarely"/>
    <n v="543"/>
    <x v="1"/>
    <n v="1"/>
    <n v="4"/>
    <s v="Life Sciences"/>
    <n v="1"/>
    <n v="2012"/>
    <n v="1"/>
    <s v="Male"/>
    <n v="83"/>
    <n v="3"/>
    <x v="1"/>
    <x v="2"/>
    <n v="4"/>
    <s v="Married"/>
    <n v="2406"/>
    <n v="4060"/>
    <n v="8"/>
    <s v="Y"/>
    <s v="No"/>
    <s v="No"/>
    <n v="19"/>
    <n v="3"/>
    <n v="3"/>
    <n v="80"/>
    <n v="2"/>
    <n v="8"/>
    <s v="6-15"/>
    <n v="3"/>
    <n v="2"/>
    <n v="1"/>
    <n v="0"/>
    <n v="0"/>
    <n v="0"/>
  </r>
  <r>
    <n v="32"/>
    <x v="1"/>
    <s v="No"/>
    <s v="Travel_Rarely"/>
    <n v="234"/>
    <x v="0"/>
    <n v="1"/>
    <n v="4"/>
    <s v="Medical"/>
    <n v="1"/>
    <n v="2013"/>
    <n v="2"/>
    <s v="Male"/>
    <n v="68"/>
    <n v="2"/>
    <x v="1"/>
    <x v="6"/>
    <n v="2"/>
    <s v="Married"/>
    <n v="2269"/>
    <n v="18024"/>
    <n v="0"/>
    <s v="Y"/>
    <s v="No"/>
    <s v="No"/>
    <n v="14"/>
    <n v="3"/>
    <n v="2"/>
    <n v="80"/>
    <n v="1"/>
    <n v="3"/>
    <s v="0-5"/>
    <n v="2"/>
    <n v="3"/>
    <n v="2"/>
    <n v="2"/>
    <n v="2"/>
    <n v="2"/>
  </r>
  <r>
    <n v="39"/>
    <x v="1"/>
    <s v="No"/>
    <s v="Travel_Rarely"/>
    <n v="116"/>
    <x v="1"/>
    <n v="24"/>
    <n v="1"/>
    <s v="Life Sciences"/>
    <n v="1"/>
    <n v="2014"/>
    <n v="1"/>
    <s v="Male"/>
    <n v="52"/>
    <n v="3"/>
    <x v="0"/>
    <x v="1"/>
    <n v="4"/>
    <s v="Single"/>
    <n v="4108"/>
    <n v="5340"/>
    <n v="7"/>
    <s v="Y"/>
    <s v="No"/>
    <s v="No"/>
    <n v="13"/>
    <n v="3"/>
    <n v="1"/>
    <n v="80"/>
    <n v="0"/>
    <n v="18"/>
    <s v="&gt;15"/>
    <n v="2"/>
    <n v="3"/>
    <n v="7"/>
    <n v="7"/>
    <n v="1"/>
    <n v="7"/>
  </r>
  <r>
    <n v="38"/>
    <x v="1"/>
    <s v="No"/>
    <s v="Travel_Rarely"/>
    <n v="201"/>
    <x v="1"/>
    <n v="10"/>
    <n v="3"/>
    <s v="Medical"/>
    <n v="1"/>
    <n v="2015"/>
    <n v="2"/>
    <s v="Female"/>
    <n v="99"/>
    <n v="1"/>
    <x v="2"/>
    <x v="7"/>
    <n v="3"/>
    <s v="Married"/>
    <n v="13206"/>
    <n v="3376"/>
    <n v="3"/>
    <s v="Y"/>
    <s v="No"/>
    <s v="No"/>
    <n v="12"/>
    <n v="3"/>
    <n v="1"/>
    <n v="80"/>
    <n v="1"/>
    <n v="20"/>
    <s v="&gt;15"/>
    <n v="3"/>
    <n v="3"/>
    <n v="18"/>
    <n v="16"/>
    <n v="1"/>
    <n v="11"/>
  </r>
  <r>
    <n v="32"/>
    <x v="1"/>
    <s v="No"/>
    <s v="Travel_Rarely"/>
    <n v="801"/>
    <x v="0"/>
    <n v="1"/>
    <n v="4"/>
    <s v="Marketing"/>
    <n v="1"/>
    <n v="2016"/>
    <n v="3"/>
    <s v="Female"/>
    <n v="48"/>
    <n v="3"/>
    <x v="2"/>
    <x v="0"/>
    <n v="4"/>
    <s v="Married"/>
    <n v="10422"/>
    <n v="24032"/>
    <n v="1"/>
    <s v="Y"/>
    <s v="No"/>
    <s v="No"/>
    <n v="19"/>
    <n v="3"/>
    <n v="3"/>
    <n v="80"/>
    <n v="2"/>
    <n v="14"/>
    <s v="6-15"/>
    <n v="3"/>
    <n v="3"/>
    <n v="14"/>
    <n v="10"/>
    <n v="5"/>
    <n v="7"/>
  </r>
  <r>
    <n v="37"/>
    <x v="1"/>
    <s v="No"/>
    <s v="Travel_Rarely"/>
    <n v="161"/>
    <x v="1"/>
    <n v="10"/>
    <n v="3"/>
    <s v="Life Sciences"/>
    <n v="1"/>
    <n v="2017"/>
    <n v="3"/>
    <s v="Female"/>
    <n v="42"/>
    <n v="4"/>
    <x v="2"/>
    <x v="7"/>
    <n v="4"/>
    <s v="Married"/>
    <n v="13744"/>
    <n v="15471"/>
    <n v="1"/>
    <s v="Y"/>
    <s v="Yes"/>
    <s v="Yes"/>
    <n v="25"/>
    <n v="4"/>
    <n v="1"/>
    <n v="80"/>
    <n v="1"/>
    <n v="16"/>
    <s v="&gt;15"/>
    <n v="2"/>
    <n v="3"/>
    <n v="16"/>
    <n v="11"/>
    <n v="6"/>
    <n v="8"/>
  </r>
  <r>
    <n v="25"/>
    <x v="1"/>
    <s v="No"/>
    <s v="Travel_Rarely"/>
    <n v="1382"/>
    <x v="0"/>
    <n v="8"/>
    <n v="2"/>
    <s v="Other"/>
    <n v="1"/>
    <n v="2018"/>
    <n v="1"/>
    <s v="Female"/>
    <n v="85"/>
    <n v="3"/>
    <x v="0"/>
    <x v="0"/>
    <n v="3"/>
    <s v="Divorced"/>
    <n v="4907"/>
    <n v="13684"/>
    <n v="0"/>
    <s v="Y"/>
    <s v="Yes"/>
    <s v="Yes"/>
    <n v="22"/>
    <n v="4"/>
    <n v="2"/>
    <n v="80"/>
    <n v="1"/>
    <n v="6"/>
    <s v="6-15"/>
    <n v="3"/>
    <n v="2"/>
    <n v="5"/>
    <n v="3"/>
    <n v="0"/>
    <n v="4"/>
  </r>
  <r>
    <n v="52"/>
    <x v="1"/>
    <s v="No"/>
    <s v="Non-Travel"/>
    <n v="585"/>
    <x v="0"/>
    <n v="29"/>
    <n v="4"/>
    <s v="Life Sciences"/>
    <n v="1"/>
    <n v="2019"/>
    <n v="1"/>
    <s v="Male"/>
    <n v="40"/>
    <n v="3"/>
    <x v="1"/>
    <x v="6"/>
    <n v="4"/>
    <s v="Divorced"/>
    <n v="3482"/>
    <n v="19788"/>
    <n v="2"/>
    <s v="Y"/>
    <s v="No"/>
    <s v="No"/>
    <n v="15"/>
    <n v="3"/>
    <n v="2"/>
    <n v="80"/>
    <n v="2"/>
    <n v="16"/>
    <s v="&gt;15"/>
    <n v="3"/>
    <n v="2"/>
    <n v="9"/>
    <n v="8"/>
    <n v="0"/>
    <n v="0"/>
  </r>
  <r>
    <n v="44"/>
    <x v="1"/>
    <s v="No"/>
    <s v="Travel_Rarely"/>
    <n v="1037"/>
    <x v="1"/>
    <n v="1"/>
    <n v="3"/>
    <s v="Medical"/>
    <n v="1"/>
    <n v="2020"/>
    <n v="2"/>
    <s v="Male"/>
    <n v="42"/>
    <n v="3"/>
    <x v="1"/>
    <x v="1"/>
    <n v="4"/>
    <s v="Single"/>
    <n v="2436"/>
    <n v="13422"/>
    <n v="6"/>
    <s v="Y"/>
    <s v="Yes"/>
    <s v="Yes"/>
    <n v="12"/>
    <n v="3"/>
    <n v="3"/>
    <n v="80"/>
    <n v="0"/>
    <n v="6"/>
    <s v="6-15"/>
    <n v="2"/>
    <n v="3"/>
    <n v="4"/>
    <n v="3"/>
    <n v="1"/>
    <n v="2"/>
  </r>
  <r>
    <n v="21"/>
    <x v="1"/>
    <s v="No"/>
    <s v="Travel_Rarely"/>
    <n v="501"/>
    <x v="0"/>
    <n v="5"/>
    <n v="1"/>
    <s v="Medical"/>
    <n v="1"/>
    <n v="2021"/>
    <n v="3"/>
    <s v="Male"/>
    <n v="58"/>
    <n v="3"/>
    <x v="1"/>
    <x v="6"/>
    <n v="1"/>
    <s v="Single"/>
    <n v="2380"/>
    <n v="25479"/>
    <n v="1"/>
    <s v="Y"/>
    <s v="Yes"/>
    <s v="Yes"/>
    <n v="11"/>
    <n v="3"/>
    <n v="4"/>
    <n v="80"/>
    <n v="0"/>
    <n v="2"/>
    <s v="0-5"/>
    <n v="6"/>
    <n v="3"/>
    <n v="2"/>
    <n v="2"/>
    <n v="1"/>
    <n v="2"/>
  </r>
  <r>
    <n v="39"/>
    <x v="1"/>
    <s v="No"/>
    <s v="Non-Travel"/>
    <n v="105"/>
    <x v="1"/>
    <n v="9"/>
    <n v="3"/>
    <s v="Life Sciences"/>
    <n v="1"/>
    <n v="2022"/>
    <n v="4"/>
    <s v="Male"/>
    <n v="87"/>
    <n v="3"/>
    <x v="4"/>
    <x v="5"/>
    <n v="4"/>
    <s v="Single"/>
    <n v="19431"/>
    <n v="15302"/>
    <n v="2"/>
    <s v="Y"/>
    <s v="No"/>
    <s v="No"/>
    <n v="13"/>
    <n v="3"/>
    <n v="3"/>
    <n v="80"/>
    <n v="0"/>
    <n v="21"/>
    <s v="&gt;15"/>
    <n v="3"/>
    <n v="2"/>
    <n v="6"/>
    <n v="0"/>
    <n v="1"/>
    <n v="3"/>
  </r>
  <r>
    <n v="23"/>
    <x v="0"/>
    <s v="Yes"/>
    <s v="Travel_Frequently"/>
    <n v="638"/>
    <x v="0"/>
    <n v="9"/>
    <n v="3"/>
    <s v="Marketing"/>
    <n v="1"/>
    <n v="2023"/>
    <n v="4"/>
    <s v="Male"/>
    <n v="33"/>
    <n v="3"/>
    <x v="1"/>
    <x v="6"/>
    <n v="1"/>
    <s v="Married"/>
    <n v="1790"/>
    <n v="26956"/>
    <n v="1"/>
    <s v="Y"/>
    <s v="No"/>
    <s v="No"/>
    <n v="19"/>
    <n v="3"/>
    <n v="1"/>
    <n v="80"/>
    <n v="1"/>
    <n v="1"/>
    <s v="0-5"/>
    <n v="3"/>
    <n v="2"/>
    <n v="1"/>
    <n v="0"/>
    <n v="1"/>
    <n v="0"/>
  </r>
  <r>
    <n v="36"/>
    <x v="1"/>
    <s v="No"/>
    <s v="Travel_Rarely"/>
    <n v="557"/>
    <x v="0"/>
    <n v="3"/>
    <n v="3"/>
    <s v="Medical"/>
    <n v="1"/>
    <n v="2024"/>
    <n v="1"/>
    <s v="Female"/>
    <n v="94"/>
    <n v="2"/>
    <x v="2"/>
    <x v="0"/>
    <n v="4"/>
    <s v="Married"/>
    <n v="7644"/>
    <n v="12695"/>
    <n v="0"/>
    <s v="Y"/>
    <s v="No"/>
    <s v="No"/>
    <n v="19"/>
    <n v="3"/>
    <n v="3"/>
    <n v="80"/>
    <n v="2"/>
    <n v="10"/>
    <s v="6-15"/>
    <n v="2"/>
    <n v="3"/>
    <n v="9"/>
    <n v="7"/>
    <n v="3"/>
    <n v="4"/>
  </r>
  <r>
    <n v="36"/>
    <x v="1"/>
    <s v="No"/>
    <s v="Travel_Frequently"/>
    <n v="688"/>
    <x v="1"/>
    <n v="4"/>
    <n v="2"/>
    <s v="Life Sciences"/>
    <n v="1"/>
    <n v="2025"/>
    <n v="4"/>
    <s v="Female"/>
    <n v="97"/>
    <n v="3"/>
    <x v="0"/>
    <x v="3"/>
    <n v="2"/>
    <s v="Divorced"/>
    <n v="5131"/>
    <n v="9192"/>
    <n v="7"/>
    <s v="Y"/>
    <s v="No"/>
    <s v="No"/>
    <n v="13"/>
    <n v="3"/>
    <n v="2"/>
    <n v="80"/>
    <n v="3"/>
    <n v="18"/>
    <s v="&gt;15"/>
    <n v="3"/>
    <n v="3"/>
    <n v="4"/>
    <n v="2"/>
    <n v="0"/>
    <n v="2"/>
  </r>
  <r>
    <n v="56"/>
    <x v="1"/>
    <s v="No"/>
    <s v="Non-Travel"/>
    <n v="667"/>
    <x v="1"/>
    <n v="1"/>
    <n v="4"/>
    <s v="Life Sciences"/>
    <n v="1"/>
    <n v="2026"/>
    <n v="3"/>
    <s v="Male"/>
    <n v="57"/>
    <n v="3"/>
    <x v="0"/>
    <x v="4"/>
    <n v="3"/>
    <s v="Divorced"/>
    <n v="6306"/>
    <n v="26236"/>
    <n v="1"/>
    <s v="Y"/>
    <s v="No"/>
    <s v="No"/>
    <n v="21"/>
    <n v="4"/>
    <n v="1"/>
    <n v="80"/>
    <n v="1"/>
    <n v="13"/>
    <s v="6-15"/>
    <n v="2"/>
    <n v="2"/>
    <n v="13"/>
    <n v="12"/>
    <n v="1"/>
    <n v="9"/>
  </r>
  <r>
    <n v="29"/>
    <x v="0"/>
    <s v="Yes"/>
    <s v="Travel_Rarely"/>
    <n v="1092"/>
    <x v="1"/>
    <n v="1"/>
    <n v="4"/>
    <s v="Medical"/>
    <n v="1"/>
    <n v="2027"/>
    <n v="1"/>
    <s v="Male"/>
    <n v="36"/>
    <n v="3"/>
    <x v="1"/>
    <x v="1"/>
    <n v="4"/>
    <s v="Married"/>
    <n v="4787"/>
    <n v="26124"/>
    <n v="9"/>
    <s v="Y"/>
    <s v="Yes"/>
    <s v="Yes"/>
    <n v="14"/>
    <n v="3"/>
    <n v="2"/>
    <n v="80"/>
    <n v="3"/>
    <n v="4"/>
    <s v="0-5"/>
    <n v="3"/>
    <n v="4"/>
    <n v="2"/>
    <n v="2"/>
    <n v="2"/>
    <n v="2"/>
  </r>
  <r>
    <n v="42"/>
    <x v="1"/>
    <s v="No"/>
    <s v="Travel_Rarely"/>
    <n v="300"/>
    <x v="1"/>
    <n v="2"/>
    <n v="3"/>
    <s v="Life Sciences"/>
    <n v="1"/>
    <n v="2031"/>
    <n v="1"/>
    <s v="Male"/>
    <n v="56"/>
    <n v="3"/>
    <x v="4"/>
    <x v="5"/>
    <n v="3"/>
    <s v="Married"/>
    <n v="18880"/>
    <n v="17312"/>
    <n v="5"/>
    <s v="Y"/>
    <s v="No"/>
    <s v="No"/>
    <n v="11"/>
    <n v="3"/>
    <n v="1"/>
    <n v="80"/>
    <n v="0"/>
    <n v="24"/>
    <s v="&gt;15"/>
    <n v="2"/>
    <n v="2"/>
    <n v="22"/>
    <n v="6"/>
    <n v="4"/>
    <n v="14"/>
  </r>
  <r>
    <n v="56"/>
    <x v="0"/>
    <s v="Yes"/>
    <s v="Travel_Rarely"/>
    <n v="310"/>
    <x v="1"/>
    <n v="7"/>
    <n v="2"/>
    <s v="Technical Degree"/>
    <n v="1"/>
    <n v="2032"/>
    <n v="4"/>
    <s v="Male"/>
    <n v="72"/>
    <n v="3"/>
    <x v="1"/>
    <x v="2"/>
    <n v="3"/>
    <s v="Married"/>
    <n v="2339"/>
    <n v="3666"/>
    <n v="8"/>
    <s v="Y"/>
    <s v="No"/>
    <s v="No"/>
    <n v="11"/>
    <n v="3"/>
    <n v="4"/>
    <n v="80"/>
    <n v="1"/>
    <n v="14"/>
    <s v="6-15"/>
    <n v="4"/>
    <n v="1"/>
    <n v="10"/>
    <n v="9"/>
    <n v="9"/>
    <n v="8"/>
  </r>
  <r>
    <n v="41"/>
    <x v="1"/>
    <s v="No"/>
    <s v="Travel_Rarely"/>
    <n v="582"/>
    <x v="1"/>
    <n v="28"/>
    <n v="4"/>
    <s v="Life Sciences"/>
    <n v="1"/>
    <n v="2034"/>
    <n v="1"/>
    <s v="Female"/>
    <n v="60"/>
    <n v="2"/>
    <x v="3"/>
    <x v="3"/>
    <n v="2"/>
    <s v="Married"/>
    <n v="13570"/>
    <n v="5640"/>
    <n v="0"/>
    <s v="Y"/>
    <s v="No"/>
    <s v="No"/>
    <n v="23"/>
    <n v="4"/>
    <n v="3"/>
    <n v="80"/>
    <n v="1"/>
    <n v="21"/>
    <s v="&gt;15"/>
    <n v="3"/>
    <n v="3"/>
    <n v="20"/>
    <n v="7"/>
    <n v="0"/>
    <n v="10"/>
  </r>
  <r>
    <n v="34"/>
    <x v="1"/>
    <s v="No"/>
    <s v="Travel_Rarely"/>
    <n v="704"/>
    <x v="0"/>
    <n v="28"/>
    <n v="3"/>
    <s v="Marketing"/>
    <n v="1"/>
    <n v="2035"/>
    <n v="4"/>
    <s v="Female"/>
    <n v="95"/>
    <n v="2"/>
    <x v="0"/>
    <x v="0"/>
    <n v="3"/>
    <s v="Married"/>
    <n v="6712"/>
    <n v="8978"/>
    <n v="1"/>
    <s v="Y"/>
    <s v="No"/>
    <s v="No"/>
    <n v="21"/>
    <n v="4"/>
    <n v="4"/>
    <n v="80"/>
    <n v="2"/>
    <n v="8"/>
    <s v="6-15"/>
    <n v="2"/>
    <n v="3"/>
    <n v="8"/>
    <n v="7"/>
    <n v="1"/>
    <n v="7"/>
  </r>
  <r>
    <n v="36"/>
    <x v="1"/>
    <s v="No"/>
    <s v="Non-Travel"/>
    <n v="301"/>
    <x v="0"/>
    <n v="15"/>
    <n v="4"/>
    <s v="Marketing"/>
    <n v="1"/>
    <n v="2036"/>
    <n v="4"/>
    <s v="Male"/>
    <n v="88"/>
    <n v="1"/>
    <x v="0"/>
    <x v="0"/>
    <n v="4"/>
    <s v="Divorced"/>
    <n v="5406"/>
    <n v="10436"/>
    <n v="1"/>
    <s v="Y"/>
    <s v="No"/>
    <s v="No"/>
    <n v="24"/>
    <n v="4"/>
    <n v="1"/>
    <n v="80"/>
    <n v="1"/>
    <n v="15"/>
    <s v="6-15"/>
    <n v="4"/>
    <n v="2"/>
    <n v="15"/>
    <n v="12"/>
    <n v="11"/>
    <n v="11"/>
  </r>
  <r>
    <n v="41"/>
    <x v="1"/>
    <s v="No"/>
    <s v="Travel_Rarely"/>
    <n v="930"/>
    <x v="0"/>
    <n v="3"/>
    <n v="3"/>
    <s v="Life Sciences"/>
    <n v="1"/>
    <n v="2037"/>
    <n v="3"/>
    <s v="Male"/>
    <n v="57"/>
    <n v="2"/>
    <x v="0"/>
    <x v="0"/>
    <n v="2"/>
    <s v="Divorced"/>
    <n v="8938"/>
    <n v="12227"/>
    <n v="2"/>
    <s v="Y"/>
    <s v="No"/>
    <s v="No"/>
    <n v="11"/>
    <n v="3"/>
    <n v="3"/>
    <n v="80"/>
    <n v="1"/>
    <n v="14"/>
    <s v="6-15"/>
    <n v="5"/>
    <n v="3"/>
    <n v="5"/>
    <n v="4"/>
    <n v="0"/>
    <n v="4"/>
  </r>
  <r>
    <n v="32"/>
    <x v="1"/>
    <s v="No"/>
    <s v="Travel_Rarely"/>
    <n v="529"/>
    <x v="1"/>
    <n v="2"/>
    <n v="3"/>
    <s v="Technical Degree"/>
    <n v="1"/>
    <n v="2038"/>
    <n v="4"/>
    <s v="Male"/>
    <n v="78"/>
    <n v="3"/>
    <x v="1"/>
    <x v="1"/>
    <n v="1"/>
    <s v="Single"/>
    <n v="2439"/>
    <n v="11288"/>
    <n v="1"/>
    <s v="Y"/>
    <s v="No"/>
    <s v="No"/>
    <n v="14"/>
    <n v="3"/>
    <n v="4"/>
    <n v="80"/>
    <n v="0"/>
    <n v="4"/>
    <s v="0-5"/>
    <n v="4"/>
    <n v="3"/>
    <n v="4"/>
    <n v="2"/>
    <n v="1"/>
    <n v="2"/>
  </r>
  <r>
    <n v="35"/>
    <x v="1"/>
    <s v="No"/>
    <s v="Travel_Rarely"/>
    <n v="1146"/>
    <x v="2"/>
    <n v="26"/>
    <n v="4"/>
    <s v="Life Sciences"/>
    <n v="1"/>
    <n v="2040"/>
    <n v="3"/>
    <s v="Female"/>
    <n v="31"/>
    <n v="3"/>
    <x v="2"/>
    <x v="8"/>
    <n v="4"/>
    <s v="Single"/>
    <n v="8837"/>
    <n v="16642"/>
    <n v="1"/>
    <s v="Y"/>
    <s v="Yes"/>
    <s v="Yes"/>
    <n v="16"/>
    <n v="3"/>
    <n v="3"/>
    <n v="80"/>
    <n v="0"/>
    <n v="9"/>
    <s v="6-15"/>
    <n v="2"/>
    <n v="3"/>
    <n v="9"/>
    <n v="0"/>
    <n v="1"/>
    <n v="7"/>
  </r>
  <r>
    <n v="38"/>
    <x v="1"/>
    <s v="No"/>
    <s v="Travel_Rarely"/>
    <n v="345"/>
    <x v="0"/>
    <n v="10"/>
    <n v="2"/>
    <s v="Life Sciences"/>
    <n v="1"/>
    <n v="2041"/>
    <n v="1"/>
    <s v="Female"/>
    <n v="100"/>
    <n v="3"/>
    <x v="0"/>
    <x v="0"/>
    <n v="4"/>
    <s v="Married"/>
    <n v="5343"/>
    <n v="5982"/>
    <n v="1"/>
    <s v="Y"/>
    <s v="No"/>
    <s v="No"/>
    <n v="11"/>
    <n v="3"/>
    <n v="3"/>
    <n v="80"/>
    <n v="1"/>
    <n v="10"/>
    <s v="6-15"/>
    <n v="1"/>
    <n v="3"/>
    <n v="10"/>
    <n v="7"/>
    <n v="1"/>
    <n v="9"/>
  </r>
  <r>
    <n v="50"/>
    <x v="0"/>
    <s v="Yes"/>
    <s v="Travel_Frequently"/>
    <n v="878"/>
    <x v="0"/>
    <n v="1"/>
    <n v="4"/>
    <s v="Life Sciences"/>
    <n v="1"/>
    <n v="2044"/>
    <n v="2"/>
    <s v="Male"/>
    <n v="94"/>
    <n v="3"/>
    <x v="0"/>
    <x v="0"/>
    <n v="3"/>
    <s v="Divorced"/>
    <n v="6728"/>
    <n v="14255"/>
    <n v="7"/>
    <s v="Y"/>
    <s v="No"/>
    <s v="No"/>
    <n v="12"/>
    <n v="3"/>
    <n v="4"/>
    <n v="80"/>
    <n v="2"/>
    <n v="12"/>
    <s v="6-15"/>
    <n v="3"/>
    <n v="3"/>
    <n v="6"/>
    <n v="3"/>
    <n v="0"/>
    <n v="1"/>
  </r>
  <r>
    <n v="36"/>
    <x v="1"/>
    <s v="No"/>
    <s v="Travel_Rarely"/>
    <n v="1120"/>
    <x v="0"/>
    <n v="11"/>
    <n v="4"/>
    <s v="Marketing"/>
    <n v="1"/>
    <n v="2045"/>
    <n v="2"/>
    <s v="Female"/>
    <n v="100"/>
    <n v="2"/>
    <x v="0"/>
    <x v="0"/>
    <n v="4"/>
    <s v="Married"/>
    <n v="6652"/>
    <n v="14369"/>
    <n v="4"/>
    <s v="Y"/>
    <s v="No"/>
    <s v="No"/>
    <n v="13"/>
    <n v="3"/>
    <n v="1"/>
    <n v="80"/>
    <n v="1"/>
    <n v="8"/>
    <s v="6-15"/>
    <n v="2"/>
    <n v="2"/>
    <n v="6"/>
    <n v="3"/>
    <n v="0"/>
    <n v="0"/>
  </r>
  <r>
    <n v="45"/>
    <x v="1"/>
    <s v="No"/>
    <s v="Travel_Rarely"/>
    <n v="374"/>
    <x v="0"/>
    <n v="20"/>
    <n v="3"/>
    <s v="Life Sciences"/>
    <n v="1"/>
    <n v="2046"/>
    <n v="4"/>
    <s v="Female"/>
    <n v="50"/>
    <n v="3"/>
    <x v="0"/>
    <x v="0"/>
    <n v="3"/>
    <s v="Single"/>
    <n v="4850"/>
    <n v="23333"/>
    <n v="8"/>
    <s v="Y"/>
    <s v="No"/>
    <s v="No"/>
    <n v="15"/>
    <n v="3"/>
    <n v="3"/>
    <n v="80"/>
    <n v="0"/>
    <n v="8"/>
    <s v="6-15"/>
    <n v="3"/>
    <n v="3"/>
    <n v="5"/>
    <n v="3"/>
    <n v="0"/>
    <n v="1"/>
  </r>
  <r>
    <n v="40"/>
    <x v="1"/>
    <s v="No"/>
    <s v="Travel_Rarely"/>
    <n v="1322"/>
    <x v="1"/>
    <n v="2"/>
    <n v="4"/>
    <s v="Life Sciences"/>
    <n v="1"/>
    <n v="2048"/>
    <n v="3"/>
    <s v="Male"/>
    <n v="52"/>
    <n v="2"/>
    <x v="1"/>
    <x v="1"/>
    <n v="3"/>
    <s v="Single"/>
    <n v="2809"/>
    <n v="2725"/>
    <n v="2"/>
    <s v="Y"/>
    <s v="No"/>
    <s v="No"/>
    <n v="14"/>
    <n v="3"/>
    <n v="4"/>
    <n v="80"/>
    <n v="0"/>
    <n v="8"/>
    <s v="6-15"/>
    <n v="2"/>
    <n v="3"/>
    <n v="2"/>
    <n v="2"/>
    <n v="2"/>
    <n v="2"/>
  </r>
  <r>
    <n v="35"/>
    <x v="1"/>
    <s v="No"/>
    <s v="Travel_Frequently"/>
    <n v="1199"/>
    <x v="1"/>
    <n v="18"/>
    <n v="4"/>
    <s v="Life Sciences"/>
    <n v="1"/>
    <n v="2049"/>
    <n v="3"/>
    <s v="Male"/>
    <n v="80"/>
    <n v="3"/>
    <x v="0"/>
    <x v="4"/>
    <n v="3"/>
    <s v="Married"/>
    <n v="5689"/>
    <n v="24594"/>
    <n v="1"/>
    <s v="Y"/>
    <s v="Yes"/>
    <s v="Yes"/>
    <n v="14"/>
    <n v="3"/>
    <n v="4"/>
    <n v="80"/>
    <n v="2"/>
    <n v="10"/>
    <s v="6-15"/>
    <n v="2"/>
    <n v="4"/>
    <n v="10"/>
    <n v="2"/>
    <n v="0"/>
    <n v="2"/>
  </r>
  <r>
    <n v="40"/>
    <x v="1"/>
    <s v="No"/>
    <s v="Travel_Rarely"/>
    <n v="1194"/>
    <x v="1"/>
    <n v="2"/>
    <n v="4"/>
    <s v="Medical"/>
    <n v="1"/>
    <n v="2051"/>
    <n v="3"/>
    <s v="Female"/>
    <n v="98"/>
    <n v="3"/>
    <x v="1"/>
    <x v="1"/>
    <n v="3"/>
    <s v="Married"/>
    <n v="2001"/>
    <n v="12549"/>
    <n v="2"/>
    <s v="Y"/>
    <s v="No"/>
    <s v="No"/>
    <n v="14"/>
    <n v="3"/>
    <n v="2"/>
    <n v="80"/>
    <n v="3"/>
    <n v="20"/>
    <s v="&gt;15"/>
    <n v="2"/>
    <n v="3"/>
    <n v="5"/>
    <n v="3"/>
    <n v="0"/>
    <n v="2"/>
  </r>
  <r>
    <n v="35"/>
    <x v="1"/>
    <s v="No"/>
    <s v="Travel_Rarely"/>
    <n v="287"/>
    <x v="1"/>
    <n v="1"/>
    <n v="4"/>
    <s v="Life Sciences"/>
    <n v="1"/>
    <n v="2052"/>
    <n v="3"/>
    <s v="Female"/>
    <n v="62"/>
    <n v="1"/>
    <x v="1"/>
    <x v="1"/>
    <n v="4"/>
    <s v="Married"/>
    <n v="2977"/>
    <n v="8952"/>
    <n v="1"/>
    <s v="Y"/>
    <s v="No"/>
    <s v="No"/>
    <n v="12"/>
    <n v="3"/>
    <n v="4"/>
    <n v="80"/>
    <n v="1"/>
    <n v="4"/>
    <s v="0-5"/>
    <n v="5"/>
    <n v="3"/>
    <n v="4"/>
    <n v="3"/>
    <n v="1"/>
    <n v="1"/>
  </r>
  <r>
    <n v="29"/>
    <x v="1"/>
    <s v="No"/>
    <s v="Travel_Rarely"/>
    <n v="1378"/>
    <x v="1"/>
    <n v="13"/>
    <n v="2"/>
    <s v="Other"/>
    <n v="1"/>
    <n v="2053"/>
    <n v="4"/>
    <s v="Male"/>
    <n v="46"/>
    <n v="2"/>
    <x v="0"/>
    <x v="2"/>
    <n v="2"/>
    <s v="Married"/>
    <n v="4025"/>
    <n v="23679"/>
    <n v="4"/>
    <s v="Y"/>
    <s v="Yes"/>
    <s v="Yes"/>
    <n v="13"/>
    <n v="3"/>
    <n v="1"/>
    <n v="80"/>
    <n v="1"/>
    <n v="10"/>
    <s v="6-15"/>
    <n v="2"/>
    <n v="3"/>
    <n v="4"/>
    <n v="3"/>
    <n v="0"/>
    <n v="3"/>
  </r>
  <r>
    <n v="29"/>
    <x v="1"/>
    <s v="No"/>
    <s v="Travel_Rarely"/>
    <n v="468"/>
    <x v="1"/>
    <n v="28"/>
    <n v="4"/>
    <s v="Medical"/>
    <n v="1"/>
    <n v="2054"/>
    <n v="4"/>
    <s v="Female"/>
    <n v="73"/>
    <n v="2"/>
    <x v="1"/>
    <x v="1"/>
    <n v="1"/>
    <s v="Single"/>
    <n v="3785"/>
    <n v="8489"/>
    <n v="1"/>
    <s v="Y"/>
    <s v="No"/>
    <s v="No"/>
    <n v="14"/>
    <n v="3"/>
    <n v="2"/>
    <n v="80"/>
    <n v="0"/>
    <n v="5"/>
    <s v="0-5"/>
    <n v="3"/>
    <n v="1"/>
    <n v="5"/>
    <n v="4"/>
    <n v="0"/>
    <n v="4"/>
  </r>
  <r>
    <n v="50"/>
    <x v="0"/>
    <s v="Yes"/>
    <s v="Travel_Rarely"/>
    <n v="410"/>
    <x v="0"/>
    <n v="28"/>
    <n v="3"/>
    <s v="Marketing"/>
    <n v="1"/>
    <n v="2055"/>
    <n v="4"/>
    <s v="Male"/>
    <n v="39"/>
    <n v="2"/>
    <x v="2"/>
    <x v="0"/>
    <n v="1"/>
    <s v="Divorced"/>
    <n v="10854"/>
    <n v="16586"/>
    <n v="4"/>
    <s v="Y"/>
    <s v="Yes"/>
    <s v="Yes"/>
    <n v="13"/>
    <n v="3"/>
    <n v="2"/>
    <n v="80"/>
    <n v="1"/>
    <n v="20"/>
    <s v="&gt;15"/>
    <n v="3"/>
    <n v="3"/>
    <n v="3"/>
    <n v="2"/>
    <n v="2"/>
    <n v="0"/>
  </r>
  <r>
    <n v="39"/>
    <x v="1"/>
    <s v="No"/>
    <s v="Travel_Rarely"/>
    <n v="722"/>
    <x v="0"/>
    <n v="24"/>
    <n v="1"/>
    <s v="Marketing"/>
    <n v="1"/>
    <n v="2056"/>
    <n v="2"/>
    <s v="Female"/>
    <n v="60"/>
    <n v="2"/>
    <x v="3"/>
    <x v="0"/>
    <n v="4"/>
    <s v="Married"/>
    <n v="12031"/>
    <n v="8828"/>
    <n v="0"/>
    <s v="Y"/>
    <s v="No"/>
    <s v="No"/>
    <n v="11"/>
    <n v="3"/>
    <n v="1"/>
    <n v="80"/>
    <n v="1"/>
    <n v="21"/>
    <s v="&gt;15"/>
    <n v="2"/>
    <n v="2"/>
    <n v="20"/>
    <n v="9"/>
    <n v="9"/>
    <n v="6"/>
  </r>
  <r>
    <n v="31"/>
    <x v="1"/>
    <s v="No"/>
    <s v="Non-Travel"/>
    <n v="325"/>
    <x v="1"/>
    <n v="5"/>
    <n v="3"/>
    <s v="Medical"/>
    <n v="1"/>
    <n v="2057"/>
    <n v="2"/>
    <s v="Male"/>
    <n v="74"/>
    <n v="3"/>
    <x v="0"/>
    <x v="3"/>
    <n v="1"/>
    <s v="Single"/>
    <n v="9936"/>
    <n v="3787"/>
    <n v="0"/>
    <s v="Y"/>
    <s v="No"/>
    <s v="No"/>
    <n v="19"/>
    <n v="3"/>
    <n v="2"/>
    <n v="80"/>
    <n v="0"/>
    <n v="10"/>
    <s v="6-15"/>
    <n v="2"/>
    <n v="3"/>
    <n v="9"/>
    <n v="4"/>
    <n v="1"/>
    <n v="7"/>
  </r>
  <r>
    <n v="26"/>
    <x v="1"/>
    <s v="No"/>
    <s v="Travel_Rarely"/>
    <n v="1167"/>
    <x v="0"/>
    <n v="5"/>
    <n v="3"/>
    <s v="Other"/>
    <n v="1"/>
    <n v="2060"/>
    <n v="4"/>
    <s v="Female"/>
    <n v="30"/>
    <n v="2"/>
    <x v="1"/>
    <x v="6"/>
    <n v="3"/>
    <s v="Single"/>
    <n v="2966"/>
    <n v="21378"/>
    <n v="0"/>
    <s v="Y"/>
    <s v="No"/>
    <s v="No"/>
    <n v="18"/>
    <n v="3"/>
    <n v="4"/>
    <n v="80"/>
    <n v="0"/>
    <n v="5"/>
    <s v="0-5"/>
    <n v="2"/>
    <n v="3"/>
    <n v="4"/>
    <n v="2"/>
    <n v="0"/>
    <n v="0"/>
  </r>
  <r>
    <n v="36"/>
    <x v="1"/>
    <s v="No"/>
    <s v="Travel_Frequently"/>
    <n v="884"/>
    <x v="1"/>
    <n v="23"/>
    <n v="2"/>
    <s v="Medical"/>
    <n v="1"/>
    <n v="2061"/>
    <n v="3"/>
    <s v="Male"/>
    <n v="41"/>
    <n v="4"/>
    <x v="0"/>
    <x v="2"/>
    <n v="4"/>
    <s v="Married"/>
    <n v="2571"/>
    <n v="12290"/>
    <n v="4"/>
    <s v="Y"/>
    <s v="No"/>
    <s v="No"/>
    <n v="17"/>
    <n v="3"/>
    <n v="3"/>
    <n v="80"/>
    <n v="1"/>
    <n v="17"/>
    <s v="&gt;15"/>
    <n v="3"/>
    <n v="3"/>
    <n v="5"/>
    <n v="2"/>
    <n v="0"/>
    <n v="3"/>
  </r>
  <r>
    <n v="39"/>
    <x v="1"/>
    <s v="No"/>
    <s v="Travel_Rarely"/>
    <n v="613"/>
    <x v="1"/>
    <n v="6"/>
    <n v="1"/>
    <s v="Medical"/>
    <n v="1"/>
    <n v="2062"/>
    <n v="4"/>
    <s v="Male"/>
    <n v="42"/>
    <n v="2"/>
    <x v="2"/>
    <x v="4"/>
    <n v="1"/>
    <s v="Married"/>
    <n v="9991"/>
    <n v="21457"/>
    <n v="4"/>
    <s v="Y"/>
    <s v="No"/>
    <s v="No"/>
    <n v="15"/>
    <n v="3"/>
    <n v="1"/>
    <n v="80"/>
    <n v="1"/>
    <n v="9"/>
    <s v="6-15"/>
    <n v="5"/>
    <n v="3"/>
    <n v="7"/>
    <n v="7"/>
    <n v="1"/>
    <n v="7"/>
  </r>
  <r>
    <n v="27"/>
    <x v="1"/>
    <s v="No"/>
    <s v="Travel_Rarely"/>
    <n v="155"/>
    <x v="1"/>
    <n v="4"/>
    <n v="3"/>
    <s v="Life Sciences"/>
    <n v="1"/>
    <n v="2064"/>
    <n v="2"/>
    <s v="Male"/>
    <n v="87"/>
    <n v="4"/>
    <x v="0"/>
    <x v="3"/>
    <n v="2"/>
    <s v="Married"/>
    <n v="6142"/>
    <n v="5174"/>
    <n v="1"/>
    <s v="Y"/>
    <s v="Yes"/>
    <s v="Yes"/>
    <n v="20"/>
    <n v="4"/>
    <n v="2"/>
    <n v="80"/>
    <n v="1"/>
    <n v="6"/>
    <s v="6-15"/>
    <n v="0"/>
    <n v="3"/>
    <n v="6"/>
    <n v="2"/>
    <n v="0"/>
    <n v="3"/>
  </r>
  <r>
    <n v="49"/>
    <x v="1"/>
    <s v="No"/>
    <s v="Travel_Frequently"/>
    <n v="1023"/>
    <x v="0"/>
    <n v="2"/>
    <n v="3"/>
    <s v="Medical"/>
    <n v="1"/>
    <n v="2065"/>
    <n v="4"/>
    <s v="Male"/>
    <n v="63"/>
    <n v="2"/>
    <x v="0"/>
    <x v="0"/>
    <n v="2"/>
    <s v="Married"/>
    <n v="5390"/>
    <n v="13243"/>
    <n v="2"/>
    <s v="Y"/>
    <s v="No"/>
    <s v="No"/>
    <n v="14"/>
    <n v="3"/>
    <n v="4"/>
    <n v="80"/>
    <n v="0"/>
    <n v="17"/>
    <s v="&gt;15"/>
    <n v="3"/>
    <n v="2"/>
    <n v="9"/>
    <n v="6"/>
    <n v="0"/>
    <n v="8"/>
  </r>
  <r>
    <n v="34"/>
    <x v="1"/>
    <s v="No"/>
    <s v="Travel_Rarely"/>
    <n v="628"/>
    <x v="1"/>
    <n v="8"/>
    <n v="3"/>
    <s v="Medical"/>
    <n v="1"/>
    <n v="2068"/>
    <n v="2"/>
    <s v="Male"/>
    <n v="82"/>
    <n v="4"/>
    <x v="0"/>
    <x v="2"/>
    <n v="3"/>
    <s v="Married"/>
    <n v="4404"/>
    <n v="10228"/>
    <n v="2"/>
    <s v="Y"/>
    <s v="No"/>
    <s v="No"/>
    <n v="12"/>
    <n v="3"/>
    <n v="1"/>
    <n v="80"/>
    <n v="0"/>
    <n v="6"/>
    <s v="6-15"/>
    <n v="3"/>
    <n v="4"/>
    <n v="4"/>
    <n v="3"/>
    <n v="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s v="Yes"/>
    <n v="11"/>
    <n v="3"/>
    <n v="1"/>
    <n v="80"/>
    <n v="0"/>
    <n v="8"/>
    <s v="6-15"/>
    <n v="0"/>
    <n v="1"/>
    <n v="6"/>
    <n v="4"/>
    <n v="0"/>
    <n v="5"/>
    <s v="Below Avg"/>
    <n v="28.280081577158395"/>
  </r>
  <r>
    <n v="49"/>
    <x v="1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s v="No"/>
    <n v="23"/>
    <n v="4"/>
    <n v="4"/>
    <n v="80"/>
    <n v="1"/>
    <n v="10"/>
    <s v="6-15"/>
    <n v="3"/>
    <n v="3"/>
    <n v="10"/>
    <n v="7"/>
    <n v="1"/>
    <n v="7"/>
    <s v="Below Avg"/>
    <n v="28.299319727891159"/>
  </r>
  <r>
    <n v="37"/>
    <x v="0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s v="Yes"/>
    <n v="15"/>
    <n v="3"/>
    <n v="2"/>
    <n v="80"/>
    <n v="0"/>
    <n v="7"/>
    <s v="6-15"/>
    <n v="3"/>
    <n v="3"/>
    <n v="0"/>
    <n v="0"/>
    <n v="0"/>
    <n v="0"/>
    <s v="Below Avg"/>
    <n v="28.250510551395507"/>
  </r>
  <r>
    <n v="33"/>
    <x v="1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s v="Yes"/>
    <n v="11"/>
    <n v="3"/>
    <n v="3"/>
    <n v="80"/>
    <n v="0"/>
    <n v="8"/>
    <s v="6-15"/>
    <n v="3"/>
    <n v="3"/>
    <n v="8"/>
    <n v="7"/>
    <n v="3"/>
    <n v="0"/>
    <s v="Below Avg"/>
    <n v="28.269754768392367"/>
  </r>
  <r>
    <n v="27"/>
    <x v="1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s v="No"/>
    <n v="12"/>
    <n v="3"/>
    <n v="4"/>
    <n v="80"/>
    <n v="1"/>
    <n v="6"/>
    <s v="6-15"/>
    <n v="3"/>
    <n v="3"/>
    <n v="2"/>
    <n v="2"/>
    <n v="2"/>
    <n v="2"/>
    <s v="Below Avg"/>
    <n v="28.220858895705518"/>
  </r>
  <r>
    <n v="32"/>
    <x v="1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s v="No"/>
    <n v="13"/>
    <n v="3"/>
    <n v="3"/>
    <n v="80"/>
    <n v="0"/>
    <n v="8"/>
    <s v="6-15"/>
    <n v="2"/>
    <n v="2"/>
    <n v="7"/>
    <n v="7"/>
    <n v="3"/>
    <n v="6"/>
    <s v="Below Avg"/>
    <n v="28.171896316507507"/>
  </r>
  <r>
    <n v="59"/>
    <x v="1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s v="Yes"/>
    <n v="20"/>
    <n v="4"/>
    <n v="1"/>
    <n v="80"/>
    <n v="3"/>
    <n v="12"/>
    <s v="6-15"/>
    <n v="3"/>
    <n v="2"/>
    <n v="1"/>
    <n v="0"/>
    <n v="0"/>
    <n v="0"/>
    <s v="Below Avg"/>
    <n v="28.191126279863482"/>
  </r>
  <r>
    <n v="30"/>
    <x v="1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s v="No"/>
    <n v="22"/>
    <n v="4"/>
    <n v="2"/>
    <n v="80"/>
    <n v="1"/>
    <n v="1"/>
    <s v="0-5"/>
    <n v="2"/>
    <n v="3"/>
    <n v="1"/>
    <n v="0"/>
    <n v="0"/>
    <n v="0"/>
    <s v="Below Avg"/>
    <n v="28.210382513661202"/>
  </r>
  <r>
    <n v="38"/>
    <x v="1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s v="No"/>
    <n v="21"/>
    <n v="4"/>
    <n v="2"/>
    <n v="80"/>
    <n v="0"/>
    <n v="10"/>
    <s v="6-15"/>
    <n v="2"/>
    <n v="3"/>
    <n v="9"/>
    <n v="7"/>
    <n v="1"/>
    <n v="8"/>
    <s v="Ok"/>
    <n v="28.161312371838687"/>
  </r>
  <r>
    <n v="36"/>
    <x v="1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s v="No"/>
    <n v="13"/>
    <n v="3"/>
    <n v="2"/>
    <n v="80"/>
    <n v="2"/>
    <n v="17"/>
    <s v="&gt;15"/>
    <n v="3"/>
    <n v="2"/>
    <n v="7"/>
    <n v="7"/>
    <n v="7"/>
    <n v="7"/>
    <s v="Below Avg"/>
    <n v="28.18057455540356"/>
  </r>
  <r>
    <n v="35"/>
    <x v="1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s v="No"/>
    <n v="13"/>
    <n v="3"/>
    <n v="3"/>
    <n v="80"/>
    <n v="1"/>
    <n v="6"/>
    <s v="6-15"/>
    <n v="5"/>
    <n v="3"/>
    <n v="5"/>
    <n v="4"/>
    <n v="0"/>
    <n v="3"/>
    <s v="Below Avg"/>
    <n v="28.199863107460644"/>
  </r>
  <r>
    <n v="29"/>
    <x v="1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s v="Yes"/>
    <n v="12"/>
    <n v="3"/>
    <n v="4"/>
    <n v="80"/>
    <n v="0"/>
    <n v="10"/>
    <s v="6-15"/>
    <n v="3"/>
    <n v="3"/>
    <n v="9"/>
    <n v="5"/>
    <n v="0"/>
    <n v="8"/>
    <s v="Below Avg"/>
    <n v="28.219178082191782"/>
  </r>
  <r>
    <n v="31"/>
    <x v="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s v="No"/>
    <n v="17"/>
    <n v="3"/>
    <n v="4"/>
    <n v="80"/>
    <n v="1"/>
    <n v="5"/>
    <s v="0-5"/>
    <n v="1"/>
    <n v="2"/>
    <n v="5"/>
    <n v="2"/>
    <n v="4"/>
    <n v="3"/>
    <s v="Below Avg"/>
    <n v="28.238519533927349"/>
  </r>
  <r>
    <n v="34"/>
    <x v="1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s v="No"/>
    <n v="11"/>
    <n v="3"/>
    <n v="3"/>
    <n v="80"/>
    <n v="1"/>
    <n v="3"/>
    <s v="0-5"/>
    <n v="2"/>
    <n v="3"/>
    <n v="2"/>
    <n v="2"/>
    <n v="1"/>
    <n v="2"/>
    <s v="Below Avg"/>
    <n v="28.189300411522634"/>
  </r>
  <r>
    <n v="28"/>
    <x v="0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s v="Yes"/>
    <n v="14"/>
    <n v="3"/>
    <n v="2"/>
    <n v="80"/>
    <n v="0"/>
    <n v="6"/>
    <s v="6-15"/>
    <n v="4"/>
    <n v="3"/>
    <n v="4"/>
    <n v="2"/>
    <n v="0"/>
    <n v="3"/>
    <s v="Below Avg"/>
    <n v="28.208647906657514"/>
  </r>
  <r>
    <n v="29"/>
    <x v="1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s v="No"/>
    <n v="11"/>
    <n v="3"/>
    <n v="3"/>
    <n v="80"/>
    <n v="1"/>
    <n v="10"/>
    <s v="6-15"/>
    <n v="1"/>
    <n v="3"/>
    <n v="10"/>
    <n v="9"/>
    <n v="8"/>
    <n v="8"/>
    <s v="Ok"/>
    <n v="28.228021978021978"/>
  </r>
  <r>
    <n v="32"/>
    <x v="1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s v="Yes"/>
    <n v="12"/>
    <n v="3"/>
    <n v="4"/>
    <n v="80"/>
    <n v="2"/>
    <n v="7"/>
    <s v="6-15"/>
    <n v="5"/>
    <n v="2"/>
    <n v="6"/>
    <n v="2"/>
    <n v="0"/>
    <n v="5"/>
    <s v="Below Avg"/>
    <n v="28.178694158075601"/>
  </r>
  <r>
    <n v="22"/>
    <x v="1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s v="Yes"/>
    <n v="13"/>
    <n v="3"/>
    <n v="2"/>
    <n v="80"/>
    <n v="2"/>
    <n v="1"/>
    <s v="0-5"/>
    <n v="2"/>
    <n v="2"/>
    <n v="1"/>
    <n v="0"/>
    <n v="0"/>
    <n v="0"/>
    <s v="Below Avg"/>
    <n v="28.198074277854197"/>
  </r>
  <r>
    <n v="53"/>
    <x v="1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s v="No"/>
    <n v="16"/>
    <n v="3"/>
    <n v="3"/>
    <n v="80"/>
    <n v="0"/>
    <n v="31"/>
    <s v="&gt;15"/>
    <n v="3"/>
    <n v="3"/>
    <n v="25"/>
    <n v="8"/>
    <n v="3"/>
    <n v="7"/>
    <s v="Ok"/>
    <n v="28.148657949070888"/>
  </r>
  <r>
    <n v="38"/>
    <x v="1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s v="Yes"/>
    <n v="11"/>
    <n v="3"/>
    <n v="3"/>
    <n v="80"/>
    <n v="0"/>
    <n v="6"/>
    <s v="6-15"/>
    <n v="3"/>
    <n v="3"/>
    <n v="3"/>
    <n v="2"/>
    <n v="1"/>
    <n v="2"/>
    <s v="Below Avg"/>
    <n v="28.099173553719009"/>
  </r>
  <r>
    <n v="24"/>
    <x v="1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s v="No"/>
    <n v="18"/>
    <n v="3"/>
    <n v="4"/>
    <n v="80"/>
    <n v="1"/>
    <n v="5"/>
    <s v="0-5"/>
    <n v="5"/>
    <n v="2"/>
    <n v="4"/>
    <n v="2"/>
    <n v="1"/>
    <n v="3"/>
    <s v="Below Avg"/>
    <n v="28.11853893866299"/>
  </r>
  <r>
    <n v="36"/>
    <x v="0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s v="No"/>
    <n v="23"/>
    <n v="4"/>
    <n v="2"/>
    <n v="80"/>
    <n v="0"/>
    <n v="10"/>
    <s v="6-15"/>
    <n v="4"/>
    <n v="3"/>
    <n v="5"/>
    <n v="3"/>
    <n v="0"/>
    <n v="3"/>
    <s v="Below Avg"/>
    <n v="28.068965517241377"/>
  </r>
  <r>
    <n v="34"/>
    <x v="1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s v="No"/>
    <n v="11"/>
    <n v="3"/>
    <n v="3"/>
    <n v="80"/>
    <n v="0"/>
    <n v="13"/>
    <s v="6-15"/>
    <n v="4"/>
    <n v="3"/>
    <n v="12"/>
    <n v="6"/>
    <n v="2"/>
    <n v="11"/>
    <s v="Ok"/>
    <n v="28.088336783988961"/>
  </r>
  <r>
    <n v="21"/>
    <x v="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s v="No"/>
    <n v="14"/>
    <n v="3"/>
    <n v="4"/>
    <n v="80"/>
    <n v="0"/>
    <n v="0"/>
    <s v="0-5"/>
    <n v="6"/>
    <n v="3"/>
    <n v="0"/>
    <n v="0"/>
    <n v="0"/>
    <n v="0"/>
    <s v="Below Avg"/>
    <n v="28.107734806629836"/>
  </r>
  <r>
    <n v="34"/>
    <x v="0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s v="No"/>
    <n v="11"/>
    <n v="3"/>
    <n v="3"/>
    <n v="80"/>
    <n v="0"/>
    <n v="8"/>
    <s v="6-15"/>
    <n v="2"/>
    <n v="3"/>
    <n v="4"/>
    <n v="2"/>
    <n v="1"/>
    <n v="3"/>
    <s v="Below Avg"/>
    <n v="28.127159640635796"/>
  </r>
  <r>
    <n v="53"/>
    <x v="1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s v="No"/>
    <n v="11"/>
    <n v="3"/>
    <n v="4"/>
    <n v="80"/>
    <n v="1"/>
    <n v="26"/>
    <s v="&gt;15"/>
    <n v="3"/>
    <n v="2"/>
    <n v="14"/>
    <n v="13"/>
    <n v="4"/>
    <n v="8"/>
    <s v="Ok"/>
    <n v="28.146611341632088"/>
  </r>
  <r>
    <n v="32"/>
    <x v="0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s v="Yes"/>
    <n v="22"/>
    <n v="4"/>
    <n v="2"/>
    <n v="80"/>
    <n v="0"/>
    <n v="10"/>
    <s v="6-15"/>
    <n v="5"/>
    <n v="3"/>
    <n v="10"/>
    <n v="2"/>
    <n v="6"/>
    <n v="7"/>
    <s v="Below Avg"/>
    <n v="28.166089965397923"/>
  </r>
  <r>
    <n v="42"/>
    <x v="1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s v="No"/>
    <n v="11"/>
    <n v="3"/>
    <n v="4"/>
    <n v="80"/>
    <n v="1"/>
    <n v="10"/>
    <s v="6-15"/>
    <n v="2"/>
    <n v="3"/>
    <n v="9"/>
    <n v="7"/>
    <n v="4"/>
    <n v="2"/>
    <s v="Below Avg"/>
    <n v="28.185595567867033"/>
  </r>
  <r>
    <n v="44"/>
    <x v="1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s v="No"/>
    <n v="14"/>
    <n v="3"/>
    <n v="4"/>
    <n v="80"/>
    <n v="1"/>
    <n v="24"/>
    <s v="&gt;15"/>
    <n v="4"/>
    <n v="3"/>
    <n v="22"/>
    <n v="6"/>
    <n v="5"/>
    <n v="17"/>
    <s v="Ok"/>
    <n v="28.135828135828135"/>
  </r>
  <r>
    <n v="46"/>
    <x v="1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s v="No"/>
    <n v="12"/>
    <n v="3"/>
    <n v="4"/>
    <n v="80"/>
    <n v="0"/>
    <n v="22"/>
    <s v="&gt;15"/>
    <n v="2"/>
    <n v="2"/>
    <n v="2"/>
    <n v="2"/>
    <n v="2"/>
    <n v="1"/>
    <s v="Ok"/>
    <n v="28.155339805825243"/>
  </r>
  <r>
    <n v="33"/>
    <x v="1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s v="No"/>
    <n v="11"/>
    <n v="3"/>
    <n v="4"/>
    <n v="80"/>
    <n v="0"/>
    <n v="7"/>
    <s v="6-15"/>
    <n v="3"/>
    <n v="3"/>
    <n v="1"/>
    <n v="1"/>
    <n v="0"/>
    <n v="0"/>
    <s v="Below Avg"/>
    <n v="28.174878556557946"/>
  </r>
  <r>
    <n v="44"/>
    <x v="1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s v="Yes"/>
    <n v="13"/>
    <n v="3"/>
    <n v="4"/>
    <n v="80"/>
    <n v="0"/>
    <n v="9"/>
    <s v="6-15"/>
    <n v="5"/>
    <n v="4"/>
    <n v="4"/>
    <n v="2"/>
    <n v="1"/>
    <n v="3"/>
    <s v="Ok"/>
    <n v="28.194444444444443"/>
  </r>
  <r>
    <n v="30"/>
    <x v="1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s v="No"/>
    <n v="13"/>
    <n v="3"/>
    <n v="1"/>
    <n v="80"/>
    <n v="0"/>
    <n v="10"/>
    <s v="6-15"/>
    <n v="5"/>
    <n v="3"/>
    <n v="10"/>
    <n v="0"/>
    <n v="1"/>
    <n v="8"/>
    <s v="Below Avg"/>
    <n v="28.214037526059766"/>
  </r>
  <r>
    <n v="39"/>
    <x v="0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s v="No"/>
    <n v="14"/>
    <n v="3"/>
    <n v="3"/>
    <n v="80"/>
    <n v="1"/>
    <n v="19"/>
    <s v="&gt;15"/>
    <n v="6"/>
    <n v="4"/>
    <n v="1"/>
    <n v="0"/>
    <n v="0"/>
    <n v="0"/>
    <s v="Below Avg"/>
    <n v="28.164116828929071"/>
  </r>
  <r>
    <n v="24"/>
    <x v="0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s v="Yes"/>
    <n v="16"/>
    <n v="3"/>
    <n v="1"/>
    <n v="80"/>
    <n v="1"/>
    <n v="6"/>
    <s v="6-15"/>
    <n v="2"/>
    <n v="2"/>
    <n v="2"/>
    <n v="0"/>
    <n v="2"/>
    <n v="0"/>
    <s v="Below Avg"/>
    <n v="28.183716075156578"/>
  </r>
  <r>
    <n v="43"/>
    <x v="1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s v="No"/>
    <n v="12"/>
    <n v="3"/>
    <n v="4"/>
    <n v="80"/>
    <n v="2"/>
    <n v="6"/>
    <s v="6-15"/>
    <n v="3"/>
    <n v="2"/>
    <n v="5"/>
    <n v="3"/>
    <n v="1"/>
    <n v="4"/>
    <s v="Below Avg"/>
    <n v="28.203342618384404"/>
  </r>
  <r>
    <n v="50"/>
    <x v="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s v="Yes"/>
    <n v="14"/>
    <n v="3"/>
    <n v="3"/>
    <n v="80"/>
    <n v="0"/>
    <n v="3"/>
    <s v="0-5"/>
    <n v="2"/>
    <n v="3"/>
    <n v="3"/>
    <n v="2"/>
    <n v="0"/>
    <n v="2"/>
    <s v="Below Avg"/>
    <n v="28.153310104529616"/>
  </r>
  <r>
    <n v="35"/>
    <x v="1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s v="No"/>
    <n v="13"/>
    <n v="3"/>
    <n v="1"/>
    <n v="80"/>
    <n v="0"/>
    <n v="2"/>
    <s v="0-5"/>
    <n v="3"/>
    <n v="3"/>
    <n v="2"/>
    <n v="2"/>
    <n v="2"/>
    <n v="2"/>
    <s v="Below Avg"/>
    <n v="28.172942817294285"/>
  </r>
  <r>
    <n v="36"/>
    <x v="1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s v="Yes"/>
    <n v="14"/>
    <n v="3"/>
    <n v="4"/>
    <n v="80"/>
    <n v="1"/>
    <n v="6"/>
    <s v="6-15"/>
    <n v="3"/>
    <n v="4"/>
    <n v="1"/>
    <n v="1"/>
    <n v="0"/>
    <n v="0"/>
    <s v="Below Avg"/>
    <n v="28.122819260293092"/>
  </r>
  <r>
    <n v="33"/>
    <x v="1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s v="No"/>
    <n v="19"/>
    <n v="3"/>
    <n v="1"/>
    <n v="80"/>
    <n v="2"/>
    <n v="10"/>
    <s v="6-15"/>
    <n v="3"/>
    <n v="3"/>
    <n v="5"/>
    <n v="3"/>
    <n v="1"/>
    <n v="3"/>
    <s v="Below Avg"/>
    <n v="28.14245810055866"/>
  </r>
  <r>
    <n v="35"/>
    <x v="1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s v="No"/>
    <n v="12"/>
    <n v="3"/>
    <n v="3"/>
    <n v="80"/>
    <n v="1"/>
    <n v="1"/>
    <s v="0-5"/>
    <n v="3"/>
    <n v="3"/>
    <n v="1"/>
    <n v="0"/>
    <n v="0"/>
    <n v="0"/>
    <s v="Below Avg"/>
    <n v="28.092243186582809"/>
  </r>
  <r>
    <n v="27"/>
    <x v="1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s v="No"/>
    <n v="13"/>
    <n v="3"/>
    <n v="4"/>
    <n v="80"/>
    <n v="1"/>
    <n v="1"/>
    <s v="0-5"/>
    <n v="6"/>
    <n v="3"/>
    <n v="1"/>
    <n v="0"/>
    <n v="0"/>
    <n v="0"/>
    <s v="Below Avg"/>
    <n v="28.11188811188811"/>
  </r>
  <r>
    <n v="26"/>
    <x v="0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s v="No"/>
    <n v="12"/>
    <n v="3"/>
    <n v="3"/>
    <n v="80"/>
    <n v="0"/>
    <n v="1"/>
    <s v="0-5"/>
    <n v="2"/>
    <n v="2"/>
    <n v="1"/>
    <n v="0"/>
    <n v="0"/>
    <n v="1"/>
    <s v="Below Avg"/>
    <n v="28.131560531840449"/>
  </r>
  <r>
    <n v="27"/>
    <x v="1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s v="No"/>
    <n v="15"/>
    <n v="3"/>
    <n v="4"/>
    <n v="80"/>
    <n v="0"/>
    <n v="9"/>
    <s v="6-15"/>
    <n v="0"/>
    <n v="3"/>
    <n v="9"/>
    <n v="8"/>
    <n v="1"/>
    <n v="7"/>
    <s v="Ok"/>
    <n v="28.15126050420168"/>
  </r>
  <r>
    <n v="30"/>
    <x v="1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s v="No"/>
    <n v="23"/>
    <n v="4"/>
    <n v="4"/>
    <n v="80"/>
    <n v="0"/>
    <n v="12"/>
    <s v="6-15"/>
    <n v="2"/>
    <n v="3"/>
    <n v="12"/>
    <n v="8"/>
    <n v="3"/>
    <n v="7"/>
    <s v="Below Avg"/>
    <n v="28.170988086895587"/>
  </r>
  <r>
    <n v="41"/>
    <x v="0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s v="No"/>
    <n v="12"/>
    <n v="3"/>
    <n v="4"/>
    <n v="80"/>
    <n v="0"/>
    <n v="23"/>
    <s v="&gt;15"/>
    <n v="0"/>
    <n v="3"/>
    <n v="22"/>
    <n v="15"/>
    <n v="15"/>
    <n v="8"/>
    <s v="Ok"/>
    <n v="28.190743338008417"/>
  </r>
  <r>
    <n v="34"/>
    <x v="1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s v="No"/>
    <n v="20"/>
    <n v="4"/>
    <n v="3"/>
    <n v="80"/>
    <n v="0"/>
    <n v="10"/>
    <s v="6-15"/>
    <n v="2"/>
    <n v="3"/>
    <n v="9"/>
    <n v="5"/>
    <n v="8"/>
    <n v="7"/>
    <s v="Below Avg"/>
    <n v="28.210526315789476"/>
  </r>
  <r>
    <n v="37"/>
    <x v="1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s v="No"/>
    <n v="21"/>
    <n v="4"/>
    <n v="1"/>
    <n v="80"/>
    <n v="0"/>
    <n v="8"/>
    <s v="6-15"/>
    <n v="1"/>
    <n v="3"/>
    <n v="1"/>
    <n v="0"/>
    <n v="0"/>
    <n v="0"/>
    <s v="Below Avg"/>
    <n v="28.230337078651687"/>
  </r>
  <r>
    <n v="46"/>
    <x v="1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s v="Yes"/>
    <n v="21"/>
    <n v="4"/>
    <n v="3"/>
    <n v="80"/>
    <n v="0"/>
    <n v="14"/>
    <s v="6-15"/>
    <n v="4"/>
    <n v="3"/>
    <n v="9"/>
    <n v="6"/>
    <n v="0"/>
    <n v="8"/>
    <s v="Below Avg"/>
    <n v="28.250175685172174"/>
  </r>
  <r>
    <n v="35"/>
    <x v="1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s v="No"/>
    <n v="19"/>
    <n v="3"/>
    <n v="4"/>
    <n v="80"/>
    <n v="0"/>
    <n v="1"/>
    <s v="0-5"/>
    <n v="2"/>
    <n v="3"/>
    <n v="1"/>
    <n v="0"/>
    <n v="0"/>
    <n v="1"/>
    <s v="Below Avg"/>
    <n v="28.270042194092827"/>
  </r>
  <r>
    <n v="48"/>
    <x v="0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s v="Yes"/>
    <n v="13"/>
    <n v="3"/>
    <n v="4"/>
    <n v="80"/>
    <n v="0"/>
    <n v="23"/>
    <s v="&gt;15"/>
    <n v="2"/>
    <n v="3"/>
    <n v="1"/>
    <n v="0"/>
    <n v="0"/>
    <n v="0"/>
    <s v="Below Avg"/>
    <n v="28.219563687543982"/>
  </r>
  <r>
    <n v="28"/>
    <x v="0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s v="Yes"/>
    <n v="13"/>
    <n v="3"/>
    <n v="3"/>
    <n v="80"/>
    <n v="0"/>
    <n v="2"/>
    <s v="0-5"/>
    <n v="3"/>
    <n v="2"/>
    <n v="2"/>
    <n v="2"/>
    <n v="2"/>
    <n v="2"/>
    <s v="Below Avg"/>
    <n v="28.239436619718312"/>
  </r>
  <r>
    <n v="44"/>
    <x v="1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s v="Yes"/>
    <n v="21"/>
    <n v="4"/>
    <n v="3"/>
    <n v="80"/>
    <n v="1"/>
    <n v="9"/>
    <s v="6-15"/>
    <n v="2"/>
    <n v="2"/>
    <n v="4"/>
    <n v="3"/>
    <n v="1"/>
    <n v="3"/>
    <s v="Below Avg"/>
    <n v="28.188865398167724"/>
  </r>
  <r>
    <n v="35"/>
    <x v="1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s v="Yes"/>
    <n v="13"/>
    <n v="3"/>
    <n v="3"/>
    <n v="80"/>
    <n v="1"/>
    <n v="10"/>
    <s v="6-15"/>
    <n v="3"/>
    <n v="3"/>
    <n v="4"/>
    <n v="0"/>
    <n v="2"/>
    <n v="3"/>
    <s v="Ok"/>
    <n v="28.138222849083217"/>
  </r>
  <r>
    <n v="26"/>
    <x v="1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s v="Yes"/>
    <n v="19"/>
    <n v="3"/>
    <n v="3"/>
    <n v="80"/>
    <n v="1"/>
    <n v="5"/>
    <s v="0-5"/>
    <n v="2"/>
    <n v="2"/>
    <n v="2"/>
    <n v="2"/>
    <n v="0"/>
    <n v="0"/>
    <s v="Below Avg"/>
    <n v="28.087508821453778"/>
  </r>
  <r>
    <n v="33"/>
    <x v="1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s v="Yes"/>
    <n v="12"/>
    <n v="3"/>
    <n v="3"/>
    <n v="80"/>
    <n v="0"/>
    <n v="15"/>
    <s v="6-15"/>
    <n v="1"/>
    <n v="3"/>
    <n v="15"/>
    <n v="14"/>
    <n v="8"/>
    <n v="12"/>
    <s v="Ok"/>
    <n v="28.03672316384181"/>
  </r>
  <r>
    <n v="35"/>
    <x v="1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s v="No"/>
    <n v="22"/>
    <n v="4"/>
    <n v="4"/>
    <n v="80"/>
    <n v="1"/>
    <n v="9"/>
    <s v="6-15"/>
    <n v="3"/>
    <n v="2"/>
    <n v="9"/>
    <n v="8"/>
    <n v="1"/>
    <n v="8"/>
    <s v="Ok"/>
    <n v="27.985865724381625"/>
  </r>
  <r>
    <n v="35"/>
    <x v="1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s v="Yes"/>
    <n v="15"/>
    <n v="3"/>
    <n v="3"/>
    <n v="80"/>
    <n v="1"/>
    <n v="4"/>
    <s v="0-5"/>
    <n v="3"/>
    <n v="3"/>
    <n v="2"/>
    <n v="2"/>
    <n v="2"/>
    <n v="2"/>
    <s v="Below Avg"/>
    <n v="27.934936350777935"/>
  </r>
  <r>
    <n v="31"/>
    <x v="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s v="No"/>
    <n v="22"/>
    <n v="4"/>
    <n v="4"/>
    <n v="80"/>
    <n v="1"/>
    <n v="10"/>
    <s v="6-15"/>
    <n v="3"/>
    <n v="2"/>
    <n v="7"/>
    <n v="7"/>
    <n v="1"/>
    <n v="7"/>
    <s v="Below Avg"/>
    <n v="27.954706298655342"/>
  </r>
  <r>
    <n v="37"/>
    <x v="1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s v="No"/>
    <n v="18"/>
    <n v="3"/>
    <n v="3"/>
    <n v="80"/>
    <n v="1"/>
    <n v="7"/>
    <s v="6-15"/>
    <n v="2"/>
    <n v="4"/>
    <n v="7"/>
    <n v="5"/>
    <n v="0"/>
    <n v="7"/>
    <s v="Below Avg"/>
    <n v="27.90368271954674"/>
  </r>
  <r>
    <n v="32"/>
    <x v="1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s v="Yes"/>
    <n v="22"/>
    <n v="4"/>
    <n v="2"/>
    <n v="80"/>
    <n v="1"/>
    <n v="9"/>
    <s v="6-15"/>
    <n v="3"/>
    <n v="3"/>
    <n v="9"/>
    <n v="8"/>
    <n v="7"/>
    <n v="8"/>
    <s v="Below Avg"/>
    <n v="27.923458540042525"/>
  </r>
  <r>
    <n v="38"/>
    <x v="1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s v="No"/>
    <n v="11"/>
    <n v="3"/>
    <n v="4"/>
    <n v="80"/>
    <n v="0"/>
    <n v="10"/>
    <s v="6-15"/>
    <n v="2"/>
    <n v="3"/>
    <n v="10"/>
    <n v="3"/>
    <n v="9"/>
    <n v="9"/>
    <s v="Below Avg"/>
    <n v="27.943262411347519"/>
  </r>
  <r>
    <n v="50"/>
    <x v="1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s v="Yes"/>
    <n v="12"/>
    <n v="3"/>
    <n v="4"/>
    <n v="80"/>
    <n v="1"/>
    <n v="29"/>
    <s v="&gt;15"/>
    <n v="2"/>
    <n v="2"/>
    <n v="27"/>
    <n v="3"/>
    <n v="13"/>
    <n v="8"/>
    <s v="Ok"/>
    <n v="27.892122072391768"/>
  </r>
  <r>
    <n v="59"/>
    <x v="1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s v="No"/>
    <n v="11"/>
    <n v="3"/>
    <n v="4"/>
    <n v="80"/>
    <n v="0"/>
    <n v="28"/>
    <s v="&gt;15"/>
    <n v="3"/>
    <n v="2"/>
    <n v="21"/>
    <n v="16"/>
    <n v="7"/>
    <n v="9"/>
    <s v="Ok"/>
    <n v="27.911931818181817"/>
  </r>
  <r>
    <n v="36"/>
    <x v="1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s v="No"/>
    <n v="13"/>
    <n v="3"/>
    <n v="2"/>
    <n v="80"/>
    <n v="3"/>
    <n v="17"/>
    <s v="&gt;15"/>
    <n v="2"/>
    <n v="3"/>
    <n v="17"/>
    <n v="14"/>
    <n v="12"/>
    <n v="8"/>
    <s v="Ok"/>
    <n v="27.860696517412936"/>
  </r>
  <r>
    <n v="55"/>
    <x v="1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s v="Yes"/>
    <n v="14"/>
    <n v="3"/>
    <n v="3"/>
    <n v="80"/>
    <n v="3"/>
    <n v="21"/>
    <s v="&gt;15"/>
    <n v="2"/>
    <n v="3"/>
    <n v="5"/>
    <n v="0"/>
    <n v="0"/>
    <n v="2"/>
    <s v="Ok"/>
    <n v="27.880512091038405"/>
  </r>
  <r>
    <n v="36"/>
    <x v="1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s v="No"/>
    <n v="13"/>
    <n v="3"/>
    <n v="3"/>
    <n v="80"/>
    <n v="0"/>
    <n v="6"/>
    <s v="6-15"/>
    <n v="3"/>
    <n v="3"/>
    <n v="6"/>
    <n v="5"/>
    <n v="0"/>
    <n v="3"/>
    <s v="Ok"/>
    <n v="27.900355871886124"/>
  </r>
  <r>
    <n v="45"/>
    <x v="1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s v="No"/>
    <n v="17"/>
    <n v="3"/>
    <n v="3"/>
    <n v="80"/>
    <n v="1"/>
    <n v="25"/>
    <s v="&gt;15"/>
    <n v="2"/>
    <n v="3"/>
    <n v="1"/>
    <n v="0"/>
    <n v="0"/>
    <n v="0"/>
    <s v="Ok"/>
    <n v="27.849002849002847"/>
  </r>
  <r>
    <n v="35"/>
    <x v="1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s v="No"/>
    <n v="13"/>
    <n v="3"/>
    <n v="4"/>
    <n v="80"/>
    <n v="1"/>
    <n v="5"/>
    <s v="0-5"/>
    <n v="2"/>
    <n v="2"/>
    <n v="3"/>
    <n v="2"/>
    <n v="1"/>
    <n v="2"/>
    <s v="Below Avg"/>
    <n v="27.868852459016392"/>
  </r>
  <r>
    <n v="36"/>
    <x v="0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s v="Yes"/>
    <n v="17"/>
    <n v="3"/>
    <n v="1"/>
    <n v="80"/>
    <n v="1"/>
    <n v="2"/>
    <s v="0-5"/>
    <n v="0"/>
    <n v="2"/>
    <n v="1"/>
    <n v="0"/>
    <n v="0"/>
    <n v="0"/>
    <s v="Below Avg"/>
    <n v="27.888730385164052"/>
  </r>
  <r>
    <n v="59"/>
    <x v="1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s v="No"/>
    <n v="11"/>
    <n v="3"/>
    <n v="4"/>
    <n v="80"/>
    <n v="0"/>
    <n v="20"/>
    <s v="&gt;15"/>
    <n v="2"/>
    <n v="2"/>
    <n v="4"/>
    <n v="3"/>
    <n v="1"/>
    <n v="3"/>
    <s v="Below Avg"/>
    <n v="27.908636688079941"/>
  </r>
  <r>
    <n v="29"/>
    <x v="1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s v="No"/>
    <n v="23"/>
    <n v="4"/>
    <n v="4"/>
    <n v="80"/>
    <n v="1"/>
    <n v="6"/>
    <s v="6-15"/>
    <n v="3"/>
    <n v="3"/>
    <n v="5"/>
    <n v="4"/>
    <n v="0"/>
    <n v="4"/>
    <s v="Below Avg"/>
    <n v="27.857142857142858"/>
  </r>
  <r>
    <n v="31"/>
    <x v="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s v="No"/>
    <n v="17"/>
    <n v="3"/>
    <n v="2"/>
    <n v="80"/>
    <n v="0"/>
    <n v="1"/>
    <s v="0-5"/>
    <n v="4"/>
    <n v="3"/>
    <n v="1"/>
    <n v="1"/>
    <n v="1"/>
    <n v="0"/>
    <s v="Below Avg"/>
    <n v="27.877055039313799"/>
  </r>
  <r>
    <n v="32"/>
    <x v="1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s v="No"/>
    <n v="17"/>
    <n v="3"/>
    <n v="2"/>
    <n v="80"/>
    <n v="2"/>
    <n v="10"/>
    <s v="6-15"/>
    <n v="3"/>
    <n v="3"/>
    <n v="10"/>
    <n v="4"/>
    <n v="0"/>
    <n v="9"/>
    <s v="Below Avg"/>
    <n v="27.896995708154503"/>
  </r>
  <r>
    <n v="36"/>
    <x v="1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s v="No"/>
    <n v="12"/>
    <n v="3"/>
    <n v="2"/>
    <n v="80"/>
    <n v="0"/>
    <n v="5"/>
    <s v="0-5"/>
    <n v="3"/>
    <n v="3"/>
    <n v="1"/>
    <n v="0"/>
    <n v="0"/>
    <n v="0"/>
    <s v="Below Avg"/>
    <n v="27.91696492483894"/>
  </r>
  <r>
    <n v="31"/>
    <x v="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s v="No"/>
    <n v="23"/>
    <n v="4"/>
    <n v="4"/>
    <n v="80"/>
    <n v="0"/>
    <n v="11"/>
    <s v="6-15"/>
    <n v="2"/>
    <n v="3"/>
    <n v="11"/>
    <n v="7"/>
    <n v="1"/>
    <n v="8"/>
    <s v="Below Avg"/>
    <n v="27.936962750716333"/>
  </r>
  <r>
    <n v="35"/>
    <x v="1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s v="No"/>
    <n v="14"/>
    <n v="3"/>
    <n v="2"/>
    <n v="80"/>
    <n v="0"/>
    <n v="16"/>
    <s v="&gt;15"/>
    <n v="2"/>
    <n v="3"/>
    <n v="15"/>
    <n v="13"/>
    <n v="2"/>
    <n v="8"/>
    <s v="Below Avg"/>
    <n v="27.956989247311824"/>
  </r>
  <r>
    <n v="45"/>
    <x v="1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s v="Yes"/>
    <n v="14"/>
    <n v="3"/>
    <n v="2"/>
    <n v="80"/>
    <n v="0"/>
    <n v="17"/>
    <s v="&gt;15"/>
    <n v="3"/>
    <n v="4"/>
    <n v="0"/>
    <n v="0"/>
    <n v="0"/>
    <n v="0"/>
    <s v="Ok"/>
    <n v="27.977044476327116"/>
  </r>
  <r>
    <n v="37"/>
    <x v="1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s v="No"/>
    <n v="13"/>
    <n v="3"/>
    <n v="1"/>
    <n v="80"/>
    <n v="0"/>
    <n v="16"/>
    <s v="&gt;15"/>
    <n v="3"/>
    <n v="4"/>
    <n v="5"/>
    <n v="2"/>
    <n v="0"/>
    <n v="2"/>
    <s v="Ok"/>
    <n v="27.997128499641061"/>
  </r>
  <r>
    <n v="46"/>
    <x v="1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s v="Yes"/>
    <n v="22"/>
    <n v="4"/>
    <n v="4"/>
    <n v="80"/>
    <n v="1"/>
    <n v="16"/>
    <s v="&gt;15"/>
    <n v="2"/>
    <n v="3"/>
    <n v="4"/>
    <n v="2"/>
    <n v="0"/>
    <n v="2"/>
    <s v="Below Avg"/>
    <n v="27.945402298850574"/>
  </r>
  <r>
    <n v="30"/>
    <x v="1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s v="Yes"/>
    <n v="12"/>
    <n v="3"/>
    <n v="3"/>
    <n v="80"/>
    <n v="2"/>
    <n v="10"/>
    <s v="6-15"/>
    <n v="1"/>
    <n v="2"/>
    <n v="10"/>
    <n v="8"/>
    <n v="3"/>
    <n v="0"/>
    <s v="Below Avg"/>
    <n v="27.965492451473761"/>
  </r>
  <r>
    <n v="35"/>
    <x v="1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s v="No"/>
    <n v="18"/>
    <n v="3"/>
    <n v="1"/>
    <n v="80"/>
    <n v="0"/>
    <n v="6"/>
    <s v="6-15"/>
    <n v="3"/>
    <n v="3"/>
    <n v="6"/>
    <n v="4"/>
    <n v="0"/>
    <n v="4"/>
    <s v="Below Avg"/>
    <n v="27.913669064748202"/>
  </r>
  <r>
    <n v="55"/>
    <x v="1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s v="No"/>
    <n v="14"/>
    <n v="3"/>
    <n v="4"/>
    <n v="80"/>
    <n v="1"/>
    <n v="24"/>
    <s v="&gt;15"/>
    <n v="4"/>
    <n v="3"/>
    <n v="1"/>
    <n v="0"/>
    <n v="1"/>
    <n v="0"/>
    <s v="Ok"/>
    <n v="27.861771058315334"/>
  </r>
  <r>
    <n v="38"/>
    <x v="1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s v="Yes"/>
    <n v="12"/>
    <n v="3"/>
    <n v="4"/>
    <n v="80"/>
    <n v="3"/>
    <n v="17"/>
    <s v="&gt;15"/>
    <n v="3"/>
    <n v="3"/>
    <n v="13"/>
    <n v="11"/>
    <n v="1"/>
    <n v="9"/>
    <s v="Below Avg"/>
    <n v="27.881844380403457"/>
  </r>
  <r>
    <n v="34"/>
    <x v="1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s v="No"/>
    <n v="15"/>
    <n v="3"/>
    <n v="3"/>
    <n v="80"/>
    <n v="0"/>
    <n v="5"/>
    <s v="0-5"/>
    <n v="2"/>
    <n v="3"/>
    <n v="5"/>
    <n v="2"/>
    <n v="1"/>
    <n v="3"/>
    <s v="Below Avg"/>
    <n v="27.901946647440518"/>
  </r>
  <r>
    <n v="56"/>
    <x v="1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s v="No"/>
    <n v="11"/>
    <n v="3"/>
    <n v="1"/>
    <n v="80"/>
    <n v="0"/>
    <n v="37"/>
    <s v="&gt;15"/>
    <n v="3"/>
    <n v="2"/>
    <n v="6"/>
    <n v="4"/>
    <n v="0"/>
    <n v="2"/>
    <s v="Ok"/>
    <n v="27.849927849927852"/>
  </r>
  <r>
    <n v="23"/>
    <x v="1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s v="No"/>
    <n v="13"/>
    <n v="3"/>
    <n v="3"/>
    <n v="80"/>
    <n v="1"/>
    <n v="3"/>
    <s v="0-5"/>
    <n v="3"/>
    <n v="3"/>
    <n v="0"/>
    <n v="0"/>
    <n v="0"/>
    <n v="0"/>
    <s v="Below Avg"/>
    <n v="27.870036101083034"/>
  </r>
  <r>
    <n v="51"/>
    <x v="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s v="No"/>
    <n v="23"/>
    <n v="4"/>
    <n v="2"/>
    <n v="80"/>
    <n v="2"/>
    <n v="10"/>
    <s v="6-15"/>
    <n v="4"/>
    <n v="3"/>
    <n v="4"/>
    <n v="2"/>
    <n v="0"/>
    <n v="3"/>
    <s v="Below Avg"/>
    <n v="27.890173410404621"/>
  </r>
  <r>
    <n v="30"/>
    <x v="1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s v="No"/>
    <n v="19"/>
    <n v="3"/>
    <n v="1"/>
    <n v="80"/>
    <n v="3"/>
    <n v="11"/>
    <s v="6-15"/>
    <n v="3"/>
    <n v="3"/>
    <n v="11"/>
    <n v="10"/>
    <n v="10"/>
    <n v="8"/>
    <s v="Below Avg"/>
    <n v="27.910339840925523"/>
  </r>
  <r>
    <n v="46"/>
    <x v="0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s v="No"/>
    <n v="16"/>
    <n v="3"/>
    <n v="4"/>
    <n v="80"/>
    <n v="0"/>
    <n v="9"/>
    <s v="6-15"/>
    <n v="3"/>
    <n v="3"/>
    <n v="9"/>
    <n v="8"/>
    <n v="4"/>
    <n v="7"/>
    <s v="Ok"/>
    <n v="27.930535455861072"/>
  </r>
  <r>
    <n v="40"/>
    <x v="1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s v="No"/>
    <n v="22"/>
    <n v="4"/>
    <n v="4"/>
    <n v="80"/>
    <n v="1"/>
    <n v="22"/>
    <s v="&gt;15"/>
    <n v="3"/>
    <n v="2"/>
    <n v="22"/>
    <n v="3"/>
    <n v="11"/>
    <n v="11"/>
    <s v="Ok"/>
    <n v="27.950760318609703"/>
  </r>
  <r>
    <n v="51"/>
    <x v="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s v="Yes"/>
    <n v="22"/>
    <n v="4"/>
    <n v="4"/>
    <n v="80"/>
    <n v="0"/>
    <n v="11"/>
    <s v="6-15"/>
    <n v="2"/>
    <n v="1"/>
    <n v="10"/>
    <n v="7"/>
    <n v="1"/>
    <n v="0"/>
    <s v="Below Avg"/>
    <n v="27.971014492753621"/>
  </r>
  <r>
    <n v="30"/>
    <x v="1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s v="Yes"/>
    <n v="12"/>
    <n v="3"/>
    <n v="2"/>
    <n v="80"/>
    <n v="3"/>
    <n v="11"/>
    <s v="6-15"/>
    <n v="4"/>
    <n v="2"/>
    <n v="11"/>
    <n v="8"/>
    <n v="2"/>
    <n v="7"/>
    <s v="Below Avg"/>
    <n v="27.991298042059466"/>
  </r>
  <r>
    <n v="46"/>
    <x v="1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s v="Yes"/>
    <n v="13"/>
    <n v="3"/>
    <n v="3"/>
    <n v="80"/>
    <n v="1"/>
    <n v="21"/>
    <s v="&gt;15"/>
    <n v="5"/>
    <n v="2"/>
    <n v="10"/>
    <n v="9"/>
    <n v="9"/>
    <n v="5"/>
    <s v="Ok"/>
    <n v="27.939042089985488"/>
  </r>
  <r>
    <n v="32"/>
    <x v="1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s v="No"/>
    <n v="16"/>
    <n v="3"/>
    <n v="1"/>
    <n v="80"/>
    <n v="0"/>
    <n v="12"/>
    <s v="6-15"/>
    <n v="0"/>
    <n v="3"/>
    <n v="11"/>
    <n v="8"/>
    <n v="5"/>
    <n v="7"/>
    <s v="Below Avg"/>
    <n v="27.886710239651418"/>
  </r>
  <r>
    <n v="54"/>
    <x v="1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s v="No"/>
    <n v="12"/>
    <n v="3"/>
    <n v="1"/>
    <n v="80"/>
    <n v="1"/>
    <n v="16"/>
    <s v="&gt;15"/>
    <n v="5"/>
    <n v="1"/>
    <n v="4"/>
    <n v="3"/>
    <n v="0"/>
    <n v="3"/>
    <s v="Ok"/>
    <n v="27.834302325581394"/>
  </r>
  <r>
    <n v="24"/>
    <x v="1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s v="No"/>
    <n v="21"/>
    <n v="4"/>
    <n v="1"/>
    <n v="80"/>
    <n v="1"/>
    <n v="4"/>
    <s v="0-5"/>
    <n v="2"/>
    <n v="2"/>
    <n v="3"/>
    <n v="2"/>
    <n v="0"/>
    <n v="2"/>
    <s v="Below Avg"/>
    <n v="27.854545454545455"/>
  </r>
  <r>
    <n v="28"/>
    <x v="1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s v="No"/>
    <n v="15"/>
    <n v="3"/>
    <n v="2"/>
    <n v="80"/>
    <n v="0"/>
    <n v="5"/>
    <s v="0-5"/>
    <n v="3"/>
    <n v="4"/>
    <n v="5"/>
    <n v="4"/>
    <n v="0"/>
    <n v="4"/>
    <s v="Below Avg"/>
    <n v="27.874818049490539"/>
  </r>
  <r>
    <n v="58"/>
    <x v="1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s v="No"/>
    <n v="13"/>
    <n v="3"/>
    <n v="3"/>
    <n v="80"/>
    <n v="0"/>
    <n v="38"/>
    <s v="&gt;15"/>
    <n v="1"/>
    <n v="2"/>
    <n v="37"/>
    <n v="10"/>
    <n v="1"/>
    <n v="8"/>
    <s v="Ok"/>
    <n v="27.895120174799708"/>
  </r>
  <r>
    <n v="44"/>
    <x v="1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s v="No"/>
    <n v="12"/>
    <n v="3"/>
    <n v="3"/>
    <n v="80"/>
    <n v="1"/>
    <n v="17"/>
    <s v="&gt;15"/>
    <n v="3"/>
    <n v="4"/>
    <n v="3"/>
    <n v="2"/>
    <n v="1"/>
    <n v="2"/>
    <s v="Below Avg"/>
    <n v="27.915451895043731"/>
  </r>
  <r>
    <n v="37"/>
    <x v="0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s v="Yes"/>
    <n v="22"/>
    <n v="4"/>
    <n v="4"/>
    <n v="80"/>
    <n v="0"/>
    <n v="7"/>
    <s v="6-15"/>
    <n v="3"/>
    <n v="3"/>
    <n v="3"/>
    <n v="2"/>
    <n v="0"/>
    <n v="2"/>
    <s v="Below Avg"/>
    <n v="27.935813274981765"/>
  </r>
  <r>
    <n v="32"/>
    <x v="1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s v="No"/>
    <n v="13"/>
    <n v="3"/>
    <n v="4"/>
    <n v="80"/>
    <n v="0"/>
    <n v="1"/>
    <s v="0-5"/>
    <n v="2"/>
    <n v="3"/>
    <n v="1"/>
    <n v="0"/>
    <n v="0"/>
    <n v="0"/>
    <s v="Below Avg"/>
    <n v="27.956204379562045"/>
  </r>
  <r>
    <n v="20"/>
    <x v="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s v="Yes"/>
    <n v="18"/>
    <n v="3"/>
    <n v="2"/>
    <n v="80"/>
    <n v="0"/>
    <n v="1"/>
    <s v="0-5"/>
    <n v="5"/>
    <n v="3"/>
    <n v="1"/>
    <n v="0"/>
    <n v="1"/>
    <n v="0"/>
    <s v="Below Avg"/>
    <n v="27.903579254930605"/>
  </r>
  <r>
    <n v="34"/>
    <x v="1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s v="No"/>
    <n v="14"/>
    <n v="3"/>
    <n v="3"/>
    <n v="80"/>
    <n v="0"/>
    <n v="16"/>
    <s v="&gt;15"/>
    <n v="3"/>
    <n v="3"/>
    <n v="16"/>
    <n v="13"/>
    <n v="2"/>
    <n v="10"/>
    <s v="Below Avg"/>
    <n v="27.923976608187136"/>
  </r>
  <r>
    <n v="37"/>
    <x v="1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s v="No"/>
    <n v="14"/>
    <n v="3"/>
    <n v="4"/>
    <n v="80"/>
    <n v="1"/>
    <n v="17"/>
    <s v="&gt;15"/>
    <n v="2"/>
    <n v="4"/>
    <n v="1"/>
    <n v="0"/>
    <n v="0"/>
    <n v="0"/>
    <s v="Below Avg"/>
    <n v="27.871250914411121"/>
  </r>
  <r>
    <n v="59"/>
    <x v="1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s v="No"/>
    <n v="21"/>
    <n v="4"/>
    <n v="4"/>
    <n v="80"/>
    <n v="1"/>
    <n v="30"/>
    <s v="&gt;15"/>
    <n v="3"/>
    <n v="3"/>
    <n v="3"/>
    <n v="2"/>
    <n v="2"/>
    <n v="2"/>
    <s v="Ok"/>
    <n v="27.891654465592975"/>
  </r>
  <r>
    <n v="50"/>
    <x v="1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s v="Yes"/>
    <n v="19"/>
    <n v="3"/>
    <n v="1"/>
    <n v="80"/>
    <n v="0"/>
    <n v="28"/>
    <s v="&gt;15"/>
    <n v="1"/>
    <n v="2"/>
    <n v="8"/>
    <n v="3"/>
    <n v="0"/>
    <n v="7"/>
    <s v="Ok"/>
    <n v="27.912087912087912"/>
  </r>
  <r>
    <n v="25"/>
    <x v="0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s v="Yes"/>
    <n v="11"/>
    <n v="3"/>
    <n v="4"/>
    <n v="80"/>
    <n v="0"/>
    <n v="6"/>
    <s v="6-15"/>
    <n v="1"/>
    <n v="3"/>
    <n v="6"/>
    <n v="4"/>
    <n v="0"/>
    <n v="3"/>
    <s v="Below Avg"/>
    <n v="27.932551319648091"/>
  </r>
  <r>
    <n v="25"/>
    <x v="1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s v="No"/>
    <n v="11"/>
    <n v="3"/>
    <n v="3"/>
    <n v="80"/>
    <n v="2"/>
    <n v="2"/>
    <s v="0-5"/>
    <n v="2"/>
    <n v="3"/>
    <n v="2"/>
    <n v="2"/>
    <n v="2"/>
    <n v="1"/>
    <s v="Below Avg"/>
    <n v="27.879677182685253"/>
  </r>
  <r>
    <n v="22"/>
    <x v="1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s v="No"/>
    <n v="15"/>
    <n v="3"/>
    <n v="3"/>
    <n v="80"/>
    <n v="0"/>
    <n v="1"/>
    <s v="0-5"/>
    <n v="5"/>
    <n v="3"/>
    <n v="0"/>
    <n v="0"/>
    <n v="0"/>
    <n v="0"/>
    <s v="Below Avg"/>
    <n v="27.826725403817914"/>
  </r>
  <r>
    <n v="51"/>
    <x v="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s v="No"/>
    <n v="20"/>
    <n v="4"/>
    <n v="3"/>
    <n v="80"/>
    <n v="0"/>
    <n v="23"/>
    <s v="&gt;15"/>
    <n v="1"/>
    <n v="2"/>
    <n v="13"/>
    <n v="12"/>
    <n v="12"/>
    <n v="8"/>
    <s v="Ok"/>
    <n v="27.847171197648791"/>
  </r>
  <r>
    <n v="34"/>
    <x v="0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s v="Yes"/>
    <n v="24"/>
    <n v="4"/>
    <n v="4"/>
    <n v="80"/>
    <n v="0"/>
    <n v="9"/>
    <s v="6-15"/>
    <n v="3"/>
    <n v="3"/>
    <n v="9"/>
    <n v="7"/>
    <n v="0"/>
    <n v="6"/>
    <s v="Below Avg"/>
    <n v="27.867647058823529"/>
  </r>
  <r>
    <n v="54"/>
    <x v="1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s v="Yes"/>
    <n v="12"/>
    <n v="3"/>
    <n v="3"/>
    <n v="80"/>
    <n v="0"/>
    <n v="23"/>
    <s v="&gt;15"/>
    <n v="3"/>
    <n v="3"/>
    <n v="5"/>
    <n v="3"/>
    <n v="4"/>
    <n v="4"/>
    <s v="Ok"/>
    <n v="27.888153053715968"/>
  </r>
  <r>
    <n v="24"/>
    <x v="1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s v="No"/>
    <n v="12"/>
    <n v="3"/>
    <n v="3"/>
    <n v="80"/>
    <n v="1"/>
    <n v="6"/>
    <s v="6-15"/>
    <n v="2"/>
    <n v="3"/>
    <n v="5"/>
    <n v="3"/>
    <n v="1"/>
    <n v="2"/>
    <s v="Below Avg"/>
    <n v="27.835051546391753"/>
  </r>
  <r>
    <n v="34"/>
    <x v="1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s v="No"/>
    <n v="15"/>
    <n v="3"/>
    <n v="3"/>
    <n v="80"/>
    <n v="1"/>
    <n v="12"/>
    <s v="6-15"/>
    <n v="3"/>
    <n v="3"/>
    <n v="1"/>
    <n v="0"/>
    <n v="0"/>
    <n v="0"/>
    <s v="Below Avg"/>
    <n v="27.78187177597642"/>
  </r>
  <r>
    <n v="37"/>
    <x v="1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s v="No"/>
    <n v="12"/>
    <n v="3"/>
    <n v="1"/>
    <n v="80"/>
    <n v="0"/>
    <n v="12"/>
    <s v="6-15"/>
    <n v="3"/>
    <n v="3"/>
    <n v="5"/>
    <n v="3"/>
    <n v="1"/>
    <n v="3"/>
    <s v="Ok"/>
    <n v="27.802359882005902"/>
  </r>
  <r>
    <n v="34"/>
    <x v="1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s v="No"/>
    <n v="12"/>
    <n v="3"/>
    <n v="4"/>
    <n v="80"/>
    <n v="0"/>
    <n v="14"/>
    <s v="6-15"/>
    <n v="6"/>
    <n v="3"/>
    <n v="11"/>
    <n v="10"/>
    <n v="5"/>
    <n v="8"/>
    <s v="Ok"/>
    <n v="27.822878228782287"/>
  </r>
  <r>
    <n v="36"/>
    <x v="1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s v="No"/>
    <n v="14"/>
    <n v="3"/>
    <n v="3"/>
    <n v="80"/>
    <n v="1"/>
    <n v="10"/>
    <s v="6-15"/>
    <n v="6"/>
    <n v="3"/>
    <n v="9"/>
    <n v="7"/>
    <n v="2"/>
    <n v="8"/>
    <s v="Ok"/>
    <n v="27.843426883308712"/>
  </r>
  <r>
    <n v="36"/>
    <x v="1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s v="No"/>
    <n v="22"/>
    <n v="4"/>
    <n v="1"/>
    <n v="80"/>
    <n v="1"/>
    <n v="7"/>
    <s v="6-15"/>
    <n v="2"/>
    <n v="3"/>
    <n v="1"/>
    <n v="0"/>
    <n v="0"/>
    <n v="0"/>
    <s v="Below Avg"/>
    <n v="27.8640059127864"/>
  </r>
  <r>
    <n v="43"/>
    <x v="1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s v="Yes"/>
    <n v="12"/>
    <n v="3"/>
    <n v="4"/>
    <n v="80"/>
    <n v="2"/>
    <n v="25"/>
    <s v="&gt;15"/>
    <n v="3"/>
    <n v="4"/>
    <n v="25"/>
    <n v="12"/>
    <n v="4"/>
    <n v="12"/>
    <s v="Ok"/>
    <n v="27.884615384615387"/>
  </r>
  <r>
    <n v="30"/>
    <x v="1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s v="No"/>
    <n v="25"/>
    <n v="4"/>
    <n v="3"/>
    <n v="80"/>
    <n v="3"/>
    <n v="10"/>
    <s v="6-15"/>
    <n v="2"/>
    <n v="2"/>
    <n v="10"/>
    <n v="7"/>
    <n v="0"/>
    <n v="9"/>
    <s v="Below Avg"/>
    <n v="27.905255366395266"/>
  </r>
  <r>
    <n v="33"/>
    <x v="1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s v="No"/>
    <n v="13"/>
    <n v="3"/>
    <n v="1"/>
    <n v="80"/>
    <n v="1"/>
    <n v="8"/>
    <s v="6-15"/>
    <n v="2"/>
    <n v="4"/>
    <n v="7"/>
    <n v="7"/>
    <n v="0"/>
    <n v="7"/>
    <s v="Below Avg"/>
    <n v="27.851851851851851"/>
  </r>
  <r>
    <n v="56"/>
    <x v="0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s v="Yes"/>
    <n v="18"/>
    <n v="3"/>
    <n v="1"/>
    <n v="80"/>
    <n v="3"/>
    <n v="7"/>
    <s v="6-15"/>
    <n v="2"/>
    <n v="3"/>
    <n v="5"/>
    <n v="4"/>
    <n v="4"/>
    <n v="3"/>
    <s v="Below Avg"/>
    <n v="27.872498146775389"/>
  </r>
  <r>
    <n v="51"/>
    <x v="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s v="No"/>
    <n v="13"/>
    <n v="3"/>
    <n v="3"/>
    <n v="80"/>
    <n v="0"/>
    <n v="23"/>
    <s v="&gt;15"/>
    <n v="5"/>
    <n v="3"/>
    <n v="20"/>
    <n v="18"/>
    <n v="15"/>
    <n v="15"/>
    <s v="Ok"/>
    <n v="27.893175074183979"/>
  </r>
  <r>
    <n v="31"/>
    <x v="0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s v="Yes"/>
    <n v="18"/>
    <n v="3"/>
    <n v="2"/>
    <n v="80"/>
    <n v="0"/>
    <n v="12"/>
    <s v="6-15"/>
    <n v="3"/>
    <n v="2"/>
    <n v="7"/>
    <n v="7"/>
    <n v="7"/>
    <n v="7"/>
    <s v="Below Avg"/>
    <n v="27.839643652561247"/>
  </r>
  <r>
    <n v="26"/>
    <x v="1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s v="No"/>
    <n v="19"/>
    <n v="3"/>
    <n v="3"/>
    <n v="80"/>
    <n v="0"/>
    <n v="5"/>
    <s v="0-5"/>
    <n v="3"/>
    <n v="2"/>
    <n v="5"/>
    <n v="4"/>
    <n v="4"/>
    <n v="3"/>
    <s v="Below Avg"/>
    <n v="27.860326894502229"/>
  </r>
  <r>
    <n v="58"/>
    <x v="0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s v="No"/>
    <n v="12"/>
    <n v="3"/>
    <n v="4"/>
    <n v="80"/>
    <n v="1"/>
    <n v="40"/>
    <s v="&gt;15"/>
    <n v="3"/>
    <n v="2"/>
    <n v="40"/>
    <n v="10"/>
    <n v="15"/>
    <n v="6"/>
    <s v="Ok"/>
    <n v="27.806691449814124"/>
  </r>
  <r>
    <n v="19"/>
    <x v="0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s v="Yes"/>
    <n v="19"/>
    <n v="3"/>
    <n v="4"/>
    <n v="80"/>
    <n v="0"/>
    <n v="0"/>
    <s v="0-5"/>
    <n v="2"/>
    <n v="2"/>
    <n v="0"/>
    <n v="0"/>
    <n v="0"/>
    <n v="0"/>
    <s v="Below Avg"/>
    <n v="27.827380952380953"/>
  </r>
  <r>
    <n v="22"/>
    <x v="1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s v="No"/>
    <n v="14"/>
    <n v="3"/>
    <n v="3"/>
    <n v="80"/>
    <n v="1"/>
    <n v="3"/>
    <s v="0-5"/>
    <n v="2"/>
    <n v="3"/>
    <n v="2"/>
    <n v="1"/>
    <n v="2"/>
    <n v="1"/>
    <s v="Below Avg"/>
    <n v="27.848101265822784"/>
  </r>
  <r>
    <n v="49"/>
    <x v="1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s v="No"/>
    <n v="14"/>
    <n v="3"/>
    <n v="3"/>
    <n v="80"/>
    <n v="0"/>
    <n v="16"/>
    <s v="&gt;15"/>
    <n v="2"/>
    <n v="2"/>
    <n v="15"/>
    <n v="11"/>
    <n v="5"/>
    <n v="11"/>
    <s v="Ok"/>
    <n v="27.794336810730254"/>
  </r>
  <r>
    <n v="43"/>
    <x v="1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s v="No"/>
    <n v="12"/>
    <n v="3"/>
    <n v="4"/>
    <n v="80"/>
    <n v="0"/>
    <n v="18"/>
    <s v="&gt;15"/>
    <n v="2"/>
    <n v="3"/>
    <n v="3"/>
    <n v="2"/>
    <n v="1"/>
    <n v="2"/>
    <s v="Below Avg"/>
    <n v="27.815063385533183"/>
  </r>
  <r>
    <n v="50"/>
    <x v="1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s v="No"/>
    <n v="11"/>
    <n v="3"/>
    <n v="4"/>
    <n v="80"/>
    <n v="0"/>
    <n v="16"/>
    <s v="&gt;15"/>
    <n v="3"/>
    <n v="3"/>
    <n v="2"/>
    <n v="2"/>
    <n v="2"/>
    <n v="1"/>
    <s v="Ok"/>
    <n v="27.835820895522389"/>
  </r>
  <r>
    <n v="31"/>
    <x v="0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s v="Yes"/>
    <n v="11"/>
    <n v="3"/>
    <n v="3"/>
    <n v="80"/>
    <n v="1"/>
    <n v="4"/>
    <s v="0-5"/>
    <n v="2"/>
    <n v="3"/>
    <n v="2"/>
    <n v="2"/>
    <n v="2"/>
    <n v="2"/>
    <s v="Below Avg"/>
    <n v="27.856609410007465"/>
  </r>
  <r>
    <n v="41"/>
    <x v="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s v="Yes"/>
    <n v="13"/>
    <n v="3"/>
    <n v="3"/>
    <n v="80"/>
    <n v="1"/>
    <n v="12"/>
    <s v="6-15"/>
    <n v="2"/>
    <n v="3"/>
    <n v="9"/>
    <n v="7"/>
    <n v="0"/>
    <n v="7"/>
    <s v="Ok"/>
    <n v="27.877428998505234"/>
  </r>
  <r>
    <n v="26"/>
    <x v="1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s v="No"/>
    <n v="23"/>
    <n v="4"/>
    <n v="4"/>
    <n v="80"/>
    <n v="1"/>
    <n v="8"/>
    <s v="6-15"/>
    <n v="3"/>
    <n v="3"/>
    <n v="8"/>
    <n v="7"/>
    <n v="5"/>
    <n v="7"/>
    <s v="Below Avg"/>
    <n v="27.823485415108451"/>
  </r>
  <r>
    <n v="36"/>
    <x v="1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s v="No"/>
    <n v="20"/>
    <n v="4"/>
    <n v="4"/>
    <n v="80"/>
    <n v="2"/>
    <n v="7"/>
    <s v="6-15"/>
    <n v="0"/>
    <n v="3"/>
    <n v="3"/>
    <n v="2"/>
    <n v="0"/>
    <n v="1"/>
    <s v="Below Avg"/>
    <n v="27.769461077844309"/>
  </r>
  <r>
    <n v="51"/>
    <x v="0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s v="No"/>
    <n v="15"/>
    <n v="3"/>
    <n v="4"/>
    <n v="80"/>
    <n v="0"/>
    <n v="18"/>
    <s v="&gt;15"/>
    <n v="2"/>
    <n v="3"/>
    <n v="4"/>
    <n v="2"/>
    <n v="0"/>
    <n v="3"/>
    <s v="Ok"/>
    <n v="27.790262172284645"/>
  </r>
  <r>
    <n v="39"/>
    <x v="1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s v="No"/>
    <n v="14"/>
    <n v="3"/>
    <n v="3"/>
    <n v="80"/>
    <n v="1"/>
    <n v="17"/>
    <s v="&gt;15"/>
    <n v="1"/>
    <n v="4"/>
    <n v="15"/>
    <n v="11"/>
    <n v="5"/>
    <n v="9"/>
    <s v="Below Avg"/>
    <n v="27.811094452773617"/>
  </r>
  <r>
    <n v="25"/>
    <x v="1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s v="No"/>
    <n v="18"/>
    <n v="3"/>
    <n v="4"/>
    <n v="80"/>
    <n v="0"/>
    <n v="6"/>
    <s v="6-15"/>
    <n v="3"/>
    <n v="3"/>
    <n v="2"/>
    <n v="2"/>
    <n v="2"/>
    <n v="2"/>
    <s v="Ok"/>
    <n v="27.831957989497376"/>
  </r>
  <r>
    <n v="30"/>
    <x v="1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s v="Yes"/>
    <n v="19"/>
    <n v="3"/>
    <n v="4"/>
    <n v="80"/>
    <n v="0"/>
    <n v="12"/>
    <s v="6-15"/>
    <n v="2"/>
    <n v="1"/>
    <n v="11"/>
    <n v="9"/>
    <n v="4"/>
    <n v="7"/>
    <s v="Below Avg"/>
    <n v="27.852852852852855"/>
  </r>
  <r>
    <n v="32"/>
    <x v="0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s v="No"/>
    <n v="22"/>
    <n v="4"/>
    <n v="1"/>
    <n v="80"/>
    <n v="0"/>
    <n v="10"/>
    <s v="6-15"/>
    <n v="2"/>
    <n v="4"/>
    <n v="5"/>
    <n v="4"/>
    <n v="0"/>
    <n v="4"/>
    <s v="Below Avg"/>
    <n v="27.873779113448531"/>
  </r>
  <r>
    <n v="45"/>
    <x v="1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s v="No"/>
    <n v="13"/>
    <n v="3"/>
    <n v="2"/>
    <n v="80"/>
    <n v="0"/>
    <n v="9"/>
    <s v="6-15"/>
    <n v="2"/>
    <n v="2"/>
    <n v="6"/>
    <n v="5"/>
    <n v="0"/>
    <n v="3"/>
    <s v="Below Avg"/>
    <n v="27.819548872180448"/>
  </r>
  <r>
    <n v="38"/>
    <x v="1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s v="Yes"/>
    <n v="20"/>
    <n v="4"/>
    <n v="2"/>
    <n v="80"/>
    <n v="0"/>
    <n v="19"/>
    <s v="&gt;15"/>
    <n v="2"/>
    <n v="3"/>
    <n v="3"/>
    <n v="2"/>
    <n v="2"/>
    <n v="2"/>
    <s v="Below Avg"/>
    <n v="27.840481565086534"/>
  </r>
  <r>
    <n v="30"/>
    <x v="1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s v="No"/>
    <n v="14"/>
    <n v="3"/>
    <n v="3"/>
    <n v="80"/>
    <n v="0"/>
    <n v="5"/>
    <s v="0-5"/>
    <n v="4"/>
    <n v="2"/>
    <n v="5"/>
    <n v="4"/>
    <n v="0"/>
    <n v="4"/>
    <s v="Below Avg"/>
    <n v="27.861445783132531"/>
  </r>
  <r>
    <n v="32"/>
    <x v="1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s v="No"/>
    <n v="17"/>
    <n v="3"/>
    <n v="4"/>
    <n v="80"/>
    <n v="3"/>
    <n v="9"/>
    <s v="6-15"/>
    <n v="2"/>
    <n v="4"/>
    <n v="8"/>
    <n v="7"/>
    <n v="0"/>
    <n v="7"/>
    <s v="Below Avg"/>
    <n v="27.807083647324792"/>
  </r>
  <r>
    <n v="30"/>
    <x v="1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s v="No"/>
    <n v="14"/>
    <n v="3"/>
    <n v="4"/>
    <n v="80"/>
    <n v="1"/>
    <n v="8"/>
    <s v="6-15"/>
    <n v="3"/>
    <n v="3"/>
    <n v="3"/>
    <n v="2"/>
    <n v="2"/>
    <n v="2"/>
    <s v="Below Avg"/>
    <n v="27.828054298642535"/>
  </r>
  <r>
    <n v="30"/>
    <x v="1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s v="No"/>
    <n v="13"/>
    <n v="3"/>
    <n v="4"/>
    <n v="80"/>
    <n v="0"/>
    <n v="6"/>
    <s v="6-15"/>
    <n v="3"/>
    <n v="3"/>
    <n v="5"/>
    <n v="3"/>
    <n v="1"/>
    <n v="2"/>
    <s v="Below Avg"/>
    <n v="27.849056603773587"/>
  </r>
  <r>
    <n v="41"/>
    <x v="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s v="No"/>
    <n v="13"/>
    <n v="3"/>
    <n v="2"/>
    <n v="80"/>
    <n v="1"/>
    <n v="21"/>
    <s v="&gt;15"/>
    <n v="2"/>
    <n v="2"/>
    <n v="7"/>
    <n v="6"/>
    <n v="7"/>
    <n v="7"/>
    <s v="Ok"/>
    <n v="27.870090634441087"/>
  </r>
  <r>
    <n v="41"/>
    <x v="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s v="No"/>
    <n v="21"/>
    <n v="4"/>
    <n v="4"/>
    <n v="80"/>
    <n v="1"/>
    <n v="7"/>
    <s v="6-15"/>
    <n v="2"/>
    <n v="3"/>
    <n v="5"/>
    <n v="0"/>
    <n v="1"/>
    <n v="4"/>
    <s v="Below Avg"/>
    <n v="27.89115646258503"/>
  </r>
  <r>
    <n v="19"/>
    <x v="1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s v="No"/>
    <n v="14"/>
    <n v="3"/>
    <n v="4"/>
    <n v="80"/>
    <n v="0"/>
    <n v="1"/>
    <s v="0-5"/>
    <n v="3"/>
    <n v="3"/>
    <n v="1"/>
    <n v="0"/>
    <n v="0"/>
    <n v="0"/>
    <s v="Below Avg"/>
    <n v="27.912254160363087"/>
  </r>
  <r>
    <n v="40"/>
    <x v="1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s v="No"/>
    <n v="11"/>
    <n v="3"/>
    <n v="1"/>
    <n v="80"/>
    <n v="1"/>
    <n v="20"/>
    <s v="&gt;15"/>
    <n v="2"/>
    <n v="3"/>
    <n v="20"/>
    <n v="7"/>
    <n v="2"/>
    <n v="13"/>
    <s v="Below Avg"/>
    <n v="27.9333838001514"/>
  </r>
  <r>
    <n v="35"/>
    <x v="1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s v="No"/>
    <n v="13"/>
    <n v="3"/>
    <n v="1"/>
    <n v="80"/>
    <n v="2"/>
    <n v="10"/>
    <s v="6-15"/>
    <n v="3"/>
    <n v="3"/>
    <n v="10"/>
    <n v="8"/>
    <n v="0"/>
    <n v="6"/>
    <s v="Ok"/>
    <n v="27.954545454545453"/>
  </r>
  <r>
    <n v="53"/>
    <x v="1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s v="Yes"/>
    <n v="20"/>
    <n v="4"/>
    <n v="4"/>
    <n v="80"/>
    <n v="1"/>
    <n v="13"/>
    <s v="6-15"/>
    <n v="3"/>
    <n v="1"/>
    <n v="7"/>
    <n v="7"/>
    <n v="4"/>
    <n v="5"/>
    <s v="Below Avg"/>
    <n v="27.975739196360877"/>
  </r>
  <r>
    <n v="45"/>
    <x v="1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s v="No"/>
    <n v="18"/>
    <n v="3"/>
    <n v="3"/>
    <n v="80"/>
    <n v="1"/>
    <n v="20"/>
    <s v="&gt;15"/>
    <n v="2"/>
    <n v="1"/>
    <n v="17"/>
    <n v="9"/>
    <n v="0"/>
    <n v="15"/>
    <s v="Below Avg"/>
    <n v="27.996965098634298"/>
  </r>
  <r>
    <n v="32"/>
    <x v="1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s v="No"/>
    <n v="14"/>
    <n v="3"/>
    <n v="4"/>
    <n v="80"/>
    <n v="0"/>
    <n v="9"/>
    <s v="6-15"/>
    <n v="2"/>
    <n v="3"/>
    <n v="9"/>
    <n v="8"/>
    <n v="3"/>
    <n v="7"/>
    <s v="Ok"/>
    <n v="27.942293090356873"/>
  </r>
  <r>
    <n v="29"/>
    <x v="1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s v="No"/>
    <n v="13"/>
    <n v="3"/>
    <n v="1"/>
    <n v="80"/>
    <n v="1"/>
    <n v="10"/>
    <s v="6-15"/>
    <n v="1"/>
    <n v="3"/>
    <n v="10"/>
    <n v="7"/>
    <n v="0"/>
    <n v="9"/>
    <s v="Below Avg"/>
    <n v="27.96352583586626"/>
  </r>
  <r>
    <n v="51"/>
    <x v="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s v="No"/>
    <n v="17"/>
    <n v="3"/>
    <n v="3"/>
    <n v="80"/>
    <n v="0"/>
    <n v="10"/>
    <s v="6-15"/>
    <n v="2"/>
    <n v="3"/>
    <n v="1"/>
    <n v="0"/>
    <n v="0"/>
    <n v="0"/>
    <s v="Below Avg"/>
    <n v="27.984790874524716"/>
  </r>
  <r>
    <n v="58"/>
    <x v="1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s v="Yes"/>
    <n v="20"/>
    <n v="4"/>
    <n v="2"/>
    <n v="80"/>
    <n v="1"/>
    <n v="9"/>
    <s v="6-15"/>
    <n v="3"/>
    <n v="2"/>
    <n v="1"/>
    <n v="0"/>
    <n v="0"/>
    <n v="0"/>
    <s v="Below Avg"/>
    <n v="28.006088280060879"/>
  </r>
  <r>
    <n v="40"/>
    <x v="1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s v="No"/>
    <n v="11"/>
    <n v="3"/>
    <n v="1"/>
    <n v="80"/>
    <n v="1"/>
    <n v="15"/>
    <s v="6-15"/>
    <n v="2"/>
    <n v="2"/>
    <n v="12"/>
    <n v="11"/>
    <n v="2"/>
    <n v="11"/>
    <s v="Ok"/>
    <n v="28.027418126428028"/>
  </r>
  <r>
    <n v="34"/>
    <x v="1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s v="No"/>
    <n v="18"/>
    <n v="3"/>
    <n v="4"/>
    <n v="80"/>
    <n v="1"/>
    <n v="6"/>
    <s v="6-15"/>
    <n v="3"/>
    <n v="3"/>
    <n v="4"/>
    <n v="3"/>
    <n v="1"/>
    <n v="2"/>
    <s v="Below Avg"/>
    <n v="27.972560975609756"/>
  </r>
  <r>
    <n v="22"/>
    <x v="1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s v="No"/>
    <n v="24"/>
    <n v="4"/>
    <n v="1"/>
    <n v="80"/>
    <n v="2"/>
    <n v="2"/>
    <s v="0-5"/>
    <n v="6"/>
    <n v="3"/>
    <n v="2"/>
    <n v="2"/>
    <n v="2"/>
    <n v="2"/>
    <s v="Below Avg"/>
    <n v="27.993897787948129"/>
  </r>
  <r>
    <n v="27"/>
    <x v="1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s v="No"/>
    <n v="18"/>
    <n v="3"/>
    <n v="4"/>
    <n v="80"/>
    <n v="1"/>
    <n v="6"/>
    <s v="6-15"/>
    <n v="1"/>
    <n v="1"/>
    <n v="2"/>
    <n v="2"/>
    <n v="2"/>
    <n v="2"/>
    <s v="Below Avg"/>
    <n v="28.015267175572518"/>
  </r>
  <r>
    <n v="28"/>
    <x v="1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s v="No"/>
    <n v="11"/>
    <n v="3"/>
    <n v="3"/>
    <n v="80"/>
    <n v="1"/>
    <n v="5"/>
    <s v="0-5"/>
    <n v="2"/>
    <n v="1"/>
    <n v="5"/>
    <n v="2"/>
    <n v="0"/>
    <n v="2"/>
    <s v="Below Avg"/>
    <n v="28.036669213139803"/>
  </r>
  <r>
    <n v="57"/>
    <x v="1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s v="Yes"/>
    <n v="16"/>
    <n v="3"/>
    <n v="2"/>
    <n v="80"/>
    <n v="1"/>
    <n v="12"/>
    <s v="6-15"/>
    <n v="2"/>
    <n v="1"/>
    <n v="5"/>
    <n v="3"/>
    <n v="1"/>
    <n v="4"/>
    <s v="Ok"/>
    <n v="28.058103975535172"/>
  </r>
  <r>
    <n v="27"/>
    <x v="1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s v="Yes"/>
    <n v="15"/>
    <n v="3"/>
    <n v="4"/>
    <n v="80"/>
    <n v="1"/>
    <n v="1"/>
    <s v="0-5"/>
    <n v="2"/>
    <n v="2"/>
    <n v="1"/>
    <n v="1"/>
    <n v="0"/>
    <n v="1"/>
    <s v="Below Avg"/>
    <n v="28.079571537872994"/>
  </r>
  <r>
    <n v="50"/>
    <x v="1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s v="No"/>
    <n v="15"/>
    <n v="3"/>
    <n v="2"/>
    <n v="80"/>
    <n v="0"/>
    <n v="21"/>
    <s v="&gt;15"/>
    <n v="5"/>
    <n v="3"/>
    <n v="5"/>
    <n v="4"/>
    <n v="4"/>
    <n v="4"/>
    <s v="Ok"/>
    <n v="28.024502297090354"/>
  </r>
  <r>
    <n v="41"/>
    <x v="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s v="No"/>
    <n v="12"/>
    <n v="3"/>
    <n v="1"/>
    <n v="80"/>
    <n v="1"/>
    <n v="13"/>
    <s v="6-15"/>
    <n v="2"/>
    <n v="3"/>
    <n v="9"/>
    <n v="8"/>
    <n v="1"/>
    <n v="8"/>
    <s v="Below Avg"/>
    <n v="27.969348659003828"/>
  </r>
  <r>
    <n v="30"/>
    <x v="1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s v="No"/>
    <n v="12"/>
    <n v="3"/>
    <n v="3"/>
    <n v="80"/>
    <n v="1"/>
    <n v="12"/>
    <s v="6-15"/>
    <n v="2"/>
    <n v="3"/>
    <n v="10"/>
    <n v="9"/>
    <n v="7"/>
    <n v="4"/>
    <s v="Ok"/>
    <n v="27.990797546012271"/>
  </r>
  <r>
    <n v="38"/>
    <x v="1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s v="No"/>
    <n v="22"/>
    <n v="4"/>
    <n v="3"/>
    <n v="80"/>
    <n v="0"/>
    <n v="12"/>
    <s v="6-15"/>
    <n v="2"/>
    <n v="4"/>
    <n v="8"/>
    <n v="3"/>
    <n v="0"/>
    <n v="7"/>
    <s v="Ok"/>
    <n v="28.012279355333845"/>
  </r>
  <r>
    <n v="32"/>
    <x v="1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s v="No"/>
    <n v="20"/>
    <n v="4"/>
    <n v="1"/>
    <n v="80"/>
    <n v="0"/>
    <n v="8"/>
    <s v="6-15"/>
    <n v="2"/>
    <n v="3"/>
    <n v="5"/>
    <n v="4"/>
    <n v="1"/>
    <n v="4"/>
    <s v="Below Avg"/>
    <n v="28.033794162826421"/>
  </r>
  <r>
    <n v="27"/>
    <x v="1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s v="Yes"/>
    <n v="16"/>
    <n v="3"/>
    <n v="4"/>
    <n v="80"/>
    <n v="1"/>
    <n v="6"/>
    <s v="6-15"/>
    <n v="3"/>
    <n v="2"/>
    <n v="5"/>
    <n v="2"/>
    <n v="1"/>
    <n v="1"/>
    <s v="Below Avg"/>
    <n v="28.055342044581096"/>
  </r>
  <r>
    <n v="19"/>
    <x v="0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s v="No"/>
    <n v="21"/>
    <n v="4"/>
    <n v="1"/>
    <n v="80"/>
    <n v="0"/>
    <n v="1"/>
    <s v="0-5"/>
    <n v="5"/>
    <n v="4"/>
    <n v="0"/>
    <n v="0"/>
    <n v="0"/>
    <n v="0"/>
    <s v="Below Avg"/>
    <n v="28.076923076923077"/>
  </r>
  <r>
    <n v="36"/>
    <x v="1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s v="No"/>
    <n v="12"/>
    <n v="3"/>
    <n v="3"/>
    <n v="80"/>
    <n v="0"/>
    <n v="13"/>
    <s v="6-15"/>
    <n v="3"/>
    <n v="2"/>
    <n v="8"/>
    <n v="7"/>
    <n v="7"/>
    <n v="2"/>
    <s v="Below Avg"/>
    <n v="28.021555042340264"/>
  </r>
  <r>
    <n v="30"/>
    <x v="1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s v="No"/>
    <n v="11"/>
    <n v="3"/>
    <n v="3"/>
    <n v="80"/>
    <n v="2"/>
    <n v="12"/>
    <s v="6-15"/>
    <n v="4"/>
    <n v="3"/>
    <n v="12"/>
    <n v="9"/>
    <n v="6"/>
    <n v="10"/>
    <s v="Below Avg"/>
    <n v="28.043143297380585"/>
  </r>
  <r>
    <n v="45"/>
    <x v="1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s v="Yes"/>
    <n v="11"/>
    <n v="3"/>
    <n v="1"/>
    <n v="80"/>
    <n v="1"/>
    <n v="9"/>
    <s v="6-15"/>
    <n v="3"/>
    <n v="4"/>
    <n v="5"/>
    <n v="4"/>
    <n v="0"/>
    <n v="3"/>
    <s v="Below Avg"/>
    <n v="28.064764841942946"/>
  </r>
  <r>
    <n v="56"/>
    <x v="1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s v="Yes"/>
    <n v="18"/>
    <n v="3"/>
    <n v="3"/>
    <n v="80"/>
    <n v="1"/>
    <n v="19"/>
    <s v="&gt;15"/>
    <n v="3"/>
    <n v="3"/>
    <n v="2"/>
    <n v="2"/>
    <n v="2"/>
    <n v="2"/>
    <s v="Below Avg"/>
    <n v="28.086419753086421"/>
  </r>
  <r>
    <n v="33"/>
    <x v="1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s v="No"/>
    <n v="14"/>
    <n v="3"/>
    <n v="1"/>
    <n v="80"/>
    <n v="0"/>
    <n v="4"/>
    <s v="0-5"/>
    <n v="2"/>
    <n v="4"/>
    <n v="3"/>
    <n v="1"/>
    <n v="0"/>
    <n v="2"/>
    <s v="Below Avg"/>
    <n v="28.030888030888029"/>
  </r>
  <r>
    <n v="19"/>
    <x v="0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s v="No"/>
    <n v="22"/>
    <n v="4"/>
    <n v="3"/>
    <n v="80"/>
    <n v="0"/>
    <n v="1"/>
    <s v="0-5"/>
    <n v="3"/>
    <n v="2"/>
    <n v="1"/>
    <n v="0"/>
    <n v="1"/>
    <n v="0"/>
    <s v="Below Avg"/>
    <n v="27.975270479134469"/>
  </r>
  <r>
    <n v="46"/>
    <x v="1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s v="No"/>
    <n v="25"/>
    <n v="4"/>
    <n v="3"/>
    <n v="80"/>
    <n v="3"/>
    <n v="24"/>
    <s v="&gt;15"/>
    <n v="2"/>
    <n v="3"/>
    <n v="24"/>
    <n v="13"/>
    <n v="15"/>
    <n v="7"/>
    <s v="Ok"/>
    <n v="27.996906419180199"/>
  </r>
  <r>
    <n v="38"/>
    <x v="1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s v="No"/>
    <n v="12"/>
    <n v="3"/>
    <n v="3"/>
    <n v="80"/>
    <n v="0"/>
    <n v="2"/>
    <s v="0-5"/>
    <n v="3"/>
    <n v="3"/>
    <n v="2"/>
    <n v="2"/>
    <n v="2"/>
    <n v="1"/>
    <s v="Below Avg"/>
    <n v="28.018575851393191"/>
  </r>
  <r>
    <n v="31"/>
    <x v="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s v="Yes"/>
    <n v="23"/>
    <n v="4"/>
    <n v="3"/>
    <n v="80"/>
    <n v="1"/>
    <n v="7"/>
    <s v="6-15"/>
    <n v="0"/>
    <n v="3"/>
    <n v="4"/>
    <n v="2"/>
    <n v="0"/>
    <n v="2"/>
    <s v="Below Avg"/>
    <n v="28.040278853601858"/>
  </r>
  <r>
    <n v="34"/>
    <x v="1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s v="No"/>
    <n v="15"/>
    <n v="3"/>
    <n v="4"/>
    <n v="80"/>
    <n v="0"/>
    <n v="9"/>
    <s v="6-15"/>
    <n v="3"/>
    <n v="3"/>
    <n v="3"/>
    <n v="2"/>
    <n v="1"/>
    <n v="2"/>
    <s v="Below Avg"/>
    <n v="28.062015503875969"/>
  </r>
  <r>
    <n v="41"/>
    <x v="0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s v="Yes"/>
    <n v="22"/>
    <n v="4"/>
    <n v="4"/>
    <n v="80"/>
    <n v="0"/>
    <n v="4"/>
    <s v="0-5"/>
    <n v="5"/>
    <n v="2"/>
    <n v="4"/>
    <n v="3"/>
    <n v="0"/>
    <n v="2"/>
    <s v="Below Avg"/>
    <n v="28.006206361520558"/>
  </r>
  <r>
    <n v="50"/>
    <x v="1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s v="No"/>
    <n v="15"/>
    <n v="3"/>
    <n v="4"/>
    <n v="80"/>
    <n v="1"/>
    <n v="5"/>
    <s v="0-5"/>
    <n v="2"/>
    <n v="2"/>
    <n v="3"/>
    <n v="2"/>
    <n v="0"/>
    <n v="2"/>
    <s v="Below Avg"/>
    <n v="28.027950310559007"/>
  </r>
  <r>
    <n v="53"/>
    <x v="1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s v="No"/>
    <n v="11"/>
    <n v="3"/>
    <n v="3"/>
    <n v="80"/>
    <n v="2"/>
    <n v="5"/>
    <s v="0-5"/>
    <n v="3"/>
    <n v="3"/>
    <n v="4"/>
    <n v="2"/>
    <n v="1"/>
    <n v="3"/>
    <s v="Below Avg"/>
    <n v="27.972027972027973"/>
  </r>
  <r>
    <n v="33"/>
    <x v="1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s v="No"/>
    <n v="13"/>
    <n v="3"/>
    <n v="4"/>
    <n v="80"/>
    <n v="1"/>
    <n v="8"/>
    <s v="6-15"/>
    <n v="5"/>
    <n v="3"/>
    <n v="8"/>
    <n v="7"/>
    <n v="1"/>
    <n v="6"/>
    <s v="Below Avg"/>
    <n v="27.993779160186627"/>
  </r>
  <r>
    <n v="40"/>
    <x v="1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s v="No"/>
    <n v="14"/>
    <n v="3"/>
    <n v="2"/>
    <n v="80"/>
    <n v="1"/>
    <n v="21"/>
    <s v="&gt;15"/>
    <n v="2"/>
    <n v="3"/>
    <n v="20"/>
    <n v="8"/>
    <n v="9"/>
    <n v="9"/>
    <s v="Ok"/>
    <n v="28.01556420233463"/>
  </r>
  <r>
    <n v="55"/>
    <x v="1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s v="No"/>
    <n v="11"/>
    <n v="3"/>
    <n v="4"/>
    <n v="80"/>
    <n v="0"/>
    <n v="36"/>
    <s v="&gt;15"/>
    <n v="3"/>
    <n v="3"/>
    <n v="24"/>
    <n v="15"/>
    <n v="2"/>
    <n v="15"/>
    <s v="Ok"/>
    <n v="28.037383177570092"/>
  </r>
  <r>
    <n v="34"/>
    <x v="1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s v="No"/>
    <n v="17"/>
    <n v="3"/>
    <n v="3"/>
    <n v="80"/>
    <n v="0"/>
    <n v="10"/>
    <s v="6-15"/>
    <n v="2"/>
    <n v="2"/>
    <n v="10"/>
    <n v="9"/>
    <n v="1"/>
    <n v="9"/>
    <s v="Ok"/>
    <n v="28.059236165237721"/>
  </r>
  <r>
    <n v="51"/>
    <x v="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s v="No"/>
    <n v="18"/>
    <n v="3"/>
    <n v="3"/>
    <n v="80"/>
    <n v="0"/>
    <n v="21"/>
    <s v="&gt;15"/>
    <n v="6"/>
    <n v="3"/>
    <n v="7"/>
    <n v="7"/>
    <n v="1"/>
    <n v="0"/>
    <s v="Ok"/>
    <n v="28.081123244929795"/>
  </r>
  <r>
    <n v="52"/>
    <x v="1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s v="No"/>
    <n v="14"/>
    <n v="3"/>
    <n v="1"/>
    <n v="80"/>
    <n v="1"/>
    <n v="34"/>
    <s v="&gt;15"/>
    <n v="5"/>
    <n v="3"/>
    <n v="33"/>
    <n v="18"/>
    <n v="11"/>
    <n v="9"/>
    <s v="Ok"/>
    <n v="28.103044496487119"/>
  </r>
  <r>
    <n v="27"/>
    <x v="1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s v="No"/>
    <n v="16"/>
    <n v="3"/>
    <n v="4"/>
    <n v="80"/>
    <n v="0"/>
    <n v="7"/>
    <s v="6-15"/>
    <n v="2"/>
    <n v="2"/>
    <n v="7"/>
    <n v="7"/>
    <n v="0"/>
    <n v="3"/>
    <s v="Below Avg"/>
    <n v="28.125"/>
  </r>
  <r>
    <n v="35"/>
    <x v="0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s v="Yes"/>
    <n v="13"/>
    <n v="3"/>
    <n v="1"/>
    <n v="80"/>
    <n v="0"/>
    <n v="8"/>
    <s v="6-15"/>
    <n v="1"/>
    <n v="3"/>
    <n v="1"/>
    <n v="0"/>
    <n v="0"/>
    <n v="1"/>
    <s v="Below Avg"/>
    <n v="28.146989835809226"/>
  </r>
  <r>
    <n v="43"/>
    <x v="1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s v="No"/>
    <n v="14"/>
    <n v="3"/>
    <n v="4"/>
    <n v="80"/>
    <n v="3"/>
    <n v="7"/>
    <s v="6-15"/>
    <n v="3"/>
    <n v="4"/>
    <n v="5"/>
    <n v="4"/>
    <n v="2"/>
    <n v="2"/>
    <s v="Below Avg"/>
    <n v="28.169014084507044"/>
  </r>
  <r>
    <n v="45"/>
    <x v="1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s v="No"/>
    <n v="23"/>
    <n v="4"/>
    <n v="4"/>
    <n v="80"/>
    <n v="1"/>
    <n v="22"/>
    <s v="&gt;15"/>
    <n v="1"/>
    <n v="3"/>
    <n v="20"/>
    <n v="8"/>
    <n v="11"/>
    <n v="8"/>
    <s v="Ok"/>
    <n v="28.112764291307752"/>
  </r>
  <r>
    <n v="37"/>
    <x v="1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s v="Yes"/>
    <n v="12"/>
    <n v="3"/>
    <n v="1"/>
    <n v="80"/>
    <n v="1"/>
    <n v="8"/>
    <s v="6-15"/>
    <n v="3"/>
    <n v="2"/>
    <n v="8"/>
    <n v="7"/>
    <n v="1"/>
    <n v="7"/>
    <s v="Below Avg"/>
    <n v="28.134796238244515"/>
  </r>
  <r>
    <n v="35"/>
    <x v="1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s v="No"/>
    <n v="11"/>
    <n v="3"/>
    <n v="4"/>
    <n v="80"/>
    <n v="0"/>
    <n v="10"/>
    <s v="6-15"/>
    <n v="5"/>
    <n v="3"/>
    <n v="6"/>
    <n v="2"/>
    <n v="1"/>
    <n v="2"/>
    <s v="Below Avg"/>
    <n v="28.156862745098039"/>
  </r>
  <r>
    <n v="42"/>
    <x v="1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s v="No"/>
    <n v="16"/>
    <n v="3"/>
    <n v="2"/>
    <n v="80"/>
    <n v="1"/>
    <n v="11"/>
    <s v="6-15"/>
    <n v="5"/>
    <n v="3"/>
    <n v="5"/>
    <n v="3"/>
    <n v="0"/>
    <n v="2"/>
    <s v="Below Avg"/>
    <n v="28.100470957613815"/>
  </r>
  <r>
    <n v="38"/>
    <x v="1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s v="No"/>
    <n v="14"/>
    <n v="3"/>
    <n v="2"/>
    <n v="80"/>
    <n v="0"/>
    <n v="14"/>
    <s v="6-15"/>
    <n v="3"/>
    <n v="3"/>
    <n v="1"/>
    <n v="0"/>
    <n v="0"/>
    <n v="0"/>
    <s v="Ok"/>
    <n v="28.122545168892383"/>
  </r>
  <r>
    <n v="38"/>
    <x v="1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s v="No"/>
    <n v="18"/>
    <n v="3"/>
    <n v="1"/>
    <n v="80"/>
    <n v="1"/>
    <n v="9"/>
    <s v="6-15"/>
    <n v="3"/>
    <n v="1"/>
    <n v="7"/>
    <n v="7"/>
    <n v="1"/>
    <n v="7"/>
    <s v="Below Avg"/>
    <n v="28.144654088050313"/>
  </r>
  <r>
    <n v="27"/>
    <x v="1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s v="No"/>
    <n v="19"/>
    <n v="3"/>
    <n v="3"/>
    <n v="80"/>
    <n v="1"/>
    <n v="6"/>
    <s v="6-15"/>
    <n v="1"/>
    <n v="3"/>
    <n v="2"/>
    <n v="2"/>
    <n v="2"/>
    <n v="0"/>
    <s v="Below Avg"/>
    <n v="28.166797797010229"/>
  </r>
  <r>
    <n v="49"/>
    <x v="1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s v="Yes"/>
    <n v="15"/>
    <n v="3"/>
    <n v="1"/>
    <n v="80"/>
    <n v="2"/>
    <n v="7"/>
    <s v="6-15"/>
    <n v="0"/>
    <n v="3"/>
    <n v="7"/>
    <n v="7"/>
    <n v="1"/>
    <n v="7"/>
    <s v="Ok"/>
    <n v="28.188976377952756"/>
  </r>
  <r>
    <n v="34"/>
    <x v="1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s v="Yes"/>
    <n v="17"/>
    <n v="3"/>
    <n v="4"/>
    <n v="80"/>
    <n v="1"/>
    <n v="5"/>
    <s v="0-5"/>
    <n v="4"/>
    <n v="4"/>
    <n v="5"/>
    <n v="3"/>
    <n v="2"/>
    <n v="0"/>
    <s v="Below Avg"/>
    <n v="28.211189913317575"/>
  </r>
  <r>
    <n v="40"/>
    <x v="1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s v="Yes"/>
    <n v="15"/>
    <n v="3"/>
    <n v="3"/>
    <n v="80"/>
    <n v="1"/>
    <n v="15"/>
    <s v="6-15"/>
    <n v="2"/>
    <n v="4"/>
    <n v="7"/>
    <n v="2"/>
    <n v="3"/>
    <n v="7"/>
    <s v="Below Avg"/>
    <n v="28.154574132492115"/>
  </r>
  <r>
    <n v="38"/>
    <x v="0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s v="Yes"/>
    <n v="19"/>
    <n v="3"/>
    <n v="2"/>
    <n v="80"/>
    <n v="0"/>
    <n v="17"/>
    <s v="&gt;15"/>
    <n v="2"/>
    <n v="3"/>
    <n v="1"/>
    <n v="0"/>
    <n v="0"/>
    <n v="0"/>
    <s v="Ok"/>
    <n v="28.097868981846879"/>
  </r>
  <r>
    <n v="29"/>
    <x v="0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s v="No"/>
    <n v="22"/>
    <n v="4"/>
    <n v="4"/>
    <n v="80"/>
    <n v="3"/>
    <n v="10"/>
    <s v="6-15"/>
    <n v="3"/>
    <n v="2"/>
    <n v="10"/>
    <n v="4"/>
    <n v="1"/>
    <n v="9"/>
    <s v="Ok"/>
    <n v="28.041074249605057"/>
  </r>
  <r>
    <n v="22"/>
    <x v="1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s v="Yes"/>
    <n v="16"/>
    <n v="3"/>
    <n v="1"/>
    <n v="80"/>
    <n v="1"/>
    <n v="4"/>
    <s v="0-5"/>
    <n v="2"/>
    <n v="2"/>
    <n v="4"/>
    <n v="2"/>
    <n v="2"/>
    <n v="2"/>
    <s v="Below Avg"/>
    <n v="27.984189723320156"/>
  </r>
  <r>
    <n v="36"/>
    <x v="1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s v="No"/>
    <n v="13"/>
    <n v="3"/>
    <n v="1"/>
    <n v="80"/>
    <n v="0"/>
    <n v="8"/>
    <s v="6-15"/>
    <n v="2"/>
    <n v="3"/>
    <n v="8"/>
    <n v="1"/>
    <n v="1"/>
    <n v="7"/>
    <s v="Below Avg"/>
    <n v="28.00632911392405"/>
  </r>
  <r>
    <n v="40"/>
    <x v="1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s v="No"/>
    <n v="14"/>
    <n v="3"/>
    <n v="4"/>
    <n v="80"/>
    <n v="1"/>
    <n v="5"/>
    <s v="0-5"/>
    <n v="5"/>
    <n v="1"/>
    <n v="3"/>
    <n v="2"/>
    <n v="0"/>
    <n v="2"/>
    <s v="Below Avg"/>
    <n v="27.949326999208235"/>
  </r>
  <r>
    <n v="46"/>
    <x v="1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s v="No"/>
    <n v="16"/>
    <n v="3"/>
    <n v="3"/>
    <n v="80"/>
    <n v="1"/>
    <n v="17"/>
    <s v="&gt;15"/>
    <n v="3"/>
    <n v="3"/>
    <n v="4"/>
    <n v="2"/>
    <n v="0"/>
    <n v="3"/>
    <s v="Ok"/>
    <n v="27.971473851030108"/>
  </r>
  <r>
    <n v="32"/>
    <x v="0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s v="No"/>
    <n v="11"/>
    <n v="3"/>
    <n v="3"/>
    <n v="80"/>
    <n v="0"/>
    <n v="14"/>
    <s v="6-15"/>
    <n v="2"/>
    <n v="2"/>
    <n v="14"/>
    <n v="8"/>
    <n v="9"/>
    <n v="8"/>
    <s v="Ok"/>
    <n v="27.993655828707375"/>
  </r>
  <r>
    <n v="30"/>
    <x v="1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s v="No"/>
    <n v="22"/>
    <n v="4"/>
    <n v="3"/>
    <n v="80"/>
    <n v="0"/>
    <n v="12"/>
    <s v="6-15"/>
    <n v="2"/>
    <n v="3"/>
    <n v="11"/>
    <n v="8"/>
    <n v="5"/>
    <n v="8"/>
    <s v="Ok"/>
    <n v="28.015873015873016"/>
  </r>
  <r>
    <n v="27"/>
    <x v="1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s v="No"/>
    <n v="14"/>
    <n v="3"/>
    <n v="4"/>
    <n v="80"/>
    <n v="0"/>
    <n v="7"/>
    <s v="6-15"/>
    <n v="2"/>
    <n v="3"/>
    <n v="7"/>
    <n v="7"/>
    <n v="0"/>
    <n v="7"/>
    <s v="Ok"/>
    <n v="28.038125496425735"/>
  </r>
  <r>
    <n v="51"/>
    <x v="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s v="No"/>
    <n v="16"/>
    <n v="3"/>
    <n v="4"/>
    <n v="80"/>
    <n v="2"/>
    <n v="16"/>
    <s v="&gt;15"/>
    <n v="5"/>
    <n v="1"/>
    <n v="10"/>
    <n v="9"/>
    <n v="4"/>
    <n v="7"/>
    <s v="Ok"/>
    <n v="28.060413354531001"/>
  </r>
  <r>
    <n v="30"/>
    <x v="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s v="Yes"/>
    <n v="11"/>
    <n v="3"/>
    <n v="3"/>
    <n v="80"/>
    <n v="0"/>
    <n v="8"/>
    <s v="6-15"/>
    <n v="5"/>
    <n v="3"/>
    <n v="5"/>
    <n v="2"/>
    <n v="0"/>
    <n v="4"/>
    <s v="Below Avg"/>
    <n v="28.082736674622115"/>
  </r>
  <r>
    <n v="41"/>
    <x v="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s v="Yes"/>
    <n v="18"/>
    <n v="3"/>
    <n v="3"/>
    <n v="80"/>
    <n v="0"/>
    <n v="16"/>
    <s v="&gt;15"/>
    <n v="3"/>
    <n v="3"/>
    <n v="1"/>
    <n v="0"/>
    <n v="0"/>
    <n v="0"/>
    <s v="Ok"/>
    <n v="28.105095541401276"/>
  </r>
  <r>
    <n v="30"/>
    <x v="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s v="No"/>
    <n v="15"/>
    <n v="3"/>
    <n v="3"/>
    <n v="80"/>
    <n v="0"/>
    <n v="9"/>
    <s v="6-15"/>
    <n v="5"/>
    <n v="2"/>
    <n v="6"/>
    <n v="3"/>
    <n v="0"/>
    <n v="1"/>
    <s v="Below Avg"/>
    <n v="28.047808764940243"/>
  </r>
  <r>
    <n v="29"/>
    <x v="0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s v="No"/>
    <n v="14"/>
    <n v="3"/>
    <n v="4"/>
    <n v="80"/>
    <n v="0"/>
    <n v="7"/>
    <s v="6-15"/>
    <n v="1"/>
    <n v="2"/>
    <n v="6"/>
    <n v="2"/>
    <n v="1"/>
    <n v="5"/>
    <s v="Below Avg"/>
    <n v="27.990430622009573"/>
  </r>
  <r>
    <n v="45"/>
    <x v="1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s v="No"/>
    <n v="12"/>
    <n v="3"/>
    <n v="4"/>
    <n v="80"/>
    <n v="0"/>
    <n v="23"/>
    <s v="&gt;15"/>
    <n v="2"/>
    <n v="3"/>
    <n v="19"/>
    <n v="7"/>
    <n v="12"/>
    <n v="8"/>
    <s v="Ok"/>
    <n v="28.012769353551477"/>
  </r>
  <r>
    <n v="54"/>
    <x v="1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s v="No"/>
    <n v="14"/>
    <n v="3"/>
    <n v="4"/>
    <n v="80"/>
    <n v="1"/>
    <n v="16"/>
    <s v="&gt;15"/>
    <n v="4"/>
    <n v="3"/>
    <n v="6"/>
    <n v="2"/>
    <n v="0"/>
    <n v="5"/>
    <s v="Below Avg"/>
    <n v="28.035143769968052"/>
  </r>
  <r>
    <n v="36"/>
    <x v="1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s v="No"/>
    <n v="16"/>
    <n v="3"/>
    <n v="4"/>
    <n v="80"/>
    <n v="0"/>
    <n v="16"/>
    <s v="&gt;15"/>
    <n v="3"/>
    <n v="4"/>
    <n v="13"/>
    <n v="11"/>
    <n v="3"/>
    <n v="7"/>
    <s v="Below Avg"/>
    <n v="28.057553956834528"/>
  </r>
  <r>
    <n v="33"/>
    <x v="1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s v="No"/>
    <n v="21"/>
    <n v="4"/>
    <n v="4"/>
    <n v="80"/>
    <n v="0"/>
    <n v="7"/>
    <s v="6-15"/>
    <n v="3"/>
    <n v="3"/>
    <n v="3"/>
    <n v="2"/>
    <n v="1"/>
    <n v="1"/>
    <s v="Below Avg"/>
    <n v="28.08"/>
  </r>
  <r>
    <n v="37"/>
    <x v="1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s v="Yes"/>
    <n v="14"/>
    <n v="3"/>
    <n v="3"/>
    <n v="80"/>
    <n v="3"/>
    <n v="10"/>
    <s v="6-15"/>
    <n v="1"/>
    <n v="3"/>
    <n v="10"/>
    <n v="8"/>
    <n v="0"/>
    <n v="7"/>
    <s v="Ok"/>
    <n v="28.102481985588472"/>
  </r>
  <r>
    <n v="38"/>
    <x v="1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s v="No"/>
    <n v="12"/>
    <n v="3"/>
    <n v="3"/>
    <n v="80"/>
    <n v="2"/>
    <n v="17"/>
    <s v="&gt;15"/>
    <n v="6"/>
    <n v="2"/>
    <n v="16"/>
    <n v="10"/>
    <n v="5"/>
    <n v="13"/>
    <s v="Ok"/>
    <n v="28.125"/>
  </r>
  <r>
    <n v="31"/>
    <x v="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s v="No"/>
    <n v="12"/>
    <n v="3"/>
    <n v="4"/>
    <n v="80"/>
    <n v="1"/>
    <n v="6"/>
    <s v="6-15"/>
    <n v="2"/>
    <n v="3"/>
    <n v="5"/>
    <n v="4"/>
    <n v="1"/>
    <n v="4"/>
    <s v="Below Avg"/>
    <n v="28.067361668003208"/>
  </r>
  <r>
    <n v="59"/>
    <x v="1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s v="No"/>
    <n v="17"/>
    <n v="3"/>
    <n v="1"/>
    <n v="80"/>
    <n v="1"/>
    <n v="7"/>
    <s v="6-15"/>
    <n v="6"/>
    <n v="3"/>
    <n v="1"/>
    <n v="0"/>
    <n v="0"/>
    <n v="0"/>
    <s v="Below Avg"/>
    <n v="28.08988764044944"/>
  </r>
  <r>
    <n v="37"/>
    <x v="1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s v="No"/>
    <n v="17"/>
    <n v="3"/>
    <n v="3"/>
    <n v="80"/>
    <n v="1"/>
    <n v="13"/>
    <s v="6-15"/>
    <n v="2"/>
    <n v="3"/>
    <n v="9"/>
    <n v="8"/>
    <n v="5"/>
    <n v="8"/>
    <s v="Below Avg"/>
    <n v="28.112449799196789"/>
  </r>
  <r>
    <n v="29"/>
    <x v="1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s v="No"/>
    <n v="14"/>
    <n v="3"/>
    <n v="4"/>
    <n v="80"/>
    <n v="1"/>
    <n v="11"/>
    <s v="6-15"/>
    <n v="5"/>
    <n v="3"/>
    <n v="11"/>
    <n v="10"/>
    <n v="4"/>
    <n v="1"/>
    <s v="Ok"/>
    <n v="28.135048231511256"/>
  </r>
  <r>
    <n v="35"/>
    <x v="1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s v="No"/>
    <n v="14"/>
    <n v="3"/>
    <n v="1"/>
    <n v="80"/>
    <n v="0"/>
    <n v="10"/>
    <s v="6-15"/>
    <n v="3"/>
    <n v="4"/>
    <n v="10"/>
    <n v="7"/>
    <n v="0"/>
    <n v="8"/>
    <s v="Ok"/>
    <n v="28.157683024939661"/>
  </r>
  <r>
    <n v="29"/>
    <x v="0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s v="Yes"/>
    <n v="13"/>
    <n v="3"/>
    <n v="3"/>
    <n v="80"/>
    <n v="0"/>
    <n v="4"/>
    <s v="0-5"/>
    <n v="3"/>
    <n v="2"/>
    <n v="4"/>
    <n v="3"/>
    <n v="0"/>
    <n v="1"/>
    <s v="Below Avg"/>
    <n v="28.180354267310786"/>
  </r>
  <r>
    <n v="52"/>
    <x v="1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s v="No"/>
    <n v="15"/>
    <n v="3"/>
    <n v="2"/>
    <n v="80"/>
    <n v="0"/>
    <n v="6"/>
    <s v="6-15"/>
    <n v="3"/>
    <n v="2"/>
    <n v="2"/>
    <n v="2"/>
    <n v="2"/>
    <n v="2"/>
    <s v="Below Avg"/>
    <n v="28.203062046736505"/>
  </r>
  <r>
    <n v="42"/>
    <x v="1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s v="No"/>
    <n v="11"/>
    <n v="3"/>
    <n v="4"/>
    <n v="80"/>
    <n v="0"/>
    <n v="22"/>
    <s v="&gt;15"/>
    <n v="3"/>
    <n v="3"/>
    <n v="22"/>
    <n v="17"/>
    <n v="11"/>
    <n v="15"/>
    <s v="Ok"/>
    <n v="28.14516129032258"/>
  </r>
  <r>
    <n v="59"/>
    <x v="1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s v="No"/>
    <n v="17"/>
    <n v="3"/>
    <n v="4"/>
    <n v="80"/>
    <n v="0"/>
    <n v="7"/>
    <s v="6-15"/>
    <n v="2"/>
    <n v="2"/>
    <n v="2"/>
    <n v="2"/>
    <n v="2"/>
    <n v="2"/>
    <s v="Below Avg"/>
    <n v="28.167877320419692"/>
  </r>
  <r>
    <n v="50"/>
    <x v="1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s v="No"/>
    <n v="11"/>
    <n v="3"/>
    <n v="3"/>
    <n v="80"/>
    <n v="1"/>
    <n v="32"/>
    <s v="&gt;15"/>
    <n v="3"/>
    <n v="2"/>
    <n v="7"/>
    <n v="0"/>
    <n v="0"/>
    <n v="6"/>
    <s v="Ok"/>
    <n v="28.190630048465266"/>
  </r>
  <r>
    <n v="33"/>
    <x v="0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s v="Yes"/>
    <n v="13"/>
    <n v="3"/>
    <n v="3"/>
    <n v="80"/>
    <n v="1"/>
    <n v="8"/>
    <s v="6-15"/>
    <n v="2"/>
    <n v="1"/>
    <n v="5"/>
    <n v="4"/>
    <n v="0"/>
    <n v="4"/>
    <s v="Below Avg"/>
    <n v="28.213419563459986"/>
  </r>
  <r>
    <n v="43"/>
    <x v="1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s v="Yes"/>
    <n v="22"/>
    <n v="4"/>
    <n v="3"/>
    <n v="80"/>
    <n v="1"/>
    <n v="22"/>
    <s v="&gt;15"/>
    <n v="3"/>
    <n v="3"/>
    <n v="17"/>
    <n v="13"/>
    <n v="1"/>
    <n v="9"/>
    <s v="Ok"/>
    <n v="28.236245954692556"/>
  </r>
  <r>
    <n v="33"/>
    <x v="0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s v="No"/>
    <n v="20"/>
    <n v="4"/>
    <n v="1"/>
    <n v="80"/>
    <n v="0"/>
    <n v="13"/>
    <s v="6-15"/>
    <n v="3"/>
    <n v="4"/>
    <n v="9"/>
    <n v="7"/>
    <n v="1"/>
    <n v="7"/>
    <s v="Below Avg"/>
    <n v="28.17813765182186"/>
  </r>
  <r>
    <n v="52"/>
    <x v="1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s v="Yes"/>
    <n v="18"/>
    <n v="3"/>
    <n v="4"/>
    <n v="80"/>
    <n v="0"/>
    <n v="33"/>
    <s v="&gt;15"/>
    <n v="2"/>
    <n v="4"/>
    <n v="33"/>
    <n v="7"/>
    <n v="15"/>
    <n v="12"/>
    <s v="Ok"/>
    <n v="28.119935170178284"/>
  </r>
  <r>
    <n v="32"/>
    <x v="1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s v="No"/>
    <n v="11"/>
    <n v="3"/>
    <n v="1"/>
    <n v="80"/>
    <n v="1"/>
    <n v="6"/>
    <s v="6-15"/>
    <n v="5"/>
    <n v="3"/>
    <n v="4"/>
    <n v="3"/>
    <n v="1"/>
    <n v="2"/>
    <s v="Below Avg"/>
    <n v="28.142741281427412"/>
  </r>
  <r>
    <n v="32"/>
    <x v="0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s v="Yes"/>
    <n v="14"/>
    <n v="3"/>
    <n v="4"/>
    <n v="80"/>
    <n v="0"/>
    <n v="4"/>
    <s v="0-5"/>
    <n v="2"/>
    <n v="1"/>
    <n v="3"/>
    <n v="2"/>
    <n v="1"/>
    <n v="2"/>
    <s v="Below Avg"/>
    <n v="28.084415584415584"/>
  </r>
  <r>
    <n v="39"/>
    <x v="1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s v="No"/>
    <n v="14"/>
    <n v="3"/>
    <n v="3"/>
    <n v="80"/>
    <n v="3"/>
    <n v="7"/>
    <s v="6-15"/>
    <n v="1"/>
    <n v="3"/>
    <n v="3"/>
    <n v="2"/>
    <n v="1"/>
    <n v="2"/>
    <s v="Below Avg"/>
    <n v="28.107229894394802"/>
  </r>
  <r>
    <n v="32"/>
    <x v="1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s v="No"/>
    <n v="18"/>
    <n v="3"/>
    <n v="1"/>
    <n v="80"/>
    <n v="0"/>
    <n v="4"/>
    <s v="0-5"/>
    <n v="2"/>
    <n v="3"/>
    <n v="3"/>
    <n v="2"/>
    <n v="2"/>
    <n v="2"/>
    <s v="Below Avg"/>
    <n v="28.04878048780488"/>
  </r>
  <r>
    <n v="41"/>
    <x v="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s v="No"/>
    <n v="16"/>
    <n v="3"/>
    <n v="1"/>
    <n v="80"/>
    <n v="2"/>
    <n v="17"/>
    <s v="&gt;15"/>
    <n v="2"/>
    <n v="2"/>
    <n v="1"/>
    <n v="0"/>
    <n v="0"/>
    <n v="0"/>
    <s v="Below Avg"/>
    <n v="28.071602929210744"/>
  </r>
  <r>
    <n v="40"/>
    <x v="1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s v="No"/>
    <n v="17"/>
    <n v="3"/>
    <n v="1"/>
    <n v="80"/>
    <n v="2"/>
    <n v="9"/>
    <s v="6-15"/>
    <n v="3"/>
    <n v="3"/>
    <n v="9"/>
    <n v="8"/>
    <n v="4"/>
    <n v="7"/>
    <s v="Below Avg"/>
    <n v="28.094462540716613"/>
  </r>
  <r>
    <n v="45"/>
    <x v="1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s v="No"/>
    <n v="11"/>
    <n v="3"/>
    <n v="3"/>
    <n v="80"/>
    <n v="1"/>
    <n v="25"/>
    <s v="&gt;15"/>
    <n v="2"/>
    <n v="3"/>
    <n v="24"/>
    <n v="0"/>
    <n v="1"/>
    <n v="7"/>
    <s v="Ok"/>
    <n v="28.117359413202937"/>
  </r>
  <r>
    <n v="31"/>
    <x v="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s v="No"/>
    <n v="12"/>
    <n v="3"/>
    <n v="1"/>
    <n v="80"/>
    <n v="1"/>
    <n v="9"/>
    <s v="6-15"/>
    <n v="3"/>
    <n v="3"/>
    <n v="2"/>
    <n v="2"/>
    <n v="2"/>
    <n v="2"/>
    <s v="Ok"/>
    <n v="28.140293637846657"/>
  </r>
  <r>
    <n v="33"/>
    <x v="1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s v="No"/>
    <n v="13"/>
    <n v="3"/>
    <n v="3"/>
    <n v="80"/>
    <n v="1"/>
    <n v="2"/>
    <s v="0-5"/>
    <n v="2"/>
    <n v="2"/>
    <n v="2"/>
    <n v="2"/>
    <n v="0"/>
    <n v="2"/>
    <s v="Below Avg"/>
    <n v="28.163265306122447"/>
  </r>
  <r>
    <n v="34"/>
    <x v="1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s v="No"/>
    <n v="13"/>
    <n v="3"/>
    <n v="2"/>
    <n v="80"/>
    <n v="1"/>
    <n v="13"/>
    <s v="6-15"/>
    <n v="3"/>
    <n v="3"/>
    <n v="11"/>
    <n v="9"/>
    <n v="5"/>
    <n v="9"/>
    <s v="Below Avg"/>
    <n v="28.186274509803923"/>
  </r>
  <r>
    <n v="37"/>
    <x v="1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s v="No"/>
    <n v="14"/>
    <n v="3"/>
    <n v="1"/>
    <n v="80"/>
    <n v="1"/>
    <n v="17"/>
    <s v="&gt;15"/>
    <n v="2"/>
    <n v="2"/>
    <n v="3"/>
    <n v="1"/>
    <n v="0"/>
    <n v="2"/>
    <s v="Below Avg"/>
    <n v="28.209321340964838"/>
  </r>
  <r>
    <n v="45"/>
    <x v="1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s v="No"/>
    <n v="17"/>
    <n v="3"/>
    <n v="4"/>
    <n v="80"/>
    <n v="1"/>
    <n v="9"/>
    <s v="6-15"/>
    <n v="1"/>
    <n v="3"/>
    <n v="3"/>
    <n v="2"/>
    <n v="0"/>
    <n v="2"/>
    <s v="Ok"/>
    <n v="28.23240589198036"/>
  </r>
  <r>
    <n v="37"/>
    <x v="0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s v="No"/>
    <n v="11"/>
    <n v="3"/>
    <n v="2"/>
    <n v="80"/>
    <n v="2"/>
    <n v="17"/>
    <s v="&gt;15"/>
    <n v="5"/>
    <n v="3"/>
    <n v="1"/>
    <n v="0"/>
    <n v="0"/>
    <n v="0"/>
    <s v="Ok"/>
    <n v="28.255528255528255"/>
  </r>
  <r>
    <n v="39"/>
    <x v="1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s v="No"/>
    <n v="25"/>
    <n v="4"/>
    <n v="4"/>
    <n v="80"/>
    <n v="0"/>
    <n v="20"/>
    <s v="&gt;15"/>
    <n v="1"/>
    <n v="3"/>
    <n v="19"/>
    <n v="6"/>
    <n v="11"/>
    <n v="8"/>
    <s v="Ok"/>
    <n v="28.278688524590162"/>
  </r>
  <r>
    <n v="29"/>
    <x v="1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s v="No"/>
    <n v="19"/>
    <n v="3"/>
    <n v="1"/>
    <n v="80"/>
    <n v="0"/>
    <n v="6"/>
    <s v="6-15"/>
    <n v="1"/>
    <n v="3"/>
    <n v="6"/>
    <n v="5"/>
    <n v="1"/>
    <n v="5"/>
    <s v="Below Avg"/>
    <n v="28.30188679245283"/>
  </r>
  <r>
    <n v="42"/>
    <x v="1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s v="Yes"/>
    <n v="13"/>
    <n v="3"/>
    <n v="3"/>
    <n v="80"/>
    <n v="0"/>
    <n v="10"/>
    <s v="6-15"/>
    <n v="1"/>
    <n v="3"/>
    <n v="3"/>
    <n v="2"/>
    <n v="0"/>
    <n v="2"/>
    <s v="Ok"/>
    <n v="28.325123152709359"/>
  </r>
  <r>
    <n v="29"/>
    <x v="1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s v="No"/>
    <n v="14"/>
    <n v="3"/>
    <n v="4"/>
    <n v="80"/>
    <n v="1"/>
    <n v="10"/>
    <s v="6-15"/>
    <n v="2"/>
    <n v="3"/>
    <n v="3"/>
    <n v="2"/>
    <n v="0"/>
    <n v="2"/>
    <s v="Ok"/>
    <n v="28.348397699260474"/>
  </r>
  <r>
    <n v="25"/>
    <x v="1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s v="No"/>
    <n v="12"/>
    <n v="3"/>
    <n v="4"/>
    <n v="80"/>
    <n v="2"/>
    <n v="5"/>
    <s v="0-5"/>
    <n v="3"/>
    <n v="3"/>
    <n v="4"/>
    <n v="2"/>
    <n v="1"/>
    <n v="2"/>
    <s v="Below Avg"/>
    <n v="28.289473684210524"/>
  </r>
  <r>
    <n v="42"/>
    <x v="1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s v="Yes"/>
    <n v="11"/>
    <n v="3"/>
    <n v="3"/>
    <n v="80"/>
    <n v="1"/>
    <n v="10"/>
    <s v="6-15"/>
    <n v="4"/>
    <n v="3"/>
    <n v="9"/>
    <n v="6"/>
    <n v="7"/>
    <n v="8"/>
    <s v="Below Avg"/>
    <n v="28.31275720164609"/>
  </r>
  <r>
    <n v="40"/>
    <x v="1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s v="No"/>
    <n v="19"/>
    <n v="3"/>
    <n v="4"/>
    <n v="80"/>
    <n v="1"/>
    <n v="22"/>
    <s v="&gt;15"/>
    <n v="5"/>
    <n v="3"/>
    <n v="21"/>
    <n v="7"/>
    <n v="3"/>
    <n v="9"/>
    <s v="Ok"/>
    <n v="28.336079077429982"/>
  </r>
  <r>
    <n v="51"/>
    <x v="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s v="No"/>
    <n v="11"/>
    <n v="3"/>
    <n v="2"/>
    <n v="80"/>
    <n v="0"/>
    <n v="1"/>
    <s v="0-5"/>
    <n v="0"/>
    <n v="2"/>
    <n v="1"/>
    <n v="0"/>
    <n v="0"/>
    <n v="0"/>
    <s v="Below Avg"/>
    <n v="28.276999175597687"/>
  </r>
  <r>
    <n v="31"/>
    <x v="0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s v="No"/>
    <n v="11"/>
    <n v="3"/>
    <n v="2"/>
    <n v="80"/>
    <n v="0"/>
    <n v="6"/>
    <s v="6-15"/>
    <n v="2"/>
    <n v="4"/>
    <n v="5"/>
    <n v="4"/>
    <n v="1"/>
    <n v="4"/>
    <s v="Below Avg"/>
    <n v="28.300330033003302"/>
  </r>
  <r>
    <n v="32"/>
    <x v="1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s v="No"/>
    <n v="20"/>
    <n v="4"/>
    <n v="3"/>
    <n v="80"/>
    <n v="0"/>
    <n v="5"/>
    <s v="0-5"/>
    <n v="3"/>
    <n v="1"/>
    <n v="5"/>
    <n v="1"/>
    <n v="0"/>
    <n v="3"/>
    <s v="Below Avg"/>
    <n v="28.323699421965319"/>
  </r>
  <r>
    <n v="38"/>
    <x v="1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s v="No"/>
    <n v="18"/>
    <n v="3"/>
    <n v="4"/>
    <n v="80"/>
    <n v="1"/>
    <n v="13"/>
    <s v="6-15"/>
    <n v="0"/>
    <n v="3"/>
    <n v="8"/>
    <n v="7"/>
    <n v="7"/>
    <n v="5"/>
    <s v="Below Avg"/>
    <n v="28.347107438016529"/>
  </r>
  <r>
    <n v="32"/>
    <x v="1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s v="No"/>
    <n v="13"/>
    <n v="3"/>
    <n v="4"/>
    <n v="80"/>
    <n v="0"/>
    <n v="9"/>
    <s v="6-15"/>
    <n v="5"/>
    <n v="3"/>
    <n v="6"/>
    <n v="2"/>
    <n v="0"/>
    <n v="4"/>
    <s v="Below Avg"/>
    <n v="28.37055417700579"/>
  </r>
  <r>
    <n v="46"/>
    <x v="1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s v="Yes"/>
    <n v="12"/>
    <n v="3"/>
    <n v="2"/>
    <n v="80"/>
    <n v="1"/>
    <n v="28"/>
    <s v="&gt;15"/>
    <n v="2"/>
    <n v="2"/>
    <n v="7"/>
    <n v="7"/>
    <n v="7"/>
    <n v="7"/>
    <s v="Ok"/>
    <n v="28.394039735099337"/>
  </r>
  <r>
    <n v="28"/>
    <x v="0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s v="No"/>
    <n v="11"/>
    <n v="3"/>
    <n v="3"/>
    <n v="80"/>
    <n v="0"/>
    <n v="5"/>
    <s v="0-5"/>
    <n v="5"/>
    <n v="1"/>
    <n v="0"/>
    <n v="0"/>
    <n v="0"/>
    <n v="0"/>
    <s v="Below Avg"/>
    <n v="28.417564208782103"/>
  </r>
  <r>
    <n v="29"/>
    <x v="1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s v="No"/>
    <n v="19"/>
    <n v="3"/>
    <n v="2"/>
    <n v="80"/>
    <n v="2"/>
    <n v="10"/>
    <s v="6-15"/>
    <n v="2"/>
    <n v="3"/>
    <n v="0"/>
    <n v="0"/>
    <n v="0"/>
    <n v="0"/>
    <s v="Below Avg"/>
    <n v="28.35820895522388"/>
  </r>
  <r>
    <n v="31"/>
    <x v="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s v="No"/>
    <n v="21"/>
    <n v="4"/>
    <n v="2"/>
    <n v="80"/>
    <n v="1"/>
    <n v="10"/>
    <s v="6-15"/>
    <n v="2"/>
    <n v="3"/>
    <n v="9"/>
    <n v="0"/>
    <n v="7"/>
    <n v="8"/>
    <s v="Below Avg"/>
    <n v="28.38174273858921"/>
  </r>
  <r>
    <n v="25"/>
    <x v="1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s v="No"/>
    <n v="12"/>
    <n v="3"/>
    <n v="4"/>
    <n v="80"/>
    <n v="2"/>
    <n v="6"/>
    <s v="6-15"/>
    <n v="2"/>
    <n v="3"/>
    <n v="6"/>
    <n v="3"/>
    <n v="1"/>
    <n v="5"/>
    <s v="Below Avg"/>
    <n v="28.405315614617937"/>
  </r>
  <r>
    <n v="45"/>
    <x v="1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s v="Yes"/>
    <n v="14"/>
    <n v="3"/>
    <n v="2"/>
    <n v="80"/>
    <n v="0"/>
    <n v="21"/>
    <s v="&gt;15"/>
    <n v="2"/>
    <n v="3"/>
    <n v="20"/>
    <n v="7"/>
    <n v="4"/>
    <n v="10"/>
    <s v="Ok"/>
    <n v="28.428927680798004"/>
  </r>
  <r>
    <n v="36"/>
    <x v="1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s v="No"/>
    <n v="11"/>
    <n v="3"/>
    <n v="3"/>
    <n v="80"/>
    <n v="1"/>
    <n v="16"/>
    <s v="&gt;15"/>
    <n v="4"/>
    <n v="3"/>
    <n v="15"/>
    <n v="13"/>
    <n v="10"/>
    <n v="11"/>
    <s v="Below Avg"/>
    <n v="28.452579034941767"/>
  </r>
  <r>
    <n v="55"/>
    <x v="1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s v="Yes"/>
    <n v="14"/>
    <n v="3"/>
    <n v="3"/>
    <n v="80"/>
    <n v="0"/>
    <n v="37"/>
    <s v="&gt;15"/>
    <n v="2"/>
    <n v="3"/>
    <n v="36"/>
    <n v="10"/>
    <n v="4"/>
    <n v="13"/>
    <s v="Ok"/>
    <n v="28.393005828476269"/>
  </r>
  <r>
    <n v="47"/>
    <x v="0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s v="Yes"/>
    <n v="12"/>
    <n v="3"/>
    <n v="4"/>
    <n v="80"/>
    <n v="1"/>
    <n v="10"/>
    <s v="6-15"/>
    <n v="2"/>
    <n v="2"/>
    <n v="10"/>
    <n v="7"/>
    <n v="9"/>
    <n v="9"/>
    <s v="Ok"/>
    <n v="28.416666666666668"/>
  </r>
  <r>
    <n v="28"/>
    <x v="1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s v="No"/>
    <n v="23"/>
    <n v="4"/>
    <n v="4"/>
    <n v="80"/>
    <n v="1"/>
    <n v="5"/>
    <s v="0-5"/>
    <n v="3"/>
    <n v="2"/>
    <n v="5"/>
    <n v="2"/>
    <n v="0"/>
    <n v="4"/>
    <s v="Below Avg"/>
    <n v="28.35696413678065"/>
  </r>
  <r>
    <n v="37"/>
    <x v="1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s v="No"/>
    <n v="14"/>
    <n v="3"/>
    <n v="2"/>
    <n v="80"/>
    <n v="1"/>
    <n v="7"/>
    <s v="6-15"/>
    <n v="5"/>
    <n v="4"/>
    <n v="5"/>
    <n v="4"/>
    <n v="0"/>
    <n v="1"/>
    <s v="Below Avg"/>
    <n v="28.297161936560933"/>
  </r>
  <r>
    <n v="21"/>
    <x v="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s v="No"/>
    <n v="17"/>
    <n v="3"/>
    <n v="1"/>
    <n v="80"/>
    <n v="0"/>
    <n v="3"/>
    <s v="0-5"/>
    <n v="4"/>
    <n v="4"/>
    <n v="3"/>
    <n v="2"/>
    <n v="1"/>
    <n v="0"/>
    <s v="Below Avg"/>
    <n v="28.320802005012531"/>
  </r>
  <r>
    <n v="37"/>
    <x v="1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s v="Yes"/>
    <n v="18"/>
    <n v="3"/>
    <n v="1"/>
    <n v="80"/>
    <n v="2"/>
    <n v="15"/>
    <s v="6-15"/>
    <n v="2"/>
    <n v="3"/>
    <n v="5"/>
    <n v="2"/>
    <n v="0"/>
    <n v="2"/>
    <s v="Ok"/>
    <n v="28.34448160535117"/>
  </r>
  <r>
    <n v="35"/>
    <x v="1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s v="No"/>
    <n v="18"/>
    <n v="3"/>
    <n v="2"/>
    <n v="80"/>
    <n v="1"/>
    <n v="10"/>
    <s v="6-15"/>
    <n v="6"/>
    <n v="2"/>
    <n v="7"/>
    <n v="7"/>
    <n v="6"/>
    <n v="2"/>
    <s v="Ok"/>
    <n v="28.368200836820083"/>
  </r>
  <r>
    <n v="38"/>
    <x v="1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s v="Yes"/>
    <n v="24"/>
    <n v="4"/>
    <n v="3"/>
    <n v="80"/>
    <n v="1"/>
    <n v="8"/>
    <s v="6-15"/>
    <n v="3"/>
    <n v="3"/>
    <n v="8"/>
    <n v="0"/>
    <n v="7"/>
    <n v="7"/>
    <s v="Below Avg"/>
    <n v="28.308207705192629"/>
  </r>
  <r>
    <n v="26"/>
    <x v="1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s v="No"/>
    <n v="20"/>
    <n v="4"/>
    <n v="1"/>
    <n v="80"/>
    <n v="1"/>
    <n v="6"/>
    <s v="6-15"/>
    <n v="6"/>
    <n v="1"/>
    <n v="6"/>
    <n v="5"/>
    <n v="1"/>
    <n v="4"/>
    <s v="Ok"/>
    <n v="28.331936295054483"/>
  </r>
  <r>
    <n v="50"/>
    <x v="1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s v="No"/>
    <n v="14"/>
    <n v="3"/>
    <n v="1"/>
    <n v="80"/>
    <n v="2"/>
    <n v="28"/>
    <s v="&gt;15"/>
    <n v="4"/>
    <n v="2"/>
    <n v="10"/>
    <n v="4"/>
    <n v="1"/>
    <n v="6"/>
    <s v="Ok"/>
    <n v="28.271812080536911"/>
  </r>
  <r>
    <n v="53"/>
    <x v="1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s v="Yes"/>
    <n v="16"/>
    <n v="3"/>
    <n v="4"/>
    <n v="80"/>
    <n v="3"/>
    <n v="21"/>
    <s v="&gt;15"/>
    <n v="5"/>
    <n v="2"/>
    <n v="5"/>
    <n v="3"/>
    <n v="1"/>
    <n v="3"/>
    <s v="Ok"/>
    <n v="28.295549958018473"/>
  </r>
  <r>
    <n v="42"/>
    <x v="1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s v="No"/>
    <n v="25"/>
    <n v="4"/>
    <n v="3"/>
    <n v="80"/>
    <n v="0"/>
    <n v="20"/>
    <s v="&gt;15"/>
    <n v="3"/>
    <n v="3"/>
    <n v="20"/>
    <n v="16"/>
    <n v="11"/>
    <n v="6"/>
    <s v="Below Avg"/>
    <n v="28.319327731092436"/>
  </r>
  <r>
    <n v="29"/>
    <x v="1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s v="No"/>
    <n v="18"/>
    <n v="3"/>
    <n v="1"/>
    <n v="80"/>
    <n v="0"/>
    <n v="10"/>
    <s v="6-15"/>
    <n v="3"/>
    <n v="2"/>
    <n v="10"/>
    <n v="7"/>
    <n v="0"/>
    <n v="9"/>
    <s v="Below Avg"/>
    <n v="28.259041211101767"/>
  </r>
  <r>
    <n v="55"/>
    <x v="1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s v="Yes"/>
    <n v="19"/>
    <n v="3"/>
    <n v="4"/>
    <n v="80"/>
    <n v="1"/>
    <n v="12"/>
    <s v="6-15"/>
    <n v="4"/>
    <n v="3"/>
    <n v="10"/>
    <n v="7"/>
    <n v="0"/>
    <n v="8"/>
    <s v="Below Avg"/>
    <n v="28.28282828282828"/>
  </r>
  <r>
    <n v="26"/>
    <x v="1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s v="Yes"/>
    <n v="13"/>
    <n v="3"/>
    <n v="3"/>
    <n v="80"/>
    <n v="1"/>
    <n v="5"/>
    <s v="0-5"/>
    <n v="3"/>
    <n v="3"/>
    <n v="5"/>
    <n v="3"/>
    <n v="3"/>
    <n v="3"/>
    <s v="Below Avg"/>
    <n v="28.30665543386689"/>
  </r>
  <r>
    <n v="37"/>
    <x v="1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s v="No"/>
    <n v="12"/>
    <n v="3"/>
    <n v="2"/>
    <n v="80"/>
    <n v="0"/>
    <n v="17"/>
    <s v="&gt;15"/>
    <n v="3"/>
    <n v="3"/>
    <n v="17"/>
    <n v="12"/>
    <n v="5"/>
    <n v="7"/>
    <s v="Below Avg"/>
    <n v="28.246205733558178"/>
  </r>
  <r>
    <n v="44"/>
    <x v="0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s v="Yes"/>
    <n v="22"/>
    <n v="4"/>
    <n v="4"/>
    <n v="80"/>
    <n v="1"/>
    <n v="19"/>
    <s v="&gt;15"/>
    <n v="0"/>
    <n v="1"/>
    <n v="1"/>
    <n v="0"/>
    <n v="0"/>
    <n v="0"/>
    <s v="Below Avg"/>
    <n v="28.185654008438821"/>
  </r>
  <r>
    <n v="38"/>
    <x v="1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s v="No"/>
    <n v="14"/>
    <n v="3"/>
    <n v="2"/>
    <n v="80"/>
    <n v="1"/>
    <n v="10"/>
    <s v="6-15"/>
    <n v="2"/>
    <n v="3"/>
    <n v="2"/>
    <n v="2"/>
    <n v="1"/>
    <n v="2"/>
    <s v="Below Avg"/>
    <n v="28.209459459459456"/>
  </r>
  <r>
    <n v="26"/>
    <x v="0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s v="Yes"/>
    <n v="13"/>
    <n v="3"/>
    <n v="4"/>
    <n v="80"/>
    <n v="1"/>
    <n v="5"/>
    <s v="0-5"/>
    <n v="2"/>
    <n v="3"/>
    <n v="3"/>
    <n v="2"/>
    <n v="0"/>
    <n v="2"/>
    <s v="Below Avg"/>
    <n v="28.148774302620456"/>
  </r>
  <r>
    <n v="28"/>
    <x v="1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s v="No"/>
    <n v="21"/>
    <n v="4"/>
    <n v="4"/>
    <n v="80"/>
    <n v="0"/>
    <n v="5"/>
    <s v="0-5"/>
    <n v="3"/>
    <n v="3"/>
    <n v="5"/>
    <n v="3"/>
    <n v="0"/>
    <n v="2"/>
    <s v="Below Avg"/>
    <n v="28.17258883248731"/>
  </r>
  <r>
    <n v="49"/>
    <x v="1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s v="Yes"/>
    <n v="11"/>
    <n v="3"/>
    <n v="4"/>
    <n v="80"/>
    <n v="0"/>
    <n v="22"/>
    <s v="&gt;15"/>
    <n v="4"/>
    <n v="3"/>
    <n v="3"/>
    <n v="2"/>
    <n v="1"/>
    <n v="2"/>
    <s v="Ok"/>
    <n v="28.111769686706182"/>
  </r>
  <r>
    <n v="36"/>
    <x v="1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s v="No"/>
    <n v="12"/>
    <n v="3"/>
    <n v="4"/>
    <n v="80"/>
    <n v="0"/>
    <n v="10"/>
    <s v="6-15"/>
    <n v="2"/>
    <n v="3"/>
    <n v="8"/>
    <n v="0"/>
    <n v="7"/>
    <n v="7"/>
    <s v="Below Avg"/>
    <n v="28.135593220338983"/>
  </r>
  <r>
    <n v="31"/>
    <x v="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s v="No"/>
    <n v="11"/>
    <n v="3"/>
    <n v="3"/>
    <n v="80"/>
    <n v="1"/>
    <n v="2"/>
    <s v="0-5"/>
    <n v="5"/>
    <n v="2"/>
    <n v="2"/>
    <n v="2"/>
    <n v="2"/>
    <n v="2"/>
    <s v="Below Avg"/>
    <n v="28.074639525021205"/>
  </r>
  <r>
    <n v="26"/>
    <x v="0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s v="Yes"/>
    <n v="12"/>
    <n v="3"/>
    <n v="2"/>
    <n v="80"/>
    <n v="0"/>
    <n v="8"/>
    <s v="6-15"/>
    <n v="0"/>
    <n v="3"/>
    <n v="8"/>
    <n v="7"/>
    <n v="7"/>
    <n v="4"/>
    <s v="Below Avg"/>
    <n v="28.098471986417657"/>
  </r>
  <r>
    <n v="37"/>
    <x v="1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s v="Yes"/>
    <n v="12"/>
    <n v="3"/>
    <n v="3"/>
    <n v="80"/>
    <n v="3"/>
    <n v="4"/>
    <s v="0-5"/>
    <n v="3"/>
    <n v="2"/>
    <n v="4"/>
    <n v="2"/>
    <n v="1"/>
    <n v="2"/>
    <s v="Below Avg"/>
    <n v="28.122344944774852"/>
  </r>
  <r>
    <n v="42"/>
    <x v="1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s v="No"/>
    <n v="14"/>
    <n v="3"/>
    <n v="4"/>
    <n v="80"/>
    <n v="1"/>
    <n v="23"/>
    <s v="&gt;15"/>
    <n v="2"/>
    <n v="4"/>
    <n v="20"/>
    <n v="4"/>
    <n v="4"/>
    <n v="8"/>
    <s v="Ok"/>
    <n v="28.061224489795915"/>
  </r>
  <r>
    <n v="18"/>
    <x v="0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s v="No"/>
    <n v="13"/>
    <n v="3"/>
    <n v="3"/>
    <n v="80"/>
    <n v="0"/>
    <n v="0"/>
    <s v="0-5"/>
    <n v="2"/>
    <n v="3"/>
    <n v="0"/>
    <n v="0"/>
    <n v="0"/>
    <n v="0"/>
    <s v="Below Avg"/>
    <n v="28.000000000000004"/>
  </r>
  <r>
    <n v="35"/>
    <x v="1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s v="No"/>
    <n v="15"/>
    <n v="3"/>
    <n v="3"/>
    <n v="80"/>
    <n v="2"/>
    <n v="12"/>
    <s v="6-15"/>
    <n v="3"/>
    <n v="2"/>
    <n v="11"/>
    <n v="9"/>
    <n v="6"/>
    <n v="9"/>
    <s v="Ok"/>
    <n v="28.023850085178875"/>
  </r>
  <r>
    <n v="36"/>
    <x v="1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s v="No"/>
    <n v="18"/>
    <n v="3"/>
    <n v="4"/>
    <n v="80"/>
    <n v="2"/>
    <n v="4"/>
    <s v="0-5"/>
    <n v="2"/>
    <n v="3"/>
    <n v="1"/>
    <n v="0"/>
    <n v="0"/>
    <n v="0"/>
    <s v="Below Avg"/>
    <n v="28.047740835464619"/>
  </r>
  <r>
    <n v="51"/>
    <x v="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s v="No"/>
    <n v="18"/>
    <n v="3"/>
    <n v="4"/>
    <n v="80"/>
    <n v="1"/>
    <n v="13"/>
    <s v="6-15"/>
    <n v="3"/>
    <n v="3"/>
    <n v="4"/>
    <n v="1"/>
    <n v="1"/>
    <n v="2"/>
    <s v="Below Avg"/>
    <n v="28.071672354948806"/>
  </r>
  <r>
    <n v="41"/>
    <x v="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s v="No"/>
    <n v="19"/>
    <n v="3"/>
    <n v="2"/>
    <n v="80"/>
    <n v="0"/>
    <n v="22"/>
    <s v="&gt;15"/>
    <n v="2"/>
    <n v="3"/>
    <n v="22"/>
    <n v="10"/>
    <n v="0"/>
    <n v="4"/>
    <s v="Ok"/>
    <n v="28.095644748078563"/>
  </r>
  <r>
    <n v="18"/>
    <x v="1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s v="No"/>
    <n v="12"/>
    <n v="3"/>
    <n v="1"/>
    <n v="80"/>
    <n v="0"/>
    <n v="0"/>
    <s v="0-5"/>
    <n v="2"/>
    <n v="3"/>
    <n v="0"/>
    <n v="0"/>
    <n v="0"/>
    <n v="0"/>
    <s v="Below Avg"/>
    <n v="28.119658119658119"/>
  </r>
  <r>
    <n v="28"/>
    <x v="1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s v="No"/>
    <n v="19"/>
    <n v="3"/>
    <n v="3"/>
    <n v="80"/>
    <n v="0"/>
    <n v="9"/>
    <s v="6-15"/>
    <n v="2"/>
    <n v="3"/>
    <n v="8"/>
    <n v="3"/>
    <n v="0"/>
    <n v="7"/>
    <s v="Below Avg"/>
    <n v="28.143712574850298"/>
  </r>
  <r>
    <n v="31"/>
    <x v="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s v="No"/>
    <n v="11"/>
    <n v="3"/>
    <n v="2"/>
    <n v="80"/>
    <n v="1"/>
    <n v="10"/>
    <s v="6-15"/>
    <n v="3"/>
    <n v="2"/>
    <n v="8"/>
    <n v="7"/>
    <n v="7"/>
    <n v="7"/>
    <s v="Ok"/>
    <n v="28.167808219178081"/>
  </r>
  <r>
    <n v="39"/>
    <x v="1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s v="No"/>
    <n v="17"/>
    <n v="3"/>
    <n v="1"/>
    <n v="80"/>
    <n v="3"/>
    <n v="19"/>
    <s v="&gt;15"/>
    <n v="5"/>
    <n v="2"/>
    <n v="18"/>
    <n v="10"/>
    <n v="3"/>
    <n v="7"/>
    <s v="Ok"/>
    <n v="28.191945158526131"/>
  </r>
  <r>
    <n v="36"/>
    <x v="1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s v="No"/>
    <n v="15"/>
    <n v="3"/>
    <n v="3"/>
    <n v="80"/>
    <n v="1"/>
    <n v="11"/>
    <s v="6-15"/>
    <n v="3"/>
    <n v="3"/>
    <n v="9"/>
    <n v="8"/>
    <n v="0"/>
    <n v="8"/>
    <s v="Below Avg"/>
    <n v="28.216123499142366"/>
  </r>
  <r>
    <n v="32"/>
    <x v="1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s v="No"/>
    <n v="14"/>
    <n v="3"/>
    <n v="3"/>
    <n v="80"/>
    <n v="1"/>
    <n v="13"/>
    <s v="6-15"/>
    <n v="3"/>
    <n v="2"/>
    <n v="13"/>
    <n v="8"/>
    <n v="4"/>
    <n v="8"/>
    <s v="Below Avg"/>
    <n v="28.240343347639485"/>
  </r>
  <r>
    <n v="38"/>
    <x v="1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s v="No"/>
    <n v="17"/>
    <n v="3"/>
    <n v="3"/>
    <n v="80"/>
    <n v="1"/>
    <n v="19"/>
    <s v="&gt;15"/>
    <n v="2"/>
    <n v="3"/>
    <n v="10"/>
    <n v="8"/>
    <n v="0"/>
    <n v="1"/>
    <s v="Ok"/>
    <n v="28.264604810996563"/>
  </r>
  <r>
    <n v="58"/>
    <x v="1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s v="Yes"/>
    <n v="13"/>
    <n v="3"/>
    <n v="4"/>
    <n v="80"/>
    <n v="1"/>
    <n v="12"/>
    <s v="6-15"/>
    <n v="2"/>
    <n v="3"/>
    <n v="5"/>
    <n v="3"/>
    <n v="1"/>
    <n v="2"/>
    <s v="Below Avg"/>
    <n v="28.288907996560621"/>
  </r>
  <r>
    <n v="31"/>
    <x v="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s v="Yes"/>
    <n v="12"/>
    <n v="3"/>
    <n v="3"/>
    <n v="80"/>
    <n v="1"/>
    <n v="6"/>
    <s v="6-15"/>
    <n v="4"/>
    <n v="3"/>
    <n v="5"/>
    <n v="2"/>
    <n v="0"/>
    <n v="3"/>
    <s v="Below Avg"/>
    <n v="28.313253012048197"/>
  </r>
  <r>
    <n v="31"/>
    <x v="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s v="No"/>
    <n v="12"/>
    <n v="3"/>
    <n v="4"/>
    <n v="80"/>
    <n v="0"/>
    <n v="9"/>
    <s v="6-15"/>
    <n v="1"/>
    <n v="3"/>
    <n v="2"/>
    <n v="2"/>
    <n v="1"/>
    <n v="0"/>
    <s v="Below Avg"/>
    <n v="28.251507321274765"/>
  </r>
  <r>
    <n v="45"/>
    <x v="1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s v="No"/>
    <n v="18"/>
    <n v="3"/>
    <n v="1"/>
    <n v="80"/>
    <n v="1"/>
    <n v="24"/>
    <s v="&gt;15"/>
    <n v="2"/>
    <n v="3"/>
    <n v="24"/>
    <n v="9"/>
    <n v="9"/>
    <n v="11"/>
    <s v="Below Avg"/>
    <n v="28.18965517241379"/>
  </r>
  <r>
    <n v="31"/>
    <x v="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s v="Yes"/>
    <n v="18"/>
    <n v="3"/>
    <n v="2"/>
    <n v="80"/>
    <n v="1"/>
    <n v="3"/>
    <s v="0-5"/>
    <n v="2"/>
    <n v="1"/>
    <n v="2"/>
    <n v="2"/>
    <n v="2"/>
    <n v="2"/>
    <s v="Below Avg"/>
    <n v="28.213977566867989"/>
  </r>
  <r>
    <n v="33"/>
    <x v="1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s v="No"/>
    <n v="11"/>
    <n v="3"/>
    <n v="2"/>
    <n v="80"/>
    <n v="2"/>
    <n v="12"/>
    <s v="6-15"/>
    <n v="2"/>
    <n v="3"/>
    <n v="10"/>
    <n v="6"/>
    <n v="8"/>
    <n v="8"/>
    <s v="Ok"/>
    <n v="28.238341968911918"/>
  </r>
  <r>
    <n v="39"/>
    <x v="1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s v="Yes"/>
    <n v="14"/>
    <n v="3"/>
    <n v="4"/>
    <n v="80"/>
    <n v="0"/>
    <n v="21"/>
    <s v="&gt;15"/>
    <n v="3"/>
    <n v="3"/>
    <n v="21"/>
    <n v="9"/>
    <n v="11"/>
    <n v="10"/>
    <s v="Ok"/>
    <n v="28.176318063958512"/>
  </r>
  <r>
    <n v="43"/>
    <x v="1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s v="No"/>
    <n v="19"/>
    <n v="3"/>
    <n v="1"/>
    <n v="80"/>
    <n v="0"/>
    <n v="9"/>
    <s v="6-15"/>
    <n v="5"/>
    <n v="3"/>
    <n v="8"/>
    <n v="7"/>
    <n v="1"/>
    <n v="7"/>
    <s v="Below Avg"/>
    <n v="28.20069204152249"/>
  </r>
  <r>
    <n v="49"/>
    <x v="1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s v="Yes"/>
    <n v="12"/>
    <n v="3"/>
    <n v="4"/>
    <n v="80"/>
    <n v="0"/>
    <n v="25"/>
    <s v="&gt;15"/>
    <n v="2"/>
    <n v="3"/>
    <n v="7"/>
    <n v="1"/>
    <n v="0"/>
    <n v="7"/>
    <s v="Ok"/>
    <n v="28.138528138528141"/>
  </r>
  <r>
    <n v="52"/>
    <x v="0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s v="No"/>
    <n v="15"/>
    <n v="3"/>
    <n v="1"/>
    <n v="80"/>
    <n v="0"/>
    <n v="11"/>
    <s v="6-15"/>
    <n v="3"/>
    <n v="2"/>
    <n v="8"/>
    <n v="2"/>
    <n v="7"/>
    <n v="7"/>
    <s v="Below Avg"/>
    <n v="28.162911611785095"/>
  </r>
  <r>
    <n v="27"/>
    <x v="1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s v="Yes"/>
    <n v="12"/>
    <n v="3"/>
    <n v="2"/>
    <n v="80"/>
    <n v="0"/>
    <n v="4"/>
    <s v="0-5"/>
    <n v="2"/>
    <n v="2"/>
    <n v="4"/>
    <n v="3"/>
    <n v="1"/>
    <n v="2"/>
    <s v="Below Avg"/>
    <n v="28.100607111882049"/>
  </r>
  <r>
    <n v="32"/>
    <x v="1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s v="Yes"/>
    <n v="11"/>
    <n v="3"/>
    <n v="4"/>
    <n v="80"/>
    <n v="0"/>
    <n v="13"/>
    <s v="6-15"/>
    <n v="2"/>
    <n v="3"/>
    <n v="13"/>
    <n v="12"/>
    <n v="11"/>
    <n v="9"/>
    <s v="Below Avg"/>
    <n v="28.125"/>
  </r>
  <r>
    <n v="27"/>
    <x v="1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s v="Yes"/>
    <n v="11"/>
    <n v="3"/>
    <n v="1"/>
    <n v="80"/>
    <n v="0"/>
    <n v="5"/>
    <s v="0-5"/>
    <n v="3"/>
    <n v="3"/>
    <n v="5"/>
    <n v="4"/>
    <n v="0"/>
    <n v="4"/>
    <s v="Below Avg"/>
    <n v="28.062554300608166"/>
  </r>
  <r>
    <n v="31"/>
    <x v="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s v="No"/>
    <n v="12"/>
    <n v="3"/>
    <n v="4"/>
    <n v="80"/>
    <n v="3"/>
    <n v="13"/>
    <s v="6-15"/>
    <n v="3"/>
    <n v="3"/>
    <n v="7"/>
    <n v="7"/>
    <n v="1"/>
    <n v="7"/>
    <s v="Ok"/>
    <n v="28.000000000000004"/>
  </r>
  <r>
    <n v="32"/>
    <x v="1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s v="No"/>
    <n v="16"/>
    <n v="3"/>
    <n v="3"/>
    <n v="80"/>
    <n v="0"/>
    <n v="10"/>
    <s v="6-15"/>
    <n v="0"/>
    <n v="2"/>
    <n v="7"/>
    <n v="7"/>
    <n v="0"/>
    <n v="7"/>
    <s v="Below Avg"/>
    <n v="27.93733681462141"/>
  </r>
  <r>
    <n v="28"/>
    <x v="0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s v="Yes"/>
    <n v="13"/>
    <n v="3"/>
    <n v="4"/>
    <n v="80"/>
    <n v="0"/>
    <n v="5"/>
    <s v="0-5"/>
    <n v="4"/>
    <n v="2"/>
    <n v="3"/>
    <n v="2"/>
    <n v="2"/>
    <n v="2"/>
    <s v="Below Avg"/>
    <n v="27.961672473867594"/>
  </r>
  <r>
    <n v="30"/>
    <x v="1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s v="No"/>
    <n v="13"/>
    <n v="3"/>
    <n v="4"/>
    <n v="80"/>
    <n v="2"/>
    <n v="11"/>
    <s v="6-15"/>
    <n v="2"/>
    <n v="3"/>
    <n v="10"/>
    <n v="8"/>
    <n v="1"/>
    <n v="9"/>
    <s v="Below Avg"/>
    <n v="27.986050566695731"/>
  </r>
  <r>
    <n v="31"/>
    <x v="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s v="No"/>
    <n v="24"/>
    <n v="4"/>
    <n v="1"/>
    <n v="80"/>
    <n v="1"/>
    <n v="10"/>
    <s v="6-15"/>
    <n v="2"/>
    <n v="3"/>
    <n v="10"/>
    <n v="9"/>
    <n v="8"/>
    <n v="9"/>
    <s v="Ok"/>
    <n v="27.923211169284468"/>
  </r>
  <r>
    <n v="39"/>
    <x v="1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s v="No"/>
    <n v="15"/>
    <n v="3"/>
    <n v="1"/>
    <n v="80"/>
    <n v="1"/>
    <n v="21"/>
    <s v="&gt;15"/>
    <n v="2"/>
    <n v="3"/>
    <n v="21"/>
    <n v="9"/>
    <n v="13"/>
    <n v="3"/>
    <s v="Ok"/>
    <n v="27.947598253275107"/>
  </r>
  <r>
    <n v="39"/>
    <x v="0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s v="Yes"/>
    <n v="18"/>
    <n v="3"/>
    <n v="1"/>
    <n v="80"/>
    <n v="0"/>
    <n v="12"/>
    <s v="6-15"/>
    <n v="3"/>
    <n v="2"/>
    <n v="1"/>
    <n v="0"/>
    <n v="0"/>
    <n v="0"/>
    <s v="Below Avg"/>
    <n v="27.972027972027973"/>
  </r>
  <r>
    <n v="33"/>
    <x v="1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s v="No"/>
    <n v="14"/>
    <n v="3"/>
    <n v="3"/>
    <n v="80"/>
    <n v="0"/>
    <n v="9"/>
    <s v="6-15"/>
    <n v="6"/>
    <n v="2"/>
    <n v="7"/>
    <n v="7"/>
    <n v="0"/>
    <n v="1"/>
    <s v="Below Avg"/>
    <n v="27.99650043744532"/>
  </r>
  <r>
    <n v="47"/>
    <x v="1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s v="No"/>
    <n v="11"/>
    <n v="3"/>
    <n v="2"/>
    <n v="80"/>
    <n v="1"/>
    <n v="21"/>
    <s v="&gt;15"/>
    <n v="2"/>
    <n v="3"/>
    <n v="3"/>
    <n v="2"/>
    <n v="1"/>
    <n v="1"/>
    <s v="Ok"/>
    <n v="27.933450087565674"/>
  </r>
  <r>
    <n v="43"/>
    <x v="1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s v="No"/>
    <n v="11"/>
    <n v="3"/>
    <n v="2"/>
    <n v="80"/>
    <n v="1"/>
    <n v="9"/>
    <s v="6-15"/>
    <n v="3"/>
    <n v="4"/>
    <n v="9"/>
    <n v="7"/>
    <n v="0"/>
    <n v="0"/>
    <s v="Below Avg"/>
    <n v="27.957931638913237"/>
  </r>
  <r>
    <n v="27"/>
    <x v="1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s v="Yes"/>
    <n v="13"/>
    <n v="3"/>
    <n v="4"/>
    <n v="80"/>
    <n v="1"/>
    <n v="6"/>
    <s v="6-15"/>
    <n v="0"/>
    <n v="3"/>
    <n v="5"/>
    <n v="4"/>
    <n v="1"/>
    <n v="4"/>
    <s v="Below Avg"/>
    <n v="27.982456140350877"/>
  </r>
  <r>
    <n v="54"/>
    <x v="1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s v="No"/>
    <n v="12"/>
    <n v="3"/>
    <n v="4"/>
    <n v="80"/>
    <n v="0"/>
    <n v="20"/>
    <s v="&gt;15"/>
    <n v="4"/>
    <n v="2"/>
    <n v="4"/>
    <n v="3"/>
    <n v="0"/>
    <n v="3"/>
    <s v="Below Avg"/>
    <n v="28.007023705004393"/>
  </r>
  <r>
    <n v="43"/>
    <x v="1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s v="No"/>
    <n v="16"/>
    <n v="3"/>
    <n v="1"/>
    <n v="80"/>
    <n v="1"/>
    <n v="10"/>
    <s v="6-15"/>
    <n v="1"/>
    <n v="2"/>
    <n v="1"/>
    <n v="0"/>
    <n v="0"/>
    <n v="0"/>
    <s v="Ok"/>
    <n v="27.943760984182774"/>
  </r>
  <r>
    <n v="45"/>
    <x v="1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s v="No"/>
    <n v="14"/>
    <n v="3"/>
    <n v="1"/>
    <n v="80"/>
    <n v="2"/>
    <n v="12"/>
    <s v="6-15"/>
    <n v="3"/>
    <n v="3"/>
    <n v="10"/>
    <n v="9"/>
    <n v="9"/>
    <n v="8"/>
    <s v="Below Avg"/>
    <n v="27.968337730870712"/>
  </r>
  <r>
    <n v="40"/>
    <x v="1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s v="Yes"/>
    <n v="22"/>
    <n v="4"/>
    <n v="3"/>
    <n v="80"/>
    <n v="3"/>
    <n v="6"/>
    <s v="6-15"/>
    <n v="2"/>
    <n v="2"/>
    <n v="4"/>
    <n v="3"/>
    <n v="0"/>
    <n v="2"/>
    <s v="Ok"/>
    <n v="27.992957746478876"/>
  </r>
  <r>
    <n v="29"/>
    <x v="0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s v="Yes"/>
    <n v="11"/>
    <n v="3"/>
    <n v="4"/>
    <n v="80"/>
    <n v="0"/>
    <n v="7"/>
    <s v="6-15"/>
    <n v="4"/>
    <n v="2"/>
    <n v="7"/>
    <n v="7"/>
    <n v="0"/>
    <n v="7"/>
    <s v="Below Avg"/>
    <n v="28.017621145374449"/>
  </r>
  <r>
    <n v="29"/>
    <x v="1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s v="No"/>
    <n v="17"/>
    <n v="3"/>
    <n v="3"/>
    <n v="80"/>
    <n v="0"/>
    <n v="4"/>
    <s v="0-5"/>
    <n v="2"/>
    <n v="3"/>
    <n v="3"/>
    <n v="2"/>
    <n v="2"/>
    <n v="2"/>
    <s v="Below Avg"/>
    <n v="27.954144620811288"/>
  </r>
  <r>
    <n v="30"/>
    <x v="1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s v="No"/>
    <n v="13"/>
    <n v="3"/>
    <n v="3"/>
    <n v="80"/>
    <n v="3"/>
    <n v="10"/>
    <s v="6-15"/>
    <n v="2"/>
    <n v="3"/>
    <n v="10"/>
    <n v="9"/>
    <n v="1"/>
    <n v="2"/>
    <s v="Below Avg"/>
    <n v="27.890556045895853"/>
  </r>
  <r>
    <n v="27"/>
    <x v="1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s v="No"/>
    <n v="18"/>
    <n v="3"/>
    <n v="1"/>
    <n v="80"/>
    <n v="1"/>
    <n v="8"/>
    <s v="6-15"/>
    <n v="3"/>
    <n v="3"/>
    <n v="8"/>
    <n v="7"/>
    <n v="0"/>
    <n v="7"/>
    <s v="Below Avg"/>
    <n v="27.915194346289752"/>
  </r>
  <r>
    <n v="37"/>
    <x v="1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s v="No"/>
    <n v="16"/>
    <n v="3"/>
    <n v="3"/>
    <n v="80"/>
    <n v="2"/>
    <n v="8"/>
    <s v="6-15"/>
    <n v="2"/>
    <n v="2"/>
    <n v="6"/>
    <n v="2"/>
    <n v="0"/>
    <n v="4"/>
    <s v="Ok"/>
    <n v="27.939876215738284"/>
  </r>
  <r>
    <n v="38"/>
    <x v="1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s v="Yes"/>
    <n v="14"/>
    <n v="3"/>
    <n v="2"/>
    <n v="80"/>
    <n v="1"/>
    <n v="12"/>
    <s v="6-15"/>
    <n v="3"/>
    <n v="3"/>
    <n v="11"/>
    <n v="10"/>
    <n v="2"/>
    <n v="9"/>
    <s v="Ok"/>
    <n v="27.964601769911507"/>
  </r>
  <r>
    <n v="31"/>
    <x v="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s v="Yes"/>
    <n v="14"/>
    <n v="3"/>
    <n v="3"/>
    <n v="80"/>
    <n v="0"/>
    <n v="11"/>
    <s v="6-15"/>
    <n v="2"/>
    <n v="2"/>
    <n v="11"/>
    <n v="9"/>
    <n v="4"/>
    <n v="10"/>
    <s v="Ok"/>
    <n v="27.989371124889285"/>
  </r>
  <r>
    <n v="29"/>
    <x v="1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s v="Yes"/>
    <n v="14"/>
    <n v="3"/>
    <n v="1"/>
    <n v="80"/>
    <n v="2"/>
    <n v="7"/>
    <s v="6-15"/>
    <n v="2"/>
    <n v="3"/>
    <n v="7"/>
    <n v="7"/>
    <n v="1"/>
    <n v="7"/>
    <s v="Ok"/>
    <n v="27.925531914893615"/>
  </r>
  <r>
    <n v="35"/>
    <x v="1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s v="No"/>
    <n v="13"/>
    <n v="3"/>
    <n v="4"/>
    <n v="80"/>
    <n v="0"/>
    <n v="17"/>
    <s v="&gt;15"/>
    <n v="5"/>
    <n v="3"/>
    <n v="16"/>
    <n v="6"/>
    <n v="0"/>
    <n v="13"/>
    <s v="Ok"/>
    <n v="27.861579414374443"/>
  </r>
  <r>
    <n v="23"/>
    <x v="1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s v="No"/>
    <n v="12"/>
    <n v="3"/>
    <n v="3"/>
    <n v="80"/>
    <n v="2"/>
    <n v="4"/>
    <s v="0-5"/>
    <n v="2"/>
    <n v="2"/>
    <n v="4"/>
    <n v="2"/>
    <n v="0"/>
    <n v="2"/>
    <s v="Below Avg"/>
    <n v="27.797513321492005"/>
  </r>
  <r>
    <n v="41"/>
    <x v="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s v="Yes"/>
    <n v="15"/>
    <n v="3"/>
    <n v="4"/>
    <n v="80"/>
    <n v="0"/>
    <n v="8"/>
    <s v="6-15"/>
    <n v="3"/>
    <n v="3"/>
    <n v="5"/>
    <n v="4"/>
    <n v="1"/>
    <n v="2"/>
    <s v="Below Avg"/>
    <n v="27.822222222222219"/>
  </r>
  <r>
    <n v="47"/>
    <x v="1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s v="No"/>
    <n v="19"/>
    <n v="3"/>
    <n v="1"/>
    <n v="80"/>
    <n v="0"/>
    <n v="5"/>
    <s v="0-5"/>
    <n v="3"/>
    <n v="3"/>
    <n v="0"/>
    <n v="0"/>
    <n v="0"/>
    <n v="0"/>
    <s v="Below Avg"/>
    <n v="27.846975088967973"/>
  </r>
  <r>
    <n v="42"/>
    <x v="1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s v="No"/>
    <n v="14"/>
    <n v="3"/>
    <n v="2"/>
    <n v="80"/>
    <n v="0"/>
    <n v="16"/>
    <s v="&gt;15"/>
    <n v="2"/>
    <n v="3"/>
    <n v="1"/>
    <n v="0"/>
    <n v="0"/>
    <n v="0"/>
    <s v="Ok"/>
    <n v="27.782724844167412"/>
  </r>
  <r>
    <n v="29"/>
    <x v="1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s v="No"/>
    <n v="14"/>
    <n v="3"/>
    <n v="1"/>
    <n v="80"/>
    <n v="1"/>
    <n v="4"/>
    <s v="0-5"/>
    <n v="3"/>
    <n v="2"/>
    <n v="4"/>
    <n v="3"/>
    <n v="0"/>
    <n v="2"/>
    <s v="Below Avg"/>
    <n v="27.807486631016044"/>
  </r>
  <r>
    <n v="42"/>
    <x v="1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s v="Yes"/>
    <n v="11"/>
    <n v="3"/>
    <n v="3"/>
    <n v="80"/>
    <n v="1"/>
    <n v="4"/>
    <s v="0-5"/>
    <n v="5"/>
    <n v="3"/>
    <n v="3"/>
    <n v="2"/>
    <n v="1"/>
    <n v="0"/>
    <s v="Below Avg"/>
    <n v="27.832292595896519"/>
  </r>
  <r>
    <n v="32"/>
    <x v="1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s v="No"/>
    <n v="13"/>
    <n v="3"/>
    <n v="3"/>
    <n v="80"/>
    <n v="1"/>
    <n v="8"/>
    <s v="6-15"/>
    <n v="4"/>
    <n v="3"/>
    <n v="8"/>
    <n v="0"/>
    <n v="0"/>
    <n v="7"/>
    <s v="Below Avg"/>
    <n v="27.857142857142858"/>
  </r>
  <r>
    <n v="48"/>
    <x v="1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s v="No"/>
    <n v="21"/>
    <n v="4"/>
    <n v="2"/>
    <n v="80"/>
    <n v="1"/>
    <n v="15"/>
    <s v="6-15"/>
    <n v="3"/>
    <n v="1"/>
    <n v="0"/>
    <n v="0"/>
    <n v="0"/>
    <n v="0"/>
    <s v="Ok"/>
    <n v="27.792672028596961"/>
  </r>
  <r>
    <n v="37"/>
    <x v="1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s v="Yes"/>
    <n v="13"/>
    <n v="3"/>
    <n v="1"/>
    <n v="80"/>
    <n v="2"/>
    <n v="13"/>
    <s v="6-15"/>
    <n v="2"/>
    <n v="3"/>
    <n v="7"/>
    <n v="7"/>
    <n v="6"/>
    <n v="7"/>
    <s v="Below Avg"/>
    <n v="27.817531305903398"/>
  </r>
  <r>
    <n v="30"/>
    <x v="1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s v="Yes"/>
    <n v="12"/>
    <n v="3"/>
    <n v="2"/>
    <n v="80"/>
    <n v="1"/>
    <n v="4"/>
    <s v="0-5"/>
    <n v="2"/>
    <n v="4"/>
    <n v="2"/>
    <n v="2"/>
    <n v="2"/>
    <n v="2"/>
    <s v="Below Avg"/>
    <n v="27.84243509400179"/>
  </r>
  <r>
    <n v="26"/>
    <x v="1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s v="No"/>
    <n v="17"/>
    <n v="3"/>
    <n v="2"/>
    <n v="80"/>
    <n v="1"/>
    <n v="8"/>
    <s v="6-15"/>
    <n v="3"/>
    <n v="3"/>
    <n v="8"/>
    <n v="7"/>
    <n v="7"/>
    <n v="7"/>
    <s v="Below Avg"/>
    <n v="27.777777777777779"/>
  </r>
  <r>
    <n v="42"/>
    <x v="1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s v="No"/>
    <n v="23"/>
    <n v="4"/>
    <n v="2"/>
    <n v="80"/>
    <n v="0"/>
    <n v="14"/>
    <s v="6-15"/>
    <n v="6"/>
    <n v="3"/>
    <n v="1"/>
    <n v="0"/>
    <n v="0"/>
    <n v="0"/>
    <s v="Ok"/>
    <n v="27.713004484304932"/>
  </r>
  <r>
    <n v="21"/>
    <x v="0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s v="Yes"/>
    <n v="11"/>
    <n v="3"/>
    <n v="3"/>
    <n v="80"/>
    <n v="0"/>
    <n v="3"/>
    <s v="0-5"/>
    <n v="3"/>
    <n v="3"/>
    <n v="3"/>
    <n v="2"/>
    <n v="1"/>
    <n v="2"/>
    <s v="Below Avg"/>
    <n v="27.737881508078992"/>
  </r>
  <r>
    <n v="36"/>
    <x v="1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s v="No"/>
    <n v="15"/>
    <n v="3"/>
    <n v="2"/>
    <n v="80"/>
    <n v="0"/>
    <n v="7"/>
    <s v="6-15"/>
    <n v="6"/>
    <n v="3"/>
    <n v="1"/>
    <n v="0"/>
    <n v="0"/>
    <n v="0"/>
    <s v="Below Avg"/>
    <n v="27.762803234501348"/>
  </r>
  <r>
    <n v="36"/>
    <x v="1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s v="No"/>
    <n v="11"/>
    <n v="3"/>
    <n v="1"/>
    <n v="80"/>
    <n v="1"/>
    <n v="16"/>
    <s v="&gt;15"/>
    <n v="2"/>
    <n v="3"/>
    <n v="13"/>
    <n v="9"/>
    <n v="1"/>
    <n v="12"/>
    <s v="Ok"/>
    <n v="27.697841726618705"/>
  </r>
  <r>
    <n v="57"/>
    <x v="1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s v="No"/>
    <n v="11"/>
    <n v="3"/>
    <n v="3"/>
    <n v="80"/>
    <n v="0"/>
    <n v="15"/>
    <s v="6-15"/>
    <n v="2"/>
    <n v="3"/>
    <n v="3"/>
    <n v="2"/>
    <n v="1"/>
    <n v="2"/>
    <s v="Ok"/>
    <n v="27.722772277227726"/>
  </r>
  <r>
    <n v="40"/>
    <x v="1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s v="Yes"/>
    <n v="13"/>
    <n v="3"/>
    <n v="3"/>
    <n v="80"/>
    <n v="1"/>
    <n v="10"/>
    <s v="6-15"/>
    <n v="3"/>
    <n v="3"/>
    <n v="7"/>
    <n v="7"/>
    <n v="1"/>
    <n v="7"/>
    <s v="Below Avg"/>
    <n v="27.747747747747749"/>
  </r>
  <r>
    <n v="21"/>
    <x v="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s v="No"/>
    <n v="24"/>
    <n v="4"/>
    <n v="3"/>
    <n v="80"/>
    <n v="0"/>
    <n v="3"/>
    <s v="0-5"/>
    <n v="3"/>
    <n v="2"/>
    <n v="3"/>
    <n v="2"/>
    <n v="2"/>
    <n v="2"/>
    <s v="Below Avg"/>
    <n v="27.772768259693422"/>
  </r>
  <r>
    <n v="33"/>
    <x v="0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s v="Yes"/>
    <n v="13"/>
    <n v="3"/>
    <n v="2"/>
    <n v="80"/>
    <n v="0"/>
    <n v="1"/>
    <s v="0-5"/>
    <n v="2"/>
    <n v="3"/>
    <n v="1"/>
    <n v="0"/>
    <n v="0"/>
    <n v="0"/>
    <s v="Below Avg"/>
    <n v="27.707581227436823"/>
  </r>
  <r>
    <n v="37"/>
    <x v="1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s v="No"/>
    <n v="20"/>
    <n v="4"/>
    <n v="2"/>
    <n v="80"/>
    <n v="1"/>
    <n v="17"/>
    <s v="&gt;15"/>
    <n v="3"/>
    <n v="3"/>
    <n v="5"/>
    <n v="4"/>
    <n v="0"/>
    <n v="3"/>
    <s v="Below Avg"/>
    <n v="27.732610659439928"/>
  </r>
  <r>
    <n v="46"/>
    <x v="1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s v="No"/>
    <n v="14"/>
    <n v="3"/>
    <n v="3"/>
    <n v="80"/>
    <n v="0"/>
    <n v="7"/>
    <s v="6-15"/>
    <n v="2"/>
    <n v="4"/>
    <n v="1"/>
    <n v="0"/>
    <n v="0"/>
    <n v="0"/>
    <s v="Below Avg"/>
    <n v="27.667269439421339"/>
  </r>
  <r>
    <n v="41"/>
    <x v="0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s v="No"/>
    <n v="18"/>
    <n v="3"/>
    <n v="3"/>
    <n v="80"/>
    <n v="0"/>
    <n v="8"/>
    <s v="6-15"/>
    <n v="5"/>
    <n v="3"/>
    <n v="8"/>
    <n v="7"/>
    <n v="7"/>
    <n v="7"/>
    <s v="Ok"/>
    <n v="27.692307692307693"/>
  </r>
  <r>
    <n v="50"/>
    <x v="1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s v="No"/>
    <n v="15"/>
    <n v="3"/>
    <n v="4"/>
    <n v="80"/>
    <n v="0"/>
    <n v="20"/>
    <s v="&gt;15"/>
    <n v="2"/>
    <n v="3"/>
    <n v="4"/>
    <n v="3"/>
    <n v="1"/>
    <n v="3"/>
    <s v="Ok"/>
    <n v="27.717391304347828"/>
  </r>
  <r>
    <n v="40"/>
    <x v="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s v="Yes"/>
    <n v="12"/>
    <n v="3"/>
    <n v="1"/>
    <n v="80"/>
    <n v="2"/>
    <n v="8"/>
    <s v="6-15"/>
    <n v="6"/>
    <n v="3"/>
    <n v="6"/>
    <n v="4"/>
    <n v="1"/>
    <n v="0"/>
    <s v="Below Avg"/>
    <n v="27.742520398912056"/>
  </r>
  <r>
    <n v="31"/>
    <x v="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s v="Yes"/>
    <n v="16"/>
    <n v="3"/>
    <n v="4"/>
    <n v="80"/>
    <n v="0"/>
    <n v="3"/>
    <s v="0-5"/>
    <n v="5"/>
    <n v="3"/>
    <n v="2"/>
    <n v="2"/>
    <n v="2"/>
    <n v="2"/>
    <s v="Below Avg"/>
    <n v="27.767695099818511"/>
  </r>
  <r>
    <n v="21"/>
    <x v="0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s v="No"/>
    <n v="15"/>
    <n v="3"/>
    <n v="4"/>
    <n v="80"/>
    <n v="0"/>
    <n v="1"/>
    <s v="0-5"/>
    <n v="0"/>
    <n v="3"/>
    <n v="1"/>
    <n v="0"/>
    <n v="0"/>
    <n v="0"/>
    <s v="Below Avg"/>
    <n v="27.702089009990914"/>
  </r>
  <r>
    <n v="29"/>
    <x v="1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s v="No"/>
    <n v="16"/>
    <n v="3"/>
    <n v="4"/>
    <n v="80"/>
    <n v="0"/>
    <n v="6"/>
    <s v="6-15"/>
    <n v="4"/>
    <n v="3"/>
    <n v="3"/>
    <n v="2"/>
    <n v="1"/>
    <n v="2"/>
    <s v="Below Avg"/>
    <n v="27.636363636363637"/>
  </r>
  <r>
    <n v="35"/>
    <x v="1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s v="No"/>
    <n v="19"/>
    <n v="3"/>
    <n v="3"/>
    <n v="80"/>
    <n v="0"/>
    <n v="10"/>
    <s v="6-15"/>
    <n v="5"/>
    <n v="3"/>
    <n v="1"/>
    <n v="1"/>
    <n v="0"/>
    <n v="0"/>
    <s v="Ok"/>
    <n v="27.661510464058235"/>
  </r>
  <r>
    <n v="27"/>
    <x v="1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s v="No"/>
    <n v="11"/>
    <n v="3"/>
    <n v="2"/>
    <n v="80"/>
    <n v="1"/>
    <n v="5"/>
    <s v="0-5"/>
    <n v="2"/>
    <n v="3"/>
    <n v="5"/>
    <n v="2"/>
    <n v="0"/>
    <n v="4"/>
    <s v="Below Avg"/>
    <n v="27.686703096539162"/>
  </r>
  <r>
    <n v="28"/>
    <x v="1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s v="No"/>
    <n v="16"/>
    <n v="3"/>
    <n v="4"/>
    <n v="80"/>
    <n v="0"/>
    <n v="7"/>
    <s v="6-15"/>
    <n v="1"/>
    <n v="3"/>
    <n v="7"/>
    <n v="5"/>
    <n v="0"/>
    <n v="7"/>
    <s v="Below Avg"/>
    <n v="27.711941659070195"/>
  </r>
  <r>
    <n v="49"/>
    <x v="1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s v="No"/>
    <n v="24"/>
    <n v="4"/>
    <n v="3"/>
    <n v="80"/>
    <n v="0"/>
    <n v="26"/>
    <s v="&gt;15"/>
    <n v="2"/>
    <n v="3"/>
    <n v="5"/>
    <n v="2"/>
    <n v="0"/>
    <n v="0"/>
    <s v="Ok"/>
    <n v="27.737226277372262"/>
  </r>
  <r>
    <n v="51"/>
    <x v="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s v="No"/>
    <n v="11"/>
    <n v="3"/>
    <n v="3"/>
    <n v="80"/>
    <n v="1"/>
    <n v="18"/>
    <s v="&gt;15"/>
    <n v="2"/>
    <n v="2"/>
    <n v="7"/>
    <n v="7"/>
    <n v="0"/>
    <n v="7"/>
    <s v="Below Avg"/>
    <n v="27.762557077625573"/>
  </r>
  <r>
    <n v="36"/>
    <x v="1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s v="No"/>
    <n v="13"/>
    <n v="3"/>
    <n v="2"/>
    <n v="80"/>
    <n v="1"/>
    <n v="6"/>
    <s v="6-15"/>
    <n v="3"/>
    <n v="3"/>
    <n v="2"/>
    <n v="2"/>
    <n v="2"/>
    <n v="2"/>
    <s v="Below Avg"/>
    <n v="27.787934186471663"/>
  </r>
  <r>
    <n v="34"/>
    <x v="0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s v="Yes"/>
    <n v="13"/>
    <n v="3"/>
    <n v="2"/>
    <n v="80"/>
    <n v="0"/>
    <n v="9"/>
    <s v="6-15"/>
    <n v="3"/>
    <n v="2"/>
    <n v="5"/>
    <n v="2"/>
    <n v="0"/>
    <n v="4"/>
    <s v="Below Avg"/>
    <n v="27.813357731015554"/>
  </r>
  <r>
    <n v="55"/>
    <x v="1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s v="Yes"/>
    <n v="13"/>
    <n v="3"/>
    <n v="3"/>
    <n v="80"/>
    <n v="0"/>
    <n v="30"/>
    <s v="&gt;15"/>
    <n v="2"/>
    <n v="3"/>
    <n v="5"/>
    <n v="4"/>
    <n v="1"/>
    <n v="2"/>
    <s v="Ok"/>
    <n v="27.838827838827839"/>
  </r>
  <r>
    <n v="24"/>
    <x v="1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s v="Yes"/>
    <n v="12"/>
    <n v="3"/>
    <n v="4"/>
    <n v="80"/>
    <n v="1"/>
    <n v="5"/>
    <s v="0-5"/>
    <n v="2"/>
    <n v="4"/>
    <n v="5"/>
    <n v="2"/>
    <n v="0"/>
    <n v="3"/>
    <s v="Below Avg"/>
    <n v="27.772685609532537"/>
  </r>
  <r>
    <n v="30"/>
    <x v="1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s v="No"/>
    <n v="18"/>
    <n v="3"/>
    <n v="1"/>
    <n v="80"/>
    <n v="1"/>
    <n v="1"/>
    <s v="0-5"/>
    <n v="3"/>
    <n v="3"/>
    <n v="1"/>
    <n v="0"/>
    <n v="0"/>
    <n v="0"/>
    <s v="Below Avg"/>
    <n v="27.706422018348626"/>
  </r>
  <r>
    <n v="26"/>
    <x v="0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s v="No"/>
    <n v="22"/>
    <n v="4"/>
    <n v="3"/>
    <n v="80"/>
    <n v="0"/>
    <n v="7"/>
    <s v="6-15"/>
    <n v="2"/>
    <n v="3"/>
    <n v="6"/>
    <n v="4"/>
    <n v="0"/>
    <n v="4"/>
    <s v="Below Avg"/>
    <n v="27.640036730945823"/>
  </r>
  <r>
    <n v="22"/>
    <x v="1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s v="No"/>
    <n v="13"/>
    <n v="3"/>
    <n v="4"/>
    <n v="80"/>
    <n v="1"/>
    <n v="2"/>
    <s v="0-5"/>
    <n v="1"/>
    <n v="3"/>
    <n v="2"/>
    <n v="1"/>
    <n v="1"/>
    <n v="2"/>
    <s v="Below Avg"/>
    <n v="27.665441176470591"/>
  </r>
  <r>
    <n v="36"/>
    <x v="1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s v="No"/>
    <n v="13"/>
    <n v="3"/>
    <n v="2"/>
    <n v="80"/>
    <n v="2"/>
    <n v="10"/>
    <s v="6-15"/>
    <n v="2"/>
    <n v="3"/>
    <n v="10"/>
    <n v="9"/>
    <n v="9"/>
    <n v="0"/>
    <s v="Ok"/>
    <n v="27.69089236430543"/>
  </r>
  <r>
    <n v="30"/>
    <x v="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s v="Yes"/>
    <n v="23"/>
    <n v="4"/>
    <n v="3"/>
    <n v="80"/>
    <n v="0"/>
    <n v="3"/>
    <s v="0-5"/>
    <n v="4"/>
    <n v="3"/>
    <n v="1"/>
    <n v="0"/>
    <n v="0"/>
    <n v="0"/>
    <s v="Below Avg"/>
    <n v="27.716390423572747"/>
  </r>
  <r>
    <n v="37"/>
    <x v="1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s v="No"/>
    <n v="12"/>
    <n v="3"/>
    <n v="3"/>
    <n v="80"/>
    <n v="1"/>
    <n v="18"/>
    <s v="&gt;15"/>
    <n v="2"/>
    <n v="2"/>
    <n v="18"/>
    <n v="7"/>
    <n v="12"/>
    <n v="17"/>
    <s v="Below Avg"/>
    <n v="27.741935483870968"/>
  </r>
  <r>
    <n v="40"/>
    <x v="1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s v="No"/>
    <n v="12"/>
    <n v="3"/>
    <n v="3"/>
    <n v="80"/>
    <n v="2"/>
    <n v="8"/>
    <s v="6-15"/>
    <n v="5"/>
    <n v="3"/>
    <n v="5"/>
    <n v="4"/>
    <n v="1"/>
    <n v="3"/>
    <s v="Below Avg"/>
    <n v="27.67527675276753"/>
  </r>
  <r>
    <n v="42"/>
    <x v="1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s v="No"/>
    <n v="16"/>
    <n v="3"/>
    <n v="2"/>
    <n v="80"/>
    <n v="1"/>
    <n v="8"/>
    <s v="6-15"/>
    <n v="5"/>
    <n v="3"/>
    <n v="5"/>
    <n v="2"/>
    <n v="1"/>
    <n v="2"/>
    <s v="Below Avg"/>
    <n v="27.70083102493075"/>
  </r>
  <r>
    <n v="37"/>
    <x v="1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s v="Yes"/>
    <n v="12"/>
    <n v="3"/>
    <n v="4"/>
    <n v="80"/>
    <n v="0"/>
    <n v="18"/>
    <s v="&gt;15"/>
    <n v="2"/>
    <n v="2"/>
    <n v="1"/>
    <n v="0"/>
    <n v="0"/>
    <n v="1"/>
    <s v="Below Avg"/>
    <n v="27.726432532347506"/>
  </r>
  <r>
    <n v="43"/>
    <x v="1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s v="No"/>
    <n v="11"/>
    <n v="3"/>
    <n v="3"/>
    <n v="80"/>
    <n v="1"/>
    <n v="25"/>
    <s v="&gt;15"/>
    <n v="3"/>
    <n v="3"/>
    <n v="25"/>
    <n v="10"/>
    <n v="3"/>
    <n v="9"/>
    <s v="Ok"/>
    <n v="27.752081406105454"/>
  </r>
  <r>
    <n v="40"/>
    <x v="1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s v="No"/>
    <n v="22"/>
    <n v="4"/>
    <n v="2"/>
    <n v="80"/>
    <n v="1"/>
    <n v="20"/>
    <s v="&gt;15"/>
    <n v="3"/>
    <n v="3"/>
    <n v="1"/>
    <n v="0"/>
    <n v="0"/>
    <n v="0"/>
    <s v="Below Avg"/>
    <n v="27.685185185185183"/>
  </r>
  <r>
    <n v="54"/>
    <x v="1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s v="No"/>
    <n v="11"/>
    <n v="3"/>
    <n v="3"/>
    <n v="80"/>
    <n v="1"/>
    <n v="24"/>
    <s v="&gt;15"/>
    <n v="4"/>
    <n v="2"/>
    <n v="4"/>
    <n v="2"/>
    <n v="1"/>
    <n v="2"/>
    <s v="Ok"/>
    <n v="27.710843373493976"/>
  </r>
  <r>
    <n v="34"/>
    <x v="1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s v="No"/>
    <n v="15"/>
    <n v="3"/>
    <n v="1"/>
    <n v="80"/>
    <n v="1"/>
    <n v="6"/>
    <s v="6-15"/>
    <n v="3"/>
    <n v="3"/>
    <n v="3"/>
    <n v="2"/>
    <n v="1"/>
    <n v="2"/>
    <s v="Below Avg"/>
    <n v="27.736549165120593"/>
  </r>
  <r>
    <n v="31"/>
    <x v="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s v="No"/>
    <n v="12"/>
    <n v="3"/>
    <n v="2"/>
    <n v="80"/>
    <n v="1"/>
    <n v="13"/>
    <s v="6-15"/>
    <n v="5"/>
    <n v="1"/>
    <n v="13"/>
    <n v="10"/>
    <n v="3"/>
    <n v="12"/>
    <s v="Below Avg"/>
    <n v="27.762302692664807"/>
  </r>
  <r>
    <n v="43"/>
    <x v="1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s v="No"/>
    <n v="20"/>
    <n v="4"/>
    <n v="1"/>
    <n v="80"/>
    <n v="1"/>
    <n v="8"/>
    <s v="6-15"/>
    <n v="1"/>
    <n v="3"/>
    <n v="3"/>
    <n v="2"/>
    <n v="1"/>
    <n v="2"/>
    <s v="Below Avg"/>
    <n v="27.788104089219328"/>
  </r>
  <r>
    <n v="43"/>
    <x v="1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s v="Yes"/>
    <n v="14"/>
    <n v="3"/>
    <n v="4"/>
    <n v="80"/>
    <n v="0"/>
    <n v="8"/>
    <s v="6-15"/>
    <n v="3"/>
    <n v="3"/>
    <n v="5"/>
    <n v="2"/>
    <n v="0"/>
    <n v="2"/>
    <s v="Below Avg"/>
    <n v="27.813953488372096"/>
  </r>
  <r>
    <n v="25"/>
    <x v="1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s v="Yes"/>
    <n v="11"/>
    <n v="3"/>
    <n v="2"/>
    <n v="80"/>
    <n v="0"/>
    <n v="5"/>
    <s v="0-5"/>
    <n v="3"/>
    <n v="3"/>
    <n v="5"/>
    <n v="4"/>
    <n v="1"/>
    <n v="3"/>
    <s v="Below Avg"/>
    <n v="27.839851024208567"/>
  </r>
  <r>
    <n v="37"/>
    <x v="1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s v="Yes"/>
    <n v="15"/>
    <n v="3"/>
    <n v="1"/>
    <n v="80"/>
    <n v="2"/>
    <n v="15"/>
    <s v="6-15"/>
    <n v="2"/>
    <n v="3"/>
    <n v="13"/>
    <n v="11"/>
    <n v="10"/>
    <n v="7"/>
    <s v="Below Avg"/>
    <n v="27.772600186393291"/>
  </r>
  <r>
    <n v="31"/>
    <x v="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s v="No"/>
    <n v="12"/>
    <n v="3"/>
    <n v="3"/>
    <n v="80"/>
    <n v="1"/>
    <n v="4"/>
    <s v="0-5"/>
    <n v="3"/>
    <n v="3"/>
    <n v="4"/>
    <n v="2"/>
    <n v="3"/>
    <n v="2"/>
    <s v="Below Avg"/>
    <n v="27.705223880597014"/>
  </r>
  <r>
    <n v="39"/>
    <x v="1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s v="Yes"/>
    <n v="14"/>
    <n v="3"/>
    <n v="3"/>
    <n v="80"/>
    <n v="1"/>
    <n v="21"/>
    <s v="&gt;15"/>
    <n v="3"/>
    <n v="3"/>
    <n v="21"/>
    <n v="8"/>
    <n v="1"/>
    <n v="6"/>
    <s v="Ok"/>
    <n v="27.637721755368815"/>
  </r>
  <r>
    <n v="56"/>
    <x v="1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s v="No"/>
    <n v="11"/>
    <n v="3"/>
    <n v="4"/>
    <n v="80"/>
    <n v="3"/>
    <n v="36"/>
    <s v="&gt;15"/>
    <n v="0"/>
    <n v="2"/>
    <n v="7"/>
    <n v="7"/>
    <n v="7"/>
    <n v="7"/>
    <s v="Ok"/>
    <n v="27.663551401869157"/>
  </r>
  <r>
    <n v="30"/>
    <x v="1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s v="No"/>
    <n v="11"/>
    <n v="3"/>
    <n v="2"/>
    <n v="80"/>
    <n v="0"/>
    <n v="6"/>
    <s v="6-15"/>
    <n v="6"/>
    <n v="3"/>
    <n v="5"/>
    <n v="4"/>
    <n v="4"/>
    <n v="4"/>
    <s v="Below Avg"/>
    <n v="27.595884003741816"/>
  </r>
  <r>
    <n v="41"/>
    <x v="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s v="No"/>
    <n v="16"/>
    <n v="3"/>
    <n v="3"/>
    <n v="80"/>
    <n v="1"/>
    <n v="10"/>
    <s v="6-15"/>
    <n v="2"/>
    <n v="3"/>
    <n v="10"/>
    <n v="7"/>
    <n v="0"/>
    <n v="7"/>
    <s v="Ok"/>
    <n v="27.621722846441948"/>
  </r>
  <r>
    <n v="28"/>
    <x v="1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s v="No"/>
    <n v="12"/>
    <n v="3"/>
    <n v="4"/>
    <n v="80"/>
    <n v="1"/>
    <n v="10"/>
    <s v="6-15"/>
    <n v="2"/>
    <n v="3"/>
    <n v="10"/>
    <n v="0"/>
    <n v="1"/>
    <n v="8"/>
    <s v="Below Avg"/>
    <n v="27.647610121836923"/>
  </r>
  <r>
    <n v="25"/>
    <x v="0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s v="No"/>
    <n v="13"/>
    <n v="3"/>
    <n v="3"/>
    <n v="80"/>
    <n v="1"/>
    <n v="6"/>
    <s v="6-15"/>
    <n v="5"/>
    <n v="3"/>
    <n v="2"/>
    <n v="2"/>
    <n v="0"/>
    <n v="2"/>
    <s v="Below Avg"/>
    <n v="27.67354596622889"/>
  </r>
  <r>
    <n v="52"/>
    <x v="1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s v="Yes"/>
    <n v="14"/>
    <n v="3"/>
    <n v="3"/>
    <n v="80"/>
    <n v="0"/>
    <n v="28"/>
    <s v="&gt;15"/>
    <n v="4"/>
    <n v="3"/>
    <n v="5"/>
    <n v="4"/>
    <n v="0"/>
    <n v="4"/>
    <s v="Ok"/>
    <n v="27.699530516431924"/>
  </r>
  <r>
    <n v="45"/>
    <x v="1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s v="No"/>
    <n v="21"/>
    <n v="4"/>
    <n v="4"/>
    <n v="80"/>
    <n v="2"/>
    <n v="8"/>
    <s v="6-15"/>
    <n v="3"/>
    <n v="2"/>
    <n v="2"/>
    <n v="2"/>
    <n v="0"/>
    <n v="2"/>
    <s v="Below Avg"/>
    <n v="27.725563909774436"/>
  </r>
  <r>
    <n v="52"/>
    <x v="1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s v="No"/>
    <n v="13"/>
    <n v="3"/>
    <n v="4"/>
    <n v="80"/>
    <n v="0"/>
    <n v="31"/>
    <s v="&gt;15"/>
    <n v="2"/>
    <n v="1"/>
    <n v="5"/>
    <n v="2"/>
    <n v="1"/>
    <n v="4"/>
    <s v="Ok"/>
    <n v="27.657572906867355"/>
  </r>
  <r>
    <n v="42"/>
    <x v="1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s v="No"/>
    <n v="11"/>
    <n v="3"/>
    <n v="2"/>
    <n v="80"/>
    <n v="1"/>
    <n v="19"/>
    <s v="&gt;15"/>
    <n v="3"/>
    <n v="3"/>
    <n v="5"/>
    <n v="4"/>
    <n v="0"/>
    <n v="2"/>
    <s v="Below Avg"/>
    <n v="27.683615819209038"/>
  </r>
  <r>
    <n v="30"/>
    <x v="1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s v="No"/>
    <n v="20"/>
    <n v="4"/>
    <n v="3"/>
    <n v="80"/>
    <n v="0"/>
    <n v="11"/>
    <s v="6-15"/>
    <n v="2"/>
    <n v="3"/>
    <n v="5"/>
    <n v="4"/>
    <n v="0"/>
    <n v="2"/>
    <s v="Below Avg"/>
    <n v="27.709707822808671"/>
  </r>
  <r>
    <n v="60"/>
    <x v="1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s v="No"/>
    <n v="11"/>
    <n v="3"/>
    <n v="4"/>
    <n v="80"/>
    <n v="0"/>
    <n v="33"/>
    <s v="&gt;15"/>
    <n v="5"/>
    <n v="1"/>
    <n v="29"/>
    <n v="8"/>
    <n v="11"/>
    <n v="10"/>
    <s v="Ok"/>
    <n v="27.735849056603772"/>
  </r>
  <r>
    <n v="46"/>
    <x v="1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s v="No"/>
    <n v="14"/>
    <n v="3"/>
    <n v="3"/>
    <n v="80"/>
    <n v="1"/>
    <n v="19"/>
    <s v="&gt;15"/>
    <n v="5"/>
    <n v="2"/>
    <n v="10"/>
    <n v="7"/>
    <n v="0"/>
    <n v="8"/>
    <s v="Below Avg"/>
    <n v="27.762039660056658"/>
  </r>
  <r>
    <n v="42"/>
    <x v="1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s v="No"/>
    <n v="11"/>
    <n v="3"/>
    <n v="4"/>
    <n v="80"/>
    <n v="3"/>
    <n v="7"/>
    <s v="6-15"/>
    <n v="4"/>
    <n v="4"/>
    <n v="6"/>
    <n v="5"/>
    <n v="0"/>
    <n v="4"/>
    <s v="Below Avg"/>
    <n v="27.788279773156898"/>
  </r>
  <r>
    <n v="24"/>
    <x v="0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s v="Yes"/>
    <n v="16"/>
    <n v="3"/>
    <n v="2"/>
    <n v="80"/>
    <n v="0"/>
    <n v="6"/>
    <s v="6-15"/>
    <n v="4"/>
    <n v="3"/>
    <n v="5"/>
    <n v="3"/>
    <n v="1"/>
    <n v="4"/>
    <s v="Below Avg"/>
    <n v="27.814569536423839"/>
  </r>
  <r>
    <n v="34"/>
    <x v="0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s v="No"/>
    <n v="16"/>
    <n v="3"/>
    <n v="4"/>
    <n v="80"/>
    <n v="1"/>
    <n v="3"/>
    <s v="0-5"/>
    <n v="3"/>
    <n v="2"/>
    <n v="2"/>
    <n v="2"/>
    <n v="1"/>
    <n v="0"/>
    <s v="Below Avg"/>
    <n v="27.84090909090909"/>
  </r>
  <r>
    <n v="38"/>
    <x v="1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s v="Yes"/>
    <n v="23"/>
    <n v="4"/>
    <n v="3"/>
    <n v="80"/>
    <n v="1"/>
    <n v="1"/>
    <s v="0-5"/>
    <n v="3"/>
    <n v="3"/>
    <n v="1"/>
    <n v="0"/>
    <n v="0"/>
    <n v="0"/>
    <s v="Below Avg"/>
    <n v="27.772511848341232"/>
  </r>
  <r>
    <n v="40"/>
    <x v="1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s v="No"/>
    <n v="14"/>
    <n v="3"/>
    <n v="4"/>
    <n v="80"/>
    <n v="0"/>
    <n v="21"/>
    <s v="&gt;15"/>
    <n v="2"/>
    <n v="3"/>
    <n v="20"/>
    <n v="15"/>
    <n v="1"/>
    <n v="12"/>
    <s v="Ok"/>
    <n v="27.798861480075903"/>
  </r>
  <r>
    <n v="26"/>
    <x v="1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s v="No"/>
    <n v="22"/>
    <n v="4"/>
    <n v="2"/>
    <n v="80"/>
    <n v="2"/>
    <n v="3"/>
    <s v="0-5"/>
    <n v="3"/>
    <n v="1"/>
    <n v="3"/>
    <n v="2"/>
    <n v="0"/>
    <n v="2"/>
    <s v="Below Avg"/>
    <n v="27.730294396961064"/>
  </r>
  <r>
    <n v="30"/>
    <x v="1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s v="No"/>
    <n v="15"/>
    <n v="3"/>
    <n v="3"/>
    <n v="80"/>
    <n v="1"/>
    <n v="9"/>
    <s v="6-15"/>
    <n v="3"/>
    <n v="1"/>
    <n v="5"/>
    <n v="3"/>
    <n v="1"/>
    <n v="4"/>
    <s v="Below Avg"/>
    <n v="27.756653992395435"/>
  </r>
  <r>
    <n v="29"/>
    <x v="1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s v="No"/>
    <n v="18"/>
    <n v="3"/>
    <n v="3"/>
    <n v="80"/>
    <n v="0"/>
    <n v="10"/>
    <s v="6-15"/>
    <n v="2"/>
    <n v="3"/>
    <n v="10"/>
    <n v="2"/>
    <n v="0"/>
    <n v="7"/>
    <s v="Ok"/>
    <n v="27.783063748810655"/>
  </r>
  <r>
    <n v="29"/>
    <x v="0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s v="No"/>
    <n v="16"/>
    <n v="3"/>
    <n v="2"/>
    <n v="80"/>
    <n v="0"/>
    <n v="6"/>
    <s v="6-15"/>
    <n v="2"/>
    <n v="4"/>
    <n v="2"/>
    <n v="2"/>
    <n v="1"/>
    <n v="1"/>
    <s v="Below Avg"/>
    <n v="27.80952380952381"/>
  </r>
  <r>
    <n v="19"/>
    <x v="0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s v="No"/>
    <n v="12"/>
    <n v="3"/>
    <n v="3"/>
    <n v="80"/>
    <n v="0"/>
    <n v="1"/>
    <s v="0-5"/>
    <n v="3"/>
    <n v="4"/>
    <n v="1"/>
    <n v="0"/>
    <n v="0"/>
    <n v="0"/>
    <s v="Below Avg"/>
    <n v="27.836034318398472"/>
  </r>
  <r>
    <n v="30"/>
    <x v="1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s v="No"/>
    <n v="11"/>
    <n v="3"/>
    <n v="3"/>
    <n v="80"/>
    <n v="0"/>
    <n v="10"/>
    <s v="6-15"/>
    <n v="3"/>
    <n v="3"/>
    <n v="9"/>
    <n v="8"/>
    <n v="7"/>
    <n v="8"/>
    <s v="Ok"/>
    <n v="27.862595419847331"/>
  </r>
  <r>
    <n v="57"/>
    <x v="1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s v="No"/>
    <n v="12"/>
    <n v="3"/>
    <n v="3"/>
    <n v="80"/>
    <n v="1"/>
    <n v="32"/>
    <s v="&gt;15"/>
    <n v="3"/>
    <n v="2"/>
    <n v="1"/>
    <n v="0"/>
    <n v="0"/>
    <n v="0"/>
    <s v="Ok"/>
    <n v="27.889207258834762"/>
  </r>
  <r>
    <n v="50"/>
    <x v="1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s v="No"/>
    <n v="15"/>
    <n v="3"/>
    <n v="2"/>
    <n v="80"/>
    <n v="1"/>
    <n v="28"/>
    <s v="&gt;15"/>
    <n v="2"/>
    <n v="3"/>
    <n v="27"/>
    <n v="10"/>
    <n v="15"/>
    <n v="7"/>
    <s v="Ok"/>
    <n v="27.915869980879542"/>
  </r>
  <r>
    <n v="30"/>
    <x v="1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s v="No"/>
    <n v="14"/>
    <n v="3"/>
    <n v="3"/>
    <n v="80"/>
    <n v="0"/>
    <n v="12"/>
    <s v="6-15"/>
    <n v="2"/>
    <n v="2"/>
    <n v="11"/>
    <n v="7"/>
    <n v="6"/>
    <n v="7"/>
    <s v="Below Avg"/>
    <n v="27.942583732057418"/>
  </r>
  <r>
    <n v="60"/>
    <x v="1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s v="No"/>
    <n v="19"/>
    <n v="3"/>
    <n v="4"/>
    <n v="80"/>
    <n v="0"/>
    <n v="22"/>
    <s v="&gt;15"/>
    <n v="5"/>
    <n v="4"/>
    <n v="18"/>
    <n v="13"/>
    <n v="13"/>
    <n v="11"/>
    <s v="Ok"/>
    <n v="27.969348659003828"/>
  </r>
  <r>
    <n v="47"/>
    <x v="1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s v="No"/>
    <n v="13"/>
    <n v="3"/>
    <n v="3"/>
    <n v="80"/>
    <n v="3"/>
    <n v="20"/>
    <s v="&gt;15"/>
    <n v="2"/>
    <n v="3"/>
    <n v="5"/>
    <n v="0"/>
    <n v="0"/>
    <n v="4"/>
    <s v="Below Avg"/>
    <n v="27.996164908916587"/>
  </r>
  <r>
    <n v="46"/>
    <x v="1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s v="No"/>
    <n v="13"/>
    <n v="3"/>
    <n v="3"/>
    <n v="80"/>
    <n v="0"/>
    <n v="26"/>
    <s v="&gt;15"/>
    <n v="2"/>
    <n v="1"/>
    <n v="3"/>
    <n v="2"/>
    <n v="0"/>
    <n v="1"/>
    <s v="Ok"/>
    <n v="28.023032629558543"/>
  </r>
  <r>
    <n v="35"/>
    <x v="1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s v="No"/>
    <n v="15"/>
    <n v="3"/>
    <n v="3"/>
    <n v="80"/>
    <n v="0"/>
    <n v="6"/>
    <s v="6-15"/>
    <n v="2"/>
    <n v="3"/>
    <n v="5"/>
    <n v="4"/>
    <n v="4"/>
    <n v="3"/>
    <s v="Below Avg"/>
    <n v="28.049951969260327"/>
  </r>
  <r>
    <n v="54"/>
    <x v="1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s v="No"/>
    <n v="11"/>
    <n v="3"/>
    <n v="3"/>
    <n v="80"/>
    <n v="0"/>
    <n v="19"/>
    <s v="&gt;15"/>
    <n v="3"/>
    <n v="3"/>
    <n v="1"/>
    <n v="0"/>
    <n v="0"/>
    <n v="0"/>
    <s v="Below Avg"/>
    <n v="28.076923076923077"/>
  </r>
  <r>
    <n v="34"/>
    <x v="1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s v="No"/>
    <n v="12"/>
    <n v="3"/>
    <n v="3"/>
    <n v="80"/>
    <n v="1"/>
    <n v="14"/>
    <s v="6-15"/>
    <n v="3"/>
    <n v="3"/>
    <n v="7"/>
    <n v="3"/>
    <n v="5"/>
    <n v="7"/>
    <s v="Below Avg"/>
    <n v="28.103946102021176"/>
  </r>
  <r>
    <n v="46"/>
    <x v="1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s v="Yes"/>
    <n v="19"/>
    <n v="3"/>
    <n v="3"/>
    <n v="80"/>
    <n v="1"/>
    <n v="15"/>
    <s v="6-15"/>
    <n v="3"/>
    <n v="3"/>
    <n v="3"/>
    <n v="2"/>
    <n v="1"/>
    <n v="2"/>
    <s v="Ok"/>
    <n v="28.131021194605012"/>
  </r>
  <r>
    <n v="31"/>
    <x v="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s v="No"/>
    <n v="25"/>
    <n v="4"/>
    <n v="4"/>
    <n v="80"/>
    <n v="1"/>
    <n v="13"/>
    <s v="6-15"/>
    <n v="6"/>
    <n v="4"/>
    <n v="13"/>
    <n v="8"/>
    <n v="0"/>
    <n v="8"/>
    <s v="Ok"/>
    <n v="28.15814850530376"/>
  </r>
  <r>
    <n v="33"/>
    <x v="0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s v="Yes"/>
    <n v="12"/>
    <n v="3"/>
    <n v="4"/>
    <n v="80"/>
    <n v="0"/>
    <n v="15"/>
    <s v="6-15"/>
    <n v="2"/>
    <n v="4"/>
    <n v="7"/>
    <n v="6"/>
    <n v="7"/>
    <n v="7"/>
    <s v="Ok"/>
    <n v="28.08880308880309"/>
  </r>
  <r>
    <n v="33"/>
    <x v="0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s v="No"/>
    <n v="13"/>
    <n v="3"/>
    <n v="1"/>
    <n v="80"/>
    <n v="3"/>
    <n v="8"/>
    <s v="6-15"/>
    <n v="2"/>
    <n v="3"/>
    <n v="4"/>
    <n v="3"/>
    <n v="1"/>
    <n v="3"/>
    <s v="Below Avg"/>
    <n v="28.115942028985508"/>
  </r>
  <r>
    <n v="30"/>
    <x v="1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s v="No"/>
    <n v="14"/>
    <n v="3"/>
    <n v="1"/>
    <n v="80"/>
    <n v="0"/>
    <n v="4"/>
    <s v="0-5"/>
    <n v="3"/>
    <n v="3"/>
    <n v="3"/>
    <n v="2"/>
    <n v="1"/>
    <n v="2"/>
    <s v="Below Avg"/>
    <n v="28.046421663442938"/>
  </r>
  <r>
    <n v="35"/>
    <x v="1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s v="Yes"/>
    <n v="12"/>
    <n v="3"/>
    <n v="3"/>
    <n v="80"/>
    <n v="0"/>
    <n v="10"/>
    <s v="6-15"/>
    <n v="2"/>
    <n v="3"/>
    <n v="8"/>
    <n v="7"/>
    <n v="0"/>
    <n v="0"/>
    <s v="Ok"/>
    <n v="28.073572120038719"/>
  </r>
  <r>
    <n v="31"/>
    <x v="0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s v="No"/>
    <n v="12"/>
    <n v="3"/>
    <n v="1"/>
    <n v="80"/>
    <n v="0"/>
    <n v="12"/>
    <s v="6-15"/>
    <n v="2"/>
    <n v="3"/>
    <n v="1"/>
    <n v="0"/>
    <n v="0"/>
    <n v="0"/>
    <s v="Ok"/>
    <n v="28.100775193798448"/>
  </r>
  <r>
    <n v="34"/>
    <x v="0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s v="Yes"/>
    <n v="15"/>
    <n v="3"/>
    <n v="3"/>
    <n v="80"/>
    <n v="3"/>
    <n v="11"/>
    <s v="6-15"/>
    <n v="2"/>
    <n v="3"/>
    <n v="3"/>
    <n v="2"/>
    <n v="0"/>
    <n v="2"/>
    <s v="Ok"/>
    <n v="28.031037827352083"/>
  </r>
  <r>
    <n v="42"/>
    <x v="1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s v="No"/>
    <n v="17"/>
    <n v="3"/>
    <n v="4"/>
    <n v="80"/>
    <n v="1"/>
    <n v="8"/>
    <s v="6-15"/>
    <n v="4"/>
    <n v="3"/>
    <n v="2"/>
    <n v="2"/>
    <n v="2"/>
    <n v="0"/>
    <s v="Below Avg"/>
    <n v="28.058252427184467"/>
  </r>
  <r>
    <n v="36"/>
    <x v="1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s v="No"/>
    <n v="14"/>
    <n v="3"/>
    <n v="4"/>
    <n v="80"/>
    <n v="0"/>
    <n v="10"/>
    <s v="6-15"/>
    <n v="3"/>
    <n v="2"/>
    <n v="10"/>
    <n v="3"/>
    <n v="9"/>
    <n v="7"/>
    <s v="Ok"/>
    <n v="27.988338192419825"/>
  </r>
  <r>
    <n v="22"/>
    <x v="0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s v="No"/>
    <n v="16"/>
    <n v="3"/>
    <n v="3"/>
    <n v="80"/>
    <n v="0"/>
    <n v="4"/>
    <s v="0-5"/>
    <n v="3"/>
    <n v="3"/>
    <n v="2"/>
    <n v="2"/>
    <n v="1"/>
    <n v="2"/>
    <s v="Below Avg"/>
    <n v="28.01556420233463"/>
  </r>
  <r>
    <n v="48"/>
    <x v="1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s v="No"/>
    <n v="14"/>
    <n v="3"/>
    <n v="1"/>
    <n v="80"/>
    <n v="1"/>
    <n v="14"/>
    <s v="6-15"/>
    <n v="2"/>
    <n v="3"/>
    <n v="9"/>
    <n v="7"/>
    <n v="6"/>
    <n v="7"/>
    <s v="Below Avg"/>
    <n v="28.042843232716653"/>
  </r>
  <r>
    <n v="55"/>
    <x v="1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s v="No"/>
    <n v="23"/>
    <n v="4"/>
    <n v="4"/>
    <n v="80"/>
    <n v="0"/>
    <n v="37"/>
    <s v="&gt;15"/>
    <n v="2"/>
    <n v="3"/>
    <n v="10"/>
    <n v="9"/>
    <n v="7"/>
    <n v="7"/>
    <s v="Ok"/>
    <n v="28.07017543859649"/>
  </r>
  <r>
    <n v="41"/>
    <x v="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s v="No"/>
    <n v="14"/>
    <n v="3"/>
    <n v="4"/>
    <n v="80"/>
    <n v="0"/>
    <n v="16"/>
    <s v="&gt;15"/>
    <n v="3"/>
    <n v="3"/>
    <n v="14"/>
    <n v="3"/>
    <n v="1"/>
    <n v="10"/>
    <s v="Below Avg"/>
    <n v="28.09756097560976"/>
  </r>
  <r>
    <n v="35"/>
    <x v="1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s v="No"/>
    <n v="11"/>
    <n v="3"/>
    <n v="3"/>
    <n v="80"/>
    <n v="0"/>
    <n v="15"/>
    <s v="6-15"/>
    <n v="2"/>
    <n v="3"/>
    <n v="11"/>
    <n v="9"/>
    <n v="6"/>
    <n v="9"/>
    <s v="Below Avg"/>
    <n v="28.125"/>
  </r>
  <r>
    <n v="40"/>
    <x v="1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s v="No"/>
    <n v="15"/>
    <n v="3"/>
    <n v="3"/>
    <n v="80"/>
    <n v="0"/>
    <n v="22"/>
    <s v="&gt;15"/>
    <n v="3"/>
    <n v="3"/>
    <n v="20"/>
    <n v="6"/>
    <n v="5"/>
    <n v="13"/>
    <s v="Ok"/>
    <n v="28.152492668621704"/>
  </r>
  <r>
    <n v="39"/>
    <x v="1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s v="No"/>
    <n v="11"/>
    <n v="3"/>
    <n v="1"/>
    <n v="80"/>
    <n v="1"/>
    <n v="8"/>
    <s v="6-15"/>
    <n v="3"/>
    <n v="3"/>
    <n v="8"/>
    <n v="3"/>
    <n v="0"/>
    <n v="7"/>
    <s v="Below Avg"/>
    <n v="28.180039138943247"/>
  </r>
  <r>
    <n v="31"/>
    <x v="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s v="Yes"/>
    <n v="13"/>
    <n v="3"/>
    <n v="3"/>
    <n v="80"/>
    <n v="0"/>
    <n v="10"/>
    <s v="6-15"/>
    <n v="2"/>
    <n v="4"/>
    <n v="6"/>
    <n v="5"/>
    <n v="0"/>
    <n v="5"/>
    <s v="Below Avg"/>
    <n v="28.207639569049952"/>
  </r>
  <r>
    <n v="42"/>
    <x v="1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s v="Yes"/>
    <n v="21"/>
    <n v="4"/>
    <n v="4"/>
    <n v="80"/>
    <n v="1"/>
    <n v="10"/>
    <s v="6-15"/>
    <n v="5"/>
    <n v="2"/>
    <n v="10"/>
    <n v="9"/>
    <n v="5"/>
    <n v="8"/>
    <s v="Ok"/>
    <n v="28.235294117647058"/>
  </r>
  <r>
    <n v="45"/>
    <x v="1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s v="No"/>
    <n v="19"/>
    <n v="3"/>
    <n v="2"/>
    <n v="80"/>
    <n v="1"/>
    <n v="9"/>
    <s v="6-15"/>
    <n v="3"/>
    <n v="4"/>
    <n v="8"/>
    <n v="7"/>
    <n v="3"/>
    <n v="7"/>
    <s v="Below Avg"/>
    <n v="28.164867517173697"/>
  </r>
  <r>
    <n v="26"/>
    <x v="0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s v="Yes"/>
    <n v="11"/>
    <n v="3"/>
    <n v="2"/>
    <n v="80"/>
    <n v="1"/>
    <n v="8"/>
    <s v="6-15"/>
    <n v="2"/>
    <n v="2"/>
    <n v="7"/>
    <n v="7"/>
    <n v="1"/>
    <n v="0"/>
    <s v="Below Avg"/>
    <n v="28.094302554027507"/>
  </r>
  <r>
    <n v="29"/>
    <x v="1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s v="No"/>
    <n v="12"/>
    <n v="3"/>
    <n v="2"/>
    <n v="80"/>
    <n v="2"/>
    <n v="8"/>
    <s v="6-15"/>
    <n v="2"/>
    <n v="4"/>
    <n v="3"/>
    <n v="2"/>
    <n v="1"/>
    <n v="2"/>
    <s v="Below Avg"/>
    <n v="28.121927236971484"/>
  </r>
  <r>
    <n v="33"/>
    <x v="1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s v="No"/>
    <n v="19"/>
    <n v="3"/>
    <n v="3"/>
    <n v="80"/>
    <n v="1"/>
    <n v="10"/>
    <s v="6-15"/>
    <n v="2"/>
    <n v="3"/>
    <n v="6"/>
    <n v="1"/>
    <n v="0"/>
    <n v="5"/>
    <s v="Ok"/>
    <n v="28.051181102362204"/>
  </r>
  <r>
    <n v="31"/>
    <x v="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s v="No"/>
    <n v="21"/>
    <n v="4"/>
    <n v="3"/>
    <n v="80"/>
    <n v="1"/>
    <n v="10"/>
    <s v="6-15"/>
    <n v="3"/>
    <n v="2"/>
    <n v="5"/>
    <n v="4"/>
    <n v="0"/>
    <n v="1"/>
    <s v="Ok"/>
    <n v="28.078817733990146"/>
  </r>
  <r>
    <n v="18"/>
    <x v="0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s v="Yes"/>
    <n v="14"/>
    <n v="3"/>
    <n v="4"/>
    <n v="80"/>
    <n v="0"/>
    <n v="0"/>
    <s v="0-5"/>
    <n v="3"/>
    <n v="3"/>
    <n v="0"/>
    <n v="0"/>
    <n v="0"/>
    <n v="0"/>
    <s v="Below Avg"/>
    <n v="28.106508875739642"/>
  </r>
  <r>
    <n v="40"/>
    <x v="1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s v="No"/>
    <n v="15"/>
    <n v="3"/>
    <n v="3"/>
    <n v="80"/>
    <n v="1"/>
    <n v="20"/>
    <s v="&gt;15"/>
    <n v="2"/>
    <n v="3"/>
    <n v="1"/>
    <n v="0"/>
    <n v="0"/>
    <n v="1"/>
    <s v="Ok"/>
    <n v="28.13425468904245"/>
  </r>
  <r>
    <n v="41"/>
    <x v="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s v="Yes"/>
    <n v="17"/>
    <n v="3"/>
    <n v="1"/>
    <n v="80"/>
    <n v="0"/>
    <n v="10"/>
    <s v="6-15"/>
    <n v="3"/>
    <n v="3"/>
    <n v="8"/>
    <n v="7"/>
    <n v="0"/>
    <n v="7"/>
    <s v="Ok"/>
    <n v="28.063241106719367"/>
  </r>
  <r>
    <n v="26"/>
    <x v="1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s v="No"/>
    <n v="12"/>
    <n v="3"/>
    <n v="1"/>
    <n v="80"/>
    <n v="2"/>
    <n v="8"/>
    <s v="6-15"/>
    <n v="5"/>
    <n v="3"/>
    <n v="0"/>
    <n v="0"/>
    <n v="0"/>
    <n v="0"/>
    <s v="Below Avg"/>
    <n v="28.090999010880317"/>
  </r>
  <r>
    <n v="35"/>
    <x v="1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s v="No"/>
    <n v="16"/>
    <n v="3"/>
    <n v="4"/>
    <n v="80"/>
    <n v="0"/>
    <n v="5"/>
    <s v="0-5"/>
    <n v="3"/>
    <n v="3"/>
    <n v="5"/>
    <n v="4"/>
    <n v="0"/>
    <n v="3"/>
    <s v="Below Avg"/>
    <n v="28.019801980198022"/>
  </r>
  <r>
    <n v="34"/>
    <x v="1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s v="No"/>
    <n v="12"/>
    <n v="3"/>
    <n v="4"/>
    <n v="80"/>
    <n v="0"/>
    <n v="10"/>
    <s v="6-15"/>
    <n v="3"/>
    <n v="3"/>
    <n v="10"/>
    <n v="7"/>
    <n v="5"/>
    <n v="7"/>
    <s v="Below Avg"/>
    <n v="28.047571853320118"/>
  </r>
  <r>
    <n v="26"/>
    <x v="0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s v="Yes"/>
    <n v="18"/>
    <n v="3"/>
    <n v="2"/>
    <n v="80"/>
    <n v="0"/>
    <n v="1"/>
    <s v="0-5"/>
    <n v="3"/>
    <n v="1"/>
    <n v="1"/>
    <n v="0"/>
    <n v="0"/>
    <n v="0"/>
    <s v="Below Avg"/>
    <n v="28.075396825396826"/>
  </r>
  <r>
    <n v="37"/>
    <x v="1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s v="No"/>
    <n v="17"/>
    <n v="3"/>
    <n v="4"/>
    <n v="80"/>
    <n v="0"/>
    <n v="12"/>
    <s v="6-15"/>
    <n v="3"/>
    <n v="4"/>
    <n v="6"/>
    <n v="5"/>
    <n v="1"/>
    <n v="2"/>
    <s v="Ok"/>
    <n v="28.103277060575969"/>
  </r>
  <r>
    <n v="46"/>
    <x v="1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s v="No"/>
    <n v="11"/>
    <n v="3"/>
    <n v="4"/>
    <n v="80"/>
    <n v="0"/>
    <n v="28"/>
    <s v="&gt;15"/>
    <n v="3"/>
    <n v="2"/>
    <n v="2"/>
    <n v="2"/>
    <n v="1"/>
    <n v="2"/>
    <s v="Ok"/>
    <n v="28.031809145129227"/>
  </r>
  <r>
    <n v="41"/>
    <x v="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s v="No"/>
    <n v="16"/>
    <n v="3"/>
    <n v="2"/>
    <n v="80"/>
    <n v="1"/>
    <n v="22"/>
    <s v="&gt;15"/>
    <n v="2"/>
    <n v="3"/>
    <n v="18"/>
    <n v="16"/>
    <n v="11"/>
    <n v="8"/>
    <s v="Ok"/>
    <n v="28.059701492537314"/>
  </r>
  <r>
    <n v="37"/>
    <x v="1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s v="No"/>
    <n v="13"/>
    <n v="3"/>
    <n v="4"/>
    <n v="80"/>
    <n v="1"/>
    <n v="9"/>
    <s v="6-15"/>
    <n v="6"/>
    <n v="3"/>
    <n v="9"/>
    <n v="5"/>
    <n v="7"/>
    <n v="7"/>
    <s v="Ok"/>
    <n v="28.087649402390436"/>
  </r>
  <r>
    <n v="52"/>
    <x v="1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s v="Yes"/>
    <n v="12"/>
    <n v="3"/>
    <n v="2"/>
    <n v="80"/>
    <n v="2"/>
    <n v="18"/>
    <s v="&gt;15"/>
    <n v="3"/>
    <n v="3"/>
    <n v="10"/>
    <n v="9"/>
    <n v="6"/>
    <n v="9"/>
    <s v="Below Avg"/>
    <n v="28.115653040877369"/>
  </r>
  <r>
    <n v="32"/>
    <x v="0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s v="No"/>
    <n v="12"/>
    <n v="3"/>
    <n v="4"/>
    <n v="80"/>
    <n v="0"/>
    <n v="6"/>
    <s v="6-15"/>
    <n v="2"/>
    <n v="3"/>
    <n v="4"/>
    <n v="2"/>
    <n v="1"/>
    <n v="2"/>
    <s v="Below Avg"/>
    <n v="28.143712574850298"/>
  </r>
  <r>
    <n v="24"/>
    <x v="1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s v="No"/>
    <n v="13"/>
    <n v="3"/>
    <n v="3"/>
    <n v="80"/>
    <n v="2"/>
    <n v="3"/>
    <s v="0-5"/>
    <n v="3"/>
    <n v="3"/>
    <n v="2"/>
    <n v="2"/>
    <n v="2"/>
    <n v="1"/>
    <s v="Below Avg"/>
    <n v="28.07192807192807"/>
  </r>
  <r>
    <n v="38"/>
    <x v="1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s v="No"/>
    <n v="19"/>
    <n v="3"/>
    <n v="3"/>
    <n v="80"/>
    <n v="1"/>
    <n v="18"/>
    <s v="&gt;15"/>
    <n v="4"/>
    <n v="3"/>
    <n v="1"/>
    <n v="0"/>
    <n v="0"/>
    <n v="0"/>
    <s v="Ok"/>
    <n v="28.1"/>
  </r>
  <r>
    <n v="37"/>
    <x v="1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s v="No"/>
    <n v="12"/>
    <n v="3"/>
    <n v="2"/>
    <n v="80"/>
    <n v="1"/>
    <n v="8"/>
    <s v="6-15"/>
    <n v="2"/>
    <n v="2"/>
    <n v="6"/>
    <n v="5"/>
    <n v="4"/>
    <n v="3"/>
    <s v="Ok"/>
    <n v="28.128128128128125"/>
  </r>
  <r>
    <n v="49"/>
    <x v="1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s v="Yes"/>
    <n v="17"/>
    <n v="3"/>
    <n v="3"/>
    <n v="80"/>
    <n v="1"/>
    <n v="31"/>
    <s v="&gt;15"/>
    <n v="5"/>
    <n v="3"/>
    <n v="31"/>
    <n v="9"/>
    <n v="0"/>
    <n v="9"/>
    <s v="Ok"/>
    <n v="28.1563126252505"/>
  </r>
  <r>
    <n v="24"/>
    <x v="1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s v="Yes"/>
    <n v="11"/>
    <n v="3"/>
    <n v="2"/>
    <n v="80"/>
    <n v="2"/>
    <n v="6"/>
    <s v="6-15"/>
    <n v="3"/>
    <n v="3"/>
    <n v="6"/>
    <n v="5"/>
    <n v="1"/>
    <n v="4"/>
    <s v="Below Avg"/>
    <n v="28.184553660982946"/>
  </r>
  <r>
    <n v="26"/>
    <x v="1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s v="No"/>
    <n v="20"/>
    <n v="4"/>
    <n v="4"/>
    <n v="80"/>
    <n v="2"/>
    <n v="6"/>
    <s v="6-15"/>
    <n v="5"/>
    <n v="4"/>
    <n v="5"/>
    <n v="3"/>
    <n v="1"/>
    <n v="4"/>
    <s v="Below Avg"/>
    <n v="28.112449799196789"/>
  </r>
  <r>
    <n v="24"/>
    <x v="1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s v="No"/>
    <n v="21"/>
    <n v="4"/>
    <n v="4"/>
    <n v="80"/>
    <n v="1"/>
    <n v="1"/>
    <s v="0-5"/>
    <n v="2"/>
    <n v="3"/>
    <n v="1"/>
    <n v="0"/>
    <n v="0"/>
    <n v="0"/>
    <s v="Below Avg"/>
    <n v="28.040201005025128"/>
  </r>
  <r>
    <n v="50"/>
    <x v="1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s v="No"/>
    <n v="11"/>
    <n v="3"/>
    <n v="3"/>
    <n v="80"/>
    <n v="1"/>
    <n v="32"/>
    <s v="&gt;15"/>
    <n v="2"/>
    <n v="3"/>
    <n v="32"/>
    <n v="5"/>
    <n v="10"/>
    <n v="7"/>
    <s v="Ok"/>
    <n v="28.068410462776662"/>
  </r>
  <r>
    <n v="25"/>
    <x v="1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s v="No"/>
    <n v="11"/>
    <n v="3"/>
    <n v="3"/>
    <n v="80"/>
    <n v="0"/>
    <n v="7"/>
    <s v="6-15"/>
    <n v="1"/>
    <n v="3"/>
    <n v="7"/>
    <n v="4"/>
    <n v="0"/>
    <n v="6"/>
    <s v="Below Avg"/>
    <n v="28.09667673716012"/>
  </r>
  <r>
    <n v="24"/>
    <x v="0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s v="Yes"/>
    <n v="16"/>
    <n v="3"/>
    <n v="4"/>
    <n v="80"/>
    <n v="1"/>
    <n v="6"/>
    <s v="6-15"/>
    <n v="4"/>
    <n v="3"/>
    <n v="6"/>
    <n v="3"/>
    <n v="1"/>
    <n v="2"/>
    <s v="Below Avg"/>
    <n v="28.125"/>
  </r>
  <r>
    <n v="30"/>
    <x v="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s v="No"/>
    <n v="18"/>
    <n v="3"/>
    <n v="3"/>
    <n v="80"/>
    <n v="1"/>
    <n v="1"/>
    <s v="0-5"/>
    <n v="2"/>
    <n v="4"/>
    <n v="1"/>
    <n v="0"/>
    <n v="0"/>
    <n v="0"/>
    <s v="Below Avg"/>
    <n v="28.15338042381433"/>
  </r>
  <r>
    <n v="34"/>
    <x v="1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s v="Yes"/>
    <n v="13"/>
    <n v="3"/>
    <n v="4"/>
    <n v="80"/>
    <n v="1"/>
    <n v="6"/>
    <s v="6-15"/>
    <n v="3"/>
    <n v="3"/>
    <n v="6"/>
    <n v="5"/>
    <n v="1"/>
    <n v="3"/>
    <s v="Below Avg"/>
    <n v="28.08080808080808"/>
  </r>
  <r>
    <n v="31"/>
    <x v="0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s v="No"/>
    <n v="17"/>
    <n v="3"/>
    <n v="3"/>
    <n v="80"/>
    <n v="0"/>
    <n v="9"/>
    <s v="6-15"/>
    <n v="2"/>
    <n v="1"/>
    <n v="3"/>
    <n v="1"/>
    <n v="1"/>
    <n v="2"/>
    <s v="Below Avg"/>
    <n v="28.109201213346815"/>
  </r>
  <r>
    <n v="35"/>
    <x v="1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s v="No"/>
    <n v="14"/>
    <n v="3"/>
    <n v="4"/>
    <n v="80"/>
    <n v="0"/>
    <n v="9"/>
    <s v="6-15"/>
    <n v="3"/>
    <n v="3"/>
    <n v="3"/>
    <n v="2"/>
    <n v="0"/>
    <n v="2"/>
    <s v="Below Avg"/>
    <n v="28.036437246963565"/>
  </r>
  <r>
    <n v="31"/>
    <x v="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s v="No"/>
    <n v="22"/>
    <n v="4"/>
    <n v="4"/>
    <n v="80"/>
    <n v="2"/>
    <n v="13"/>
    <s v="6-15"/>
    <n v="4"/>
    <n v="4"/>
    <n v="7"/>
    <n v="7"/>
    <n v="5"/>
    <n v="7"/>
    <s v="Below Avg"/>
    <n v="28.06484295845998"/>
  </r>
  <r>
    <n v="27"/>
    <x v="1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s v="No"/>
    <n v="12"/>
    <n v="3"/>
    <n v="3"/>
    <n v="80"/>
    <n v="2"/>
    <n v="6"/>
    <s v="6-15"/>
    <n v="5"/>
    <n v="2"/>
    <n v="5"/>
    <n v="3"/>
    <n v="0"/>
    <n v="3"/>
    <s v="Below Avg"/>
    <n v="28.093306288032455"/>
  </r>
  <r>
    <n v="37"/>
    <x v="1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s v="Yes"/>
    <n v="11"/>
    <n v="3"/>
    <n v="3"/>
    <n v="80"/>
    <n v="1"/>
    <n v="17"/>
    <s v="&gt;15"/>
    <n v="3"/>
    <n v="2"/>
    <n v="3"/>
    <n v="0"/>
    <n v="1"/>
    <n v="0"/>
    <s v="Ok"/>
    <n v="28.121827411167509"/>
  </r>
  <r>
    <n v="20"/>
    <x v="1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s v="No"/>
    <n v="13"/>
    <n v="3"/>
    <n v="4"/>
    <n v="80"/>
    <n v="0"/>
    <n v="1"/>
    <s v="0-5"/>
    <n v="0"/>
    <n v="4"/>
    <n v="1"/>
    <n v="0"/>
    <n v="0"/>
    <n v="0"/>
    <s v="Below Avg"/>
    <n v="28.150406504065039"/>
  </r>
  <r>
    <n v="42"/>
    <x v="1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s v="No"/>
    <n v="13"/>
    <n v="3"/>
    <n v="2"/>
    <n v="80"/>
    <n v="2"/>
    <n v="10"/>
    <s v="6-15"/>
    <n v="4"/>
    <n v="3"/>
    <n v="10"/>
    <n v="2"/>
    <n v="2"/>
    <n v="2"/>
    <s v="Below Avg"/>
    <n v="28.077314343845373"/>
  </r>
  <r>
    <n v="43"/>
    <x v="1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s v="Yes"/>
    <n v="14"/>
    <n v="3"/>
    <n v="3"/>
    <n v="80"/>
    <n v="1"/>
    <n v="21"/>
    <s v="&gt;15"/>
    <n v="3"/>
    <n v="2"/>
    <n v="1"/>
    <n v="0"/>
    <n v="0"/>
    <n v="0"/>
    <s v="Ok"/>
    <n v="28.105906313645622"/>
  </r>
  <r>
    <n v="38"/>
    <x v="1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s v="No"/>
    <n v="17"/>
    <n v="3"/>
    <n v="4"/>
    <n v="80"/>
    <n v="0"/>
    <n v="8"/>
    <s v="6-15"/>
    <n v="3"/>
    <n v="2"/>
    <n v="0"/>
    <n v="0"/>
    <n v="0"/>
    <n v="0"/>
    <s v="Below Avg"/>
    <n v="28.134556574923547"/>
  </r>
  <r>
    <n v="43"/>
    <x v="1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s v="Yes"/>
    <n v="13"/>
    <n v="3"/>
    <n v="2"/>
    <n v="80"/>
    <n v="1"/>
    <n v="10"/>
    <s v="6-15"/>
    <n v="3"/>
    <n v="3"/>
    <n v="8"/>
    <n v="7"/>
    <n v="4"/>
    <n v="7"/>
    <s v="Below Avg"/>
    <n v="28.061224489795915"/>
  </r>
  <r>
    <n v="48"/>
    <x v="1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s v="No"/>
    <n v="11"/>
    <n v="3"/>
    <n v="1"/>
    <n v="80"/>
    <n v="1"/>
    <n v="21"/>
    <s v="&gt;15"/>
    <n v="3"/>
    <n v="1"/>
    <n v="3"/>
    <n v="2"/>
    <n v="0"/>
    <n v="2"/>
    <s v="Ok"/>
    <n v="28.08988764044944"/>
  </r>
  <r>
    <n v="44"/>
    <x v="1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s v="No"/>
    <n v="11"/>
    <n v="3"/>
    <n v="2"/>
    <n v="80"/>
    <n v="0"/>
    <n v="10"/>
    <s v="6-15"/>
    <n v="1"/>
    <n v="4"/>
    <n v="2"/>
    <n v="2"/>
    <n v="0"/>
    <n v="2"/>
    <s v="Below Avg"/>
    <n v="28.016359918200408"/>
  </r>
  <r>
    <n v="34"/>
    <x v="1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s v="Yes"/>
    <n v="18"/>
    <n v="3"/>
    <n v="4"/>
    <n v="80"/>
    <n v="2"/>
    <n v="8"/>
    <s v="6-15"/>
    <n v="3"/>
    <n v="3"/>
    <n v="8"/>
    <n v="2"/>
    <n v="0"/>
    <n v="6"/>
    <s v="Below Avg"/>
    <n v="28.045035823950869"/>
  </r>
  <r>
    <n v="27"/>
    <x v="0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s v="No"/>
    <n v="11"/>
    <n v="3"/>
    <n v="2"/>
    <n v="80"/>
    <n v="1"/>
    <n v="5"/>
    <s v="0-5"/>
    <n v="3"/>
    <n v="3"/>
    <n v="4"/>
    <n v="3"/>
    <n v="0"/>
    <n v="2"/>
    <s v="Below Avg"/>
    <n v="28.07377049180328"/>
  </r>
  <r>
    <n v="21"/>
    <x v="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s v="No"/>
    <n v="11"/>
    <n v="3"/>
    <n v="3"/>
    <n v="80"/>
    <n v="0"/>
    <n v="3"/>
    <s v="0-5"/>
    <n v="2"/>
    <n v="3"/>
    <n v="3"/>
    <n v="2"/>
    <n v="1"/>
    <n v="2"/>
    <s v="Below Avg"/>
    <n v="28.000000000000004"/>
  </r>
  <r>
    <n v="44"/>
    <x v="1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s v="Yes"/>
    <n v="12"/>
    <n v="3"/>
    <n v="1"/>
    <n v="80"/>
    <n v="1"/>
    <n v="26"/>
    <s v="&gt;15"/>
    <n v="2"/>
    <n v="4"/>
    <n v="2"/>
    <n v="2"/>
    <n v="0"/>
    <n v="1"/>
    <s v="Ok"/>
    <n v="28.02874743326489"/>
  </r>
  <r>
    <n v="22"/>
    <x v="1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s v="No"/>
    <n v="20"/>
    <n v="4"/>
    <n v="4"/>
    <n v="80"/>
    <n v="0"/>
    <n v="3"/>
    <s v="0-5"/>
    <n v="3"/>
    <n v="3"/>
    <n v="2"/>
    <n v="2"/>
    <n v="2"/>
    <n v="2"/>
    <s v="Below Avg"/>
    <n v="28.057553956834528"/>
  </r>
  <r>
    <n v="33"/>
    <x v="1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s v="No"/>
    <n v="12"/>
    <n v="3"/>
    <n v="4"/>
    <n v="80"/>
    <n v="0"/>
    <n v="6"/>
    <s v="6-15"/>
    <n v="3"/>
    <n v="3"/>
    <n v="5"/>
    <n v="0"/>
    <n v="1"/>
    <n v="2"/>
    <s v="Ok"/>
    <n v="27.983539094650205"/>
  </r>
  <r>
    <n v="32"/>
    <x v="1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s v="Yes"/>
    <n v="12"/>
    <n v="3"/>
    <n v="4"/>
    <n v="80"/>
    <n v="1"/>
    <n v="6"/>
    <s v="6-15"/>
    <n v="2"/>
    <n v="2"/>
    <n v="6"/>
    <n v="4"/>
    <n v="0"/>
    <n v="5"/>
    <s v="Ok"/>
    <n v="28.01235839340886"/>
  </r>
  <r>
    <n v="30"/>
    <x v="1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s v="No"/>
    <n v="20"/>
    <n v="4"/>
    <n v="3"/>
    <n v="80"/>
    <n v="1"/>
    <n v="1"/>
    <s v="0-5"/>
    <n v="2"/>
    <n v="3"/>
    <n v="1"/>
    <n v="0"/>
    <n v="0"/>
    <n v="0"/>
    <s v="Below Avg"/>
    <n v="28.041237113402062"/>
  </r>
  <r>
    <n v="53"/>
    <x v="1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s v="No"/>
    <n v="20"/>
    <n v="4"/>
    <n v="4"/>
    <n v="80"/>
    <n v="0"/>
    <n v="18"/>
    <s v="&gt;15"/>
    <n v="2"/>
    <n v="4"/>
    <n v="14"/>
    <n v="7"/>
    <n v="8"/>
    <n v="10"/>
    <s v="Ok"/>
    <n v="27.966976264189885"/>
  </r>
  <r>
    <n v="34"/>
    <x v="1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s v="No"/>
    <n v="12"/>
    <n v="3"/>
    <n v="4"/>
    <n v="80"/>
    <n v="1"/>
    <n v="10"/>
    <s v="6-15"/>
    <n v="4"/>
    <n v="2"/>
    <n v="10"/>
    <n v="9"/>
    <n v="8"/>
    <n v="8"/>
    <s v="Below Avg"/>
    <n v="27.995867768595041"/>
  </r>
  <r>
    <n v="45"/>
    <x v="0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s v="No"/>
    <n v="14"/>
    <n v="3"/>
    <n v="4"/>
    <n v="80"/>
    <n v="2"/>
    <n v="5"/>
    <s v="0-5"/>
    <n v="4"/>
    <n v="3"/>
    <n v="1"/>
    <n v="1"/>
    <n v="0"/>
    <n v="0"/>
    <s v="Below Avg"/>
    <n v="28.024819027921406"/>
  </r>
  <r>
    <n v="26"/>
    <x v="1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s v="Yes"/>
    <n v="13"/>
    <n v="3"/>
    <n v="3"/>
    <n v="80"/>
    <n v="1"/>
    <n v="3"/>
    <s v="0-5"/>
    <n v="2"/>
    <n v="3"/>
    <n v="3"/>
    <n v="2"/>
    <n v="0"/>
    <n v="2"/>
    <s v="Below Avg"/>
    <n v="28.053830227743269"/>
  </r>
  <r>
    <n v="37"/>
    <x v="1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s v="No"/>
    <n v="15"/>
    <n v="3"/>
    <n v="3"/>
    <n v="80"/>
    <n v="1"/>
    <n v="10"/>
    <s v="6-15"/>
    <n v="2"/>
    <n v="3"/>
    <n v="10"/>
    <n v="7"/>
    <n v="7"/>
    <n v="8"/>
    <s v="Ok"/>
    <n v="28.082901554404145"/>
  </r>
  <r>
    <n v="29"/>
    <x v="1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s v="No"/>
    <n v="14"/>
    <n v="3"/>
    <n v="1"/>
    <n v="80"/>
    <n v="1"/>
    <n v="6"/>
    <s v="6-15"/>
    <n v="5"/>
    <n v="2"/>
    <n v="6"/>
    <n v="0"/>
    <n v="1"/>
    <n v="2"/>
    <s v="Below Avg"/>
    <n v="28.008298755186722"/>
  </r>
  <r>
    <n v="35"/>
    <x v="1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s v="No"/>
    <n v="13"/>
    <n v="3"/>
    <n v="2"/>
    <n v="80"/>
    <n v="0"/>
    <n v="17"/>
    <s v="&gt;15"/>
    <n v="3"/>
    <n v="3"/>
    <n v="17"/>
    <n v="11"/>
    <n v="11"/>
    <n v="8"/>
    <s v="Ok"/>
    <n v="28.037383177570092"/>
  </r>
  <r>
    <n v="33"/>
    <x v="1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s v="No"/>
    <n v="23"/>
    <n v="4"/>
    <n v="3"/>
    <n v="80"/>
    <n v="1"/>
    <n v="15"/>
    <s v="6-15"/>
    <n v="2"/>
    <n v="1"/>
    <n v="13"/>
    <n v="11"/>
    <n v="4"/>
    <n v="7"/>
    <s v="Ok"/>
    <n v="28.066528066528068"/>
  </r>
  <r>
    <n v="54"/>
    <x v="1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s v="No"/>
    <n v="15"/>
    <n v="3"/>
    <n v="3"/>
    <n v="80"/>
    <n v="1"/>
    <n v="16"/>
    <s v="&gt;15"/>
    <n v="1"/>
    <n v="4"/>
    <n v="9"/>
    <n v="7"/>
    <n v="7"/>
    <n v="1"/>
    <s v="Ok"/>
    <n v="28.095733610822059"/>
  </r>
  <r>
    <n v="36"/>
    <x v="1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s v="Yes"/>
    <n v="11"/>
    <n v="3"/>
    <n v="3"/>
    <n v="80"/>
    <n v="1"/>
    <n v="13"/>
    <s v="6-15"/>
    <n v="2"/>
    <n v="3"/>
    <n v="3"/>
    <n v="2"/>
    <n v="0"/>
    <n v="2"/>
    <s v="Ok"/>
    <n v="28.125"/>
  </r>
  <r>
    <n v="27"/>
    <x v="1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s v="No"/>
    <n v="13"/>
    <n v="3"/>
    <n v="4"/>
    <n v="80"/>
    <n v="0"/>
    <n v="5"/>
    <s v="0-5"/>
    <n v="0"/>
    <n v="3"/>
    <n v="4"/>
    <n v="2"/>
    <n v="1"/>
    <n v="1"/>
    <s v="Below Avg"/>
    <n v="28.154327424400417"/>
  </r>
  <r>
    <n v="20"/>
    <x v="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s v="Yes"/>
    <n v="11"/>
    <n v="3"/>
    <n v="4"/>
    <n v="80"/>
    <n v="0"/>
    <n v="1"/>
    <s v="0-5"/>
    <n v="5"/>
    <n v="3"/>
    <n v="1"/>
    <n v="0"/>
    <n v="1"/>
    <n v="1"/>
    <s v="Below Avg"/>
    <n v="28.079331941544883"/>
  </r>
  <r>
    <n v="33"/>
    <x v="0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s v="Yes"/>
    <n v="11"/>
    <n v="3"/>
    <n v="1"/>
    <n v="80"/>
    <n v="0"/>
    <n v="10"/>
    <s v="6-15"/>
    <n v="3"/>
    <n v="3"/>
    <n v="10"/>
    <n v="8"/>
    <n v="9"/>
    <n v="7"/>
    <s v="Below Avg"/>
    <n v="28.108672936259143"/>
  </r>
  <r>
    <n v="35"/>
    <x v="1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s v="No"/>
    <n v="18"/>
    <n v="3"/>
    <n v="3"/>
    <n v="80"/>
    <n v="2"/>
    <n v="1"/>
    <s v="0-5"/>
    <n v="3"/>
    <n v="3"/>
    <n v="1"/>
    <n v="0"/>
    <n v="0"/>
    <n v="0"/>
    <s v="Below Avg"/>
    <n v="28.03347280334728"/>
  </r>
  <r>
    <n v="23"/>
    <x v="1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s v="No"/>
    <n v="16"/>
    <n v="3"/>
    <n v="1"/>
    <n v="80"/>
    <n v="1"/>
    <n v="5"/>
    <s v="0-5"/>
    <n v="3"/>
    <n v="4"/>
    <n v="3"/>
    <n v="2"/>
    <n v="0"/>
    <n v="2"/>
    <s v="Below Avg"/>
    <n v="27.958115183246075"/>
  </r>
  <r>
    <n v="25"/>
    <x v="1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s v="No"/>
    <n v="22"/>
    <n v="4"/>
    <n v="3"/>
    <n v="80"/>
    <n v="1"/>
    <n v="4"/>
    <s v="0-5"/>
    <n v="4"/>
    <n v="3"/>
    <n v="3"/>
    <n v="2"/>
    <n v="1"/>
    <n v="2"/>
    <s v="Below Avg"/>
    <n v="27.987421383647799"/>
  </r>
  <r>
    <n v="38"/>
    <x v="1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s v="No"/>
    <n v="20"/>
    <n v="4"/>
    <n v="1"/>
    <n v="80"/>
    <n v="0"/>
    <n v="8"/>
    <s v="6-15"/>
    <n v="2"/>
    <n v="3"/>
    <n v="7"/>
    <n v="7"/>
    <n v="0"/>
    <n v="5"/>
    <s v="Below Avg"/>
    <n v="28.01678908709339"/>
  </r>
  <r>
    <n v="29"/>
    <x v="1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s v="No"/>
    <n v="18"/>
    <n v="3"/>
    <n v="4"/>
    <n v="80"/>
    <n v="1"/>
    <n v="10"/>
    <s v="6-15"/>
    <n v="5"/>
    <n v="3"/>
    <n v="10"/>
    <n v="7"/>
    <n v="2"/>
    <n v="8"/>
    <s v="Below Avg"/>
    <n v="28.04621848739496"/>
  </r>
  <r>
    <n v="48"/>
    <x v="1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s v="No"/>
    <n v="12"/>
    <n v="3"/>
    <n v="4"/>
    <n v="80"/>
    <n v="0"/>
    <n v="12"/>
    <s v="6-15"/>
    <n v="3"/>
    <n v="3"/>
    <n v="2"/>
    <n v="2"/>
    <n v="2"/>
    <n v="2"/>
    <s v="Ok"/>
    <n v="28.075709779179807"/>
  </r>
  <r>
    <n v="27"/>
    <x v="1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s v="Yes"/>
    <n v="20"/>
    <n v="4"/>
    <n v="2"/>
    <n v="80"/>
    <n v="2"/>
    <n v="6"/>
    <s v="6-15"/>
    <n v="3"/>
    <n v="3"/>
    <n v="6"/>
    <n v="5"/>
    <n v="0"/>
    <n v="4"/>
    <s v="Below Avg"/>
    <n v="28.10526315789474"/>
  </r>
  <r>
    <n v="37"/>
    <x v="1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s v="No"/>
    <n v="17"/>
    <n v="3"/>
    <n v="1"/>
    <n v="80"/>
    <n v="0"/>
    <n v="4"/>
    <s v="0-5"/>
    <n v="2"/>
    <n v="3"/>
    <n v="1"/>
    <n v="0"/>
    <n v="0"/>
    <n v="0"/>
    <s v="Below Avg"/>
    <n v="28.134878819810329"/>
  </r>
  <r>
    <n v="50"/>
    <x v="1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s v="Yes"/>
    <n v="11"/>
    <n v="3"/>
    <n v="3"/>
    <n v="80"/>
    <n v="3"/>
    <n v="20"/>
    <s v="&gt;15"/>
    <n v="3"/>
    <n v="3"/>
    <n v="20"/>
    <n v="8"/>
    <n v="3"/>
    <n v="8"/>
    <s v="Below Avg"/>
    <n v="28.059071729957807"/>
  </r>
  <r>
    <n v="34"/>
    <x v="1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s v="No"/>
    <n v="14"/>
    <n v="3"/>
    <n v="2"/>
    <n v="80"/>
    <n v="0"/>
    <n v="9"/>
    <s v="6-15"/>
    <n v="3"/>
    <n v="4"/>
    <n v="8"/>
    <n v="7"/>
    <n v="7"/>
    <n v="7"/>
    <s v="Ok"/>
    <n v="28.088701161562827"/>
  </r>
  <r>
    <n v="24"/>
    <x v="0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s v="No"/>
    <n v="14"/>
    <n v="3"/>
    <n v="1"/>
    <n v="80"/>
    <n v="0"/>
    <n v="4"/>
    <s v="0-5"/>
    <n v="3"/>
    <n v="3"/>
    <n v="2"/>
    <n v="2"/>
    <n v="2"/>
    <n v="0"/>
    <s v="Below Avg"/>
    <n v="28.012684989429175"/>
  </r>
  <r>
    <n v="39"/>
    <x v="1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s v="No"/>
    <n v="11"/>
    <n v="3"/>
    <n v="1"/>
    <n v="80"/>
    <n v="0"/>
    <n v="20"/>
    <s v="&gt;15"/>
    <n v="4"/>
    <n v="3"/>
    <n v="20"/>
    <n v="7"/>
    <n v="11"/>
    <n v="10"/>
    <s v="Below Avg"/>
    <n v="28.042328042328041"/>
  </r>
  <r>
    <n v="32"/>
    <x v="1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s v="No"/>
    <n v="12"/>
    <n v="3"/>
    <n v="4"/>
    <n v="80"/>
    <n v="0"/>
    <n v="10"/>
    <s v="6-15"/>
    <n v="2"/>
    <n v="2"/>
    <n v="10"/>
    <n v="7"/>
    <n v="0"/>
    <n v="8"/>
    <s v="Below Avg"/>
    <n v="28.072033898305083"/>
  </r>
  <r>
    <n v="50"/>
    <x v="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s v="Yes"/>
    <n v="14"/>
    <n v="3"/>
    <n v="1"/>
    <n v="80"/>
    <n v="1"/>
    <n v="18"/>
    <s v="&gt;15"/>
    <n v="4"/>
    <n v="3"/>
    <n v="4"/>
    <n v="3"/>
    <n v="1"/>
    <n v="3"/>
    <s v="Below Avg"/>
    <n v="28.101802757158005"/>
  </r>
  <r>
    <n v="38"/>
    <x v="1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s v="No"/>
    <n v="13"/>
    <n v="3"/>
    <n v="3"/>
    <n v="80"/>
    <n v="0"/>
    <n v="10"/>
    <s v="6-15"/>
    <n v="4"/>
    <n v="2"/>
    <n v="9"/>
    <n v="7"/>
    <n v="1"/>
    <n v="8"/>
    <s v="Ok"/>
    <n v="28.131634819532909"/>
  </r>
  <r>
    <n v="27"/>
    <x v="1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s v="No"/>
    <n v="11"/>
    <n v="3"/>
    <n v="4"/>
    <n v="80"/>
    <n v="0"/>
    <n v="9"/>
    <s v="6-15"/>
    <n v="3"/>
    <n v="3"/>
    <n v="9"/>
    <n v="7"/>
    <n v="0"/>
    <n v="7"/>
    <s v="Ok"/>
    <n v="28.055260361317746"/>
  </r>
  <r>
    <n v="32"/>
    <x v="1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s v="No"/>
    <n v="15"/>
    <n v="3"/>
    <n v="4"/>
    <n v="80"/>
    <n v="0"/>
    <n v="10"/>
    <s v="6-15"/>
    <n v="6"/>
    <n v="3"/>
    <n v="7"/>
    <n v="7"/>
    <n v="7"/>
    <n v="7"/>
    <s v="Ok"/>
    <n v="28.085106382978726"/>
  </r>
  <r>
    <n v="47"/>
    <x v="1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s v="No"/>
    <n v="12"/>
    <n v="3"/>
    <n v="4"/>
    <n v="80"/>
    <n v="0"/>
    <n v="20"/>
    <s v="&gt;15"/>
    <n v="2"/>
    <n v="3"/>
    <n v="7"/>
    <n v="7"/>
    <n v="1"/>
    <n v="7"/>
    <s v="Below Avg"/>
    <n v="28.115015974440894"/>
  </r>
  <r>
    <n v="40"/>
    <x v="1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s v="Yes"/>
    <n v="21"/>
    <n v="4"/>
    <n v="3"/>
    <n v="80"/>
    <n v="1"/>
    <n v="20"/>
    <s v="&gt;15"/>
    <n v="2"/>
    <n v="3"/>
    <n v="18"/>
    <n v="13"/>
    <n v="1"/>
    <n v="12"/>
    <s v="Ok"/>
    <n v="28.14498933901919"/>
  </r>
  <r>
    <n v="53"/>
    <x v="1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s v="No"/>
    <n v="19"/>
    <n v="3"/>
    <n v="3"/>
    <n v="80"/>
    <n v="0"/>
    <n v="32"/>
    <s v="&gt;15"/>
    <n v="3"/>
    <n v="3"/>
    <n v="5"/>
    <n v="1"/>
    <n v="1"/>
    <n v="3"/>
    <s v="Ok"/>
    <n v="28.175026680896476"/>
  </r>
  <r>
    <n v="41"/>
    <x v="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s v="No"/>
    <n v="15"/>
    <n v="3"/>
    <n v="2"/>
    <n v="80"/>
    <n v="3"/>
    <n v="23"/>
    <s v="&gt;15"/>
    <n v="2"/>
    <n v="2"/>
    <n v="21"/>
    <n v="6"/>
    <n v="12"/>
    <n v="6"/>
    <s v="Ok"/>
    <n v="28.0982905982906"/>
  </r>
  <r>
    <n v="60"/>
    <x v="1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s v="No"/>
    <n v="14"/>
    <n v="3"/>
    <n v="4"/>
    <n v="80"/>
    <n v="0"/>
    <n v="10"/>
    <s v="6-15"/>
    <n v="1"/>
    <n v="3"/>
    <n v="2"/>
    <n v="2"/>
    <n v="2"/>
    <n v="2"/>
    <s v="Below Avg"/>
    <n v="28.128342245989309"/>
  </r>
  <r>
    <n v="27"/>
    <x v="1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s v="No"/>
    <n v="21"/>
    <n v="4"/>
    <n v="3"/>
    <n v="80"/>
    <n v="2"/>
    <n v="9"/>
    <s v="6-15"/>
    <n v="4"/>
    <n v="2"/>
    <n v="9"/>
    <n v="7"/>
    <n v="1"/>
    <n v="7"/>
    <s v="Ok"/>
    <n v="28.158458244111351"/>
  </r>
  <r>
    <n v="41"/>
    <x v="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s v="No"/>
    <n v="12"/>
    <n v="3"/>
    <n v="2"/>
    <n v="80"/>
    <n v="1"/>
    <n v="22"/>
    <s v="&gt;15"/>
    <n v="3"/>
    <n v="3"/>
    <n v="22"/>
    <n v="7"/>
    <n v="2"/>
    <n v="10"/>
    <s v="Ok"/>
    <n v="28.188638799571276"/>
  </r>
  <r>
    <n v="50"/>
    <x v="1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s v="No"/>
    <n v="15"/>
    <n v="3"/>
    <n v="4"/>
    <n v="80"/>
    <n v="1"/>
    <n v="4"/>
    <s v="0-5"/>
    <n v="2"/>
    <n v="3"/>
    <n v="2"/>
    <n v="2"/>
    <n v="2"/>
    <n v="2"/>
    <s v="Below Avg"/>
    <n v="28.218884120171673"/>
  </r>
  <r>
    <n v="28"/>
    <x v="0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s v="Yes"/>
    <n v="13"/>
    <n v="3"/>
    <n v="4"/>
    <n v="80"/>
    <n v="0"/>
    <n v="10"/>
    <s v="6-15"/>
    <n v="4"/>
    <n v="3"/>
    <n v="7"/>
    <n v="7"/>
    <n v="3"/>
    <n v="7"/>
    <s v="Below Avg"/>
    <n v="28.249194414607949"/>
  </r>
  <r>
    <n v="36"/>
    <x v="1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s v="No"/>
    <n v="14"/>
    <n v="3"/>
    <n v="1"/>
    <n v="80"/>
    <n v="1"/>
    <n v="10"/>
    <s v="6-15"/>
    <n v="2"/>
    <n v="3"/>
    <n v="8"/>
    <n v="7"/>
    <n v="0"/>
    <n v="5"/>
    <s v="Ok"/>
    <n v="28.279569892473116"/>
  </r>
  <r>
    <n v="38"/>
    <x v="1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s v="Yes"/>
    <n v="14"/>
    <n v="3"/>
    <n v="4"/>
    <n v="80"/>
    <n v="0"/>
    <n v="10"/>
    <s v="6-15"/>
    <n v="4"/>
    <n v="4"/>
    <n v="1"/>
    <n v="0"/>
    <n v="0"/>
    <n v="0"/>
    <s v="Ok"/>
    <n v="28.202368137782564"/>
  </r>
  <r>
    <n v="44"/>
    <x v="1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s v="No"/>
    <n v="14"/>
    <n v="3"/>
    <n v="3"/>
    <n v="80"/>
    <n v="0"/>
    <n v="9"/>
    <s v="6-15"/>
    <n v="5"/>
    <n v="3"/>
    <n v="5"/>
    <n v="2"/>
    <n v="1"/>
    <n v="4"/>
    <s v="Below Avg"/>
    <n v="28.232758620689658"/>
  </r>
  <r>
    <n v="47"/>
    <x v="1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s v="Yes"/>
    <n v="12"/>
    <n v="3"/>
    <n v="4"/>
    <n v="80"/>
    <n v="2"/>
    <n v="28"/>
    <s v="&gt;15"/>
    <n v="2"/>
    <n v="2"/>
    <n v="22"/>
    <n v="2"/>
    <n v="11"/>
    <n v="13"/>
    <s v="Ok"/>
    <n v="28.155339805825243"/>
  </r>
  <r>
    <n v="30"/>
    <x v="1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s v="No"/>
    <n v="23"/>
    <n v="4"/>
    <n v="4"/>
    <n v="80"/>
    <n v="1"/>
    <n v="10"/>
    <s v="6-15"/>
    <n v="2"/>
    <n v="2"/>
    <n v="8"/>
    <n v="7"/>
    <n v="7"/>
    <n v="7"/>
    <s v="Below Avg"/>
    <n v="28.185745140388768"/>
  </r>
  <r>
    <n v="29"/>
    <x v="1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s v="No"/>
    <n v="11"/>
    <n v="3"/>
    <n v="3"/>
    <n v="80"/>
    <n v="0"/>
    <n v="1"/>
    <s v="0-5"/>
    <n v="6"/>
    <n v="3"/>
    <n v="1"/>
    <n v="0"/>
    <n v="0"/>
    <n v="0"/>
    <s v="Below Avg"/>
    <n v="28.108108108108109"/>
  </r>
  <r>
    <n v="42"/>
    <x v="0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s v="Yes"/>
    <n v="12"/>
    <n v="3"/>
    <n v="4"/>
    <n v="80"/>
    <n v="0"/>
    <n v="7"/>
    <s v="6-15"/>
    <n v="2"/>
    <n v="3"/>
    <n v="2"/>
    <n v="2"/>
    <n v="2"/>
    <n v="2"/>
    <s v="Below Avg"/>
    <n v="28.138528138528141"/>
  </r>
  <r>
    <n v="43"/>
    <x v="1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s v="No"/>
    <n v="18"/>
    <n v="3"/>
    <n v="3"/>
    <n v="80"/>
    <n v="1"/>
    <n v="7"/>
    <s v="6-15"/>
    <n v="5"/>
    <n v="3"/>
    <n v="2"/>
    <n v="2"/>
    <n v="2"/>
    <n v="2"/>
    <s v="Below Avg"/>
    <n v="28.169014084507044"/>
  </r>
  <r>
    <n v="34"/>
    <x v="1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s v="No"/>
    <n v="11"/>
    <n v="3"/>
    <n v="4"/>
    <n v="80"/>
    <n v="0"/>
    <n v="10"/>
    <s v="6-15"/>
    <n v="2"/>
    <n v="3"/>
    <n v="5"/>
    <n v="1"/>
    <n v="4"/>
    <n v="3"/>
    <s v="Below Avg"/>
    <n v="28.091106290672453"/>
  </r>
  <r>
    <n v="23"/>
    <x v="1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s v="No"/>
    <n v="14"/>
    <n v="3"/>
    <n v="4"/>
    <n v="80"/>
    <n v="1"/>
    <n v="5"/>
    <s v="0-5"/>
    <n v="2"/>
    <n v="4"/>
    <n v="4"/>
    <n v="3"/>
    <n v="0"/>
    <n v="2"/>
    <s v="Below Avg"/>
    <n v="28.121606948968513"/>
  </r>
  <r>
    <n v="39"/>
    <x v="1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s v="No"/>
    <n v="15"/>
    <n v="3"/>
    <n v="3"/>
    <n v="80"/>
    <n v="1"/>
    <n v="12"/>
    <s v="6-15"/>
    <n v="3"/>
    <n v="1"/>
    <n v="8"/>
    <n v="3"/>
    <n v="3"/>
    <n v="6"/>
    <s v="Ok"/>
    <n v="28.152173913043477"/>
  </r>
  <r>
    <n v="56"/>
    <x v="1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s v="No"/>
    <n v="11"/>
    <n v="3"/>
    <n v="3"/>
    <n v="80"/>
    <n v="0"/>
    <n v="30"/>
    <s v="&gt;15"/>
    <n v="1"/>
    <n v="2"/>
    <n v="10"/>
    <n v="7"/>
    <n v="1"/>
    <n v="1"/>
    <s v="Ok"/>
    <n v="28.182807399347116"/>
  </r>
  <r>
    <n v="40"/>
    <x v="1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s v="Yes"/>
    <n v="20"/>
    <n v="4"/>
    <n v="4"/>
    <n v="80"/>
    <n v="0"/>
    <n v="5"/>
    <s v="0-5"/>
    <n v="2"/>
    <n v="2"/>
    <n v="4"/>
    <n v="2"/>
    <n v="2"/>
    <n v="3"/>
    <s v="Below Avg"/>
    <n v="28.213507625272332"/>
  </r>
  <r>
    <n v="27"/>
    <x v="1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s v="No"/>
    <n v="19"/>
    <n v="3"/>
    <n v="1"/>
    <n v="80"/>
    <n v="0"/>
    <n v="9"/>
    <s v="6-15"/>
    <n v="2"/>
    <n v="1"/>
    <n v="7"/>
    <n v="6"/>
    <n v="0"/>
    <n v="7"/>
    <s v="Ok"/>
    <n v="28.244274809160309"/>
  </r>
  <r>
    <n v="29"/>
    <x v="1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s v="No"/>
    <n v="14"/>
    <n v="3"/>
    <n v="4"/>
    <n v="80"/>
    <n v="2"/>
    <n v="2"/>
    <s v="0-5"/>
    <n v="2"/>
    <n v="3"/>
    <n v="2"/>
    <n v="2"/>
    <n v="2"/>
    <n v="2"/>
    <s v="Below Avg"/>
    <n v="28.165938864628821"/>
  </r>
  <r>
    <n v="53"/>
    <x v="1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s v="No"/>
    <n v="17"/>
    <n v="3"/>
    <n v="4"/>
    <n v="80"/>
    <n v="0"/>
    <n v="19"/>
    <s v="&gt;15"/>
    <n v="4"/>
    <n v="3"/>
    <n v="2"/>
    <n v="2"/>
    <n v="2"/>
    <n v="2"/>
    <s v="Below Avg"/>
    <n v="28.196721311475407"/>
  </r>
  <r>
    <n v="35"/>
    <x v="1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s v="No"/>
    <n v="11"/>
    <n v="3"/>
    <n v="1"/>
    <n v="80"/>
    <n v="1"/>
    <n v="16"/>
    <s v="&gt;15"/>
    <n v="2"/>
    <n v="4"/>
    <n v="1"/>
    <n v="0"/>
    <n v="0"/>
    <n v="0"/>
    <s v="Below Avg"/>
    <n v="28.227571115973742"/>
  </r>
  <r>
    <n v="32"/>
    <x v="1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s v="No"/>
    <n v="15"/>
    <n v="3"/>
    <n v="4"/>
    <n v="80"/>
    <n v="2"/>
    <n v="10"/>
    <s v="6-15"/>
    <n v="2"/>
    <n v="3"/>
    <n v="10"/>
    <n v="8"/>
    <n v="4"/>
    <n v="7"/>
    <s v="Below Avg"/>
    <n v="28.258488499452355"/>
  </r>
  <r>
    <n v="38"/>
    <x v="1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s v="Yes"/>
    <n v="13"/>
    <n v="3"/>
    <n v="2"/>
    <n v="80"/>
    <n v="1"/>
    <n v="6"/>
    <s v="6-15"/>
    <n v="0"/>
    <n v="1"/>
    <n v="1"/>
    <n v="0"/>
    <n v="0"/>
    <n v="1"/>
    <s v="Below Avg"/>
    <n v="28.289473684210524"/>
  </r>
  <r>
    <n v="34"/>
    <x v="1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s v="No"/>
    <n v="14"/>
    <n v="3"/>
    <n v="3"/>
    <n v="80"/>
    <n v="1"/>
    <n v="7"/>
    <s v="6-15"/>
    <n v="3"/>
    <n v="3"/>
    <n v="0"/>
    <n v="0"/>
    <n v="0"/>
    <n v="0"/>
    <s v="Below Avg"/>
    <n v="28.320526893523599"/>
  </r>
  <r>
    <n v="52"/>
    <x v="1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s v="No"/>
    <n v="11"/>
    <n v="3"/>
    <n v="1"/>
    <n v="80"/>
    <n v="0"/>
    <n v="34"/>
    <s v="&gt;15"/>
    <n v="3"/>
    <n v="4"/>
    <n v="34"/>
    <n v="6"/>
    <n v="1"/>
    <n v="16"/>
    <s v="Ok"/>
    <n v="28.241758241758241"/>
  </r>
  <r>
    <n v="33"/>
    <x v="0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s v="Yes"/>
    <n v="13"/>
    <n v="3"/>
    <n v="3"/>
    <n v="80"/>
    <n v="0"/>
    <n v="10"/>
    <s v="6-15"/>
    <n v="2"/>
    <n v="2"/>
    <n v="10"/>
    <n v="9"/>
    <n v="7"/>
    <n v="8"/>
    <s v="Below Avg"/>
    <n v="28.272827282728276"/>
  </r>
  <r>
    <n v="25"/>
    <x v="1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s v="No"/>
    <n v="23"/>
    <n v="4"/>
    <n v="2"/>
    <n v="80"/>
    <n v="0"/>
    <n v="6"/>
    <s v="6-15"/>
    <n v="5"/>
    <n v="2"/>
    <n v="6"/>
    <n v="5"/>
    <n v="1"/>
    <n v="4"/>
    <s v="Below Avg"/>
    <n v="28.303964757709249"/>
  </r>
  <r>
    <n v="45"/>
    <x v="1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s v="No"/>
    <n v="13"/>
    <n v="3"/>
    <n v="1"/>
    <n v="80"/>
    <n v="0"/>
    <n v="9"/>
    <s v="6-15"/>
    <n v="3"/>
    <n v="3"/>
    <n v="8"/>
    <n v="7"/>
    <n v="3"/>
    <n v="1"/>
    <s v="Below Avg"/>
    <n v="28.224917309812568"/>
  </r>
  <r>
    <n v="23"/>
    <x v="1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s v="No"/>
    <n v="18"/>
    <n v="3"/>
    <n v="4"/>
    <n v="80"/>
    <n v="0"/>
    <n v="2"/>
    <s v="0-5"/>
    <n v="3"/>
    <n v="3"/>
    <n v="2"/>
    <n v="2"/>
    <n v="0"/>
    <n v="2"/>
    <s v="Below Avg"/>
    <n v="28.256070640176599"/>
  </r>
  <r>
    <n v="47"/>
    <x v="0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s v="Yes"/>
    <n v="12"/>
    <n v="3"/>
    <n v="4"/>
    <n v="80"/>
    <n v="0"/>
    <n v="8"/>
    <s v="6-15"/>
    <n v="2"/>
    <n v="3"/>
    <n v="5"/>
    <n v="4"/>
    <n v="1"/>
    <n v="3"/>
    <s v="Below Avg"/>
    <n v="28.28729281767956"/>
  </r>
  <r>
    <n v="34"/>
    <x v="1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s v="No"/>
    <n v="22"/>
    <n v="4"/>
    <n v="3"/>
    <n v="80"/>
    <n v="0"/>
    <n v="6"/>
    <s v="6-15"/>
    <n v="5"/>
    <n v="3"/>
    <n v="6"/>
    <n v="5"/>
    <n v="1"/>
    <n v="4"/>
    <s v="Below Avg"/>
    <n v="28.318584070796462"/>
  </r>
  <r>
    <n v="55"/>
    <x v="0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s v="Yes"/>
    <n v="13"/>
    <n v="3"/>
    <n v="4"/>
    <n v="80"/>
    <n v="1"/>
    <n v="24"/>
    <s v="&gt;15"/>
    <n v="2"/>
    <n v="3"/>
    <n v="5"/>
    <n v="2"/>
    <n v="1"/>
    <n v="4"/>
    <s v="Ok"/>
    <n v="28.239202657807311"/>
  </r>
  <r>
    <n v="36"/>
    <x v="1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s v="No"/>
    <n v="15"/>
    <n v="3"/>
    <n v="2"/>
    <n v="80"/>
    <n v="0"/>
    <n v="10"/>
    <s v="6-15"/>
    <n v="1"/>
    <n v="3"/>
    <n v="10"/>
    <n v="7"/>
    <n v="0"/>
    <n v="9"/>
    <s v="Ok"/>
    <n v="28.270509977827054"/>
  </r>
  <r>
    <n v="52"/>
    <x v="1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s v="No"/>
    <n v="18"/>
    <n v="3"/>
    <n v="1"/>
    <n v="80"/>
    <n v="1"/>
    <n v="5"/>
    <s v="0-5"/>
    <n v="3"/>
    <n v="3"/>
    <n v="4"/>
    <n v="3"/>
    <n v="1"/>
    <n v="2"/>
    <s v="Below Avg"/>
    <n v="28.190899001109877"/>
  </r>
  <r>
    <n v="26"/>
    <x v="1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s v="No"/>
    <n v="14"/>
    <n v="3"/>
    <n v="1"/>
    <n v="80"/>
    <n v="1"/>
    <n v="5"/>
    <s v="0-5"/>
    <n v="2"/>
    <n v="3"/>
    <n v="2"/>
    <n v="2"/>
    <n v="2"/>
    <n v="0"/>
    <s v="Below Avg"/>
    <n v="28.222222222222221"/>
  </r>
  <r>
    <n v="29"/>
    <x v="1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s v="No"/>
    <n v="12"/>
    <n v="3"/>
    <n v="1"/>
    <n v="80"/>
    <n v="1"/>
    <n v="11"/>
    <s v="6-15"/>
    <n v="3"/>
    <n v="2"/>
    <n v="8"/>
    <n v="7"/>
    <n v="1"/>
    <n v="1"/>
    <s v="Below Avg"/>
    <n v="28.253615127919911"/>
  </r>
  <r>
    <n v="26"/>
    <x v="0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s v="No"/>
    <n v="17"/>
    <n v="3"/>
    <n v="3"/>
    <n v="80"/>
    <n v="0"/>
    <n v="6"/>
    <s v="6-15"/>
    <n v="2"/>
    <n v="2"/>
    <n v="4"/>
    <n v="3"/>
    <n v="1"/>
    <n v="2"/>
    <s v="Below Avg"/>
    <n v="28.285077951002229"/>
  </r>
  <r>
    <n v="34"/>
    <x v="1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s v="No"/>
    <n v="16"/>
    <n v="3"/>
    <n v="3"/>
    <n v="80"/>
    <n v="0"/>
    <n v="10"/>
    <s v="6-15"/>
    <n v="2"/>
    <n v="3"/>
    <n v="4"/>
    <n v="2"/>
    <n v="1"/>
    <n v="3"/>
    <s v="Below Avg"/>
    <n v="28.316610925306581"/>
  </r>
  <r>
    <n v="54"/>
    <x v="1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s v="Yes"/>
    <n v="11"/>
    <n v="3"/>
    <n v="2"/>
    <n v="80"/>
    <n v="2"/>
    <n v="9"/>
    <s v="6-15"/>
    <n v="4"/>
    <n v="3"/>
    <n v="5"/>
    <n v="3"/>
    <n v="1"/>
    <n v="4"/>
    <s v="Below Avg"/>
    <n v="28.348214285714285"/>
  </r>
  <r>
    <n v="27"/>
    <x v="1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s v="No"/>
    <n v="19"/>
    <n v="3"/>
    <n v="2"/>
    <n v="80"/>
    <n v="1"/>
    <n v="5"/>
    <s v="0-5"/>
    <n v="3"/>
    <n v="3"/>
    <n v="4"/>
    <n v="2"/>
    <n v="1"/>
    <n v="1"/>
    <s v="Below Avg"/>
    <n v="28.379888268156421"/>
  </r>
  <r>
    <n v="37"/>
    <x v="1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s v="Yes"/>
    <n v="13"/>
    <n v="3"/>
    <n v="2"/>
    <n v="80"/>
    <n v="2"/>
    <n v="6"/>
    <s v="6-15"/>
    <n v="3"/>
    <n v="2"/>
    <n v="5"/>
    <n v="3"/>
    <n v="4"/>
    <n v="3"/>
    <s v="Below Avg"/>
    <n v="28.299776286353467"/>
  </r>
  <r>
    <n v="38"/>
    <x v="1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s v="Yes"/>
    <n v="12"/>
    <n v="3"/>
    <n v="4"/>
    <n v="80"/>
    <n v="0"/>
    <n v="17"/>
    <s v="&gt;15"/>
    <n v="2"/>
    <n v="3"/>
    <n v="15"/>
    <n v="7"/>
    <n v="4"/>
    <n v="12"/>
    <s v="Below Avg"/>
    <n v="28.331466965285557"/>
  </r>
  <r>
    <n v="34"/>
    <x v="1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s v="No"/>
    <n v="11"/>
    <n v="3"/>
    <n v="3"/>
    <n v="80"/>
    <n v="0"/>
    <n v="6"/>
    <s v="6-15"/>
    <n v="3"/>
    <n v="3"/>
    <n v="6"/>
    <n v="5"/>
    <n v="1"/>
    <n v="3"/>
    <s v="Below Avg"/>
    <n v="28.251121076233183"/>
  </r>
  <r>
    <n v="35"/>
    <x v="1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s v="No"/>
    <n v="16"/>
    <n v="3"/>
    <n v="2"/>
    <n v="80"/>
    <n v="1"/>
    <n v="3"/>
    <s v="0-5"/>
    <n v="1"/>
    <n v="2"/>
    <n v="3"/>
    <n v="2"/>
    <n v="0"/>
    <n v="2"/>
    <s v="Below Avg"/>
    <n v="28.170594837261504"/>
  </r>
  <r>
    <n v="30"/>
    <x v="1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s v="No"/>
    <n v="21"/>
    <n v="4"/>
    <n v="3"/>
    <n v="80"/>
    <n v="2"/>
    <n v="7"/>
    <s v="6-15"/>
    <n v="2"/>
    <n v="3"/>
    <n v="2"/>
    <n v="2"/>
    <n v="0"/>
    <n v="2"/>
    <s v="Below Avg"/>
    <n v="28.202247191011239"/>
  </r>
  <r>
    <n v="40"/>
    <x v="1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s v="No"/>
    <n v="24"/>
    <n v="4"/>
    <n v="4"/>
    <n v="80"/>
    <n v="1"/>
    <n v="8"/>
    <s v="6-15"/>
    <n v="2"/>
    <n v="3"/>
    <n v="8"/>
    <n v="7"/>
    <n v="3"/>
    <n v="7"/>
    <s v="Below Avg"/>
    <n v="28.23397075365579"/>
  </r>
  <r>
    <n v="34"/>
    <x v="1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s v="No"/>
    <n v="17"/>
    <n v="3"/>
    <n v="2"/>
    <n v="80"/>
    <n v="1"/>
    <n v="6"/>
    <s v="6-15"/>
    <n v="1"/>
    <n v="3"/>
    <n v="3"/>
    <n v="2"/>
    <n v="1"/>
    <n v="2"/>
    <s v="Below Avg"/>
    <n v="28.265765765765767"/>
  </r>
  <r>
    <n v="42"/>
    <x v="1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s v="No"/>
    <n v="13"/>
    <n v="3"/>
    <n v="2"/>
    <n v="80"/>
    <n v="1"/>
    <n v="24"/>
    <s v="&gt;15"/>
    <n v="4"/>
    <n v="2"/>
    <n v="24"/>
    <n v="7"/>
    <n v="14"/>
    <n v="9"/>
    <s v="Ok"/>
    <n v="28.297632468996621"/>
  </r>
  <r>
    <n v="23"/>
    <x v="0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s v="Yes"/>
    <n v="21"/>
    <n v="4"/>
    <n v="3"/>
    <n v="80"/>
    <n v="2"/>
    <n v="1"/>
    <s v="0-5"/>
    <n v="2"/>
    <n v="3"/>
    <n v="0"/>
    <n v="0"/>
    <n v="0"/>
    <n v="0"/>
    <s v="Below Avg"/>
    <n v="28.329571106094807"/>
  </r>
  <r>
    <n v="24"/>
    <x v="1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s v="No"/>
    <n v="11"/>
    <n v="3"/>
    <n v="3"/>
    <n v="80"/>
    <n v="3"/>
    <n v="1"/>
    <s v="0-5"/>
    <n v="4"/>
    <n v="3"/>
    <n v="1"/>
    <n v="0"/>
    <n v="0"/>
    <n v="0"/>
    <s v="Below Avg"/>
    <n v="28.361581920903955"/>
  </r>
  <r>
    <n v="52"/>
    <x v="1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s v="No"/>
    <n v="20"/>
    <n v="4"/>
    <n v="2"/>
    <n v="80"/>
    <n v="1"/>
    <n v="9"/>
    <s v="6-15"/>
    <n v="3"/>
    <n v="3"/>
    <n v="5"/>
    <n v="2"/>
    <n v="1"/>
    <n v="4"/>
    <s v="Below Avg"/>
    <n v="28.280542986425338"/>
  </r>
  <r>
    <n v="50"/>
    <x v="1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s v="No"/>
    <n v="16"/>
    <n v="3"/>
    <n v="4"/>
    <n v="80"/>
    <n v="0"/>
    <n v="30"/>
    <s v="&gt;15"/>
    <n v="3"/>
    <n v="3"/>
    <n v="4"/>
    <n v="3"/>
    <n v="0"/>
    <n v="3"/>
    <s v="Ok"/>
    <n v="28.312570781426956"/>
  </r>
  <r>
    <n v="29"/>
    <x v="0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s v="Yes"/>
    <n v="11"/>
    <n v="3"/>
    <n v="4"/>
    <n v="80"/>
    <n v="1"/>
    <n v="1"/>
    <s v="0-5"/>
    <n v="1"/>
    <n v="3"/>
    <n v="1"/>
    <n v="0"/>
    <n v="0"/>
    <n v="0"/>
    <s v="Below Avg"/>
    <n v="28.344671201814059"/>
  </r>
  <r>
    <n v="33"/>
    <x v="1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s v="No"/>
    <n v="11"/>
    <n v="3"/>
    <n v="4"/>
    <n v="80"/>
    <n v="0"/>
    <n v="14"/>
    <s v="6-15"/>
    <n v="3"/>
    <n v="4"/>
    <n v="13"/>
    <n v="9"/>
    <n v="3"/>
    <n v="7"/>
    <s v="Ok"/>
    <n v="28.376844494892168"/>
  </r>
  <r>
    <n v="33"/>
    <x v="0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s v="No"/>
    <n v="15"/>
    <n v="3"/>
    <n v="3"/>
    <n v="80"/>
    <n v="0"/>
    <n v="6"/>
    <s v="6-15"/>
    <n v="3"/>
    <n v="3"/>
    <n v="3"/>
    <n v="2"/>
    <n v="0"/>
    <n v="2"/>
    <s v="Below Avg"/>
    <n v="28.295454545454547"/>
  </r>
  <r>
    <n v="47"/>
    <x v="1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s v="Yes"/>
    <n v="11"/>
    <n v="3"/>
    <n v="3"/>
    <n v="80"/>
    <n v="1"/>
    <n v="26"/>
    <s v="&gt;15"/>
    <n v="3"/>
    <n v="2"/>
    <n v="26"/>
    <n v="14"/>
    <n v="3"/>
    <n v="0"/>
    <s v="Ok"/>
    <n v="28.327645051194537"/>
  </r>
  <r>
    <n v="36"/>
    <x v="1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s v="No"/>
    <n v="15"/>
    <n v="3"/>
    <n v="1"/>
    <n v="80"/>
    <n v="1"/>
    <n v="10"/>
    <s v="6-15"/>
    <n v="2"/>
    <n v="3"/>
    <n v="9"/>
    <n v="7"/>
    <n v="0"/>
    <n v="5"/>
    <s v="Below Avg"/>
    <n v="28.359908883826879"/>
  </r>
  <r>
    <n v="29"/>
    <x v="1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s v="No"/>
    <n v="24"/>
    <n v="4"/>
    <n v="3"/>
    <n v="80"/>
    <n v="1"/>
    <n v="10"/>
    <s v="6-15"/>
    <n v="3"/>
    <n v="3"/>
    <n v="10"/>
    <n v="7"/>
    <n v="0"/>
    <n v="7"/>
    <s v="Below Avg"/>
    <n v="28.278221208665904"/>
  </r>
  <r>
    <n v="58"/>
    <x v="0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s v="Yes"/>
    <n v="12"/>
    <n v="3"/>
    <n v="4"/>
    <n v="80"/>
    <n v="0"/>
    <n v="40"/>
    <s v="&gt;15"/>
    <n v="2"/>
    <n v="3"/>
    <n v="31"/>
    <n v="15"/>
    <n v="13"/>
    <n v="8"/>
    <s v="Ok"/>
    <n v="28.31050228310502"/>
  </r>
  <r>
    <n v="35"/>
    <x v="1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s v="No"/>
    <n v="13"/>
    <n v="3"/>
    <n v="3"/>
    <n v="80"/>
    <n v="0"/>
    <n v="7"/>
    <s v="6-15"/>
    <n v="0"/>
    <n v="3"/>
    <n v="2"/>
    <n v="2"/>
    <n v="2"/>
    <n v="2"/>
    <s v="Below Avg"/>
    <n v="28.342857142857142"/>
  </r>
  <r>
    <n v="42"/>
    <x v="1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s v="Yes"/>
    <n v="13"/>
    <n v="3"/>
    <n v="4"/>
    <n v="80"/>
    <n v="1"/>
    <n v="8"/>
    <s v="6-15"/>
    <n v="4"/>
    <n v="3"/>
    <n v="4"/>
    <n v="3"/>
    <n v="0"/>
    <n v="2"/>
    <s v="Below Avg"/>
    <n v="28.260869565217391"/>
  </r>
  <r>
    <n v="28"/>
    <x v="0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s v="No"/>
    <n v="17"/>
    <n v="3"/>
    <n v="4"/>
    <n v="80"/>
    <n v="0"/>
    <n v="5"/>
    <s v="0-5"/>
    <n v="3"/>
    <n v="2"/>
    <n v="2"/>
    <n v="2"/>
    <n v="2"/>
    <n v="1"/>
    <s v="Below Avg"/>
    <n v="28.29324169530355"/>
  </r>
  <r>
    <n v="36"/>
    <x v="1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s v="No"/>
    <n v="13"/>
    <n v="3"/>
    <n v="2"/>
    <n v="80"/>
    <n v="1"/>
    <n v="8"/>
    <s v="6-15"/>
    <n v="2"/>
    <n v="3"/>
    <n v="5"/>
    <n v="2"/>
    <n v="0"/>
    <n v="4"/>
    <s v="Below Avg"/>
    <n v="28.211009174311926"/>
  </r>
  <r>
    <n v="32"/>
    <x v="1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s v="No"/>
    <n v="12"/>
    <n v="3"/>
    <n v="3"/>
    <n v="80"/>
    <n v="1"/>
    <n v="14"/>
    <s v="6-15"/>
    <n v="3"/>
    <n v="3"/>
    <n v="14"/>
    <n v="13"/>
    <n v="6"/>
    <n v="8"/>
    <s v="Below Avg"/>
    <n v="28.243398392652125"/>
  </r>
  <r>
    <n v="40"/>
    <x v="1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s v="No"/>
    <n v="14"/>
    <n v="3"/>
    <n v="4"/>
    <n v="80"/>
    <n v="0"/>
    <n v="10"/>
    <s v="6-15"/>
    <n v="6"/>
    <n v="3"/>
    <n v="1"/>
    <n v="0"/>
    <n v="0"/>
    <n v="0"/>
    <s v="Below Avg"/>
    <n v="28.27586206896552"/>
  </r>
  <r>
    <n v="30"/>
    <x v="1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s v="Yes"/>
    <n v="24"/>
    <n v="4"/>
    <n v="2"/>
    <n v="80"/>
    <n v="0"/>
    <n v="12"/>
    <s v="6-15"/>
    <n v="4"/>
    <n v="2"/>
    <n v="0"/>
    <n v="0"/>
    <n v="0"/>
    <n v="0"/>
    <s v="Ok"/>
    <n v="28.308400460299193"/>
  </r>
  <r>
    <n v="45"/>
    <x v="1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s v="No"/>
    <n v="14"/>
    <n v="3"/>
    <n v="4"/>
    <n v="80"/>
    <n v="0"/>
    <n v="1"/>
    <s v="0-5"/>
    <n v="3"/>
    <n v="3"/>
    <n v="1"/>
    <n v="0"/>
    <n v="0"/>
    <n v="0"/>
    <s v="Below Avg"/>
    <n v="28.341013824884794"/>
  </r>
  <r>
    <n v="42"/>
    <x v="1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s v="No"/>
    <n v="13"/>
    <n v="3"/>
    <n v="4"/>
    <n v="80"/>
    <n v="1"/>
    <n v="10"/>
    <s v="6-15"/>
    <n v="3"/>
    <n v="2"/>
    <n v="9"/>
    <n v="8"/>
    <n v="7"/>
    <n v="8"/>
    <s v="Below Avg"/>
    <n v="28.258362168396772"/>
  </r>
  <r>
    <n v="38"/>
    <x v="1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s v="No"/>
    <n v="15"/>
    <n v="3"/>
    <n v="3"/>
    <n v="80"/>
    <n v="1"/>
    <n v="13"/>
    <s v="6-15"/>
    <n v="3"/>
    <n v="2"/>
    <n v="4"/>
    <n v="3"/>
    <n v="1"/>
    <n v="2"/>
    <s v="Ok"/>
    <n v="28.290993071593533"/>
  </r>
  <r>
    <n v="34"/>
    <x v="1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s v="No"/>
    <n v="16"/>
    <n v="3"/>
    <n v="3"/>
    <n v="80"/>
    <n v="0"/>
    <n v="6"/>
    <s v="6-15"/>
    <n v="3"/>
    <n v="3"/>
    <n v="5"/>
    <n v="2"/>
    <n v="1"/>
    <n v="3"/>
    <s v="Below Avg"/>
    <n v="28.323699421965319"/>
  </r>
  <r>
    <n v="49"/>
    <x v="0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s v="No"/>
    <n v="18"/>
    <n v="3"/>
    <n v="1"/>
    <n v="80"/>
    <n v="2"/>
    <n v="9"/>
    <s v="6-15"/>
    <n v="3"/>
    <n v="4"/>
    <n v="9"/>
    <n v="8"/>
    <n v="7"/>
    <n v="7"/>
    <s v="Ok"/>
    <n v="28.356481481481481"/>
  </r>
  <r>
    <n v="55"/>
    <x v="0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s v="No"/>
    <n v="16"/>
    <n v="3"/>
    <n v="3"/>
    <n v="80"/>
    <n v="0"/>
    <n v="12"/>
    <s v="6-15"/>
    <n v="3"/>
    <n v="2"/>
    <n v="9"/>
    <n v="7"/>
    <n v="7"/>
    <n v="3"/>
    <s v="Below Avg"/>
    <n v="28.389339513325606"/>
  </r>
  <r>
    <n v="43"/>
    <x v="1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s v="No"/>
    <n v="24"/>
    <n v="4"/>
    <n v="3"/>
    <n v="80"/>
    <n v="1"/>
    <n v="22"/>
    <s v="&gt;15"/>
    <n v="3"/>
    <n v="3"/>
    <n v="4"/>
    <n v="1"/>
    <n v="1"/>
    <n v="0"/>
    <s v="Ok"/>
    <n v="28.42227378190255"/>
  </r>
  <r>
    <n v="27"/>
    <x v="1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s v="Yes"/>
    <n v="16"/>
    <n v="3"/>
    <n v="2"/>
    <n v="80"/>
    <n v="1"/>
    <n v="9"/>
    <s v="6-15"/>
    <n v="3"/>
    <n v="3"/>
    <n v="9"/>
    <n v="8"/>
    <n v="0"/>
    <n v="8"/>
    <s v="Ok"/>
    <n v="28.455284552845526"/>
  </r>
  <r>
    <n v="35"/>
    <x v="1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s v="No"/>
    <n v="21"/>
    <n v="4"/>
    <n v="2"/>
    <n v="80"/>
    <n v="0"/>
    <n v="17"/>
    <s v="&gt;15"/>
    <n v="3"/>
    <n v="4"/>
    <n v="8"/>
    <n v="5"/>
    <n v="1"/>
    <n v="6"/>
    <s v="Ok"/>
    <n v="28.488372093023255"/>
  </r>
  <r>
    <n v="28"/>
    <x v="1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s v="Yes"/>
    <n v="20"/>
    <n v="4"/>
    <n v="1"/>
    <n v="80"/>
    <n v="0"/>
    <n v="8"/>
    <s v="6-15"/>
    <n v="2"/>
    <n v="3"/>
    <n v="8"/>
    <n v="7"/>
    <n v="7"/>
    <n v="5"/>
    <s v="Below Avg"/>
    <n v="28.405122235157158"/>
  </r>
  <r>
    <n v="34"/>
    <x v="1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s v="No"/>
    <n v="19"/>
    <n v="3"/>
    <n v="3"/>
    <n v="80"/>
    <n v="1"/>
    <n v="4"/>
    <s v="0-5"/>
    <n v="1"/>
    <n v="1"/>
    <n v="3"/>
    <n v="2"/>
    <n v="0"/>
    <n v="2"/>
    <s v="Below Avg"/>
    <n v="28.438228438228435"/>
  </r>
  <r>
    <n v="26"/>
    <x v="0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s v="Yes"/>
    <n v="14"/>
    <n v="3"/>
    <n v="1"/>
    <n v="80"/>
    <n v="1"/>
    <n v="8"/>
    <s v="6-15"/>
    <n v="2"/>
    <n v="3"/>
    <n v="8"/>
    <n v="7"/>
    <n v="1"/>
    <n v="7"/>
    <s v="Below Avg"/>
    <n v="28.354725787631274"/>
  </r>
  <r>
    <n v="27"/>
    <x v="1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s v="No"/>
    <n v="11"/>
    <n v="3"/>
    <n v="3"/>
    <n v="80"/>
    <n v="3"/>
    <n v="0"/>
    <s v="0-5"/>
    <n v="6"/>
    <n v="2"/>
    <n v="0"/>
    <n v="0"/>
    <n v="0"/>
    <n v="0"/>
    <s v="Below Avg"/>
    <n v="28.38785046728972"/>
  </r>
  <r>
    <n v="51"/>
    <x v="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s v="No"/>
    <n v="14"/>
    <n v="3"/>
    <n v="3"/>
    <n v="80"/>
    <n v="1"/>
    <n v="29"/>
    <s v="&gt;15"/>
    <n v="2"/>
    <n v="2"/>
    <n v="20"/>
    <n v="6"/>
    <n v="4"/>
    <n v="17"/>
    <s v="Ok"/>
    <n v="28.30409356725146"/>
  </r>
  <r>
    <n v="44"/>
    <x v="1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s v="No"/>
    <n v="12"/>
    <n v="3"/>
    <n v="4"/>
    <n v="80"/>
    <n v="0"/>
    <n v="10"/>
    <s v="6-15"/>
    <n v="2"/>
    <n v="2"/>
    <n v="5"/>
    <n v="2"/>
    <n v="2"/>
    <n v="3"/>
    <s v="Below Avg"/>
    <n v="28.337236533957842"/>
  </r>
  <r>
    <n v="25"/>
    <x v="1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s v="No"/>
    <n v="13"/>
    <n v="3"/>
    <n v="3"/>
    <n v="80"/>
    <n v="0"/>
    <n v="6"/>
    <s v="6-15"/>
    <n v="3"/>
    <n v="2"/>
    <n v="4"/>
    <n v="3"/>
    <n v="0"/>
    <n v="1"/>
    <s v="Below Avg"/>
    <n v="28.370457209847601"/>
  </r>
  <r>
    <n v="33"/>
    <x v="1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s v="No"/>
    <n v="22"/>
    <n v="4"/>
    <n v="1"/>
    <n v="80"/>
    <n v="1"/>
    <n v="9"/>
    <s v="6-15"/>
    <n v="5"/>
    <n v="3"/>
    <n v="9"/>
    <n v="8"/>
    <n v="0"/>
    <n v="8"/>
    <s v="Below Avg"/>
    <n v="28.4037558685446"/>
  </r>
  <r>
    <n v="35"/>
    <x v="1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s v="No"/>
    <n v="11"/>
    <n v="3"/>
    <n v="4"/>
    <n v="80"/>
    <n v="0"/>
    <n v="6"/>
    <s v="6-15"/>
    <n v="3"/>
    <n v="2"/>
    <n v="6"/>
    <n v="5"/>
    <n v="1"/>
    <n v="1"/>
    <s v="Below Avg"/>
    <n v="28.437132784958873"/>
  </r>
  <r>
    <n v="36"/>
    <x v="1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s v="Yes"/>
    <n v="14"/>
    <n v="3"/>
    <n v="4"/>
    <n v="80"/>
    <n v="1"/>
    <n v="18"/>
    <s v="&gt;15"/>
    <n v="1"/>
    <n v="2"/>
    <n v="18"/>
    <n v="14"/>
    <n v="4"/>
    <n v="11"/>
    <s v="Below Avg"/>
    <n v="28.47058823529412"/>
  </r>
  <r>
    <n v="32"/>
    <x v="1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s v="No"/>
    <n v="11"/>
    <n v="3"/>
    <n v="3"/>
    <n v="80"/>
    <n v="1"/>
    <n v="8"/>
    <s v="6-15"/>
    <n v="3"/>
    <n v="2"/>
    <n v="5"/>
    <n v="2"/>
    <n v="0"/>
    <n v="3"/>
    <s v="Below Avg"/>
    <n v="28.504122497055363"/>
  </r>
  <r>
    <n v="30"/>
    <x v="1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s v="No"/>
    <n v="12"/>
    <n v="3"/>
    <n v="2"/>
    <n v="80"/>
    <n v="1"/>
    <n v="10"/>
    <s v="6-15"/>
    <n v="3"/>
    <n v="2"/>
    <n v="5"/>
    <n v="4"/>
    <n v="0"/>
    <n v="3"/>
    <s v="Below Avg"/>
    <n v="28.419811320754718"/>
  </r>
  <r>
    <n v="53"/>
    <x v="1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s v="Yes"/>
    <n v="18"/>
    <n v="3"/>
    <n v="4"/>
    <n v="80"/>
    <n v="1"/>
    <n v="35"/>
    <s v="&gt;15"/>
    <n v="3"/>
    <n v="3"/>
    <n v="5"/>
    <n v="2"/>
    <n v="0"/>
    <n v="4"/>
    <s v="Ok"/>
    <n v="28.45336481700118"/>
  </r>
  <r>
    <n v="45"/>
    <x v="1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s v="Yes"/>
    <n v="12"/>
    <n v="3"/>
    <n v="3"/>
    <n v="80"/>
    <n v="1"/>
    <n v="18"/>
    <s v="&gt;15"/>
    <n v="2"/>
    <n v="3"/>
    <n v="5"/>
    <n v="4"/>
    <n v="0"/>
    <n v="2"/>
    <s v="Ok"/>
    <n v="28.486997635933808"/>
  </r>
  <r>
    <n v="32"/>
    <x v="1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s v="No"/>
    <n v="12"/>
    <n v="3"/>
    <n v="3"/>
    <n v="80"/>
    <n v="1"/>
    <n v="9"/>
    <s v="6-15"/>
    <n v="3"/>
    <n v="2"/>
    <n v="5"/>
    <n v="3"/>
    <n v="1"/>
    <n v="3"/>
    <s v="Below Avg"/>
    <n v="28.402366863905325"/>
  </r>
  <r>
    <n v="52"/>
    <x v="1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s v="No"/>
    <n v="22"/>
    <n v="4"/>
    <n v="3"/>
    <n v="80"/>
    <n v="0"/>
    <n v="31"/>
    <s v="&gt;15"/>
    <n v="3"/>
    <n v="3"/>
    <n v="9"/>
    <n v="8"/>
    <n v="0"/>
    <n v="0"/>
    <s v="Ok"/>
    <n v="28.317535545023699"/>
  </r>
  <r>
    <n v="37"/>
    <x v="1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s v="No"/>
    <n v="19"/>
    <n v="3"/>
    <n v="4"/>
    <n v="80"/>
    <n v="2"/>
    <n v="9"/>
    <s v="6-15"/>
    <n v="2"/>
    <n v="3"/>
    <n v="1"/>
    <n v="0"/>
    <n v="0"/>
    <n v="0"/>
    <s v="Below Avg"/>
    <n v="28.351126927639381"/>
  </r>
  <r>
    <n v="28"/>
    <x v="1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s v="No"/>
    <n v="13"/>
    <n v="3"/>
    <n v="4"/>
    <n v="80"/>
    <n v="1"/>
    <n v="6"/>
    <s v="6-15"/>
    <n v="6"/>
    <n v="3"/>
    <n v="5"/>
    <n v="1"/>
    <n v="0"/>
    <n v="4"/>
    <s v="Below Avg"/>
    <n v="28.38479809976247"/>
  </r>
  <r>
    <n v="22"/>
    <x v="1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s v="No"/>
    <n v="22"/>
    <n v="4"/>
    <n v="1"/>
    <n v="80"/>
    <n v="2"/>
    <n v="4"/>
    <s v="0-5"/>
    <n v="2"/>
    <n v="1"/>
    <n v="2"/>
    <n v="2"/>
    <n v="2"/>
    <n v="2"/>
    <s v="Below Avg"/>
    <n v="28.418549346016647"/>
  </r>
  <r>
    <n v="44"/>
    <x v="1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s v="Yes"/>
    <n v="24"/>
    <n v="4"/>
    <n v="3"/>
    <n v="80"/>
    <n v="1"/>
    <n v="10"/>
    <s v="6-15"/>
    <n v="2"/>
    <n v="2"/>
    <n v="3"/>
    <n v="2"/>
    <n v="0"/>
    <n v="2"/>
    <s v="Below Avg"/>
    <n v="28.452380952380953"/>
  </r>
  <r>
    <n v="42"/>
    <x v="1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s v="Yes"/>
    <n v="14"/>
    <n v="3"/>
    <n v="4"/>
    <n v="80"/>
    <n v="0"/>
    <n v="8"/>
    <s v="6-15"/>
    <n v="2"/>
    <n v="3"/>
    <n v="2"/>
    <n v="1"/>
    <n v="2"/>
    <n v="2"/>
    <s v="Below Avg"/>
    <n v="28.486293206197853"/>
  </r>
  <r>
    <n v="36"/>
    <x v="1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s v="No"/>
    <n v="21"/>
    <n v="4"/>
    <n v="3"/>
    <n v="80"/>
    <n v="0"/>
    <n v="6"/>
    <s v="6-15"/>
    <n v="3"/>
    <n v="3"/>
    <n v="5"/>
    <n v="4"/>
    <n v="0"/>
    <n v="3"/>
    <s v="Below Avg"/>
    <n v="28.400954653937948"/>
  </r>
  <r>
    <n v="25"/>
    <x v="1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s v="Yes"/>
    <n v="18"/>
    <n v="3"/>
    <n v="4"/>
    <n v="80"/>
    <n v="0"/>
    <n v="5"/>
    <s v="0-5"/>
    <n v="3"/>
    <n v="3"/>
    <n v="5"/>
    <n v="3"/>
    <n v="0"/>
    <n v="3"/>
    <s v="Below Avg"/>
    <n v="28.31541218637993"/>
  </r>
  <r>
    <n v="35"/>
    <x v="1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s v="Yes"/>
    <n v="20"/>
    <n v="4"/>
    <n v="2"/>
    <n v="80"/>
    <n v="1"/>
    <n v="17"/>
    <s v="&gt;15"/>
    <n v="2"/>
    <n v="3"/>
    <n v="17"/>
    <n v="14"/>
    <n v="5"/>
    <n v="15"/>
    <s v="Ok"/>
    <n v="28.349282296650717"/>
  </r>
  <r>
    <n v="35"/>
    <x v="0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s v="Yes"/>
    <n v="19"/>
    <n v="3"/>
    <n v="1"/>
    <n v="80"/>
    <n v="1"/>
    <n v="10"/>
    <s v="6-15"/>
    <n v="3"/>
    <n v="2"/>
    <n v="10"/>
    <n v="2"/>
    <n v="7"/>
    <n v="8"/>
    <s v="Below Avg"/>
    <n v="28.263473053892213"/>
  </r>
  <r>
    <n v="32"/>
    <x v="1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s v="No"/>
    <n v="12"/>
    <n v="3"/>
    <n v="2"/>
    <n v="80"/>
    <n v="1"/>
    <n v="4"/>
    <s v="0-5"/>
    <n v="2"/>
    <n v="3"/>
    <n v="3"/>
    <n v="0"/>
    <n v="0"/>
    <n v="2"/>
    <s v="Below Avg"/>
    <n v="28.177458033573146"/>
  </r>
  <r>
    <n v="25"/>
    <x v="1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s v="No"/>
    <n v="12"/>
    <n v="3"/>
    <n v="1"/>
    <n v="80"/>
    <n v="0"/>
    <n v="5"/>
    <s v="0-5"/>
    <n v="1"/>
    <n v="4"/>
    <n v="5"/>
    <n v="2"/>
    <n v="0"/>
    <n v="3"/>
    <s v="Below Avg"/>
    <n v="28.091236494597837"/>
  </r>
  <r>
    <n v="49"/>
    <x v="1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s v="No"/>
    <n v="16"/>
    <n v="3"/>
    <n v="2"/>
    <n v="80"/>
    <n v="1"/>
    <n v="7"/>
    <s v="6-15"/>
    <n v="2"/>
    <n v="3"/>
    <n v="4"/>
    <n v="2"/>
    <n v="0"/>
    <n v="2"/>
    <s v="Below Avg"/>
    <n v="28.125"/>
  </r>
  <r>
    <n v="24"/>
    <x v="1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s v="No"/>
    <n v="17"/>
    <n v="3"/>
    <n v="4"/>
    <n v="80"/>
    <n v="0"/>
    <n v="6"/>
    <s v="6-15"/>
    <n v="2"/>
    <n v="2"/>
    <n v="5"/>
    <n v="2"/>
    <n v="3"/>
    <n v="4"/>
    <s v="Below Avg"/>
    <n v="28.158844765342963"/>
  </r>
  <r>
    <n v="32"/>
    <x v="1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s v="No"/>
    <n v="14"/>
    <n v="3"/>
    <n v="4"/>
    <n v="80"/>
    <n v="1"/>
    <n v="10"/>
    <s v="6-15"/>
    <n v="3"/>
    <n v="3"/>
    <n v="10"/>
    <n v="8"/>
    <n v="5"/>
    <n v="3"/>
    <s v="Below Avg"/>
    <n v="28.192771084337348"/>
  </r>
  <r>
    <n v="38"/>
    <x v="1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s v="No"/>
    <n v="19"/>
    <n v="3"/>
    <n v="4"/>
    <n v="80"/>
    <n v="1"/>
    <n v="3"/>
    <s v="0-5"/>
    <n v="3"/>
    <n v="3"/>
    <n v="2"/>
    <n v="2"/>
    <n v="1"/>
    <n v="2"/>
    <s v="Below Avg"/>
    <n v="28.22677925211098"/>
  </r>
  <r>
    <n v="42"/>
    <x v="1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s v="Yes"/>
    <n v="13"/>
    <n v="3"/>
    <n v="2"/>
    <n v="80"/>
    <n v="1"/>
    <n v="17"/>
    <s v="&gt;15"/>
    <n v="1"/>
    <n v="2"/>
    <n v="5"/>
    <n v="3"/>
    <n v="1"/>
    <n v="3"/>
    <s v="Below Avg"/>
    <n v="28.260869565217391"/>
  </r>
  <r>
    <n v="31"/>
    <x v="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s v="Yes"/>
    <n v="19"/>
    <n v="3"/>
    <n v="2"/>
    <n v="80"/>
    <n v="1"/>
    <n v="8"/>
    <s v="6-15"/>
    <n v="2"/>
    <n v="3"/>
    <n v="6"/>
    <n v="4"/>
    <n v="0"/>
    <n v="2"/>
    <s v="Below Avg"/>
    <n v="28.295042321644498"/>
  </r>
  <r>
    <n v="29"/>
    <x v="0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s v="Yes"/>
    <n v="19"/>
    <n v="3"/>
    <n v="3"/>
    <n v="80"/>
    <n v="3"/>
    <n v="5"/>
    <s v="0-5"/>
    <n v="3"/>
    <n v="3"/>
    <n v="3"/>
    <n v="2"/>
    <n v="0"/>
    <n v="2"/>
    <s v="Below Avg"/>
    <n v="28.208232445520583"/>
  </r>
  <r>
    <n v="53"/>
    <x v="1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s v="No"/>
    <n v="14"/>
    <n v="3"/>
    <n v="3"/>
    <n v="80"/>
    <n v="1"/>
    <n v="28"/>
    <s v="&gt;15"/>
    <n v="3"/>
    <n v="3"/>
    <n v="2"/>
    <n v="0"/>
    <n v="2"/>
    <n v="2"/>
    <s v="Ok"/>
    <n v="28.121212121212118"/>
  </r>
  <r>
    <n v="35"/>
    <x v="1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s v="No"/>
    <n v="16"/>
    <n v="3"/>
    <n v="1"/>
    <n v="80"/>
    <n v="0"/>
    <n v="16"/>
    <s v="&gt;15"/>
    <n v="2"/>
    <n v="3"/>
    <n v="13"/>
    <n v="10"/>
    <n v="4"/>
    <n v="8"/>
    <s v="Ok"/>
    <n v="28.033980582524272"/>
  </r>
  <r>
    <n v="37"/>
    <x v="1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s v="No"/>
    <n v="15"/>
    <n v="3"/>
    <n v="2"/>
    <n v="80"/>
    <n v="1"/>
    <n v="10"/>
    <s v="6-15"/>
    <n v="3"/>
    <n v="3"/>
    <n v="5"/>
    <n v="4"/>
    <n v="0"/>
    <n v="0"/>
    <s v="Below Avg"/>
    <n v="28.068043742405834"/>
  </r>
  <r>
    <n v="53"/>
    <x v="1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s v="No"/>
    <n v="18"/>
    <n v="3"/>
    <n v="3"/>
    <n v="80"/>
    <n v="0"/>
    <n v="33"/>
    <s v="&gt;15"/>
    <n v="0"/>
    <n v="3"/>
    <n v="12"/>
    <n v="9"/>
    <n v="3"/>
    <n v="8"/>
    <s v="Ok"/>
    <n v="28.102189781021895"/>
  </r>
  <r>
    <n v="43"/>
    <x v="1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s v="No"/>
    <n v="13"/>
    <n v="3"/>
    <n v="2"/>
    <n v="80"/>
    <n v="1"/>
    <n v="12"/>
    <s v="6-15"/>
    <n v="2"/>
    <n v="2"/>
    <n v="5"/>
    <n v="2"/>
    <n v="2"/>
    <n v="2"/>
    <s v="Below Avg"/>
    <n v="28.136419001218027"/>
  </r>
  <r>
    <n v="47"/>
    <x v="1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s v="Yes"/>
    <n v="22"/>
    <n v="4"/>
    <n v="1"/>
    <n v="80"/>
    <n v="1"/>
    <n v="8"/>
    <s v="6-15"/>
    <n v="2"/>
    <n v="3"/>
    <n v="7"/>
    <n v="6"/>
    <n v="7"/>
    <n v="7"/>
    <s v="Below Avg"/>
    <n v="28.170731707317071"/>
  </r>
  <r>
    <n v="37"/>
    <x v="1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s v="Yes"/>
    <n v="13"/>
    <n v="3"/>
    <n v="4"/>
    <n v="80"/>
    <n v="0"/>
    <n v="10"/>
    <s v="6-15"/>
    <n v="2"/>
    <n v="3"/>
    <n v="10"/>
    <n v="0"/>
    <n v="0"/>
    <n v="9"/>
    <s v="Ok"/>
    <n v="28.205128205128204"/>
  </r>
  <r>
    <n v="50"/>
    <x v="1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s v="No"/>
    <n v="11"/>
    <n v="3"/>
    <n v="4"/>
    <n v="80"/>
    <n v="1"/>
    <n v="31"/>
    <s v="&gt;15"/>
    <n v="3"/>
    <n v="3"/>
    <n v="31"/>
    <n v="6"/>
    <n v="14"/>
    <n v="7"/>
    <s v="Ok"/>
    <n v="28.117359413202937"/>
  </r>
  <r>
    <n v="39"/>
    <x v="1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s v="No"/>
    <n v="11"/>
    <n v="3"/>
    <n v="3"/>
    <n v="80"/>
    <n v="2"/>
    <n v="13"/>
    <s v="6-15"/>
    <n v="2"/>
    <n v="3"/>
    <n v="5"/>
    <n v="4"/>
    <n v="0"/>
    <n v="4"/>
    <s v="Below Avg"/>
    <n v="28.02937576499388"/>
  </r>
  <r>
    <n v="33"/>
    <x v="1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s v="Yes"/>
    <n v="11"/>
    <n v="3"/>
    <n v="3"/>
    <n v="80"/>
    <n v="1"/>
    <n v="7"/>
    <s v="6-15"/>
    <n v="4"/>
    <n v="4"/>
    <n v="4"/>
    <n v="3"/>
    <n v="0"/>
    <n v="3"/>
    <s v="Below Avg"/>
    <n v="28.063725490196077"/>
  </r>
  <r>
    <n v="32"/>
    <x v="0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s v="Yes"/>
    <n v="24"/>
    <n v="4"/>
    <n v="3"/>
    <n v="80"/>
    <n v="0"/>
    <n v="1"/>
    <s v="0-5"/>
    <n v="2"/>
    <n v="1"/>
    <n v="1"/>
    <n v="0"/>
    <n v="0"/>
    <n v="1"/>
    <s v="Below Avg"/>
    <n v="28.098159509202453"/>
  </r>
  <r>
    <n v="29"/>
    <x v="1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s v="No"/>
    <n v="14"/>
    <n v="3"/>
    <n v="3"/>
    <n v="80"/>
    <n v="3"/>
    <n v="8"/>
    <s v="6-15"/>
    <n v="5"/>
    <n v="3"/>
    <n v="4"/>
    <n v="3"/>
    <n v="0"/>
    <n v="3"/>
    <s v="Below Avg"/>
    <n v="28.009828009828009"/>
  </r>
  <r>
    <n v="44"/>
    <x v="1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s v="Yes"/>
    <n v="13"/>
    <n v="3"/>
    <n v="4"/>
    <n v="80"/>
    <n v="0"/>
    <n v="8"/>
    <s v="6-15"/>
    <n v="0"/>
    <n v="3"/>
    <n v="8"/>
    <n v="7"/>
    <n v="7"/>
    <n v="1"/>
    <s v="Below Avg"/>
    <n v="27.921279212792129"/>
  </r>
  <r>
    <n v="28"/>
    <x v="1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s v="No"/>
    <n v="14"/>
    <n v="3"/>
    <n v="2"/>
    <n v="80"/>
    <n v="0"/>
    <n v="4"/>
    <s v="0-5"/>
    <n v="3"/>
    <n v="3"/>
    <n v="4"/>
    <n v="2"/>
    <n v="0"/>
    <n v="2"/>
    <s v="Below Avg"/>
    <n v="27.955665024630544"/>
  </r>
  <r>
    <n v="58"/>
    <x v="0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s v="Yes"/>
    <n v="14"/>
    <n v="3"/>
    <n v="4"/>
    <n v="80"/>
    <n v="1"/>
    <n v="3"/>
    <s v="0-5"/>
    <n v="3"/>
    <n v="2"/>
    <n v="1"/>
    <n v="0"/>
    <n v="0"/>
    <n v="0"/>
    <s v="Below Avg"/>
    <n v="27.866831072749694"/>
  </r>
  <r>
    <n v="43"/>
    <x v="1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s v="No"/>
    <n v="21"/>
    <n v="4"/>
    <n v="3"/>
    <n v="80"/>
    <n v="1"/>
    <n v="4"/>
    <s v="0-5"/>
    <n v="2"/>
    <n v="4"/>
    <n v="1"/>
    <n v="0"/>
    <n v="0"/>
    <n v="0"/>
    <s v="Below Avg"/>
    <n v="27.901234567901234"/>
  </r>
  <r>
    <n v="20"/>
    <x v="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s v="No"/>
    <n v="13"/>
    <n v="3"/>
    <n v="4"/>
    <n v="80"/>
    <n v="0"/>
    <n v="2"/>
    <s v="0-5"/>
    <n v="3"/>
    <n v="2"/>
    <n v="2"/>
    <n v="2"/>
    <n v="0"/>
    <n v="2"/>
    <s v="Below Avg"/>
    <n v="27.812113720642767"/>
  </r>
  <r>
    <n v="21"/>
    <x v="0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s v="No"/>
    <n v="19"/>
    <n v="3"/>
    <n v="1"/>
    <n v="80"/>
    <n v="0"/>
    <n v="1"/>
    <s v="0-5"/>
    <n v="3"/>
    <n v="2"/>
    <n v="1"/>
    <n v="0"/>
    <n v="0"/>
    <n v="0"/>
    <s v="Below Avg"/>
    <n v="27.846534653465348"/>
  </r>
  <r>
    <n v="36"/>
    <x v="1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s v="Yes"/>
    <n v="17"/>
    <n v="3"/>
    <n v="1"/>
    <n v="80"/>
    <n v="1"/>
    <n v="17"/>
    <s v="&gt;15"/>
    <n v="2"/>
    <n v="2"/>
    <n v="16"/>
    <n v="8"/>
    <n v="4"/>
    <n v="11"/>
    <s v="Ok"/>
    <n v="27.881040892193308"/>
  </r>
  <r>
    <n v="47"/>
    <x v="1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s v="Yes"/>
    <n v="18"/>
    <n v="3"/>
    <n v="1"/>
    <n v="80"/>
    <n v="0"/>
    <n v="3"/>
    <s v="0-5"/>
    <n v="3"/>
    <n v="2"/>
    <n v="3"/>
    <n v="2"/>
    <n v="1"/>
    <n v="2"/>
    <s v="Below Avg"/>
    <n v="27.915632754342433"/>
  </r>
  <r>
    <n v="22"/>
    <x v="0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s v="Yes"/>
    <n v="19"/>
    <n v="3"/>
    <n v="1"/>
    <n v="80"/>
    <n v="1"/>
    <n v="4"/>
    <s v="0-5"/>
    <n v="3"/>
    <n v="4"/>
    <n v="3"/>
    <n v="2"/>
    <n v="0"/>
    <n v="2"/>
    <s v="Below Avg"/>
    <n v="27.826086956521738"/>
  </r>
  <r>
    <n v="41"/>
    <x v="0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s v="Yes"/>
    <n v="13"/>
    <n v="3"/>
    <n v="3"/>
    <n v="80"/>
    <n v="1"/>
    <n v="10"/>
    <s v="6-15"/>
    <n v="1"/>
    <n v="2"/>
    <n v="7"/>
    <n v="7"/>
    <n v="1"/>
    <n v="0"/>
    <s v="Below Avg"/>
    <n v="27.736318407960198"/>
  </r>
  <r>
    <n v="28"/>
    <x v="1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s v="No"/>
    <n v="18"/>
    <n v="3"/>
    <n v="2"/>
    <n v="80"/>
    <n v="1"/>
    <n v="6"/>
    <s v="6-15"/>
    <n v="2"/>
    <n v="3"/>
    <n v="2"/>
    <n v="2"/>
    <n v="2"/>
    <n v="2"/>
    <s v="Below Avg"/>
    <n v="27.646326276463263"/>
  </r>
  <r>
    <n v="39"/>
    <x v="0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s v="Yes"/>
    <n v="21"/>
    <n v="4"/>
    <n v="4"/>
    <n v="80"/>
    <n v="0"/>
    <n v="8"/>
    <s v="6-15"/>
    <n v="2"/>
    <n v="1"/>
    <n v="2"/>
    <n v="2"/>
    <n v="2"/>
    <n v="2"/>
    <s v="Below Avg"/>
    <n v="27.556109725685786"/>
  </r>
  <r>
    <n v="27"/>
    <x v="1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s v="No"/>
    <n v="19"/>
    <n v="3"/>
    <n v="3"/>
    <n v="80"/>
    <n v="0"/>
    <n v="1"/>
    <s v="0-5"/>
    <n v="2"/>
    <n v="3"/>
    <n v="1"/>
    <n v="1"/>
    <n v="0"/>
    <n v="0"/>
    <s v="Below Avg"/>
    <n v="27.590511860174782"/>
  </r>
  <r>
    <n v="34"/>
    <x v="1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s v="No"/>
    <n v="14"/>
    <n v="3"/>
    <n v="2"/>
    <n v="80"/>
    <n v="2"/>
    <n v="1"/>
    <s v="0-5"/>
    <n v="3"/>
    <n v="3"/>
    <n v="1"/>
    <n v="0"/>
    <n v="1"/>
    <n v="0"/>
    <s v="Below Avg"/>
    <n v="27.500000000000004"/>
  </r>
  <r>
    <n v="42"/>
    <x v="1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s v="No"/>
    <n v="17"/>
    <n v="3"/>
    <n v="1"/>
    <n v="80"/>
    <n v="0"/>
    <n v="10"/>
    <s v="6-15"/>
    <n v="6"/>
    <n v="3"/>
    <n v="5"/>
    <n v="4"/>
    <n v="0"/>
    <n v="3"/>
    <s v="Below Avg"/>
    <n v="27.534418022528161"/>
  </r>
  <r>
    <n v="33"/>
    <x v="1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s v="Yes"/>
    <n v="11"/>
    <n v="3"/>
    <n v="2"/>
    <n v="80"/>
    <n v="0"/>
    <n v="6"/>
    <s v="6-15"/>
    <n v="1"/>
    <n v="3"/>
    <n v="3"/>
    <n v="2"/>
    <n v="0"/>
    <n v="2"/>
    <s v="Below Avg"/>
    <n v="27.56892230576441"/>
  </r>
  <r>
    <n v="58"/>
    <x v="1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s v="Yes"/>
    <n v="13"/>
    <n v="3"/>
    <n v="4"/>
    <n v="80"/>
    <n v="1"/>
    <n v="24"/>
    <s v="&gt;15"/>
    <n v="3"/>
    <n v="3"/>
    <n v="6"/>
    <n v="0"/>
    <n v="0"/>
    <n v="4"/>
    <s v="Ok"/>
    <n v="27.603513174404014"/>
  </r>
  <r>
    <n v="31"/>
    <x v="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s v="No"/>
    <n v="15"/>
    <n v="3"/>
    <n v="2"/>
    <n v="80"/>
    <n v="0"/>
    <n v="13"/>
    <s v="6-15"/>
    <n v="2"/>
    <n v="4"/>
    <n v="7"/>
    <n v="7"/>
    <n v="5"/>
    <n v="2"/>
    <s v="Below Avg"/>
    <n v="27.51256281407035"/>
  </r>
  <r>
    <n v="35"/>
    <x v="1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s v="Yes"/>
    <n v="25"/>
    <n v="4"/>
    <n v="4"/>
    <n v="80"/>
    <n v="1"/>
    <n v="10"/>
    <s v="6-15"/>
    <n v="2"/>
    <n v="1"/>
    <n v="10"/>
    <n v="6"/>
    <n v="0"/>
    <n v="7"/>
    <s v="Below Avg"/>
    <n v="27.421383647798741"/>
  </r>
  <r>
    <n v="49"/>
    <x v="1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s v="No"/>
    <n v="11"/>
    <n v="3"/>
    <n v="3"/>
    <n v="80"/>
    <n v="1"/>
    <n v="29"/>
    <s v="&gt;15"/>
    <n v="3"/>
    <n v="2"/>
    <n v="26"/>
    <n v="9"/>
    <n v="1"/>
    <n v="7"/>
    <s v="Ok"/>
    <n v="27.455919395465994"/>
  </r>
  <r>
    <n v="48"/>
    <x v="1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s v="No"/>
    <n v="17"/>
    <n v="3"/>
    <n v="1"/>
    <n v="80"/>
    <n v="2"/>
    <n v="13"/>
    <s v="6-15"/>
    <n v="2"/>
    <n v="2"/>
    <n v="0"/>
    <n v="0"/>
    <n v="0"/>
    <n v="0"/>
    <s v="Below Avg"/>
    <n v="27.364438839848678"/>
  </r>
  <r>
    <n v="31"/>
    <x v="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s v="No"/>
    <n v="13"/>
    <n v="3"/>
    <n v="4"/>
    <n v="80"/>
    <n v="1"/>
    <n v="9"/>
    <s v="6-15"/>
    <n v="2"/>
    <n v="2"/>
    <n v="9"/>
    <n v="8"/>
    <n v="0"/>
    <n v="0"/>
    <s v="Below Avg"/>
    <n v="27.3989898989899"/>
  </r>
  <r>
    <n v="36"/>
    <x v="1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s v="No"/>
    <n v="18"/>
    <n v="3"/>
    <n v="3"/>
    <n v="80"/>
    <n v="0"/>
    <n v="8"/>
    <s v="6-15"/>
    <n v="6"/>
    <n v="3"/>
    <n v="6"/>
    <n v="2"/>
    <n v="0"/>
    <n v="1"/>
    <s v="Below Avg"/>
    <n v="27.43362831858407"/>
  </r>
  <r>
    <n v="38"/>
    <x v="1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s v="No"/>
    <n v="13"/>
    <n v="3"/>
    <n v="2"/>
    <n v="80"/>
    <n v="1"/>
    <n v="15"/>
    <s v="6-15"/>
    <n v="3"/>
    <n v="3"/>
    <n v="15"/>
    <n v="12"/>
    <n v="5"/>
    <n v="11"/>
    <s v="Ok"/>
    <n v="27.468354430379748"/>
  </r>
  <r>
    <n v="32"/>
    <x v="1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s v="No"/>
    <n v="20"/>
    <n v="4"/>
    <n v="3"/>
    <n v="80"/>
    <n v="0"/>
    <n v="5"/>
    <s v="0-5"/>
    <n v="3"/>
    <n v="3"/>
    <n v="3"/>
    <n v="0"/>
    <n v="0"/>
    <n v="2"/>
    <s v="Below Avg"/>
    <n v="27.50316856780735"/>
  </r>
  <r>
    <n v="25"/>
    <x v="0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s v="Yes"/>
    <n v="18"/>
    <n v="3"/>
    <n v="3"/>
    <n v="80"/>
    <n v="3"/>
    <n v="1"/>
    <s v="0-5"/>
    <n v="2"/>
    <n v="3"/>
    <n v="1"/>
    <n v="0"/>
    <n v="0"/>
    <n v="0"/>
    <s v="Below Avg"/>
    <n v="27.53807106598985"/>
  </r>
  <r>
    <n v="40"/>
    <x v="1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s v="No"/>
    <n v="12"/>
    <n v="3"/>
    <n v="2"/>
    <n v="80"/>
    <n v="1"/>
    <n v="11"/>
    <s v="6-15"/>
    <n v="2"/>
    <n v="2"/>
    <n v="1"/>
    <n v="0"/>
    <n v="0"/>
    <n v="0"/>
    <s v="Ok"/>
    <n v="27.573062261753496"/>
  </r>
  <r>
    <n v="26"/>
    <x v="1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s v="No"/>
    <n v="12"/>
    <n v="3"/>
    <n v="2"/>
    <n v="80"/>
    <n v="0"/>
    <n v="7"/>
    <s v="6-15"/>
    <n v="2"/>
    <n v="3"/>
    <n v="7"/>
    <n v="7"/>
    <n v="0"/>
    <n v="7"/>
    <s v="Below Avg"/>
    <n v="27.480916030534353"/>
  </r>
  <r>
    <n v="41"/>
    <x v="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s v="Yes"/>
    <n v="13"/>
    <n v="3"/>
    <n v="3"/>
    <n v="80"/>
    <n v="0"/>
    <n v="20"/>
    <s v="&gt;15"/>
    <n v="3"/>
    <n v="3"/>
    <n v="18"/>
    <n v="13"/>
    <n v="2"/>
    <n v="17"/>
    <s v="Below Avg"/>
    <n v="27.515923566878982"/>
  </r>
  <r>
    <n v="36"/>
    <x v="1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s v="No"/>
    <n v="21"/>
    <n v="4"/>
    <n v="3"/>
    <n v="80"/>
    <n v="0"/>
    <n v="16"/>
    <s v="&gt;15"/>
    <n v="6"/>
    <n v="3"/>
    <n v="11"/>
    <n v="8"/>
    <n v="3"/>
    <n v="9"/>
    <s v="Below Avg"/>
    <n v="27.551020408163261"/>
  </r>
  <r>
    <n v="19"/>
    <x v="0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s v="Yes"/>
    <n v="13"/>
    <n v="3"/>
    <n v="2"/>
    <n v="80"/>
    <n v="0"/>
    <n v="1"/>
    <s v="0-5"/>
    <n v="3"/>
    <n v="4"/>
    <n v="1"/>
    <n v="0"/>
    <n v="0"/>
    <n v="0"/>
    <s v="Below Avg"/>
    <n v="27.458492975734355"/>
  </r>
  <r>
    <n v="20"/>
    <x v="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s v="No"/>
    <n v="19"/>
    <n v="3"/>
    <n v="2"/>
    <n v="80"/>
    <n v="0"/>
    <n v="1"/>
    <s v="0-5"/>
    <n v="2"/>
    <n v="3"/>
    <n v="1"/>
    <n v="0"/>
    <n v="0"/>
    <n v="0"/>
    <s v="Below Avg"/>
    <n v="27.493606138107417"/>
  </r>
  <r>
    <n v="31"/>
    <x v="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s v="Yes"/>
    <n v="11"/>
    <n v="3"/>
    <n v="3"/>
    <n v="80"/>
    <n v="2"/>
    <n v="10"/>
    <s v="6-15"/>
    <n v="2"/>
    <n v="1"/>
    <n v="9"/>
    <n v="7"/>
    <n v="8"/>
    <n v="5"/>
    <s v="Below Avg"/>
    <n v="27.40076824583867"/>
  </r>
  <r>
    <n v="40"/>
    <x v="1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s v="Yes"/>
    <n v="14"/>
    <n v="3"/>
    <n v="4"/>
    <n v="80"/>
    <n v="1"/>
    <n v="3"/>
    <s v="0-5"/>
    <n v="2"/>
    <n v="3"/>
    <n v="1"/>
    <n v="1"/>
    <n v="0"/>
    <n v="0"/>
    <s v="Below Avg"/>
    <n v="27.435897435897438"/>
  </r>
  <r>
    <n v="32"/>
    <x v="1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s v="No"/>
    <n v="12"/>
    <n v="3"/>
    <n v="3"/>
    <n v="80"/>
    <n v="1"/>
    <n v="8"/>
    <s v="6-15"/>
    <n v="2"/>
    <n v="4"/>
    <n v="8"/>
    <n v="7"/>
    <n v="6"/>
    <n v="3"/>
    <s v="Ok"/>
    <n v="27.342747111681643"/>
  </r>
  <r>
    <n v="36"/>
    <x v="0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s v="Yes"/>
    <n v="11"/>
    <n v="3"/>
    <n v="1"/>
    <n v="80"/>
    <n v="1"/>
    <n v="16"/>
    <s v="&gt;15"/>
    <n v="6"/>
    <n v="3"/>
    <n v="16"/>
    <n v="7"/>
    <n v="3"/>
    <n v="7"/>
    <s v="Ok"/>
    <n v="27.249357326478147"/>
  </r>
  <r>
    <n v="33"/>
    <x v="1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s v="No"/>
    <n v="14"/>
    <n v="3"/>
    <n v="1"/>
    <n v="80"/>
    <n v="0"/>
    <n v="6"/>
    <s v="6-15"/>
    <n v="3"/>
    <n v="3"/>
    <n v="5"/>
    <n v="0"/>
    <n v="1"/>
    <n v="4"/>
    <s v="Ok"/>
    <n v="27.284427284427281"/>
  </r>
  <r>
    <n v="37"/>
    <x v="0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s v="No"/>
    <n v="11"/>
    <n v="3"/>
    <n v="3"/>
    <n v="80"/>
    <n v="0"/>
    <n v="17"/>
    <s v="&gt;15"/>
    <n v="2"/>
    <n v="1"/>
    <n v="14"/>
    <n v="1"/>
    <n v="11"/>
    <n v="7"/>
    <s v="Ok"/>
    <n v="27.190721649484534"/>
  </r>
  <r>
    <n v="45"/>
    <x v="1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s v="No"/>
    <n v="12"/>
    <n v="3"/>
    <n v="2"/>
    <n v="80"/>
    <n v="0"/>
    <n v="9"/>
    <s v="6-15"/>
    <n v="5"/>
    <n v="2"/>
    <n v="9"/>
    <n v="7"/>
    <n v="0"/>
    <n v="8"/>
    <s v="Below Avg"/>
    <n v="27.225806451612904"/>
  </r>
  <r>
    <n v="29"/>
    <x v="1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s v="No"/>
    <n v="15"/>
    <n v="3"/>
    <n v="2"/>
    <n v="80"/>
    <n v="1"/>
    <n v="3"/>
    <s v="0-5"/>
    <n v="5"/>
    <n v="3"/>
    <n v="3"/>
    <n v="1"/>
    <n v="0"/>
    <n v="2"/>
    <s v="Below Avg"/>
    <n v="27.260981912144704"/>
  </r>
  <r>
    <n v="35"/>
    <x v="1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s v="No"/>
    <n v="16"/>
    <n v="3"/>
    <n v="2"/>
    <n v="80"/>
    <n v="0"/>
    <n v="5"/>
    <s v="0-5"/>
    <n v="3"/>
    <n v="3"/>
    <n v="5"/>
    <n v="2"/>
    <n v="1"/>
    <n v="0"/>
    <s v="Below Avg"/>
    <n v="27.296248382923672"/>
  </r>
  <r>
    <n v="52"/>
    <x v="1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s v="No"/>
    <n v="15"/>
    <n v="3"/>
    <n v="2"/>
    <n v="80"/>
    <n v="1"/>
    <n v="26"/>
    <s v="&gt;15"/>
    <n v="2"/>
    <n v="2"/>
    <n v="9"/>
    <n v="8"/>
    <n v="7"/>
    <n v="8"/>
    <s v="Ok"/>
    <n v="27.331606217616581"/>
  </r>
  <r>
    <n v="58"/>
    <x v="0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s v="No"/>
    <n v="24"/>
    <n v="4"/>
    <n v="1"/>
    <n v="80"/>
    <n v="0"/>
    <n v="7"/>
    <s v="6-15"/>
    <n v="4"/>
    <n v="3"/>
    <n v="1"/>
    <n v="0"/>
    <n v="0"/>
    <n v="0"/>
    <s v="Below Avg"/>
    <n v="27.367055771725035"/>
  </r>
  <r>
    <n v="53"/>
    <x v="1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s v="No"/>
    <n v="13"/>
    <n v="3"/>
    <n v="3"/>
    <n v="80"/>
    <n v="1"/>
    <n v="22"/>
    <s v="&gt;15"/>
    <n v="3"/>
    <n v="4"/>
    <n v="17"/>
    <n v="13"/>
    <n v="15"/>
    <n v="2"/>
    <s v="Ok"/>
    <n v="27.402597402597401"/>
  </r>
  <r>
    <n v="30"/>
    <x v="1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s v="No"/>
    <n v="11"/>
    <n v="3"/>
    <n v="1"/>
    <n v="80"/>
    <n v="1"/>
    <n v="10"/>
    <s v="6-15"/>
    <n v="2"/>
    <n v="4"/>
    <n v="8"/>
    <n v="4"/>
    <n v="7"/>
    <n v="7"/>
    <s v="Ok"/>
    <n v="27.438231469440833"/>
  </r>
  <r>
    <n v="38"/>
    <x v="1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s v="Yes"/>
    <n v="13"/>
    <n v="3"/>
    <n v="2"/>
    <n v="80"/>
    <n v="0"/>
    <n v="6"/>
    <s v="6-15"/>
    <n v="1"/>
    <n v="3"/>
    <n v="5"/>
    <n v="3"/>
    <n v="1"/>
    <n v="3"/>
    <s v="Below Avg"/>
    <n v="27.473958333333332"/>
  </r>
  <r>
    <n v="35"/>
    <x v="1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s v="No"/>
    <n v="13"/>
    <n v="3"/>
    <n v="2"/>
    <n v="80"/>
    <n v="1"/>
    <n v="12"/>
    <s v="6-15"/>
    <n v="2"/>
    <n v="3"/>
    <n v="10"/>
    <n v="9"/>
    <n v="0"/>
    <n v="8"/>
    <s v="Ok"/>
    <n v="27.509778357235987"/>
  </r>
  <r>
    <n v="39"/>
    <x v="1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s v="No"/>
    <n v="18"/>
    <n v="3"/>
    <n v="4"/>
    <n v="80"/>
    <n v="0"/>
    <n v="9"/>
    <s v="6-15"/>
    <n v="3"/>
    <n v="3"/>
    <n v="8"/>
    <n v="7"/>
    <n v="0"/>
    <n v="7"/>
    <s v="Ok"/>
    <n v="27.415143603133156"/>
  </r>
  <r>
    <n v="40"/>
    <x v="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s v="Yes"/>
    <n v="16"/>
    <n v="3"/>
    <n v="4"/>
    <n v="80"/>
    <n v="0"/>
    <n v="22"/>
    <s v="&gt;15"/>
    <n v="2"/>
    <n v="2"/>
    <n v="1"/>
    <n v="0"/>
    <n v="0"/>
    <n v="0"/>
    <s v="Ok"/>
    <n v="27.450980392156865"/>
  </r>
  <r>
    <n v="47"/>
    <x v="1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s v="Yes"/>
    <n v="19"/>
    <n v="3"/>
    <n v="3"/>
    <n v="80"/>
    <n v="0"/>
    <n v="20"/>
    <s v="&gt;15"/>
    <n v="3"/>
    <n v="4"/>
    <n v="19"/>
    <n v="10"/>
    <n v="2"/>
    <n v="7"/>
    <s v="Below Avg"/>
    <n v="27.486910994764397"/>
  </r>
  <r>
    <n v="36"/>
    <x v="1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s v="No"/>
    <n v="13"/>
    <n v="3"/>
    <n v="4"/>
    <n v="80"/>
    <n v="2"/>
    <n v="12"/>
    <s v="6-15"/>
    <n v="3"/>
    <n v="3"/>
    <n v="7"/>
    <n v="7"/>
    <n v="0"/>
    <n v="7"/>
    <s v="Below Avg"/>
    <n v="27.391874180865006"/>
  </r>
  <r>
    <n v="31"/>
    <x v="0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s v="Yes"/>
    <n v="22"/>
    <n v="4"/>
    <n v="1"/>
    <n v="80"/>
    <n v="0"/>
    <n v="4"/>
    <s v="0-5"/>
    <n v="0"/>
    <n v="3"/>
    <n v="3"/>
    <n v="2"/>
    <n v="1"/>
    <n v="2"/>
    <s v="Below Avg"/>
    <n v="27.296587926509186"/>
  </r>
  <r>
    <n v="33"/>
    <x v="1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s v="No"/>
    <n v="11"/>
    <n v="3"/>
    <n v="4"/>
    <n v="80"/>
    <n v="0"/>
    <n v="10"/>
    <s v="6-15"/>
    <n v="2"/>
    <n v="3"/>
    <n v="10"/>
    <n v="8"/>
    <n v="6"/>
    <n v="0"/>
    <s v="Ok"/>
    <n v="27.332457293035478"/>
  </r>
  <r>
    <n v="29"/>
    <x v="0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s v="Yes"/>
    <n v="20"/>
    <n v="4"/>
    <n v="3"/>
    <n v="80"/>
    <n v="0"/>
    <n v="3"/>
    <s v="0-5"/>
    <n v="5"/>
    <n v="3"/>
    <n v="0"/>
    <n v="0"/>
    <n v="0"/>
    <n v="0"/>
    <s v="Below Avg"/>
    <n v="27.236842105263158"/>
  </r>
  <r>
    <n v="33"/>
    <x v="1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s v="No"/>
    <n v="18"/>
    <n v="3"/>
    <n v="1"/>
    <n v="80"/>
    <n v="0"/>
    <n v="5"/>
    <s v="0-5"/>
    <n v="4"/>
    <n v="3"/>
    <n v="3"/>
    <n v="2"/>
    <n v="0"/>
    <n v="2"/>
    <s v="Below Avg"/>
    <n v="27.27272727272727"/>
  </r>
  <r>
    <n v="45"/>
    <x v="1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s v="No"/>
    <n v="14"/>
    <n v="3"/>
    <n v="4"/>
    <n v="80"/>
    <n v="2"/>
    <n v="8"/>
    <s v="6-15"/>
    <n v="2"/>
    <n v="3"/>
    <n v="5"/>
    <n v="3"/>
    <n v="0"/>
    <n v="2"/>
    <s v="Below Avg"/>
    <n v="27.176781002638524"/>
  </r>
  <r>
    <n v="50"/>
    <x v="1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s v="No"/>
    <n v="22"/>
    <n v="4"/>
    <n v="3"/>
    <n v="80"/>
    <n v="1"/>
    <n v="32"/>
    <s v="&gt;15"/>
    <n v="1"/>
    <n v="2"/>
    <n v="5"/>
    <n v="4"/>
    <n v="1"/>
    <n v="3"/>
    <s v="Ok"/>
    <n v="27.212681638044916"/>
  </r>
  <r>
    <n v="33"/>
    <x v="1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s v="Yes"/>
    <n v="13"/>
    <n v="3"/>
    <n v="1"/>
    <n v="80"/>
    <n v="1"/>
    <n v="6"/>
    <s v="6-15"/>
    <n v="2"/>
    <n v="3"/>
    <n v="6"/>
    <n v="5"/>
    <n v="1"/>
    <n v="2"/>
    <s v="Below Avg"/>
    <n v="27.24867724867725"/>
  </r>
  <r>
    <n v="41"/>
    <x v="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s v="No"/>
    <n v="17"/>
    <n v="3"/>
    <n v="2"/>
    <n v="80"/>
    <n v="1"/>
    <n v="21"/>
    <s v="&gt;15"/>
    <n v="2"/>
    <n v="4"/>
    <n v="18"/>
    <n v="16"/>
    <n v="0"/>
    <n v="11"/>
    <s v="Ok"/>
    <n v="27.284768211920529"/>
  </r>
  <r>
    <n v="27"/>
    <x v="1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s v="No"/>
    <n v="14"/>
    <n v="3"/>
    <n v="2"/>
    <n v="80"/>
    <n v="1"/>
    <n v="4"/>
    <s v="0-5"/>
    <n v="2"/>
    <n v="3"/>
    <n v="2"/>
    <n v="2"/>
    <n v="2"/>
    <n v="2"/>
    <s v="Below Avg"/>
    <n v="27.18832891246684"/>
  </r>
  <r>
    <n v="45"/>
    <x v="1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s v="Yes"/>
    <n v="15"/>
    <n v="3"/>
    <n v="3"/>
    <n v="80"/>
    <n v="1"/>
    <n v="9"/>
    <s v="6-15"/>
    <n v="2"/>
    <n v="3"/>
    <n v="9"/>
    <n v="8"/>
    <n v="0"/>
    <n v="8"/>
    <s v="Below Avg"/>
    <n v="27.224435590969453"/>
  </r>
  <r>
    <n v="47"/>
    <x v="1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s v="Yes"/>
    <n v="17"/>
    <n v="3"/>
    <n v="3"/>
    <n v="80"/>
    <n v="0"/>
    <n v="9"/>
    <s v="6-15"/>
    <n v="0"/>
    <n v="3"/>
    <n v="9"/>
    <n v="0"/>
    <n v="0"/>
    <n v="7"/>
    <s v="Below Avg"/>
    <n v="27.26063829787234"/>
  </r>
  <r>
    <n v="30"/>
    <x v="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s v="Yes"/>
    <n v="11"/>
    <n v="3"/>
    <n v="2"/>
    <n v="80"/>
    <n v="0"/>
    <n v="7"/>
    <s v="6-15"/>
    <n v="2"/>
    <n v="3"/>
    <n v="5"/>
    <n v="2"/>
    <n v="0"/>
    <n v="1"/>
    <s v="Below Avg"/>
    <n v="27.163781624500665"/>
  </r>
  <r>
    <n v="50"/>
    <x v="1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s v="Yes"/>
    <n v="18"/>
    <n v="3"/>
    <n v="4"/>
    <n v="80"/>
    <n v="1"/>
    <n v="22"/>
    <s v="&gt;15"/>
    <n v="2"/>
    <n v="3"/>
    <n v="12"/>
    <n v="11"/>
    <n v="1"/>
    <n v="5"/>
    <s v="Ok"/>
    <n v="27.066666666666666"/>
  </r>
  <r>
    <n v="38"/>
    <x v="1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s v="No"/>
    <n v="17"/>
    <n v="3"/>
    <n v="2"/>
    <n v="80"/>
    <n v="1"/>
    <n v="3"/>
    <s v="0-5"/>
    <n v="0"/>
    <n v="2"/>
    <n v="2"/>
    <n v="1"/>
    <n v="0"/>
    <n v="2"/>
    <s v="Below Avg"/>
    <n v="26.969292389853138"/>
  </r>
  <r>
    <n v="46"/>
    <x v="1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s v="No"/>
    <n v="13"/>
    <n v="3"/>
    <n v="2"/>
    <n v="80"/>
    <n v="1"/>
    <n v="13"/>
    <s v="6-15"/>
    <n v="3"/>
    <n v="3"/>
    <n v="8"/>
    <n v="7"/>
    <n v="0"/>
    <n v="7"/>
    <s v="Ok"/>
    <n v="26.871657754010698"/>
  </r>
  <r>
    <n v="24"/>
    <x v="1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s v="No"/>
    <n v="15"/>
    <n v="3"/>
    <n v="2"/>
    <n v="80"/>
    <n v="2"/>
    <n v="5"/>
    <s v="0-5"/>
    <n v="6"/>
    <n v="3"/>
    <n v="4"/>
    <n v="2"/>
    <n v="3"/>
    <n v="2"/>
    <s v="Below Avg"/>
    <n v="26.907630522088354"/>
  </r>
  <r>
    <n v="35"/>
    <x v="0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s v="Yes"/>
    <n v="24"/>
    <n v="4"/>
    <n v="4"/>
    <n v="80"/>
    <n v="1"/>
    <n v="5"/>
    <s v="0-5"/>
    <n v="2"/>
    <n v="1"/>
    <n v="4"/>
    <n v="2"/>
    <n v="0"/>
    <n v="2"/>
    <s v="Below Avg"/>
    <n v="26.943699731903486"/>
  </r>
  <r>
    <n v="31"/>
    <x v="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s v="No"/>
    <n v="12"/>
    <n v="3"/>
    <n v="3"/>
    <n v="80"/>
    <n v="1"/>
    <n v="4"/>
    <s v="0-5"/>
    <n v="1"/>
    <n v="3"/>
    <n v="4"/>
    <n v="3"/>
    <n v="0"/>
    <n v="3"/>
    <s v="Below Avg"/>
    <n v="26.979865771812079"/>
  </r>
  <r>
    <n v="18"/>
    <x v="1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s v="No"/>
    <n v="15"/>
    <n v="3"/>
    <n v="4"/>
    <n v="80"/>
    <n v="0"/>
    <n v="0"/>
    <s v="0-5"/>
    <n v="2"/>
    <n v="3"/>
    <n v="0"/>
    <n v="0"/>
    <n v="0"/>
    <n v="0"/>
    <s v="Below Avg"/>
    <n v="26.881720430107524"/>
  </r>
  <r>
    <n v="54"/>
    <x v="1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s v="No"/>
    <n v="11"/>
    <n v="3"/>
    <n v="3"/>
    <n v="80"/>
    <n v="1"/>
    <n v="22"/>
    <s v="&gt;15"/>
    <n v="2"/>
    <n v="3"/>
    <n v="10"/>
    <n v="7"/>
    <n v="0"/>
    <n v="8"/>
    <s v="Ok"/>
    <n v="26.917900403768506"/>
  </r>
  <r>
    <n v="35"/>
    <x v="1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s v="Yes"/>
    <n v="11"/>
    <n v="3"/>
    <n v="3"/>
    <n v="80"/>
    <n v="1"/>
    <n v="16"/>
    <s v="&gt;15"/>
    <n v="3"/>
    <n v="2"/>
    <n v="16"/>
    <n v="10"/>
    <n v="10"/>
    <n v="1"/>
    <s v="Ok"/>
    <n v="26.954177897574123"/>
  </r>
  <r>
    <n v="30"/>
    <x v="1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s v="Yes"/>
    <n v="12"/>
    <n v="3"/>
    <n v="3"/>
    <n v="80"/>
    <n v="3"/>
    <n v="9"/>
    <s v="6-15"/>
    <n v="4"/>
    <n v="2"/>
    <n v="8"/>
    <n v="7"/>
    <n v="1"/>
    <n v="7"/>
    <s v="Ok"/>
    <n v="26.990553306342779"/>
  </r>
  <r>
    <n v="20"/>
    <x v="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s v="Yes"/>
    <n v="15"/>
    <n v="3"/>
    <n v="1"/>
    <n v="80"/>
    <n v="0"/>
    <n v="1"/>
    <s v="0-5"/>
    <n v="2"/>
    <n v="3"/>
    <n v="1"/>
    <n v="0"/>
    <n v="0"/>
    <n v="0"/>
    <s v="Below Avg"/>
    <n v="26.891891891891888"/>
  </r>
  <r>
    <n v="30"/>
    <x v="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s v="No"/>
    <n v="17"/>
    <n v="3"/>
    <n v="1"/>
    <n v="80"/>
    <n v="0"/>
    <n v="4"/>
    <s v="0-5"/>
    <n v="3"/>
    <n v="3"/>
    <n v="3"/>
    <n v="2"/>
    <n v="1"/>
    <n v="2"/>
    <s v="Below Avg"/>
    <n v="26.79296346414073"/>
  </r>
  <r>
    <n v="26"/>
    <x v="1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s v="No"/>
    <n v="12"/>
    <n v="3"/>
    <n v="2"/>
    <n v="80"/>
    <n v="0"/>
    <n v="8"/>
    <s v="6-15"/>
    <n v="2"/>
    <n v="3"/>
    <n v="8"/>
    <n v="7"/>
    <n v="1"/>
    <n v="3"/>
    <s v="Below Avg"/>
    <n v="26.693766937669377"/>
  </r>
  <r>
    <n v="22"/>
    <x v="1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s v="No"/>
    <n v="15"/>
    <n v="3"/>
    <n v="1"/>
    <n v="80"/>
    <n v="1"/>
    <n v="4"/>
    <s v="0-5"/>
    <n v="3"/>
    <n v="2"/>
    <n v="4"/>
    <n v="3"/>
    <n v="1"/>
    <n v="1"/>
    <s v="Below Avg"/>
    <n v="26.72998643147897"/>
  </r>
  <r>
    <n v="48"/>
    <x v="1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s v="No"/>
    <n v="13"/>
    <n v="3"/>
    <n v="4"/>
    <n v="80"/>
    <n v="0"/>
    <n v="19"/>
    <s v="&gt;15"/>
    <n v="0"/>
    <n v="3"/>
    <n v="2"/>
    <n v="2"/>
    <n v="2"/>
    <n v="2"/>
    <s v="Below Avg"/>
    <n v="26.766304347826086"/>
  </r>
  <r>
    <n v="48"/>
    <x v="1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s v="No"/>
    <n v="14"/>
    <n v="3"/>
    <n v="2"/>
    <n v="80"/>
    <n v="0"/>
    <n v="27"/>
    <s v="&gt;15"/>
    <n v="3"/>
    <n v="3"/>
    <n v="15"/>
    <n v="11"/>
    <n v="4"/>
    <n v="8"/>
    <s v="Ok"/>
    <n v="26.802721088435373"/>
  </r>
  <r>
    <n v="41"/>
    <x v="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s v="No"/>
    <n v="14"/>
    <n v="3"/>
    <n v="2"/>
    <n v="80"/>
    <n v="0"/>
    <n v="8"/>
    <s v="6-15"/>
    <n v="6"/>
    <n v="3"/>
    <n v="2"/>
    <n v="2"/>
    <n v="2"/>
    <n v="1"/>
    <s v="Below Avg"/>
    <n v="26.839237057220711"/>
  </r>
  <r>
    <n v="39"/>
    <x v="1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s v="No"/>
    <n v="16"/>
    <n v="3"/>
    <n v="3"/>
    <n v="80"/>
    <n v="1"/>
    <n v="21"/>
    <s v="&gt;15"/>
    <n v="3"/>
    <n v="3"/>
    <n v="21"/>
    <n v="6"/>
    <n v="11"/>
    <n v="8"/>
    <s v="Ok"/>
    <n v="26.875852660300136"/>
  </r>
  <r>
    <n v="27"/>
    <x v="1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s v="No"/>
    <n v="18"/>
    <n v="3"/>
    <n v="2"/>
    <n v="80"/>
    <n v="1"/>
    <n v="4"/>
    <s v="0-5"/>
    <n v="2"/>
    <n v="3"/>
    <n v="3"/>
    <n v="2"/>
    <n v="2"/>
    <n v="2"/>
    <s v="Below Avg"/>
    <n v="26.912568306010932"/>
  </r>
  <r>
    <n v="35"/>
    <x v="1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s v="No"/>
    <n v="20"/>
    <n v="4"/>
    <n v="1"/>
    <n v="80"/>
    <n v="1"/>
    <n v="3"/>
    <s v="0-5"/>
    <n v="4"/>
    <n v="2"/>
    <n v="3"/>
    <n v="2"/>
    <n v="1"/>
    <n v="2"/>
    <s v="Below Avg"/>
    <n v="26.949384404924757"/>
  </r>
  <r>
    <n v="42"/>
    <x v="1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s v="No"/>
    <n v="13"/>
    <n v="3"/>
    <n v="2"/>
    <n v="80"/>
    <n v="0"/>
    <n v="21"/>
    <s v="&gt;15"/>
    <n v="3"/>
    <n v="4"/>
    <n v="1"/>
    <n v="0"/>
    <n v="0"/>
    <n v="0"/>
    <s v="Ok"/>
    <n v="26.986301369863014"/>
  </r>
  <r>
    <n v="50"/>
    <x v="1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s v="No"/>
    <n v="18"/>
    <n v="3"/>
    <n v="2"/>
    <n v="80"/>
    <n v="0"/>
    <n v="8"/>
    <s v="6-15"/>
    <n v="5"/>
    <n v="3"/>
    <n v="1"/>
    <n v="0"/>
    <n v="0"/>
    <n v="0"/>
    <s v="Below Avg"/>
    <n v="27.023319615912207"/>
  </r>
  <r>
    <n v="59"/>
    <x v="1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s v="Yes"/>
    <n v="13"/>
    <n v="3"/>
    <n v="1"/>
    <n v="80"/>
    <n v="0"/>
    <n v="30"/>
    <s v="&gt;15"/>
    <n v="4"/>
    <n v="3"/>
    <n v="5"/>
    <n v="3"/>
    <n v="4"/>
    <n v="3"/>
    <s v="Ok"/>
    <n v="27.060439560439558"/>
  </r>
  <r>
    <n v="37"/>
    <x v="0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s v="No"/>
    <n v="15"/>
    <n v="3"/>
    <n v="1"/>
    <n v="80"/>
    <n v="0"/>
    <n v="15"/>
    <s v="6-15"/>
    <n v="2"/>
    <n v="1"/>
    <n v="1"/>
    <n v="0"/>
    <n v="0"/>
    <n v="0"/>
    <s v="Below Avg"/>
    <n v="27.097661623108664"/>
  </r>
  <r>
    <n v="55"/>
    <x v="1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s v="Yes"/>
    <n v="14"/>
    <n v="3"/>
    <n v="4"/>
    <n v="80"/>
    <n v="2"/>
    <n v="17"/>
    <s v="&gt;15"/>
    <n v="3"/>
    <n v="3"/>
    <n v="8"/>
    <n v="7"/>
    <n v="6"/>
    <n v="7"/>
    <s v="Ok"/>
    <n v="26.997245179063363"/>
  </r>
  <r>
    <n v="41"/>
    <x v="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s v="No"/>
    <n v="22"/>
    <n v="4"/>
    <n v="2"/>
    <n v="80"/>
    <n v="2"/>
    <n v="21"/>
    <s v="&gt;15"/>
    <n v="3"/>
    <n v="3"/>
    <n v="21"/>
    <n v="16"/>
    <n v="5"/>
    <n v="10"/>
    <s v="Ok"/>
    <n v="27.034482758620687"/>
  </r>
  <r>
    <n v="38"/>
    <x v="1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s v="Yes"/>
    <n v="12"/>
    <n v="3"/>
    <n v="3"/>
    <n v="80"/>
    <n v="0"/>
    <n v="19"/>
    <s v="&gt;15"/>
    <n v="1"/>
    <n v="3"/>
    <n v="1"/>
    <n v="0"/>
    <n v="0"/>
    <n v="0"/>
    <s v="Below Avg"/>
    <n v="26.933701657458563"/>
  </r>
  <r>
    <n v="26"/>
    <x v="0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s v="No"/>
    <n v="18"/>
    <n v="3"/>
    <n v="4"/>
    <n v="80"/>
    <n v="0"/>
    <n v="7"/>
    <s v="6-15"/>
    <n v="6"/>
    <n v="3"/>
    <n v="2"/>
    <n v="2"/>
    <n v="2"/>
    <n v="2"/>
    <s v="Below Avg"/>
    <n v="26.970954356846473"/>
  </r>
  <r>
    <n v="52"/>
    <x v="0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s v="No"/>
    <n v="15"/>
    <n v="3"/>
    <n v="4"/>
    <n v="80"/>
    <n v="1"/>
    <n v="33"/>
    <s v="&gt;15"/>
    <n v="3"/>
    <n v="3"/>
    <n v="32"/>
    <n v="14"/>
    <n v="6"/>
    <n v="9"/>
    <s v="Ok"/>
    <n v="26.869806094182824"/>
  </r>
  <r>
    <n v="44"/>
    <x v="1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s v="Yes"/>
    <n v="18"/>
    <n v="3"/>
    <n v="3"/>
    <n v="80"/>
    <n v="1"/>
    <n v="23"/>
    <s v="&gt;15"/>
    <n v="2"/>
    <n v="3"/>
    <n v="12"/>
    <n v="11"/>
    <n v="11"/>
    <n v="11"/>
    <s v="Ok"/>
    <n v="26.907073509015255"/>
  </r>
  <r>
    <n v="50"/>
    <x v="1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s v="No"/>
    <n v="12"/>
    <n v="3"/>
    <n v="1"/>
    <n v="80"/>
    <n v="1"/>
    <n v="19"/>
    <s v="&gt;15"/>
    <n v="3"/>
    <n v="3"/>
    <n v="18"/>
    <n v="7"/>
    <n v="0"/>
    <n v="13"/>
    <s v="Below Avg"/>
    <n v="26.944444444444443"/>
  </r>
  <r>
    <n v="36"/>
    <x v="0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s v="No"/>
    <n v="16"/>
    <n v="3"/>
    <n v="3"/>
    <n v="80"/>
    <n v="0"/>
    <n v="18"/>
    <s v="&gt;15"/>
    <n v="1"/>
    <n v="3"/>
    <n v="17"/>
    <n v="13"/>
    <n v="15"/>
    <n v="14"/>
    <s v="Below Avg"/>
    <n v="26.842837273991655"/>
  </r>
  <r>
    <n v="39"/>
    <x v="1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s v="Yes"/>
    <n v="13"/>
    <n v="3"/>
    <n v="3"/>
    <n v="80"/>
    <n v="0"/>
    <n v="21"/>
    <s v="&gt;15"/>
    <n v="2"/>
    <n v="3"/>
    <n v="21"/>
    <n v="6"/>
    <n v="2"/>
    <n v="8"/>
    <s v="Ok"/>
    <n v="26.880222841225628"/>
  </r>
  <r>
    <n v="33"/>
    <x v="1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s v="No"/>
    <n v="19"/>
    <n v="3"/>
    <n v="4"/>
    <n v="80"/>
    <n v="0"/>
    <n v="3"/>
    <s v="0-5"/>
    <n v="2"/>
    <n v="2"/>
    <n v="2"/>
    <n v="2"/>
    <n v="2"/>
    <n v="2"/>
    <s v="Below Avg"/>
    <n v="26.917712691771268"/>
  </r>
  <r>
    <n v="45"/>
    <x v="1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s v="No"/>
    <n v="13"/>
    <n v="3"/>
    <n v="2"/>
    <n v="80"/>
    <n v="1"/>
    <n v="26"/>
    <s v="&gt;15"/>
    <n v="4"/>
    <n v="4"/>
    <n v="9"/>
    <n v="3"/>
    <n v="1"/>
    <n v="1"/>
    <s v="Ok"/>
    <n v="26.815642458100559"/>
  </r>
  <r>
    <n v="32"/>
    <x v="1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s v="No"/>
    <n v="12"/>
    <n v="3"/>
    <n v="2"/>
    <n v="80"/>
    <n v="0"/>
    <n v="10"/>
    <s v="6-15"/>
    <n v="2"/>
    <n v="3"/>
    <n v="8"/>
    <n v="7"/>
    <n v="7"/>
    <n v="7"/>
    <s v="Below Avg"/>
    <n v="26.853146853146853"/>
  </r>
  <r>
    <n v="34"/>
    <x v="1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s v="No"/>
    <n v="11"/>
    <n v="3"/>
    <n v="4"/>
    <n v="80"/>
    <n v="1"/>
    <n v="16"/>
    <s v="&gt;15"/>
    <n v="2"/>
    <n v="2"/>
    <n v="15"/>
    <n v="1"/>
    <n v="0"/>
    <n v="9"/>
    <s v="Ok"/>
    <n v="26.890756302521009"/>
  </r>
  <r>
    <n v="59"/>
    <x v="1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s v="Yes"/>
    <n v="14"/>
    <n v="3"/>
    <n v="3"/>
    <n v="80"/>
    <n v="1"/>
    <n v="14"/>
    <s v="6-15"/>
    <n v="1"/>
    <n v="1"/>
    <n v="6"/>
    <n v="4"/>
    <n v="0"/>
    <n v="4"/>
    <s v="Ok"/>
    <n v="26.928471248246844"/>
  </r>
  <r>
    <n v="45"/>
    <x v="1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s v="No"/>
    <n v="16"/>
    <n v="3"/>
    <n v="1"/>
    <n v="80"/>
    <n v="0"/>
    <n v="6"/>
    <s v="6-15"/>
    <n v="3"/>
    <n v="3"/>
    <n v="6"/>
    <n v="3"/>
    <n v="0"/>
    <n v="4"/>
    <s v="Below Avg"/>
    <n v="26.966292134831459"/>
  </r>
  <r>
    <n v="53"/>
    <x v="1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s v="No"/>
    <n v="12"/>
    <n v="3"/>
    <n v="1"/>
    <n v="80"/>
    <n v="1"/>
    <n v="30"/>
    <s v="&gt;15"/>
    <n v="2"/>
    <n v="3"/>
    <n v="15"/>
    <n v="7"/>
    <n v="6"/>
    <n v="12"/>
    <s v="Ok"/>
    <n v="26.863572433192683"/>
  </r>
  <r>
    <n v="36"/>
    <x v="0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s v="No"/>
    <n v="14"/>
    <n v="3"/>
    <n v="2"/>
    <n v="80"/>
    <n v="1"/>
    <n v="9"/>
    <s v="6-15"/>
    <n v="3"/>
    <n v="2"/>
    <n v="1"/>
    <n v="0"/>
    <n v="0"/>
    <n v="0"/>
    <s v="Below Avg"/>
    <n v="26.901408450704224"/>
  </r>
  <r>
    <n v="26"/>
    <x v="0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s v="Yes"/>
    <n v="14"/>
    <n v="3"/>
    <n v="2"/>
    <n v="80"/>
    <n v="1"/>
    <n v="6"/>
    <s v="6-15"/>
    <n v="2"/>
    <n v="3"/>
    <n v="3"/>
    <n v="2"/>
    <n v="1"/>
    <n v="2"/>
    <s v="Below Avg"/>
    <n v="26.939351198871652"/>
  </r>
  <r>
    <n v="34"/>
    <x v="1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s v="Yes"/>
    <n v="19"/>
    <n v="3"/>
    <n v="4"/>
    <n v="80"/>
    <n v="1"/>
    <n v="1"/>
    <s v="0-5"/>
    <n v="2"/>
    <n v="3"/>
    <n v="1"/>
    <n v="1"/>
    <n v="0"/>
    <n v="0"/>
    <s v="Below Avg"/>
    <n v="26.977401129943502"/>
  </r>
  <r>
    <n v="28"/>
    <x v="1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s v="No"/>
    <n v="22"/>
    <n v="4"/>
    <n v="2"/>
    <n v="80"/>
    <n v="0"/>
    <n v="1"/>
    <s v="0-5"/>
    <n v="5"/>
    <n v="3"/>
    <n v="1"/>
    <n v="0"/>
    <n v="0"/>
    <n v="0"/>
    <s v="Below Avg"/>
    <n v="26.874115983026876"/>
  </r>
  <r>
    <n v="38"/>
    <x v="1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s v="No"/>
    <n v="16"/>
    <n v="3"/>
    <n v="1"/>
    <n v="80"/>
    <n v="1"/>
    <n v="8"/>
    <s v="6-15"/>
    <n v="2"/>
    <n v="3"/>
    <n v="2"/>
    <n v="2"/>
    <n v="2"/>
    <n v="2"/>
    <s v="Below Avg"/>
    <n v="26.770538243626063"/>
  </r>
  <r>
    <n v="50"/>
    <x v="1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s v="Yes"/>
    <n v="11"/>
    <n v="3"/>
    <n v="4"/>
    <n v="80"/>
    <n v="1"/>
    <n v="29"/>
    <s v="&gt;15"/>
    <n v="2"/>
    <n v="2"/>
    <n v="8"/>
    <n v="1"/>
    <n v="7"/>
    <n v="7"/>
    <s v="Ok"/>
    <n v="26.808510638297872"/>
  </r>
  <r>
    <n v="37"/>
    <x v="1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s v="No"/>
    <n v="15"/>
    <n v="3"/>
    <n v="1"/>
    <n v="80"/>
    <n v="0"/>
    <n v="8"/>
    <s v="6-15"/>
    <n v="3"/>
    <n v="2"/>
    <n v="4"/>
    <n v="3"/>
    <n v="0"/>
    <n v="1"/>
    <s v="Below Avg"/>
    <n v="26.84659090909091"/>
  </r>
  <r>
    <n v="40"/>
    <x v="1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s v="No"/>
    <n v="14"/>
    <n v="3"/>
    <n v="2"/>
    <n v="80"/>
    <n v="1"/>
    <n v="8"/>
    <s v="6-15"/>
    <n v="3"/>
    <n v="2"/>
    <n v="7"/>
    <n v="7"/>
    <n v="7"/>
    <n v="5"/>
    <s v="Ok"/>
    <n v="26.742532005689903"/>
  </r>
  <r>
    <n v="26"/>
    <x v="1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s v="No"/>
    <n v="13"/>
    <n v="3"/>
    <n v="3"/>
    <n v="80"/>
    <n v="2"/>
    <n v="5"/>
    <s v="0-5"/>
    <n v="5"/>
    <n v="3"/>
    <n v="5"/>
    <n v="3"/>
    <n v="1"/>
    <n v="3"/>
    <s v="Below Avg"/>
    <n v="26.780626780626783"/>
  </r>
  <r>
    <n v="46"/>
    <x v="1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s v="No"/>
    <n v="17"/>
    <n v="3"/>
    <n v="4"/>
    <n v="80"/>
    <n v="2"/>
    <n v="23"/>
    <s v="&gt;15"/>
    <n v="0"/>
    <n v="3"/>
    <n v="2"/>
    <n v="2"/>
    <n v="2"/>
    <n v="2"/>
    <s v="Ok"/>
    <n v="26.8188302425107"/>
  </r>
  <r>
    <n v="54"/>
    <x v="1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s v="No"/>
    <n v="11"/>
    <n v="3"/>
    <n v="2"/>
    <n v="80"/>
    <n v="1"/>
    <n v="13"/>
    <s v="6-15"/>
    <n v="4"/>
    <n v="3"/>
    <n v="9"/>
    <n v="4"/>
    <n v="7"/>
    <n v="0"/>
    <s v="Ok"/>
    <n v="26.857142857142858"/>
  </r>
  <r>
    <n v="56"/>
    <x v="1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s v="No"/>
    <n v="19"/>
    <n v="3"/>
    <n v="2"/>
    <n v="80"/>
    <n v="1"/>
    <n v="18"/>
    <s v="&gt;15"/>
    <n v="4"/>
    <n v="3"/>
    <n v="5"/>
    <n v="4"/>
    <n v="0"/>
    <n v="3"/>
    <s v="Below Avg"/>
    <n v="26.895565092989987"/>
  </r>
  <r>
    <n v="36"/>
    <x v="1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s v="No"/>
    <n v="11"/>
    <n v="3"/>
    <n v="2"/>
    <n v="80"/>
    <n v="0"/>
    <n v="15"/>
    <s v="6-15"/>
    <n v="2"/>
    <n v="2"/>
    <n v="14"/>
    <n v="8"/>
    <n v="7"/>
    <n v="8"/>
    <s v="Ok"/>
    <n v="26.93409742120344"/>
  </r>
  <r>
    <n v="55"/>
    <x v="1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s v="No"/>
    <n v="15"/>
    <n v="3"/>
    <n v="2"/>
    <n v="80"/>
    <n v="0"/>
    <n v="31"/>
    <s v="&gt;15"/>
    <n v="3"/>
    <n v="4"/>
    <n v="9"/>
    <n v="7"/>
    <n v="6"/>
    <n v="2"/>
    <s v="Ok"/>
    <n v="26.97274031563845"/>
  </r>
  <r>
    <n v="43"/>
    <x v="1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s v="No"/>
    <n v="13"/>
    <n v="3"/>
    <n v="3"/>
    <n v="80"/>
    <n v="1"/>
    <n v="18"/>
    <s v="&gt;15"/>
    <n v="5"/>
    <n v="3"/>
    <n v="1"/>
    <n v="0"/>
    <n v="0"/>
    <n v="0"/>
    <s v="Ok"/>
    <n v="27.011494252873565"/>
  </r>
  <r>
    <n v="20"/>
    <x v="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s v="Yes"/>
    <n v="14"/>
    <n v="3"/>
    <n v="2"/>
    <n v="80"/>
    <n v="0"/>
    <n v="2"/>
    <s v="0-5"/>
    <n v="3"/>
    <n v="3"/>
    <n v="2"/>
    <n v="2"/>
    <n v="0"/>
    <n v="2"/>
    <s v="Below Avg"/>
    <n v="27.050359712230215"/>
  </r>
  <r>
    <n v="21"/>
    <x v="0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s v="No"/>
    <n v="13"/>
    <n v="3"/>
    <n v="1"/>
    <n v="80"/>
    <n v="0"/>
    <n v="1"/>
    <s v="0-5"/>
    <n v="6"/>
    <n v="2"/>
    <n v="1"/>
    <n v="0"/>
    <n v="1"/>
    <n v="0"/>
    <s v="Below Avg"/>
    <n v="27.089337175792505"/>
  </r>
  <r>
    <n v="46"/>
    <x v="1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s v="Yes"/>
    <n v="23"/>
    <n v="4"/>
    <n v="1"/>
    <n v="80"/>
    <n v="3"/>
    <n v="19"/>
    <s v="&gt;15"/>
    <n v="2"/>
    <n v="3"/>
    <n v="16"/>
    <n v="13"/>
    <n v="1"/>
    <n v="7"/>
    <s v="Below Avg"/>
    <n v="26.984126984126984"/>
  </r>
  <r>
    <n v="51"/>
    <x v="0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s v="Yes"/>
    <n v="12"/>
    <n v="3"/>
    <n v="3"/>
    <n v="80"/>
    <n v="3"/>
    <n v="18"/>
    <s v="&gt;15"/>
    <n v="2"/>
    <n v="4"/>
    <n v="10"/>
    <n v="0"/>
    <n v="2"/>
    <n v="7"/>
    <s v="Below Avg"/>
    <n v="27.02312138728324"/>
  </r>
  <r>
    <n v="28"/>
    <x v="0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s v="No"/>
    <n v="12"/>
    <n v="3"/>
    <n v="1"/>
    <n v="80"/>
    <n v="0"/>
    <n v="10"/>
    <s v="6-15"/>
    <n v="2"/>
    <n v="2"/>
    <n v="10"/>
    <n v="7"/>
    <n v="1"/>
    <n v="9"/>
    <s v="Ok"/>
    <n v="26.917510853835019"/>
  </r>
  <r>
    <n v="26"/>
    <x v="1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s v="No"/>
    <n v="16"/>
    <n v="3"/>
    <n v="1"/>
    <n v="80"/>
    <n v="2"/>
    <n v="6"/>
    <s v="6-15"/>
    <n v="2"/>
    <n v="3"/>
    <n v="5"/>
    <n v="3"/>
    <n v="1"/>
    <n v="3"/>
    <s v="Below Avg"/>
    <n v="26.811594202898554"/>
  </r>
  <r>
    <n v="30"/>
    <x v="1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s v="No"/>
    <n v="15"/>
    <n v="3"/>
    <n v="3"/>
    <n v="80"/>
    <n v="1"/>
    <n v="7"/>
    <s v="6-15"/>
    <n v="1"/>
    <n v="2"/>
    <n v="6"/>
    <n v="2"/>
    <n v="0"/>
    <n v="2"/>
    <s v="Ok"/>
    <n v="26.850507982583455"/>
  </r>
  <r>
    <n v="41"/>
    <x v="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s v="No"/>
    <n v="13"/>
    <n v="3"/>
    <n v="3"/>
    <n v="80"/>
    <n v="0"/>
    <n v="10"/>
    <s v="6-15"/>
    <n v="3"/>
    <n v="3"/>
    <n v="10"/>
    <n v="6"/>
    <n v="0"/>
    <n v="8"/>
    <s v="Below Avg"/>
    <n v="26.889534883720927"/>
  </r>
  <r>
    <n v="38"/>
    <x v="1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s v="No"/>
    <n v="18"/>
    <n v="3"/>
    <n v="1"/>
    <n v="80"/>
    <n v="1"/>
    <n v="20"/>
    <s v="&gt;15"/>
    <n v="4"/>
    <n v="2"/>
    <n v="19"/>
    <n v="9"/>
    <n v="1"/>
    <n v="9"/>
    <s v="Ok"/>
    <n v="26.92867540029112"/>
  </r>
  <r>
    <n v="40"/>
    <x v="1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s v="No"/>
    <n v="20"/>
    <n v="4"/>
    <n v="4"/>
    <n v="80"/>
    <n v="1"/>
    <n v="14"/>
    <s v="6-15"/>
    <n v="6"/>
    <n v="3"/>
    <n v="11"/>
    <n v="10"/>
    <n v="11"/>
    <n v="1"/>
    <s v="Ok"/>
    <n v="26.96793002915452"/>
  </r>
  <r>
    <n v="27"/>
    <x v="1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s v="No"/>
    <n v="19"/>
    <n v="3"/>
    <n v="4"/>
    <n v="80"/>
    <n v="3"/>
    <n v="3"/>
    <s v="0-5"/>
    <n v="4"/>
    <n v="3"/>
    <n v="3"/>
    <n v="2"/>
    <n v="1"/>
    <n v="2"/>
    <s v="Below Avg"/>
    <n v="27.007299270072991"/>
  </r>
  <r>
    <n v="55"/>
    <x v="1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s v="No"/>
    <n v="18"/>
    <n v="3"/>
    <n v="2"/>
    <n v="80"/>
    <n v="1"/>
    <n v="23"/>
    <s v="&gt;15"/>
    <n v="4"/>
    <n v="3"/>
    <n v="3"/>
    <n v="2"/>
    <n v="1"/>
    <n v="2"/>
    <s v="Ok"/>
    <n v="27.046783625730995"/>
  </r>
  <r>
    <n v="28"/>
    <x v="1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s v="No"/>
    <n v="13"/>
    <n v="3"/>
    <n v="4"/>
    <n v="80"/>
    <n v="0"/>
    <n v="10"/>
    <s v="6-15"/>
    <n v="4"/>
    <n v="4"/>
    <n v="8"/>
    <n v="7"/>
    <n v="1"/>
    <n v="7"/>
    <s v="Below Avg"/>
    <n v="27.086383601756953"/>
  </r>
  <r>
    <n v="44"/>
    <x v="0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s v="No"/>
    <n v="14"/>
    <n v="3"/>
    <n v="4"/>
    <n v="80"/>
    <n v="1"/>
    <n v="24"/>
    <s v="&gt;15"/>
    <n v="1"/>
    <n v="3"/>
    <n v="20"/>
    <n v="6"/>
    <n v="3"/>
    <n v="6"/>
    <s v="Ok"/>
    <n v="27.126099706744867"/>
  </r>
  <r>
    <n v="33"/>
    <x v="1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s v="No"/>
    <n v="15"/>
    <n v="3"/>
    <n v="3"/>
    <n v="80"/>
    <n v="1"/>
    <n v="9"/>
    <s v="6-15"/>
    <n v="2"/>
    <n v="3"/>
    <n v="3"/>
    <n v="2"/>
    <n v="1"/>
    <n v="2"/>
    <s v="Ok"/>
    <n v="27.165932452276063"/>
  </r>
  <r>
    <n v="35"/>
    <x v="0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s v="Yes"/>
    <n v="22"/>
    <n v="4"/>
    <n v="1"/>
    <n v="80"/>
    <n v="0"/>
    <n v="9"/>
    <s v="6-15"/>
    <n v="2"/>
    <n v="3"/>
    <n v="8"/>
    <n v="7"/>
    <n v="4"/>
    <n v="7"/>
    <s v="Ok"/>
    <n v="27.205882352941174"/>
  </r>
  <r>
    <n v="33"/>
    <x v="0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s v="No"/>
    <n v="22"/>
    <n v="4"/>
    <n v="2"/>
    <n v="80"/>
    <n v="0"/>
    <n v="14"/>
    <s v="6-15"/>
    <n v="4"/>
    <n v="3"/>
    <n v="13"/>
    <n v="7"/>
    <n v="3"/>
    <n v="8"/>
    <s v="Below Avg"/>
    <n v="27.245949926362297"/>
  </r>
  <r>
    <n v="28"/>
    <x v="1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s v="No"/>
    <n v="16"/>
    <n v="3"/>
    <n v="4"/>
    <n v="80"/>
    <n v="1"/>
    <n v="4"/>
    <s v="0-5"/>
    <n v="5"/>
    <n v="2"/>
    <n v="4"/>
    <n v="2"/>
    <n v="2"/>
    <n v="2"/>
    <s v="Below Avg"/>
    <n v="27.138643067846608"/>
  </r>
  <r>
    <n v="34"/>
    <x v="1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s v="No"/>
    <n v="17"/>
    <n v="3"/>
    <n v="3"/>
    <n v="80"/>
    <n v="0"/>
    <n v="7"/>
    <s v="6-15"/>
    <n v="1"/>
    <n v="2"/>
    <n v="6"/>
    <n v="2"/>
    <n v="0"/>
    <n v="4"/>
    <s v="Ok"/>
    <n v="27.17872968980798"/>
  </r>
  <r>
    <n v="37"/>
    <x v="1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s v="Yes"/>
    <n v="14"/>
    <n v="3"/>
    <n v="3"/>
    <n v="80"/>
    <n v="3"/>
    <n v="8"/>
    <s v="6-15"/>
    <n v="5"/>
    <n v="3"/>
    <n v="1"/>
    <n v="0"/>
    <n v="0"/>
    <n v="0"/>
    <s v="Below Avg"/>
    <n v="27.218934911242602"/>
  </r>
  <r>
    <n v="25"/>
    <x v="0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s v="Yes"/>
    <n v="15"/>
    <n v="3"/>
    <n v="2"/>
    <n v="80"/>
    <n v="1"/>
    <n v="7"/>
    <s v="6-15"/>
    <n v="3"/>
    <n v="4"/>
    <n v="7"/>
    <n v="7"/>
    <n v="5"/>
    <n v="6"/>
    <s v="Below Avg"/>
    <n v="27.25925925925926"/>
  </r>
  <r>
    <n v="26"/>
    <x v="0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s v="No"/>
    <n v="20"/>
    <n v="4"/>
    <n v="3"/>
    <n v="80"/>
    <n v="1"/>
    <n v="1"/>
    <s v="0-5"/>
    <n v="0"/>
    <n v="2"/>
    <n v="1"/>
    <n v="1"/>
    <n v="0"/>
    <n v="0"/>
    <s v="Below Avg"/>
    <n v="27.151335311572701"/>
  </r>
  <r>
    <n v="33"/>
    <x v="0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s v="Yes"/>
    <n v="20"/>
    <n v="4"/>
    <n v="2"/>
    <n v="80"/>
    <n v="0"/>
    <n v="5"/>
    <s v="0-5"/>
    <n v="0"/>
    <n v="3"/>
    <n v="2"/>
    <n v="2"/>
    <n v="2"/>
    <n v="2"/>
    <s v="Below Avg"/>
    <n v="27.043090638930163"/>
  </r>
  <r>
    <n v="42"/>
    <x v="1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s v="No"/>
    <n v="17"/>
    <n v="3"/>
    <n v="4"/>
    <n v="80"/>
    <n v="1"/>
    <n v="23"/>
    <s v="&gt;15"/>
    <n v="3"/>
    <n v="3"/>
    <n v="22"/>
    <n v="6"/>
    <n v="13"/>
    <n v="7"/>
    <s v="Ok"/>
    <n v="27.083333333333332"/>
  </r>
  <r>
    <n v="28"/>
    <x v="0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s v="No"/>
    <n v="15"/>
    <n v="3"/>
    <n v="1"/>
    <n v="80"/>
    <n v="2"/>
    <n v="1"/>
    <s v="0-5"/>
    <n v="2"/>
    <n v="3"/>
    <n v="1"/>
    <n v="0"/>
    <n v="0"/>
    <n v="0"/>
    <s v="Below Avg"/>
    <n v="26.974664679582709"/>
  </r>
  <r>
    <n v="50"/>
    <x v="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s v="Yes"/>
    <n v="14"/>
    <n v="3"/>
    <n v="4"/>
    <n v="80"/>
    <n v="0"/>
    <n v="5"/>
    <s v="0-5"/>
    <n v="4"/>
    <n v="3"/>
    <n v="0"/>
    <n v="0"/>
    <n v="0"/>
    <n v="0"/>
    <s v="Below Avg"/>
    <n v="27.014925373134329"/>
  </r>
  <r>
    <n v="33"/>
    <x v="1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s v="No"/>
    <n v="17"/>
    <n v="3"/>
    <n v="3"/>
    <n v="80"/>
    <n v="1"/>
    <n v="4"/>
    <s v="0-5"/>
    <n v="3"/>
    <n v="3"/>
    <n v="3"/>
    <n v="2"/>
    <n v="0"/>
    <n v="2"/>
    <s v="Below Avg"/>
    <n v="27.055306427503741"/>
  </r>
  <r>
    <n v="34"/>
    <x v="1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s v="No"/>
    <n v="17"/>
    <n v="3"/>
    <n v="4"/>
    <n v="80"/>
    <n v="3"/>
    <n v="6"/>
    <s v="6-15"/>
    <n v="2"/>
    <n v="3"/>
    <n v="0"/>
    <n v="0"/>
    <n v="0"/>
    <n v="0"/>
    <s v="Below Avg"/>
    <n v="26.946107784431138"/>
  </r>
  <r>
    <n v="48"/>
    <x v="1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s v="No"/>
    <n v="22"/>
    <n v="4"/>
    <n v="3"/>
    <n v="80"/>
    <n v="0"/>
    <n v="27"/>
    <s v="&gt;15"/>
    <n v="3"/>
    <n v="2"/>
    <n v="5"/>
    <n v="4"/>
    <n v="2"/>
    <n v="1"/>
    <s v="Ok"/>
    <n v="26.986506746626688"/>
  </r>
  <r>
    <n v="45"/>
    <x v="1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s v="No"/>
    <n v="13"/>
    <n v="3"/>
    <n v="4"/>
    <n v="80"/>
    <n v="1"/>
    <n v="15"/>
    <s v="6-15"/>
    <n v="2"/>
    <n v="3"/>
    <n v="15"/>
    <n v="10"/>
    <n v="4"/>
    <n v="12"/>
    <s v="Below Avg"/>
    <n v="27.027027027027028"/>
  </r>
  <r>
    <n v="52"/>
    <x v="1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s v="No"/>
    <n v="19"/>
    <n v="3"/>
    <n v="4"/>
    <n v="80"/>
    <n v="0"/>
    <n v="18"/>
    <s v="&gt;15"/>
    <n v="4"/>
    <n v="3"/>
    <n v="8"/>
    <n v="6"/>
    <n v="4"/>
    <n v="0"/>
    <s v="Ok"/>
    <n v="27.06766917293233"/>
  </r>
  <r>
    <n v="38"/>
    <x v="1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s v="Yes"/>
    <n v="14"/>
    <n v="3"/>
    <n v="2"/>
    <n v="80"/>
    <n v="2"/>
    <n v="9"/>
    <s v="6-15"/>
    <n v="2"/>
    <n v="3"/>
    <n v="8"/>
    <n v="7"/>
    <n v="2"/>
    <n v="7"/>
    <s v="Ok"/>
    <n v="27.108433734939759"/>
  </r>
  <r>
    <n v="29"/>
    <x v="1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s v="No"/>
    <n v="22"/>
    <n v="4"/>
    <n v="1"/>
    <n v="80"/>
    <n v="1"/>
    <n v="11"/>
    <s v="6-15"/>
    <n v="1"/>
    <n v="3"/>
    <n v="7"/>
    <n v="5"/>
    <n v="1"/>
    <n v="7"/>
    <s v="Below Avg"/>
    <n v="27.149321266968325"/>
  </r>
  <r>
    <n v="28"/>
    <x v="1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s v="No"/>
    <n v="17"/>
    <n v="3"/>
    <n v="2"/>
    <n v="80"/>
    <n v="3"/>
    <n v="10"/>
    <s v="6-15"/>
    <n v="3"/>
    <n v="2"/>
    <n v="9"/>
    <n v="7"/>
    <n v="1"/>
    <n v="7"/>
    <s v="Ok"/>
    <n v="27.0392749244713"/>
  </r>
  <r>
    <n v="46"/>
    <x v="1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s v="No"/>
    <n v="12"/>
    <n v="3"/>
    <n v="4"/>
    <n v="80"/>
    <n v="1"/>
    <n v="23"/>
    <s v="&gt;15"/>
    <n v="3"/>
    <n v="3"/>
    <n v="12"/>
    <n v="9"/>
    <n v="4"/>
    <n v="9"/>
    <s v="Ok"/>
    <n v="27.080181543116488"/>
  </r>
  <r>
    <n v="38"/>
    <x v="1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s v="No"/>
    <n v="16"/>
    <n v="3"/>
    <n v="3"/>
    <n v="80"/>
    <n v="0"/>
    <n v="10"/>
    <s v="6-15"/>
    <n v="2"/>
    <n v="3"/>
    <n v="1"/>
    <n v="0"/>
    <n v="0"/>
    <n v="0"/>
    <s v="Ok"/>
    <n v="27.121212121212125"/>
  </r>
  <r>
    <n v="43"/>
    <x v="1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s v="No"/>
    <n v="11"/>
    <n v="3"/>
    <n v="3"/>
    <n v="80"/>
    <n v="1"/>
    <n v="18"/>
    <s v="&gt;15"/>
    <n v="1"/>
    <n v="3"/>
    <n v="8"/>
    <n v="7"/>
    <n v="0"/>
    <n v="1"/>
    <s v="Ok"/>
    <n v="27.16236722306525"/>
  </r>
  <r>
    <n v="39"/>
    <x v="0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s v="No"/>
    <n v="11"/>
    <n v="3"/>
    <n v="4"/>
    <n v="80"/>
    <n v="3"/>
    <n v="21"/>
    <s v="&gt;15"/>
    <n v="4"/>
    <n v="3"/>
    <n v="18"/>
    <n v="7"/>
    <n v="11"/>
    <n v="5"/>
    <s v="Ok"/>
    <n v="27.203647416413375"/>
  </r>
  <r>
    <n v="40"/>
    <x v="1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s v="No"/>
    <n v="14"/>
    <n v="3"/>
    <n v="1"/>
    <n v="80"/>
    <n v="0"/>
    <n v="21"/>
    <s v="&gt;15"/>
    <n v="2"/>
    <n v="4"/>
    <n v="20"/>
    <n v="7"/>
    <n v="4"/>
    <n v="9"/>
    <s v="Ok"/>
    <n v="27.24505327245053"/>
  </r>
  <r>
    <n v="21"/>
    <x v="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s v="Yes"/>
    <n v="11"/>
    <n v="3"/>
    <n v="3"/>
    <n v="80"/>
    <n v="0"/>
    <n v="2"/>
    <s v="0-5"/>
    <n v="6"/>
    <n v="4"/>
    <n v="2"/>
    <n v="2"/>
    <n v="2"/>
    <n v="2"/>
    <s v="Below Avg"/>
    <n v="27.286585365853661"/>
  </r>
  <r>
    <n v="39"/>
    <x v="1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s v="No"/>
    <n v="15"/>
    <n v="3"/>
    <n v="3"/>
    <n v="80"/>
    <n v="0"/>
    <n v="9"/>
    <s v="6-15"/>
    <n v="2"/>
    <n v="2"/>
    <n v="5"/>
    <n v="4"/>
    <n v="0"/>
    <n v="3"/>
    <s v="Ok"/>
    <n v="27.328244274809162"/>
  </r>
  <r>
    <n v="36"/>
    <x v="1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s v="No"/>
    <n v="20"/>
    <n v="4"/>
    <n v="1"/>
    <n v="80"/>
    <n v="0"/>
    <n v="18"/>
    <s v="&gt;15"/>
    <n v="0"/>
    <n v="3"/>
    <n v="11"/>
    <n v="9"/>
    <n v="0"/>
    <n v="9"/>
    <s v="Ok"/>
    <n v="27.217125382262996"/>
  </r>
  <r>
    <n v="31"/>
    <x v="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s v="No"/>
    <n v="12"/>
    <n v="3"/>
    <n v="1"/>
    <n v="80"/>
    <n v="1"/>
    <n v="3"/>
    <s v="0-5"/>
    <n v="4"/>
    <n v="3"/>
    <n v="2"/>
    <n v="2"/>
    <n v="2"/>
    <n v="2"/>
    <s v="Below Avg"/>
    <n v="27.258805513016842"/>
  </r>
  <r>
    <n v="28"/>
    <x v="1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s v="No"/>
    <n v="17"/>
    <n v="3"/>
    <n v="1"/>
    <n v="80"/>
    <n v="0"/>
    <n v="6"/>
    <s v="6-15"/>
    <n v="2"/>
    <n v="1"/>
    <n v="5"/>
    <n v="3"/>
    <n v="0"/>
    <n v="4"/>
    <s v="Below Avg"/>
    <n v="27.300613496932513"/>
  </r>
  <r>
    <n v="35"/>
    <x v="1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s v="No"/>
    <n v="11"/>
    <n v="3"/>
    <n v="4"/>
    <n v="80"/>
    <n v="1"/>
    <n v="5"/>
    <s v="0-5"/>
    <n v="3"/>
    <n v="3"/>
    <n v="5"/>
    <n v="2"/>
    <n v="0"/>
    <n v="2"/>
    <s v="Below Avg"/>
    <n v="27.342549923195087"/>
  </r>
  <r>
    <n v="49"/>
    <x v="1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s v="No"/>
    <n v="17"/>
    <n v="3"/>
    <n v="2"/>
    <n v="80"/>
    <n v="1"/>
    <n v="22"/>
    <s v="&gt;15"/>
    <n v="3"/>
    <n v="3"/>
    <n v="9"/>
    <n v="8"/>
    <n v="2"/>
    <n v="3"/>
    <s v="Ok"/>
    <n v="27.384615384615387"/>
  </r>
  <r>
    <n v="34"/>
    <x v="1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s v="No"/>
    <n v="11"/>
    <n v="3"/>
    <n v="4"/>
    <n v="80"/>
    <n v="0"/>
    <n v="5"/>
    <s v="0-5"/>
    <n v="3"/>
    <n v="2"/>
    <n v="3"/>
    <n v="2"/>
    <n v="0"/>
    <n v="2"/>
    <s v="Below Avg"/>
    <n v="27.426810477657938"/>
  </r>
  <r>
    <n v="29"/>
    <x v="1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s v="No"/>
    <n v="14"/>
    <n v="3"/>
    <n v="4"/>
    <n v="80"/>
    <n v="2"/>
    <n v="8"/>
    <s v="6-15"/>
    <n v="2"/>
    <n v="2"/>
    <n v="7"/>
    <n v="5"/>
    <n v="1"/>
    <n v="1"/>
    <s v="Below Avg"/>
    <n v="27.469135802469136"/>
  </r>
  <r>
    <n v="42"/>
    <x v="1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s v="No"/>
    <n v="19"/>
    <n v="3"/>
    <n v="1"/>
    <n v="80"/>
    <n v="0"/>
    <n v="16"/>
    <s v="&gt;15"/>
    <n v="3"/>
    <n v="3"/>
    <n v="1"/>
    <n v="0"/>
    <n v="0"/>
    <n v="0"/>
    <s v="Below Avg"/>
    <n v="27.511591962905719"/>
  </r>
  <r>
    <n v="29"/>
    <x v="1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s v="Yes"/>
    <n v="15"/>
    <n v="3"/>
    <n v="3"/>
    <n v="80"/>
    <n v="1"/>
    <n v="10"/>
    <s v="6-15"/>
    <n v="2"/>
    <n v="2"/>
    <n v="10"/>
    <n v="7"/>
    <n v="1"/>
    <n v="2"/>
    <s v="Below Avg"/>
    <n v="27.554179566563469"/>
  </r>
  <r>
    <n v="38"/>
    <x v="1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s v="No"/>
    <n v="13"/>
    <n v="3"/>
    <n v="4"/>
    <n v="80"/>
    <n v="1"/>
    <n v="7"/>
    <s v="6-15"/>
    <n v="2"/>
    <n v="4"/>
    <n v="7"/>
    <n v="6"/>
    <n v="5"/>
    <n v="0"/>
    <s v="Below Avg"/>
    <n v="27.596899224806204"/>
  </r>
  <r>
    <n v="28"/>
    <x v="1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s v="Yes"/>
    <n v="14"/>
    <n v="3"/>
    <n v="4"/>
    <n v="80"/>
    <n v="1"/>
    <n v="3"/>
    <s v="0-5"/>
    <n v="2"/>
    <n v="3"/>
    <n v="3"/>
    <n v="1"/>
    <n v="0"/>
    <n v="2"/>
    <s v="Below Avg"/>
    <n v="27.48447204968944"/>
  </r>
  <r>
    <n v="18"/>
    <x v="0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s v="No"/>
    <n v="12"/>
    <n v="3"/>
    <n v="4"/>
    <n v="80"/>
    <n v="0"/>
    <n v="0"/>
    <s v="0-5"/>
    <n v="0"/>
    <n v="3"/>
    <n v="0"/>
    <n v="0"/>
    <n v="0"/>
    <n v="0"/>
    <s v="Below Avg"/>
    <n v="27.527216174183515"/>
  </r>
  <r>
    <n v="33"/>
    <x v="0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s v="Yes"/>
    <n v="17"/>
    <n v="3"/>
    <n v="1"/>
    <n v="80"/>
    <n v="0"/>
    <n v="6"/>
    <s v="6-15"/>
    <n v="3"/>
    <n v="3"/>
    <n v="5"/>
    <n v="2"/>
    <n v="0"/>
    <n v="3"/>
    <s v="Ok"/>
    <n v="27.414330218068532"/>
  </r>
  <r>
    <n v="41"/>
    <x v="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s v="Yes"/>
    <n v="11"/>
    <n v="3"/>
    <n v="1"/>
    <n v="80"/>
    <n v="1"/>
    <n v="6"/>
    <s v="6-15"/>
    <n v="4"/>
    <n v="3"/>
    <n v="1"/>
    <n v="0"/>
    <n v="0"/>
    <n v="0"/>
    <s v="Below Avg"/>
    <n v="27.457098283931359"/>
  </r>
  <r>
    <n v="31"/>
    <x v="0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s v="No"/>
    <n v="12"/>
    <n v="3"/>
    <n v="3"/>
    <n v="80"/>
    <n v="1"/>
    <n v="2"/>
    <s v="0-5"/>
    <n v="5"/>
    <n v="2"/>
    <n v="2"/>
    <n v="2"/>
    <n v="2"/>
    <n v="2"/>
    <s v="Below Avg"/>
    <n v="27.34375"/>
  </r>
  <r>
    <n v="37"/>
    <x v="1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s v="No"/>
    <n v="13"/>
    <n v="3"/>
    <n v="3"/>
    <n v="80"/>
    <n v="2"/>
    <n v="9"/>
    <s v="6-15"/>
    <n v="2"/>
    <n v="3"/>
    <n v="6"/>
    <n v="2"/>
    <n v="1"/>
    <n v="3"/>
    <s v="Below Avg"/>
    <n v="27.230046948356808"/>
  </r>
  <r>
    <n v="27"/>
    <x v="1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s v="No"/>
    <n v="13"/>
    <n v="3"/>
    <n v="3"/>
    <n v="80"/>
    <n v="1"/>
    <n v="4"/>
    <s v="0-5"/>
    <n v="0"/>
    <n v="3"/>
    <n v="4"/>
    <n v="2"/>
    <n v="2"/>
    <n v="2"/>
    <s v="Below Avg"/>
    <n v="27.27272727272727"/>
  </r>
  <r>
    <n v="34"/>
    <x v="1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s v="No"/>
    <n v="20"/>
    <n v="4"/>
    <n v="1"/>
    <n v="80"/>
    <n v="0"/>
    <n v="6"/>
    <s v="6-15"/>
    <n v="3"/>
    <n v="2"/>
    <n v="6"/>
    <n v="5"/>
    <n v="1"/>
    <n v="3"/>
    <s v="Below Avg"/>
    <n v="27.315541601255887"/>
  </r>
  <r>
    <n v="35"/>
    <x v="1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s v="No"/>
    <n v="17"/>
    <n v="3"/>
    <n v="2"/>
    <n v="80"/>
    <n v="0"/>
    <n v="6"/>
    <s v="6-15"/>
    <n v="2"/>
    <n v="1"/>
    <n v="5"/>
    <n v="4"/>
    <n v="1"/>
    <n v="4"/>
    <s v="Below Avg"/>
    <n v="27.358490566037734"/>
  </r>
  <r>
    <n v="29"/>
    <x v="0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s v="No"/>
    <n v="13"/>
    <n v="3"/>
    <n v="1"/>
    <n v="80"/>
    <n v="1"/>
    <n v="11"/>
    <s v="6-15"/>
    <n v="3"/>
    <n v="1"/>
    <n v="11"/>
    <n v="8"/>
    <n v="3"/>
    <n v="10"/>
    <s v="Ok"/>
    <n v="27.401574803149607"/>
  </r>
  <r>
    <n v="40"/>
    <x v="1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s v="No"/>
    <n v="17"/>
    <n v="3"/>
    <n v="3"/>
    <n v="80"/>
    <n v="0"/>
    <n v="20"/>
    <s v="&gt;15"/>
    <n v="3"/>
    <n v="2"/>
    <n v="18"/>
    <n v="7"/>
    <n v="2"/>
    <n v="13"/>
    <s v="Ok"/>
    <n v="27.444794952681388"/>
  </r>
  <r>
    <n v="42"/>
    <x v="0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s v="Yes"/>
    <n v="12"/>
    <n v="3"/>
    <n v="2"/>
    <n v="80"/>
    <n v="0"/>
    <n v="22"/>
    <s v="&gt;15"/>
    <n v="2"/>
    <n v="2"/>
    <n v="21"/>
    <n v="9"/>
    <n v="13"/>
    <n v="14"/>
    <s v="Ok"/>
    <n v="27.488151658767773"/>
  </r>
  <r>
    <n v="42"/>
    <x v="1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s v="No"/>
    <n v="13"/>
    <n v="3"/>
    <n v="4"/>
    <n v="80"/>
    <n v="0"/>
    <n v="9"/>
    <s v="6-15"/>
    <n v="3"/>
    <n v="4"/>
    <n v="6"/>
    <n v="4"/>
    <n v="1"/>
    <n v="5"/>
    <s v="Below Avg"/>
    <n v="27.531645569620256"/>
  </r>
  <r>
    <n v="35"/>
    <x v="1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s v="No"/>
    <n v="12"/>
    <n v="3"/>
    <n v="2"/>
    <n v="80"/>
    <n v="1"/>
    <n v="10"/>
    <s v="6-15"/>
    <n v="2"/>
    <n v="3"/>
    <n v="8"/>
    <n v="0"/>
    <n v="1"/>
    <n v="7"/>
    <s v="Below Avg"/>
    <n v="27.416798732171156"/>
  </r>
  <r>
    <n v="24"/>
    <x v="1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s v="No"/>
    <n v="22"/>
    <n v="4"/>
    <n v="4"/>
    <n v="80"/>
    <n v="0"/>
    <n v="6"/>
    <s v="6-15"/>
    <n v="2"/>
    <n v="3"/>
    <n v="4"/>
    <n v="3"/>
    <n v="1"/>
    <n v="2"/>
    <s v="Below Avg"/>
    <n v="27.460317460317462"/>
  </r>
  <r>
    <n v="28"/>
    <x v="0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s v="Yes"/>
    <n v="11"/>
    <n v="3"/>
    <n v="4"/>
    <n v="80"/>
    <n v="0"/>
    <n v="1"/>
    <s v="0-5"/>
    <n v="4"/>
    <n v="2"/>
    <n v="1"/>
    <n v="1"/>
    <n v="0"/>
    <n v="0"/>
    <s v="Below Avg"/>
    <n v="27.503974562798096"/>
  </r>
  <r>
    <n v="26"/>
    <x v="1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s v="No"/>
    <n v="22"/>
    <n v="4"/>
    <n v="2"/>
    <n v="80"/>
    <n v="1"/>
    <n v="8"/>
    <s v="6-15"/>
    <n v="2"/>
    <n v="3"/>
    <n v="8"/>
    <n v="7"/>
    <n v="0"/>
    <n v="7"/>
    <s v="Below Avg"/>
    <n v="27.547770700636942"/>
  </r>
  <r>
    <n v="30"/>
    <x v="1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s v="No"/>
    <n v="18"/>
    <n v="3"/>
    <n v="1"/>
    <n v="80"/>
    <n v="1"/>
    <n v="10"/>
    <s v="6-15"/>
    <n v="3"/>
    <n v="3"/>
    <n v="10"/>
    <n v="3"/>
    <n v="1"/>
    <n v="4"/>
    <s v="Below Avg"/>
    <n v="27.432216905901118"/>
  </r>
  <r>
    <n v="40"/>
    <x v="1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s v="Yes"/>
    <n v="13"/>
    <n v="3"/>
    <n v="4"/>
    <n v="80"/>
    <n v="1"/>
    <n v="16"/>
    <s v="&gt;15"/>
    <n v="3"/>
    <n v="1"/>
    <n v="1"/>
    <n v="1"/>
    <n v="0"/>
    <n v="0"/>
    <s v="Below Avg"/>
    <n v="27.476038338658149"/>
  </r>
  <r>
    <n v="35"/>
    <x v="1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s v="No"/>
    <n v="18"/>
    <n v="3"/>
    <n v="2"/>
    <n v="80"/>
    <n v="1"/>
    <n v="15"/>
    <s v="6-15"/>
    <n v="2"/>
    <n v="4"/>
    <n v="7"/>
    <n v="7"/>
    <n v="6"/>
    <n v="4"/>
    <s v="Ok"/>
    <n v="27.52"/>
  </r>
  <r>
    <n v="34"/>
    <x v="1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s v="No"/>
    <n v="20"/>
    <n v="4"/>
    <n v="3"/>
    <n v="80"/>
    <n v="0"/>
    <n v="14"/>
    <s v="6-15"/>
    <n v="3"/>
    <n v="3"/>
    <n v="13"/>
    <n v="9"/>
    <n v="4"/>
    <n v="9"/>
    <s v="Below Avg"/>
    <n v="27.403846153846157"/>
  </r>
  <r>
    <n v="35"/>
    <x v="1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s v="No"/>
    <n v="13"/>
    <n v="3"/>
    <n v="2"/>
    <n v="80"/>
    <n v="1"/>
    <n v="2"/>
    <s v="0-5"/>
    <n v="2"/>
    <n v="4"/>
    <n v="2"/>
    <n v="2"/>
    <n v="2"/>
    <n v="2"/>
    <s v="Below Avg"/>
    <n v="27.447833065810595"/>
  </r>
  <r>
    <n v="43"/>
    <x v="0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s v="No"/>
    <n v="13"/>
    <n v="3"/>
    <n v="2"/>
    <n v="80"/>
    <n v="0"/>
    <n v="7"/>
    <s v="6-15"/>
    <n v="2"/>
    <n v="2"/>
    <n v="4"/>
    <n v="3"/>
    <n v="1"/>
    <n v="3"/>
    <s v="Below Avg"/>
    <n v="27.491961414790993"/>
  </r>
  <r>
    <n v="32"/>
    <x v="1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s v="No"/>
    <n v="12"/>
    <n v="3"/>
    <n v="3"/>
    <n v="80"/>
    <n v="3"/>
    <n v="1"/>
    <s v="0-5"/>
    <n v="3"/>
    <n v="3"/>
    <n v="1"/>
    <n v="0"/>
    <n v="0"/>
    <n v="0"/>
    <s v="Below Avg"/>
    <n v="27.536231884057973"/>
  </r>
  <r>
    <n v="56"/>
    <x v="1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s v="No"/>
    <n v="13"/>
    <n v="3"/>
    <n v="4"/>
    <n v="80"/>
    <n v="1"/>
    <n v="28"/>
    <s v="&gt;15"/>
    <n v="2"/>
    <n v="3"/>
    <n v="5"/>
    <n v="2"/>
    <n v="4"/>
    <n v="2"/>
    <s v="Ok"/>
    <n v="27.580645161290324"/>
  </r>
  <r>
    <n v="29"/>
    <x v="1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s v="No"/>
    <n v="13"/>
    <n v="3"/>
    <n v="1"/>
    <n v="80"/>
    <n v="1"/>
    <n v="10"/>
    <s v="6-15"/>
    <n v="5"/>
    <n v="3"/>
    <n v="10"/>
    <n v="8"/>
    <n v="0"/>
    <n v="8"/>
    <s v="Below Avg"/>
    <n v="27.625201938610662"/>
  </r>
  <r>
    <n v="19"/>
    <x v="1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s v="No"/>
    <n v="25"/>
    <n v="4"/>
    <n v="3"/>
    <n v="80"/>
    <n v="0"/>
    <n v="1"/>
    <s v="0-5"/>
    <n v="4"/>
    <n v="3"/>
    <n v="1"/>
    <n v="1"/>
    <n v="0"/>
    <n v="0"/>
    <s v="Below Avg"/>
    <n v="27.669902912621357"/>
  </r>
  <r>
    <n v="45"/>
    <x v="1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s v="Yes"/>
    <n v="19"/>
    <n v="3"/>
    <n v="3"/>
    <n v="80"/>
    <n v="1"/>
    <n v="7"/>
    <s v="6-15"/>
    <n v="2"/>
    <n v="2"/>
    <n v="3"/>
    <n v="2"/>
    <n v="0"/>
    <n v="2"/>
    <s v="Below Avg"/>
    <n v="27.71474878444084"/>
  </r>
  <r>
    <n v="37"/>
    <x v="1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s v="No"/>
    <n v="13"/>
    <n v="3"/>
    <n v="2"/>
    <n v="80"/>
    <n v="1"/>
    <n v="14"/>
    <s v="6-15"/>
    <n v="2"/>
    <n v="2"/>
    <n v="14"/>
    <n v="8"/>
    <n v="3"/>
    <n v="11"/>
    <s v="Ok"/>
    <n v="27.759740259740262"/>
  </r>
  <r>
    <n v="20"/>
    <x v="1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s v="No"/>
    <n v="12"/>
    <n v="3"/>
    <n v="1"/>
    <n v="80"/>
    <n v="0"/>
    <n v="2"/>
    <s v="0-5"/>
    <n v="2"/>
    <n v="2"/>
    <n v="2"/>
    <n v="2"/>
    <n v="1"/>
    <n v="2"/>
    <s v="Below Avg"/>
    <n v="27.64227642276423"/>
  </r>
  <r>
    <n v="44"/>
    <x v="0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s v="Yes"/>
    <n v="11"/>
    <n v="3"/>
    <n v="3"/>
    <n v="80"/>
    <n v="0"/>
    <n v="6"/>
    <s v="6-15"/>
    <n v="4"/>
    <n v="3"/>
    <n v="6"/>
    <n v="4"/>
    <n v="0"/>
    <n v="2"/>
    <s v="Below Avg"/>
    <n v="27.687296416938111"/>
  </r>
  <r>
    <n v="53"/>
    <x v="1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s v="No"/>
    <n v="18"/>
    <n v="3"/>
    <n v="2"/>
    <n v="80"/>
    <n v="1"/>
    <n v="26"/>
    <s v="&gt;15"/>
    <n v="6"/>
    <n v="3"/>
    <n v="7"/>
    <n v="7"/>
    <n v="4"/>
    <n v="7"/>
    <s v="Ok"/>
    <n v="27.732463295269167"/>
  </r>
  <r>
    <n v="29"/>
    <x v="1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s v="Yes"/>
    <n v="18"/>
    <n v="3"/>
    <n v="1"/>
    <n v="80"/>
    <n v="1"/>
    <n v="6"/>
    <s v="6-15"/>
    <n v="2"/>
    <n v="2"/>
    <n v="5"/>
    <n v="4"/>
    <n v="1"/>
    <n v="3"/>
    <s v="Below Avg"/>
    <n v="27.614379084967322"/>
  </r>
  <r>
    <n v="22"/>
    <x v="0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s v="Yes"/>
    <n v="11"/>
    <n v="3"/>
    <n v="2"/>
    <n v="80"/>
    <n v="1"/>
    <n v="1"/>
    <s v="0-5"/>
    <n v="5"/>
    <n v="3"/>
    <n v="0"/>
    <n v="0"/>
    <n v="0"/>
    <n v="0"/>
    <s v="Below Avg"/>
    <n v="27.659574468085108"/>
  </r>
  <r>
    <n v="46"/>
    <x v="1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s v="No"/>
    <n v="23"/>
    <n v="4"/>
    <n v="1"/>
    <n v="80"/>
    <n v="0"/>
    <n v="28"/>
    <s v="&gt;15"/>
    <n v="2"/>
    <n v="3"/>
    <n v="26"/>
    <n v="15"/>
    <n v="15"/>
    <n v="9"/>
    <s v="Ok"/>
    <n v="27.540983606557379"/>
  </r>
  <r>
    <n v="44"/>
    <x v="1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s v="No"/>
    <n v="13"/>
    <n v="3"/>
    <n v="4"/>
    <n v="80"/>
    <n v="0"/>
    <n v="6"/>
    <s v="6-15"/>
    <n v="3"/>
    <n v="3"/>
    <n v="0"/>
    <n v="0"/>
    <n v="0"/>
    <n v="0"/>
    <s v="Below Avg"/>
    <n v="27.42200328407225"/>
  </r>
  <r>
    <n v="33"/>
    <x v="1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s v="No"/>
    <n v="13"/>
    <n v="3"/>
    <n v="4"/>
    <n v="80"/>
    <n v="1"/>
    <n v="5"/>
    <s v="0-5"/>
    <n v="2"/>
    <n v="3"/>
    <n v="5"/>
    <n v="4"/>
    <n v="1"/>
    <n v="4"/>
    <s v="Below Avg"/>
    <n v="27.467105263157894"/>
  </r>
  <r>
    <n v="41"/>
    <x v="0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s v="No"/>
    <n v="17"/>
    <n v="3"/>
    <n v="1"/>
    <n v="80"/>
    <n v="1"/>
    <n v="5"/>
    <s v="0-5"/>
    <n v="2"/>
    <n v="1"/>
    <n v="1"/>
    <n v="0"/>
    <n v="0"/>
    <n v="0"/>
    <s v="Below Avg"/>
    <n v="27.512355848434929"/>
  </r>
  <r>
    <n v="30"/>
    <x v="1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s v="No"/>
    <n v="19"/>
    <n v="3"/>
    <n v="3"/>
    <n v="80"/>
    <n v="3"/>
    <n v="8"/>
    <s v="6-15"/>
    <n v="3"/>
    <n v="3"/>
    <n v="4"/>
    <n v="3"/>
    <n v="0"/>
    <n v="3"/>
    <s v="Below Avg"/>
    <n v="27.557755775577558"/>
  </r>
  <r>
    <n v="40"/>
    <x v="1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s v="No"/>
    <n v="12"/>
    <n v="3"/>
    <n v="4"/>
    <n v="80"/>
    <n v="3"/>
    <n v="5"/>
    <s v="0-5"/>
    <n v="2"/>
    <n v="3"/>
    <n v="0"/>
    <n v="0"/>
    <n v="0"/>
    <n v="0"/>
    <s v="Below Avg"/>
    <n v="27.603305785123965"/>
  </r>
  <r>
    <n v="50"/>
    <x v="1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s v="No"/>
    <n v="22"/>
    <n v="4"/>
    <n v="3"/>
    <n v="80"/>
    <n v="1"/>
    <n v="32"/>
    <s v="&gt;15"/>
    <n v="3"/>
    <n v="3"/>
    <n v="2"/>
    <n v="2"/>
    <n v="2"/>
    <n v="2"/>
    <s v="Ok"/>
    <n v="27.649006622516559"/>
  </r>
  <r>
    <n v="28"/>
    <x v="1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s v="No"/>
    <n v="12"/>
    <n v="3"/>
    <n v="3"/>
    <n v="80"/>
    <n v="3"/>
    <n v="6"/>
    <s v="6-15"/>
    <n v="2"/>
    <n v="3"/>
    <n v="6"/>
    <n v="5"/>
    <n v="3"/>
    <n v="3"/>
    <s v="Below Avg"/>
    <n v="27.694859038142621"/>
  </r>
  <r>
    <n v="46"/>
    <x v="1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s v="No"/>
    <n v="11"/>
    <n v="3"/>
    <n v="1"/>
    <n v="80"/>
    <n v="1"/>
    <n v="25"/>
    <s v="&gt;15"/>
    <n v="2"/>
    <n v="3"/>
    <n v="4"/>
    <n v="2"/>
    <n v="0"/>
    <n v="3"/>
    <s v="Ok"/>
    <n v="27.740863787375414"/>
  </r>
  <r>
    <n v="35"/>
    <x v="1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s v="Yes"/>
    <n v="15"/>
    <n v="3"/>
    <n v="4"/>
    <n v="80"/>
    <n v="3"/>
    <n v="15"/>
    <s v="6-15"/>
    <n v="2"/>
    <n v="3"/>
    <n v="7"/>
    <n v="7"/>
    <n v="1"/>
    <n v="7"/>
    <s v="Ok"/>
    <n v="27.787021630615637"/>
  </r>
  <r>
    <n v="24"/>
    <x v="0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s v="No"/>
    <n v="13"/>
    <n v="3"/>
    <n v="1"/>
    <n v="80"/>
    <n v="1"/>
    <n v="1"/>
    <s v="0-5"/>
    <n v="3"/>
    <n v="1"/>
    <n v="1"/>
    <n v="0"/>
    <n v="0"/>
    <n v="0"/>
    <s v="Below Avg"/>
    <n v="27.833333333333332"/>
  </r>
  <r>
    <n v="33"/>
    <x v="1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s v="No"/>
    <n v="12"/>
    <n v="3"/>
    <n v="1"/>
    <n v="80"/>
    <n v="1"/>
    <n v="10"/>
    <s v="6-15"/>
    <n v="3"/>
    <n v="2"/>
    <n v="10"/>
    <n v="7"/>
    <n v="0"/>
    <n v="1"/>
    <s v="Below Avg"/>
    <n v="27.712854757929883"/>
  </r>
  <r>
    <n v="36"/>
    <x v="1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s v="No"/>
    <n v="14"/>
    <n v="3"/>
    <n v="3"/>
    <n v="80"/>
    <n v="1"/>
    <n v="7"/>
    <s v="6-15"/>
    <n v="4"/>
    <n v="3"/>
    <n v="7"/>
    <n v="7"/>
    <n v="1"/>
    <n v="7"/>
    <s v="Below Avg"/>
    <n v="27.759197324414714"/>
  </r>
  <r>
    <n v="30"/>
    <x v="1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s v="No"/>
    <n v="13"/>
    <n v="3"/>
    <n v="1"/>
    <n v="80"/>
    <n v="3"/>
    <n v="10"/>
    <s v="6-15"/>
    <n v="4"/>
    <n v="2"/>
    <n v="10"/>
    <n v="7"/>
    <n v="8"/>
    <n v="9"/>
    <s v="Below Avg"/>
    <n v="27.805695142378561"/>
  </r>
  <r>
    <n v="44"/>
    <x v="1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s v="No"/>
    <n v="25"/>
    <n v="4"/>
    <n v="2"/>
    <n v="80"/>
    <n v="0"/>
    <n v="20"/>
    <s v="&gt;15"/>
    <n v="3"/>
    <n v="3"/>
    <n v="20"/>
    <n v="11"/>
    <n v="13"/>
    <n v="17"/>
    <s v="Below Avg"/>
    <n v="27.85234899328859"/>
  </r>
  <r>
    <n v="20"/>
    <x v="1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s v="No"/>
    <n v="17"/>
    <n v="3"/>
    <n v="4"/>
    <n v="80"/>
    <n v="0"/>
    <n v="2"/>
    <s v="0-5"/>
    <n v="2"/>
    <n v="3"/>
    <n v="2"/>
    <n v="1"/>
    <n v="2"/>
    <n v="2"/>
    <s v="Below Avg"/>
    <n v="27.899159663865547"/>
  </r>
  <r>
    <n v="46"/>
    <x v="1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s v="No"/>
    <n v="11"/>
    <n v="3"/>
    <n v="3"/>
    <n v="80"/>
    <n v="1"/>
    <n v="12"/>
    <s v="6-15"/>
    <n v="3"/>
    <n v="2"/>
    <n v="6"/>
    <n v="3"/>
    <n v="1"/>
    <n v="4"/>
    <s v="Ok"/>
    <n v="27.946127946127948"/>
  </r>
  <r>
    <n v="42"/>
    <x v="1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s v="No"/>
    <n v="16"/>
    <n v="3"/>
    <n v="1"/>
    <n v="80"/>
    <n v="1"/>
    <n v="10"/>
    <s v="6-15"/>
    <n v="3"/>
    <n v="4"/>
    <n v="4"/>
    <n v="3"/>
    <n v="0"/>
    <n v="3"/>
    <s v="Below Avg"/>
    <n v="27.99325463743676"/>
  </r>
  <r>
    <n v="60"/>
    <x v="1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s v="Yes"/>
    <n v="18"/>
    <n v="3"/>
    <n v="2"/>
    <n v="80"/>
    <n v="1"/>
    <n v="12"/>
    <s v="6-15"/>
    <n v="3"/>
    <n v="3"/>
    <n v="11"/>
    <n v="7"/>
    <n v="1"/>
    <n v="9"/>
    <s v="Below Avg"/>
    <n v="28.040540540540544"/>
  </r>
  <r>
    <n v="32"/>
    <x v="1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s v="No"/>
    <n v="20"/>
    <n v="4"/>
    <n v="3"/>
    <n v="80"/>
    <n v="1"/>
    <n v="2"/>
    <s v="0-5"/>
    <n v="2"/>
    <n v="3"/>
    <n v="2"/>
    <n v="2"/>
    <n v="2"/>
    <n v="2"/>
    <s v="Below Avg"/>
    <n v="28.087986463620979"/>
  </r>
  <r>
    <n v="32"/>
    <x v="1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s v="Yes"/>
    <n v="14"/>
    <n v="3"/>
    <n v="4"/>
    <n v="80"/>
    <n v="0"/>
    <n v="10"/>
    <s v="6-15"/>
    <n v="2"/>
    <n v="3"/>
    <n v="8"/>
    <n v="7"/>
    <n v="0"/>
    <n v="7"/>
    <s v="Below Avg"/>
    <n v="27.966101694915253"/>
  </r>
  <r>
    <n v="36"/>
    <x v="1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s v="Yes"/>
    <n v="21"/>
    <n v="4"/>
    <n v="3"/>
    <n v="80"/>
    <n v="1"/>
    <n v="17"/>
    <s v="&gt;15"/>
    <n v="2"/>
    <n v="3"/>
    <n v="7"/>
    <n v="7"/>
    <n v="7"/>
    <n v="7"/>
    <s v="Ok"/>
    <n v="28.013582342954159"/>
  </r>
  <r>
    <n v="33"/>
    <x v="1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s v="No"/>
    <n v="13"/>
    <n v="3"/>
    <n v="2"/>
    <n v="80"/>
    <n v="1"/>
    <n v="15"/>
    <s v="6-15"/>
    <n v="5"/>
    <n v="3"/>
    <n v="14"/>
    <n v="10"/>
    <n v="4"/>
    <n v="10"/>
    <s v="Below Avg"/>
    <n v="27.89115646258503"/>
  </r>
  <r>
    <n v="40"/>
    <x v="1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s v="No"/>
    <n v="12"/>
    <n v="3"/>
    <n v="2"/>
    <n v="80"/>
    <n v="1"/>
    <n v="7"/>
    <s v="6-15"/>
    <n v="2"/>
    <n v="4"/>
    <n v="5"/>
    <n v="1"/>
    <n v="1"/>
    <n v="3"/>
    <s v="Below Avg"/>
    <n v="27.768313458262352"/>
  </r>
  <r>
    <n v="25"/>
    <x v="1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s v="No"/>
    <n v="14"/>
    <n v="3"/>
    <n v="2"/>
    <n v="80"/>
    <n v="0"/>
    <n v="5"/>
    <s v="0-5"/>
    <n v="4"/>
    <n v="3"/>
    <n v="4"/>
    <n v="3"/>
    <n v="1"/>
    <n v="1"/>
    <s v="Below Avg"/>
    <n v="27.815699658703068"/>
  </r>
  <r>
    <n v="30"/>
    <x v="1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s v="Yes"/>
    <n v="21"/>
    <n v="4"/>
    <n v="1"/>
    <n v="80"/>
    <n v="1"/>
    <n v="12"/>
    <s v="6-15"/>
    <n v="2"/>
    <n v="3"/>
    <n v="11"/>
    <n v="9"/>
    <n v="5"/>
    <n v="7"/>
    <s v="Below Avg"/>
    <n v="27.863247863247864"/>
  </r>
  <r>
    <n v="42"/>
    <x v="1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s v="Yes"/>
    <n v="17"/>
    <n v="3"/>
    <n v="3"/>
    <n v="80"/>
    <n v="0"/>
    <n v="20"/>
    <s v="&gt;15"/>
    <n v="6"/>
    <n v="3"/>
    <n v="1"/>
    <n v="0"/>
    <n v="0"/>
    <n v="0"/>
    <s v="Ok"/>
    <n v="27.910958904109588"/>
  </r>
  <r>
    <n v="35"/>
    <x v="1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s v="Yes"/>
    <n v="11"/>
    <n v="3"/>
    <n v="2"/>
    <n v="80"/>
    <n v="1"/>
    <n v="16"/>
    <s v="&gt;15"/>
    <n v="6"/>
    <n v="2"/>
    <n v="13"/>
    <n v="2"/>
    <n v="4"/>
    <n v="12"/>
    <s v="Ok"/>
    <n v="27.787307032590054"/>
  </r>
  <r>
    <n v="27"/>
    <x v="1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s v="Yes"/>
    <n v="14"/>
    <n v="3"/>
    <n v="4"/>
    <n v="80"/>
    <n v="2"/>
    <n v="9"/>
    <s v="6-15"/>
    <n v="3"/>
    <n v="2"/>
    <n v="9"/>
    <n v="7"/>
    <n v="6"/>
    <n v="8"/>
    <s v="Below Avg"/>
    <n v="27.663230240549829"/>
  </r>
  <r>
    <n v="54"/>
    <x v="1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s v="No"/>
    <n v="17"/>
    <n v="3"/>
    <n v="1"/>
    <n v="80"/>
    <n v="1"/>
    <n v="33"/>
    <s v="&gt;15"/>
    <n v="2"/>
    <n v="1"/>
    <n v="5"/>
    <n v="4"/>
    <n v="1"/>
    <n v="4"/>
    <s v="Ok"/>
    <n v="27.538726333907054"/>
  </r>
  <r>
    <n v="44"/>
    <x v="1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s v="No"/>
    <n v="13"/>
    <n v="3"/>
    <n v="4"/>
    <n v="80"/>
    <n v="1"/>
    <n v="10"/>
    <s v="6-15"/>
    <n v="5"/>
    <n v="3"/>
    <n v="10"/>
    <n v="5"/>
    <n v="7"/>
    <n v="7"/>
    <s v="Below Avg"/>
    <n v="27.413793103448274"/>
  </r>
  <r>
    <n v="19"/>
    <x v="0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s v="Yes"/>
    <n v="25"/>
    <n v="4"/>
    <n v="2"/>
    <n v="80"/>
    <n v="0"/>
    <n v="1"/>
    <s v="0-5"/>
    <n v="2"/>
    <n v="4"/>
    <n v="1"/>
    <n v="1"/>
    <n v="0"/>
    <n v="0"/>
    <s v="Below Avg"/>
    <n v="27.461139896373055"/>
  </r>
  <r>
    <n v="29"/>
    <x v="1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s v="No"/>
    <n v="15"/>
    <n v="3"/>
    <n v="1"/>
    <n v="80"/>
    <n v="3"/>
    <n v="3"/>
    <s v="0-5"/>
    <n v="5"/>
    <n v="3"/>
    <n v="3"/>
    <n v="2"/>
    <n v="1"/>
    <n v="2"/>
    <s v="Below Avg"/>
    <n v="27.508650519031143"/>
  </r>
  <r>
    <n v="54"/>
    <x v="1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s v="No"/>
    <n v="14"/>
    <n v="3"/>
    <n v="1"/>
    <n v="80"/>
    <n v="0"/>
    <n v="36"/>
    <s v="&gt;15"/>
    <n v="2"/>
    <n v="3"/>
    <n v="10"/>
    <n v="9"/>
    <n v="0"/>
    <n v="9"/>
    <s v="Ok"/>
    <n v="27.383015597920281"/>
  </r>
  <r>
    <n v="31"/>
    <x v="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s v="Yes"/>
    <n v="12"/>
    <n v="3"/>
    <n v="4"/>
    <n v="80"/>
    <n v="0"/>
    <n v="6"/>
    <s v="6-15"/>
    <n v="2"/>
    <n v="2"/>
    <n v="6"/>
    <n v="5"/>
    <n v="0"/>
    <n v="1"/>
    <s v="Ok"/>
    <n v="27.430555555555557"/>
  </r>
  <r>
    <n v="31"/>
    <x v="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s v="No"/>
    <n v="19"/>
    <n v="3"/>
    <n v="2"/>
    <n v="80"/>
    <n v="0"/>
    <n v="10"/>
    <s v="6-15"/>
    <n v="2"/>
    <n v="3"/>
    <n v="10"/>
    <n v="9"/>
    <n v="1"/>
    <n v="8"/>
    <s v="Ok"/>
    <n v="27.478260869565219"/>
  </r>
  <r>
    <n v="59"/>
    <x v="1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s v="No"/>
    <n v="17"/>
    <n v="3"/>
    <n v="4"/>
    <n v="80"/>
    <n v="0"/>
    <n v="13"/>
    <s v="6-15"/>
    <n v="2"/>
    <n v="3"/>
    <n v="6"/>
    <n v="1"/>
    <n v="0"/>
    <n v="5"/>
    <s v="Below Avg"/>
    <n v="27.351916376306619"/>
  </r>
  <r>
    <n v="43"/>
    <x v="1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s v="No"/>
    <n v="14"/>
    <n v="3"/>
    <n v="2"/>
    <n v="80"/>
    <n v="1"/>
    <n v="25"/>
    <s v="&gt;15"/>
    <n v="2"/>
    <n v="3"/>
    <n v="8"/>
    <n v="7"/>
    <n v="0"/>
    <n v="7"/>
    <s v="Ok"/>
    <n v="27.399650959860384"/>
  </r>
  <r>
    <n v="49"/>
    <x v="1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s v="No"/>
    <n v="13"/>
    <n v="3"/>
    <n v="3"/>
    <n v="80"/>
    <n v="1"/>
    <n v="23"/>
    <s v="&gt;15"/>
    <n v="2"/>
    <n v="4"/>
    <n v="1"/>
    <n v="0"/>
    <n v="0"/>
    <n v="0"/>
    <s v="Ok"/>
    <n v="27.447552447552447"/>
  </r>
  <r>
    <n v="36"/>
    <x v="1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s v="No"/>
    <n v="12"/>
    <n v="3"/>
    <n v="3"/>
    <n v="80"/>
    <n v="0"/>
    <n v="12"/>
    <s v="6-15"/>
    <n v="2"/>
    <n v="2"/>
    <n v="11"/>
    <n v="10"/>
    <n v="0"/>
    <n v="7"/>
    <s v="Below Avg"/>
    <n v="27.495621716287218"/>
  </r>
  <r>
    <n v="48"/>
    <x v="1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s v="No"/>
    <n v="11"/>
    <n v="3"/>
    <n v="3"/>
    <n v="80"/>
    <n v="0"/>
    <n v="7"/>
    <s v="6-15"/>
    <n v="4"/>
    <n v="2"/>
    <n v="1"/>
    <n v="0"/>
    <n v="0"/>
    <n v="0"/>
    <s v="Below Avg"/>
    <n v="27.543859649122808"/>
  </r>
  <r>
    <n v="27"/>
    <x v="1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s v="No"/>
    <n v="11"/>
    <n v="3"/>
    <n v="2"/>
    <n v="80"/>
    <n v="3"/>
    <n v="5"/>
    <s v="0-5"/>
    <n v="2"/>
    <n v="3"/>
    <n v="5"/>
    <n v="3"/>
    <n v="0"/>
    <n v="3"/>
    <s v="Below Avg"/>
    <n v="27.592267135325134"/>
  </r>
  <r>
    <n v="29"/>
    <x v="1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s v="Yes"/>
    <n v="11"/>
    <n v="3"/>
    <n v="2"/>
    <n v="80"/>
    <n v="2"/>
    <n v="6"/>
    <s v="6-15"/>
    <n v="2"/>
    <n v="3"/>
    <n v="6"/>
    <n v="0"/>
    <n v="1"/>
    <n v="0"/>
    <s v="Ok"/>
    <n v="27.640845070422536"/>
  </r>
  <r>
    <n v="48"/>
    <x v="1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s v="No"/>
    <n v="12"/>
    <n v="3"/>
    <n v="3"/>
    <n v="80"/>
    <n v="0"/>
    <n v="25"/>
    <s v="&gt;15"/>
    <n v="3"/>
    <n v="4"/>
    <n v="1"/>
    <n v="0"/>
    <n v="0"/>
    <n v="0"/>
    <s v="Ok"/>
    <n v="27.689594356261022"/>
  </r>
  <r>
    <n v="29"/>
    <x v="1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s v="No"/>
    <n v="14"/>
    <n v="3"/>
    <n v="2"/>
    <n v="80"/>
    <n v="2"/>
    <n v="9"/>
    <s v="6-15"/>
    <n v="2"/>
    <n v="2"/>
    <n v="7"/>
    <n v="7"/>
    <n v="1"/>
    <n v="7"/>
    <s v="Ok"/>
    <n v="27.561837455830389"/>
  </r>
  <r>
    <n v="34"/>
    <x v="1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s v="No"/>
    <n v="17"/>
    <n v="3"/>
    <n v="4"/>
    <n v="80"/>
    <n v="0"/>
    <n v="2"/>
    <s v="0-5"/>
    <n v="5"/>
    <n v="2"/>
    <n v="1"/>
    <n v="0"/>
    <n v="0"/>
    <n v="0"/>
    <s v="Below Avg"/>
    <n v="27.610619469026549"/>
  </r>
  <r>
    <n v="44"/>
    <x v="1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s v="No"/>
    <n v="11"/>
    <n v="3"/>
    <n v="3"/>
    <n v="80"/>
    <n v="1"/>
    <n v="26"/>
    <s v="&gt;15"/>
    <n v="5"/>
    <n v="3"/>
    <n v="22"/>
    <n v="9"/>
    <n v="3"/>
    <n v="10"/>
    <s v="Ok"/>
    <n v="27.659574468085108"/>
  </r>
  <r>
    <n v="33"/>
    <x v="1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s v="Yes"/>
    <n v="14"/>
    <n v="3"/>
    <n v="4"/>
    <n v="80"/>
    <n v="2"/>
    <n v="10"/>
    <s v="6-15"/>
    <n v="3"/>
    <n v="3"/>
    <n v="9"/>
    <n v="8"/>
    <n v="0"/>
    <n v="8"/>
    <s v="Ok"/>
    <n v="27.708703374777976"/>
  </r>
  <r>
    <n v="19"/>
    <x v="1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s v="Yes"/>
    <n v="12"/>
    <n v="3"/>
    <n v="4"/>
    <n v="80"/>
    <n v="0"/>
    <n v="1"/>
    <s v="0-5"/>
    <n v="2"/>
    <n v="3"/>
    <n v="1"/>
    <n v="0"/>
    <n v="0"/>
    <n v="1"/>
    <s v="Below Avg"/>
    <n v="27.758007117437721"/>
  </r>
  <r>
    <n v="23"/>
    <x v="1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s v="No"/>
    <n v="22"/>
    <n v="4"/>
    <n v="4"/>
    <n v="80"/>
    <n v="1"/>
    <n v="1"/>
    <s v="0-5"/>
    <n v="2"/>
    <n v="3"/>
    <n v="1"/>
    <n v="0"/>
    <n v="0"/>
    <n v="1"/>
    <s v="Below Avg"/>
    <n v="27.629233511586452"/>
  </r>
  <r>
    <n v="25"/>
    <x v="0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s v="Yes"/>
    <n v="14"/>
    <n v="3"/>
    <n v="4"/>
    <n v="80"/>
    <n v="0"/>
    <n v="1"/>
    <s v="0-5"/>
    <n v="4"/>
    <n v="3"/>
    <n v="1"/>
    <n v="0"/>
    <n v="1"/>
    <n v="0"/>
    <s v="Below Avg"/>
    <n v="27.500000000000004"/>
  </r>
  <r>
    <n v="26"/>
    <x v="1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s v="Yes"/>
    <n v="20"/>
    <n v="4"/>
    <n v="2"/>
    <n v="80"/>
    <n v="0"/>
    <n v="8"/>
    <s v="6-15"/>
    <n v="2"/>
    <n v="2"/>
    <n v="8"/>
    <n v="5"/>
    <n v="2"/>
    <n v="2"/>
    <s v="Below Avg"/>
    <n v="27.549194991055455"/>
  </r>
  <r>
    <n v="45"/>
    <x v="0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s v="Yes"/>
    <n v="16"/>
    <n v="3"/>
    <n v="1"/>
    <n v="80"/>
    <n v="0"/>
    <n v="26"/>
    <s v="&gt;15"/>
    <n v="2"/>
    <n v="3"/>
    <n v="24"/>
    <n v="10"/>
    <n v="1"/>
    <n v="11"/>
    <s v="Ok"/>
    <n v="27.419354838709676"/>
  </r>
  <r>
    <n v="55"/>
    <x v="1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s v="Yes"/>
    <n v="15"/>
    <n v="3"/>
    <n v="4"/>
    <n v="80"/>
    <n v="1"/>
    <n v="34"/>
    <s v="&gt;15"/>
    <n v="3"/>
    <n v="3"/>
    <n v="33"/>
    <n v="9"/>
    <n v="15"/>
    <n v="0"/>
    <s v="Ok"/>
    <n v="27.289048473967686"/>
  </r>
  <r>
    <n v="21"/>
    <x v="0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s v="No"/>
    <n v="20"/>
    <n v="4"/>
    <n v="3"/>
    <n v="80"/>
    <n v="0"/>
    <n v="2"/>
    <s v="0-5"/>
    <n v="2"/>
    <n v="1"/>
    <n v="2"/>
    <n v="2"/>
    <n v="2"/>
    <n v="2"/>
    <s v="Below Avg"/>
    <n v="27.158273381294961"/>
  </r>
  <r>
    <n v="46"/>
    <x v="1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s v="No"/>
    <n v="14"/>
    <n v="3"/>
    <n v="3"/>
    <n v="80"/>
    <n v="1"/>
    <n v="26"/>
    <s v="&gt;15"/>
    <n v="2"/>
    <n v="3"/>
    <n v="11"/>
    <n v="4"/>
    <n v="0"/>
    <n v="8"/>
    <s v="Ok"/>
    <n v="27.027027027027028"/>
  </r>
  <r>
    <n v="34"/>
    <x v="1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s v="Yes"/>
    <n v="12"/>
    <n v="3"/>
    <n v="4"/>
    <n v="80"/>
    <n v="0"/>
    <n v="4"/>
    <s v="0-5"/>
    <n v="3"/>
    <n v="3"/>
    <n v="3"/>
    <n v="2"/>
    <n v="0"/>
    <n v="2"/>
    <s v="Below Avg"/>
    <n v="27.075812274368232"/>
  </r>
  <r>
    <n v="51"/>
    <x v="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s v="Yes"/>
    <n v="24"/>
    <n v="4"/>
    <n v="1"/>
    <n v="80"/>
    <n v="1"/>
    <n v="31"/>
    <s v="&gt;15"/>
    <n v="5"/>
    <n v="2"/>
    <n v="29"/>
    <n v="10"/>
    <n v="11"/>
    <n v="10"/>
    <s v="Ok"/>
    <n v="27.124773960216999"/>
  </r>
  <r>
    <n v="59"/>
    <x v="1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s v="No"/>
    <n v="12"/>
    <n v="3"/>
    <n v="4"/>
    <n v="80"/>
    <n v="0"/>
    <n v="25"/>
    <s v="&gt;15"/>
    <n v="6"/>
    <n v="2"/>
    <n v="9"/>
    <n v="7"/>
    <n v="5"/>
    <n v="4"/>
    <s v="Ok"/>
    <n v="26.992753623188403"/>
  </r>
  <r>
    <n v="34"/>
    <x v="1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s v="No"/>
    <n v="13"/>
    <n v="3"/>
    <n v="3"/>
    <n v="80"/>
    <n v="2"/>
    <n v="15"/>
    <s v="6-15"/>
    <n v="2"/>
    <n v="4"/>
    <n v="11"/>
    <n v="8"/>
    <n v="5"/>
    <n v="10"/>
    <s v="Below Avg"/>
    <n v="26.860254083484573"/>
  </r>
  <r>
    <n v="28"/>
    <x v="1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s v="Yes"/>
    <n v="11"/>
    <n v="3"/>
    <n v="3"/>
    <n v="80"/>
    <n v="0"/>
    <n v="5"/>
    <s v="0-5"/>
    <n v="2"/>
    <n v="2"/>
    <n v="4"/>
    <n v="2"/>
    <n v="0"/>
    <n v="2"/>
    <s v="Below Avg"/>
    <n v="26.90909090909091"/>
  </r>
  <r>
    <n v="44"/>
    <x v="1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s v="No"/>
    <n v="14"/>
    <n v="3"/>
    <n v="4"/>
    <n v="80"/>
    <n v="2"/>
    <n v="26"/>
    <s v="&gt;15"/>
    <n v="4"/>
    <n v="2"/>
    <n v="25"/>
    <n v="9"/>
    <n v="14"/>
    <n v="13"/>
    <s v="Ok"/>
    <n v="26.958105646630237"/>
  </r>
  <r>
    <n v="34"/>
    <x v="1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s v="No"/>
    <n v="11"/>
    <n v="3"/>
    <n v="4"/>
    <n v="80"/>
    <n v="2"/>
    <n v="14"/>
    <s v="6-15"/>
    <n v="5"/>
    <n v="4"/>
    <n v="10"/>
    <n v="9"/>
    <n v="1"/>
    <n v="8"/>
    <s v="Below Avg"/>
    <n v="26.824817518248175"/>
  </r>
  <r>
    <n v="35"/>
    <x v="1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s v="Yes"/>
    <n v="14"/>
    <n v="3"/>
    <n v="4"/>
    <n v="80"/>
    <n v="0"/>
    <n v="4"/>
    <s v="0-5"/>
    <n v="3"/>
    <n v="3"/>
    <n v="3"/>
    <n v="2"/>
    <n v="2"/>
    <n v="2"/>
    <s v="Below Avg"/>
    <n v="26.87385740402194"/>
  </r>
  <r>
    <n v="42"/>
    <x v="1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s v="Yes"/>
    <n v="16"/>
    <n v="3"/>
    <n v="4"/>
    <n v="80"/>
    <n v="0"/>
    <n v="18"/>
    <s v="&gt;15"/>
    <n v="2"/>
    <n v="3"/>
    <n v="1"/>
    <n v="0"/>
    <n v="0"/>
    <n v="0"/>
    <s v="Below Avg"/>
    <n v="26.923076923076923"/>
  </r>
  <r>
    <n v="43"/>
    <x v="1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s v="No"/>
    <n v="14"/>
    <n v="3"/>
    <n v="4"/>
    <n v="80"/>
    <n v="0"/>
    <n v="23"/>
    <s v="&gt;15"/>
    <n v="3"/>
    <n v="4"/>
    <n v="21"/>
    <n v="7"/>
    <n v="15"/>
    <n v="17"/>
    <s v="Ok"/>
    <n v="26.788990825688074"/>
  </r>
  <r>
    <n v="36"/>
    <x v="1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s v="Yes"/>
    <n v="11"/>
    <n v="3"/>
    <n v="4"/>
    <n v="80"/>
    <n v="0"/>
    <n v="18"/>
    <s v="&gt;15"/>
    <n v="2"/>
    <n v="3"/>
    <n v="16"/>
    <n v="14"/>
    <n v="5"/>
    <n v="12"/>
    <s v="Below Avg"/>
    <n v="26.65441176470588"/>
  </r>
  <r>
    <n v="44"/>
    <x v="0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s v="No"/>
    <n v="11"/>
    <n v="3"/>
    <n v="4"/>
    <n v="80"/>
    <n v="1"/>
    <n v="10"/>
    <s v="6-15"/>
    <n v="2"/>
    <n v="3"/>
    <n v="10"/>
    <n v="7"/>
    <n v="0"/>
    <n v="5"/>
    <s v="Ok"/>
    <n v="26.703499079189687"/>
  </r>
  <r>
    <n v="28"/>
    <x v="1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s v="Yes"/>
    <n v="12"/>
    <n v="3"/>
    <n v="2"/>
    <n v="80"/>
    <n v="1"/>
    <n v="2"/>
    <s v="0-5"/>
    <n v="2"/>
    <n v="3"/>
    <n v="2"/>
    <n v="2"/>
    <n v="2"/>
    <n v="2"/>
    <s v="Below Avg"/>
    <n v="26.568265682656829"/>
  </r>
  <r>
    <n v="51"/>
    <x v="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s v="No"/>
    <n v="14"/>
    <n v="3"/>
    <n v="2"/>
    <n v="80"/>
    <n v="0"/>
    <n v="8"/>
    <s v="6-15"/>
    <n v="6"/>
    <n v="2"/>
    <n v="7"/>
    <n v="0"/>
    <n v="7"/>
    <n v="7"/>
    <s v="Below Avg"/>
    <n v="26.617375231053604"/>
  </r>
  <r>
    <n v="30"/>
    <x v="1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s v="Yes"/>
    <n v="18"/>
    <n v="3"/>
    <n v="3"/>
    <n v="80"/>
    <n v="0"/>
    <n v="10"/>
    <s v="6-15"/>
    <n v="3"/>
    <n v="3"/>
    <n v="8"/>
    <n v="4"/>
    <n v="1"/>
    <n v="7"/>
    <s v="Below Avg"/>
    <n v="26.481481481481485"/>
  </r>
  <r>
    <n v="29"/>
    <x v="0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s v="Yes"/>
    <n v="13"/>
    <n v="3"/>
    <n v="1"/>
    <n v="80"/>
    <n v="2"/>
    <n v="10"/>
    <s v="6-15"/>
    <n v="2"/>
    <n v="3"/>
    <n v="7"/>
    <n v="7"/>
    <n v="7"/>
    <n v="7"/>
    <s v="Below Avg"/>
    <n v="26.530612244897959"/>
  </r>
  <r>
    <n v="28"/>
    <x v="1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s v="No"/>
    <n v="11"/>
    <n v="3"/>
    <n v="2"/>
    <n v="80"/>
    <n v="0"/>
    <n v="5"/>
    <s v="0-5"/>
    <n v="2"/>
    <n v="2"/>
    <n v="3"/>
    <n v="2"/>
    <n v="1"/>
    <n v="2"/>
    <s v="Below Avg"/>
    <n v="26.394052044609666"/>
  </r>
  <r>
    <n v="25"/>
    <x v="1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s v="No"/>
    <n v="18"/>
    <n v="3"/>
    <n v="4"/>
    <n v="80"/>
    <n v="0"/>
    <n v="2"/>
    <s v="0-5"/>
    <n v="3"/>
    <n v="2"/>
    <n v="2"/>
    <n v="2"/>
    <n v="2"/>
    <n v="1"/>
    <s v="Below Avg"/>
    <n v="26.256983240223462"/>
  </r>
  <r>
    <n v="32"/>
    <x v="1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s v="No"/>
    <n v="15"/>
    <n v="3"/>
    <n v="3"/>
    <n v="80"/>
    <n v="2"/>
    <n v="10"/>
    <s v="6-15"/>
    <n v="4"/>
    <n v="4"/>
    <n v="10"/>
    <n v="7"/>
    <n v="0"/>
    <n v="8"/>
    <s v="Below Avg"/>
    <n v="26.305970149253731"/>
  </r>
  <r>
    <n v="45"/>
    <x v="1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s v="No"/>
    <n v="22"/>
    <n v="4"/>
    <n v="3"/>
    <n v="80"/>
    <n v="0"/>
    <n v="22"/>
    <s v="&gt;15"/>
    <n v="4"/>
    <n v="3"/>
    <n v="0"/>
    <n v="0"/>
    <n v="0"/>
    <n v="0"/>
    <s v="Ok"/>
    <n v="26.355140186915886"/>
  </r>
  <r>
    <n v="39"/>
    <x v="1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s v="Yes"/>
    <n v="13"/>
    <n v="3"/>
    <n v="4"/>
    <n v="80"/>
    <n v="2"/>
    <n v="21"/>
    <s v="&gt;15"/>
    <n v="4"/>
    <n v="3"/>
    <n v="19"/>
    <n v="9"/>
    <n v="15"/>
    <n v="2"/>
    <s v="Ok"/>
    <n v="26.40449438202247"/>
  </r>
  <r>
    <n v="58"/>
    <x v="1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s v="No"/>
    <n v="12"/>
    <n v="3"/>
    <n v="4"/>
    <n v="80"/>
    <n v="2"/>
    <n v="2"/>
    <s v="0-5"/>
    <n v="3"/>
    <n v="3"/>
    <n v="2"/>
    <n v="2"/>
    <n v="2"/>
    <n v="2"/>
    <s v="Below Avg"/>
    <n v="26.454033771106943"/>
  </r>
  <r>
    <n v="32"/>
    <x v="0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s v="No"/>
    <n v="18"/>
    <n v="3"/>
    <n v="1"/>
    <n v="80"/>
    <n v="1"/>
    <n v="10"/>
    <s v="6-15"/>
    <n v="3"/>
    <n v="3"/>
    <n v="10"/>
    <n v="4"/>
    <n v="1"/>
    <n v="1"/>
    <s v="Below Avg"/>
    <n v="26.315789473684209"/>
  </r>
  <r>
    <n v="39"/>
    <x v="0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s v="No"/>
    <n v="13"/>
    <n v="3"/>
    <n v="1"/>
    <n v="80"/>
    <n v="0"/>
    <n v="6"/>
    <s v="6-15"/>
    <n v="2"/>
    <n v="3"/>
    <n v="5"/>
    <n v="2"/>
    <n v="0"/>
    <n v="3"/>
    <s v="Below Avg"/>
    <n v="26.365348399246702"/>
  </r>
  <r>
    <n v="30"/>
    <x v="1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s v="No"/>
    <n v="12"/>
    <n v="3"/>
    <n v="1"/>
    <n v="80"/>
    <n v="1"/>
    <n v="10"/>
    <s v="6-15"/>
    <n v="6"/>
    <n v="3"/>
    <n v="9"/>
    <n v="2"/>
    <n v="6"/>
    <n v="7"/>
    <s v="Below Avg"/>
    <n v="26.415094339622641"/>
  </r>
  <r>
    <n v="36"/>
    <x v="1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s v="No"/>
    <n v="12"/>
    <n v="3"/>
    <n v="1"/>
    <n v="80"/>
    <n v="0"/>
    <n v="10"/>
    <s v="6-15"/>
    <n v="0"/>
    <n v="3"/>
    <n v="7"/>
    <n v="7"/>
    <n v="1"/>
    <n v="7"/>
    <s v="Ok"/>
    <n v="26.465028355387521"/>
  </r>
  <r>
    <n v="46"/>
    <x v="1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s v="No"/>
    <n v="12"/>
    <n v="3"/>
    <n v="3"/>
    <n v="80"/>
    <n v="0"/>
    <n v="10"/>
    <s v="6-15"/>
    <n v="3"/>
    <n v="4"/>
    <n v="7"/>
    <n v="6"/>
    <n v="5"/>
    <n v="7"/>
    <s v="Below Avg"/>
    <n v="26.515151515151516"/>
  </r>
  <r>
    <n v="28"/>
    <x v="1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s v="No"/>
    <n v="11"/>
    <n v="3"/>
    <n v="1"/>
    <n v="80"/>
    <n v="3"/>
    <n v="10"/>
    <s v="6-15"/>
    <n v="6"/>
    <n v="3"/>
    <n v="9"/>
    <n v="8"/>
    <n v="7"/>
    <n v="5"/>
    <s v="Ok"/>
    <n v="26.565464895635671"/>
  </r>
  <r>
    <n v="50"/>
    <x v="1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s v="Yes"/>
    <n v="11"/>
    <n v="3"/>
    <n v="2"/>
    <n v="80"/>
    <n v="0"/>
    <n v="25"/>
    <s v="&gt;15"/>
    <n v="2"/>
    <n v="3"/>
    <n v="3"/>
    <n v="2"/>
    <n v="1"/>
    <n v="2"/>
    <s v="Ok"/>
    <n v="26.615969581749049"/>
  </r>
  <r>
    <n v="40"/>
    <x v="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s v="Yes"/>
    <n v="12"/>
    <n v="3"/>
    <n v="3"/>
    <n v="80"/>
    <n v="0"/>
    <n v="9"/>
    <s v="6-15"/>
    <n v="2"/>
    <n v="3"/>
    <n v="5"/>
    <n v="4"/>
    <n v="1"/>
    <n v="0"/>
    <s v="Ok"/>
    <n v="26.666666666666668"/>
  </r>
  <r>
    <n v="52"/>
    <x v="0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s v="Yes"/>
    <n v="19"/>
    <n v="3"/>
    <n v="3"/>
    <n v="80"/>
    <n v="0"/>
    <n v="10"/>
    <s v="6-15"/>
    <n v="2"/>
    <n v="2"/>
    <n v="8"/>
    <n v="7"/>
    <n v="7"/>
    <n v="7"/>
    <s v="Ok"/>
    <n v="26.52671755725191"/>
  </r>
  <r>
    <n v="30"/>
    <x v="1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s v="Yes"/>
    <n v="23"/>
    <n v="4"/>
    <n v="4"/>
    <n v="80"/>
    <n v="2"/>
    <n v="9"/>
    <s v="6-15"/>
    <n v="2"/>
    <n v="3"/>
    <n v="9"/>
    <n v="1"/>
    <n v="0"/>
    <n v="8"/>
    <s v="Ok"/>
    <n v="26.38623326959847"/>
  </r>
  <r>
    <n v="39"/>
    <x v="1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s v="No"/>
    <n v="11"/>
    <n v="3"/>
    <n v="1"/>
    <n v="80"/>
    <n v="0"/>
    <n v="9"/>
    <s v="6-15"/>
    <n v="6"/>
    <n v="3"/>
    <n v="8"/>
    <n v="7"/>
    <n v="1"/>
    <n v="7"/>
    <s v="Below Avg"/>
    <n v="26.245210727969347"/>
  </r>
  <r>
    <n v="31"/>
    <x v="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s v="Yes"/>
    <n v="19"/>
    <n v="3"/>
    <n v="1"/>
    <n v="80"/>
    <n v="1"/>
    <n v="10"/>
    <s v="6-15"/>
    <n v="5"/>
    <n v="2"/>
    <n v="10"/>
    <n v="8"/>
    <n v="9"/>
    <n v="6"/>
    <s v="Ok"/>
    <n v="26.103646833013432"/>
  </r>
  <r>
    <n v="41"/>
    <x v="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s v="No"/>
    <n v="13"/>
    <n v="3"/>
    <n v="1"/>
    <n v="80"/>
    <n v="0"/>
    <n v="19"/>
    <s v="&gt;15"/>
    <n v="4"/>
    <n v="3"/>
    <n v="19"/>
    <n v="2"/>
    <n v="11"/>
    <n v="9"/>
    <s v="Below Avg"/>
    <n v="26.153846153846157"/>
  </r>
  <r>
    <n v="31"/>
    <x v="0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s v="Yes"/>
    <n v="11"/>
    <n v="3"/>
    <n v="1"/>
    <n v="80"/>
    <n v="0"/>
    <n v="3"/>
    <s v="0-5"/>
    <n v="2"/>
    <n v="4"/>
    <n v="3"/>
    <n v="2"/>
    <n v="2"/>
    <n v="2"/>
    <s v="Below Avg"/>
    <n v="26.011560693641616"/>
  </r>
  <r>
    <n v="44"/>
    <x v="0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s v="No"/>
    <n v="12"/>
    <n v="3"/>
    <n v="3"/>
    <n v="80"/>
    <n v="0"/>
    <n v="10"/>
    <s v="6-15"/>
    <n v="4"/>
    <n v="4"/>
    <n v="3"/>
    <n v="2"/>
    <n v="1"/>
    <n v="2"/>
    <s v="Below Avg"/>
    <n v="26.061776061776058"/>
  </r>
  <r>
    <n v="42"/>
    <x v="1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s v="Yes"/>
    <n v="13"/>
    <n v="3"/>
    <n v="4"/>
    <n v="80"/>
    <n v="0"/>
    <n v="21"/>
    <s v="&gt;15"/>
    <n v="3"/>
    <n v="2"/>
    <n v="20"/>
    <n v="8"/>
    <n v="2"/>
    <n v="10"/>
    <s v="Ok"/>
    <n v="25.918762088974855"/>
  </r>
  <r>
    <n v="55"/>
    <x v="1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s v="No"/>
    <n v="14"/>
    <n v="3"/>
    <n v="4"/>
    <n v="80"/>
    <n v="1"/>
    <n v="23"/>
    <s v="&gt;15"/>
    <n v="5"/>
    <n v="3"/>
    <n v="19"/>
    <n v="9"/>
    <n v="9"/>
    <n v="11"/>
    <s v="Ok"/>
    <n v="25.968992248062015"/>
  </r>
  <r>
    <n v="56"/>
    <x v="1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s v="No"/>
    <n v="14"/>
    <n v="3"/>
    <n v="1"/>
    <n v="80"/>
    <n v="0"/>
    <n v="36"/>
    <s v="&gt;15"/>
    <n v="4"/>
    <n v="3"/>
    <n v="7"/>
    <n v="3"/>
    <n v="7"/>
    <n v="7"/>
    <s v="Ok"/>
    <n v="25.825242718446599"/>
  </r>
  <r>
    <n v="40"/>
    <x v="1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s v="No"/>
    <n v="16"/>
    <n v="3"/>
    <n v="2"/>
    <n v="80"/>
    <n v="1"/>
    <n v="6"/>
    <s v="6-15"/>
    <n v="0"/>
    <n v="3"/>
    <n v="4"/>
    <n v="2"/>
    <n v="0"/>
    <n v="0"/>
    <s v="Below Avg"/>
    <n v="25.875486381322961"/>
  </r>
  <r>
    <n v="34"/>
    <x v="1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s v="No"/>
    <n v="11"/>
    <n v="3"/>
    <n v="4"/>
    <n v="80"/>
    <n v="1"/>
    <n v="10"/>
    <s v="6-15"/>
    <n v="0"/>
    <n v="2"/>
    <n v="9"/>
    <n v="7"/>
    <n v="1"/>
    <n v="6"/>
    <s v="Ok"/>
    <n v="25.925925925925924"/>
  </r>
  <r>
    <n v="40"/>
    <x v="1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s v="No"/>
    <n v="13"/>
    <n v="3"/>
    <n v="3"/>
    <n v="80"/>
    <n v="0"/>
    <n v="9"/>
    <s v="6-15"/>
    <n v="4"/>
    <n v="3"/>
    <n v="9"/>
    <n v="8"/>
    <n v="8"/>
    <n v="8"/>
    <s v="Below Avg"/>
    <n v="25.9765625"/>
  </r>
  <r>
    <n v="41"/>
    <x v="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s v="No"/>
    <n v="17"/>
    <n v="3"/>
    <n v="4"/>
    <n v="80"/>
    <n v="1"/>
    <n v="10"/>
    <s v="6-15"/>
    <n v="2"/>
    <n v="3"/>
    <n v="9"/>
    <n v="3"/>
    <n v="1"/>
    <n v="7"/>
    <s v="Below Avg"/>
    <n v="26.027397260273972"/>
  </r>
  <r>
    <n v="35"/>
    <x v="1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s v="Yes"/>
    <n v="11"/>
    <n v="3"/>
    <n v="2"/>
    <n v="80"/>
    <n v="0"/>
    <n v="9"/>
    <s v="6-15"/>
    <n v="3"/>
    <n v="3"/>
    <n v="9"/>
    <n v="6"/>
    <n v="1"/>
    <n v="1"/>
    <s v="Below Avg"/>
    <n v="26.078431372549023"/>
  </r>
  <r>
    <n v="51"/>
    <x v="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s v="Yes"/>
    <n v="11"/>
    <n v="3"/>
    <n v="2"/>
    <n v="80"/>
    <n v="1"/>
    <n v="33"/>
    <s v="&gt;15"/>
    <n v="2"/>
    <n v="3"/>
    <n v="33"/>
    <n v="9"/>
    <n v="0"/>
    <n v="10"/>
    <s v="Ok"/>
    <n v="26.129666011787815"/>
  </r>
  <r>
    <n v="38"/>
    <x v="1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s v="No"/>
    <n v="15"/>
    <n v="3"/>
    <n v="4"/>
    <n v="80"/>
    <n v="1"/>
    <n v="11"/>
    <s v="6-15"/>
    <n v="3"/>
    <n v="3"/>
    <n v="7"/>
    <n v="7"/>
    <n v="1"/>
    <n v="7"/>
    <s v="Ok"/>
    <n v="25.984251968503933"/>
  </r>
  <r>
    <n v="34"/>
    <x v="1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s v="No"/>
    <n v="12"/>
    <n v="3"/>
    <n v="4"/>
    <n v="80"/>
    <n v="0"/>
    <n v="10"/>
    <s v="6-15"/>
    <n v="6"/>
    <n v="4"/>
    <n v="10"/>
    <n v="8"/>
    <n v="9"/>
    <n v="6"/>
    <s v="Below Avg"/>
    <n v="25.838264299802759"/>
  </r>
  <r>
    <n v="25"/>
    <x v="1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s v="No"/>
    <n v="11"/>
    <n v="3"/>
    <n v="3"/>
    <n v="80"/>
    <n v="3"/>
    <n v="7"/>
    <s v="6-15"/>
    <n v="6"/>
    <n v="2"/>
    <n v="3"/>
    <n v="2"/>
    <n v="1"/>
    <n v="2"/>
    <s v="Below Avg"/>
    <n v="25.889328063241106"/>
  </r>
  <r>
    <n v="58"/>
    <x v="0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s v="Yes"/>
    <n v="14"/>
    <n v="3"/>
    <n v="4"/>
    <n v="80"/>
    <n v="0"/>
    <n v="31"/>
    <s v="&gt;15"/>
    <n v="0"/>
    <n v="2"/>
    <n v="10"/>
    <n v="9"/>
    <n v="5"/>
    <n v="9"/>
    <s v="Ok"/>
    <n v="25.940594059405942"/>
  </r>
  <r>
    <n v="40"/>
    <x v="1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s v="No"/>
    <n v="22"/>
    <n v="4"/>
    <n v="3"/>
    <n v="80"/>
    <n v="1"/>
    <n v="7"/>
    <s v="6-15"/>
    <n v="3"/>
    <n v="3"/>
    <n v="4"/>
    <n v="2"/>
    <n v="0"/>
    <n v="3"/>
    <s v="Below Avg"/>
    <n v="25.992063492063494"/>
  </r>
  <r>
    <n v="36"/>
    <x v="1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s v="No"/>
    <n v="16"/>
    <n v="3"/>
    <n v="4"/>
    <n v="80"/>
    <n v="1"/>
    <n v="17"/>
    <s v="&gt;15"/>
    <n v="2"/>
    <n v="2"/>
    <n v="15"/>
    <n v="7"/>
    <n v="6"/>
    <n v="13"/>
    <s v="Below Avg"/>
    <n v="25.844930417495032"/>
  </r>
  <r>
    <n v="48"/>
    <x v="1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s v="No"/>
    <n v="11"/>
    <n v="3"/>
    <n v="3"/>
    <n v="80"/>
    <n v="0"/>
    <n v="11"/>
    <s v="6-15"/>
    <n v="2"/>
    <n v="3"/>
    <n v="10"/>
    <n v="9"/>
    <n v="0"/>
    <n v="8"/>
    <s v="Ok"/>
    <n v="25.89641434262948"/>
  </r>
  <r>
    <n v="27"/>
    <x v="1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s v="No"/>
    <n v="14"/>
    <n v="3"/>
    <n v="2"/>
    <n v="80"/>
    <n v="1"/>
    <n v="5"/>
    <s v="0-5"/>
    <n v="4"/>
    <n v="3"/>
    <n v="1"/>
    <n v="0"/>
    <n v="0"/>
    <n v="0"/>
    <s v="Below Avg"/>
    <n v="25.948103792415168"/>
  </r>
  <r>
    <n v="51"/>
    <x v="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s v="No"/>
    <n v="16"/>
    <n v="3"/>
    <n v="2"/>
    <n v="80"/>
    <n v="0"/>
    <n v="29"/>
    <s v="&gt;15"/>
    <n v="1"/>
    <n v="2"/>
    <n v="5"/>
    <n v="2"/>
    <n v="0"/>
    <n v="3"/>
    <s v="Ok"/>
    <n v="26"/>
  </r>
  <r>
    <n v="18"/>
    <x v="1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s v="No"/>
    <n v="15"/>
    <n v="3"/>
    <n v="3"/>
    <n v="80"/>
    <n v="0"/>
    <n v="0"/>
    <s v="0-5"/>
    <n v="5"/>
    <n v="4"/>
    <n v="0"/>
    <n v="0"/>
    <n v="0"/>
    <n v="0"/>
    <s v="Below Avg"/>
    <n v="26.052104208416832"/>
  </r>
  <r>
    <n v="35"/>
    <x v="1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s v="No"/>
    <n v="12"/>
    <n v="3"/>
    <n v="2"/>
    <n v="80"/>
    <n v="1"/>
    <n v="10"/>
    <s v="6-15"/>
    <n v="0"/>
    <n v="3"/>
    <n v="9"/>
    <n v="7"/>
    <n v="0"/>
    <n v="0"/>
    <s v="Below Avg"/>
    <n v="26.104417670682732"/>
  </r>
  <r>
    <n v="27"/>
    <x v="1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s v="No"/>
    <n v="20"/>
    <n v="4"/>
    <n v="2"/>
    <n v="80"/>
    <n v="0"/>
    <n v="8"/>
    <s v="6-15"/>
    <n v="3"/>
    <n v="3"/>
    <n v="6"/>
    <n v="2"/>
    <n v="0"/>
    <n v="0"/>
    <s v="Below Avg"/>
    <n v="26.156941649899395"/>
  </r>
  <r>
    <n v="55"/>
    <x v="0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s v="Yes"/>
    <n v="17"/>
    <n v="3"/>
    <n v="3"/>
    <n v="80"/>
    <n v="0"/>
    <n v="24"/>
    <s v="&gt;15"/>
    <n v="2"/>
    <n v="2"/>
    <n v="19"/>
    <n v="7"/>
    <n v="3"/>
    <n v="8"/>
    <s v="Ok"/>
    <n v="26.209677419354836"/>
  </r>
  <r>
    <n v="56"/>
    <x v="1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s v="Yes"/>
    <n v="12"/>
    <n v="3"/>
    <n v="1"/>
    <n v="80"/>
    <n v="1"/>
    <n v="33"/>
    <s v="&gt;15"/>
    <n v="0"/>
    <n v="3"/>
    <n v="19"/>
    <n v="16"/>
    <n v="15"/>
    <n v="9"/>
    <s v="Ok"/>
    <n v="26.262626262626267"/>
  </r>
  <r>
    <n v="34"/>
    <x v="1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s v="No"/>
    <n v="20"/>
    <n v="4"/>
    <n v="3"/>
    <n v="80"/>
    <n v="3"/>
    <n v="5"/>
    <s v="0-5"/>
    <n v="2"/>
    <n v="3"/>
    <n v="5"/>
    <n v="4"/>
    <n v="0"/>
    <n v="0"/>
    <s v="Below Avg"/>
    <n v="26.113360323886642"/>
  </r>
  <r>
    <n v="40"/>
    <x v="1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s v="No"/>
    <n v="20"/>
    <n v="4"/>
    <n v="2"/>
    <n v="80"/>
    <n v="3"/>
    <n v="15"/>
    <s v="6-15"/>
    <n v="0"/>
    <n v="3"/>
    <n v="12"/>
    <n v="11"/>
    <n v="11"/>
    <n v="8"/>
    <s v="Ok"/>
    <n v="25.963488843813387"/>
  </r>
  <r>
    <n v="34"/>
    <x v="1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s v="No"/>
    <n v="13"/>
    <n v="3"/>
    <n v="1"/>
    <n v="80"/>
    <n v="2"/>
    <n v="10"/>
    <s v="6-15"/>
    <n v="1"/>
    <n v="3"/>
    <n v="8"/>
    <n v="7"/>
    <n v="7"/>
    <n v="7"/>
    <s v="Below Avg"/>
    <n v="26.016260162601629"/>
  </r>
  <r>
    <n v="31"/>
    <x v="0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s v="No"/>
    <n v="14"/>
    <n v="3"/>
    <n v="3"/>
    <n v="80"/>
    <n v="0"/>
    <n v="3"/>
    <s v="0-5"/>
    <n v="3"/>
    <n v="4"/>
    <n v="1"/>
    <n v="0"/>
    <n v="0"/>
    <n v="0"/>
    <s v="Below Avg"/>
    <n v="26.069246435845212"/>
  </r>
  <r>
    <n v="35"/>
    <x v="0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s v="Yes"/>
    <n v="18"/>
    <n v="3"/>
    <n v="3"/>
    <n v="80"/>
    <n v="1"/>
    <n v="5"/>
    <s v="0-5"/>
    <n v="0"/>
    <n v="2"/>
    <n v="4"/>
    <n v="2"/>
    <n v="3"/>
    <n v="2"/>
    <s v="Below Avg"/>
    <n v="26.122448979591837"/>
  </r>
  <r>
    <n v="38"/>
    <x v="1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s v="No"/>
    <n v="11"/>
    <n v="3"/>
    <n v="4"/>
    <n v="80"/>
    <n v="3"/>
    <n v="4"/>
    <s v="0-5"/>
    <n v="2"/>
    <n v="3"/>
    <n v="4"/>
    <n v="2"/>
    <n v="0"/>
    <n v="3"/>
    <s v="Below Avg"/>
    <n v="26.175869120654401"/>
  </r>
  <r>
    <n v="34"/>
    <x v="1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s v="No"/>
    <n v="11"/>
    <n v="3"/>
    <n v="4"/>
    <n v="80"/>
    <n v="0"/>
    <n v="14"/>
    <s v="6-15"/>
    <n v="2"/>
    <n v="4"/>
    <n v="14"/>
    <n v="11"/>
    <n v="4"/>
    <n v="11"/>
    <s v="Ok"/>
    <n v="26.024590163934423"/>
  </r>
  <r>
    <n v="28"/>
    <x v="1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s v="No"/>
    <n v="11"/>
    <n v="3"/>
    <n v="3"/>
    <n v="80"/>
    <n v="1"/>
    <n v="5"/>
    <s v="0-5"/>
    <n v="0"/>
    <n v="3"/>
    <n v="5"/>
    <n v="3"/>
    <n v="0"/>
    <n v="4"/>
    <s v="Below Avg"/>
    <n v="26.078028747433262"/>
  </r>
  <r>
    <n v="31"/>
    <x v="0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s v="Yes"/>
    <n v="15"/>
    <n v="3"/>
    <n v="4"/>
    <n v="80"/>
    <n v="2"/>
    <n v="10"/>
    <s v="6-15"/>
    <n v="3"/>
    <n v="2"/>
    <n v="10"/>
    <n v="2"/>
    <n v="6"/>
    <n v="7"/>
    <s v="Ok"/>
    <n v="26.13168724279835"/>
  </r>
  <r>
    <n v="39"/>
    <x v="1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s v="Yes"/>
    <n v="12"/>
    <n v="3"/>
    <n v="4"/>
    <n v="80"/>
    <n v="2"/>
    <n v="8"/>
    <s v="6-15"/>
    <n v="2"/>
    <n v="4"/>
    <n v="5"/>
    <n v="4"/>
    <n v="1"/>
    <n v="4"/>
    <s v="Below Avg"/>
    <n v="26.185567010309281"/>
  </r>
  <r>
    <n v="51"/>
    <x v="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s v="No"/>
    <n v="11"/>
    <n v="3"/>
    <n v="2"/>
    <n v="80"/>
    <n v="0"/>
    <n v="14"/>
    <s v="6-15"/>
    <n v="5"/>
    <n v="3"/>
    <n v="4"/>
    <n v="2"/>
    <n v="3"/>
    <n v="2"/>
    <s v="Ok"/>
    <n v="26.033057851239672"/>
  </r>
  <r>
    <n v="41"/>
    <x v="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s v="Yes"/>
    <n v="14"/>
    <n v="3"/>
    <n v="1"/>
    <n v="80"/>
    <n v="2"/>
    <n v="12"/>
    <s v="6-15"/>
    <n v="4"/>
    <n v="2"/>
    <n v="6"/>
    <n v="2"/>
    <n v="3"/>
    <n v="3"/>
    <s v="Below Avg"/>
    <n v="25.879917184265011"/>
  </r>
  <r>
    <n v="37"/>
    <x v="1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s v="Yes"/>
    <n v="15"/>
    <n v="3"/>
    <n v="4"/>
    <n v="80"/>
    <n v="0"/>
    <n v="8"/>
    <s v="6-15"/>
    <n v="2"/>
    <n v="3"/>
    <n v="6"/>
    <n v="4"/>
    <n v="1"/>
    <n v="3"/>
    <s v="Below Avg"/>
    <n v="25.933609958506228"/>
  </r>
  <r>
    <n v="33"/>
    <x v="1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s v="No"/>
    <n v="13"/>
    <n v="3"/>
    <n v="1"/>
    <n v="80"/>
    <n v="0"/>
    <n v="8"/>
    <s v="6-15"/>
    <n v="2"/>
    <n v="4"/>
    <n v="5"/>
    <n v="4"/>
    <n v="1"/>
    <n v="2"/>
    <s v="Ok"/>
    <n v="25.779625779625782"/>
  </r>
  <r>
    <n v="32"/>
    <x v="1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s v="Yes"/>
    <n v="13"/>
    <n v="3"/>
    <n v="1"/>
    <n v="80"/>
    <n v="3"/>
    <n v="4"/>
    <s v="0-5"/>
    <n v="3"/>
    <n v="2"/>
    <n v="3"/>
    <n v="2"/>
    <n v="1"/>
    <n v="2"/>
    <s v="Below Avg"/>
    <n v="25.624999999999996"/>
  </r>
  <r>
    <n v="39"/>
    <x v="1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s v="No"/>
    <n v="21"/>
    <n v="4"/>
    <n v="2"/>
    <n v="80"/>
    <n v="1"/>
    <n v="13"/>
    <s v="6-15"/>
    <n v="2"/>
    <n v="3"/>
    <n v="6"/>
    <n v="4"/>
    <n v="0"/>
    <n v="5"/>
    <s v="Ok"/>
    <n v="25.678496868475992"/>
  </r>
  <r>
    <n v="25"/>
    <x v="1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s v="No"/>
    <n v="11"/>
    <n v="3"/>
    <n v="2"/>
    <n v="80"/>
    <n v="0"/>
    <n v="6"/>
    <s v="6-15"/>
    <n v="3"/>
    <n v="2"/>
    <n v="3"/>
    <n v="2"/>
    <n v="1"/>
    <n v="2"/>
    <s v="Below Avg"/>
    <n v="25.523012552301257"/>
  </r>
  <r>
    <n v="52"/>
    <x v="1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s v="Yes"/>
    <n v="11"/>
    <n v="3"/>
    <n v="2"/>
    <n v="80"/>
    <n v="1"/>
    <n v="24"/>
    <s v="&gt;15"/>
    <n v="3"/>
    <n v="2"/>
    <n v="5"/>
    <n v="3"/>
    <n v="0"/>
    <n v="2"/>
    <s v="Ok"/>
    <n v="25.576519916142558"/>
  </r>
  <r>
    <n v="43"/>
    <x v="1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s v="Yes"/>
    <n v="14"/>
    <n v="3"/>
    <n v="1"/>
    <n v="80"/>
    <n v="0"/>
    <n v="20"/>
    <s v="&gt;15"/>
    <n v="3"/>
    <n v="1"/>
    <n v="20"/>
    <n v="7"/>
    <n v="1"/>
    <n v="8"/>
    <s v="Below Avg"/>
    <n v="25.630252100840334"/>
  </r>
  <r>
    <n v="27"/>
    <x v="1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s v="Yes"/>
    <n v="11"/>
    <n v="3"/>
    <n v="4"/>
    <n v="80"/>
    <n v="0"/>
    <n v="6"/>
    <s v="6-15"/>
    <n v="3"/>
    <n v="3"/>
    <n v="6"/>
    <n v="2"/>
    <n v="4"/>
    <n v="4"/>
    <s v="Below Avg"/>
    <n v="25.473684210526315"/>
  </r>
  <r>
    <n v="27"/>
    <x v="0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s v="Yes"/>
    <n v="13"/>
    <n v="3"/>
    <n v="4"/>
    <n v="80"/>
    <n v="0"/>
    <n v="8"/>
    <s v="6-15"/>
    <n v="2"/>
    <n v="3"/>
    <n v="8"/>
    <n v="2"/>
    <n v="7"/>
    <n v="7"/>
    <s v="Below Avg"/>
    <n v="25.316455696202532"/>
  </r>
  <r>
    <n v="26"/>
    <x v="1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s v="No"/>
    <n v="12"/>
    <n v="3"/>
    <n v="4"/>
    <n v="80"/>
    <n v="0"/>
    <n v="5"/>
    <s v="0-5"/>
    <n v="2"/>
    <n v="3"/>
    <n v="4"/>
    <n v="3"/>
    <n v="1"/>
    <n v="1"/>
    <s v="Below Avg"/>
    <n v="25.158562367864697"/>
  </r>
  <r>
    <n v="42"/>
    <x v="1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s v="No"/>
    <n v="14"/>
    <n v="3"/>
    <n v="3"/>
    <n v="80"/>
    <n v="1"/>
    <n v="21"/>
    <s v="&gt;15"/>
    <n v="5"/>
    <n v="3"/>
    <n v="20"/>
    <n v="7"/>
    <n v="0"/>
    <n v="9"/>
    <s v="Ok"/>
    <n v="25"/>
  </r>
  <r>
    <n v="52"/>
    <x v="1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s v="No"/>
    <n v="13"/>
    <n v="3"/>
    <n v="3"/>
    <n v="80"/>
    <n v="0"/>
    <n v="12"/>
    <s v="6-15"/>
    <n v="2"/>
    <n v="1"/>
    <n v="5"/>
    <n v="4"/>
    <n v="0"/>
    <n v="4"/>
    <s v="Below Avg"/>
    <n v="25.053078556263269"/>
  </r>
  <r>
    <n v="37"/>
    <x v="1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s v="No"/>
    <n v="18"/>
    <n v="3"/>
    <n v="1"/>
    <n v="80"/>
    <n v="0"/>
    <n v="8"/>
    <s v="6-15"/>
    <n v="6"/>
    <n v="3"/>
    <n v="3"/>
    <n v="2"/>
    <n v="0"/>
    <n v="2"/>
    <s v="Below Avg"/>
    <n v="25.106382978723403"/>
  </r>
  <r>
    <n v="35"/>
    <x v="1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s v="No"/>
    <n v="11"/>
    <n v="3"/>
    <n v="3"/>
    <n v="80"/>
    <n v="0"/>
    <n v="10"/>
    <s v="6-15"/>
    <n v="2"/>
    <n v="3"/>
    <n v="2"/>
    <n v="2"/>
    <n v="2"/>
    <n v="2"/>
    <s v="Ok"/>
    <n v="25.159914712153519"/>
  </r>
  <r>
    <n v="25"/>
    <x v="1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s v="No"/>
    <n v="11"/>
    <n v="3"/>
    <n v="2"/>
    <n v="80"/>
    <n v="1"/>
    <n v="7"/>
    <s v="6-15"/>
    <n v="2"/>
    <n v="2"/>
    <n v="3"/>
    <n v="2"/>
    <n v="0"/>
    <n v="2"/>
    <s v="Below Avg"/>
    <n v="25.213675213675213"/>
  </r>
  <r>
    <n v="26"/>
    <x v="1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s v="No"/>
    <n v="12"/>
    <n v="3"/>
    <n v="4"/>
    <n v="80"/>
    <n v="0"/>
    <n v="8"/>
    <s v="6-15"/>
    <n v="2"/>
    <n v="3"/>
    <n v="7"/>
    <n v="7"/>
    <n v="0"/>
    <n v="7"/>
    <s v="Below Avg"/>
    <n v="25.267665952890795"/>
  </r>
  <r>
    <n v="29"/>
    <x v="1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s v="No"/>
    <n v="13"/>
    <n v="3"/>
    <n v="1"/>
    <n v="80"/>
    <n v="0"/>
    <n v="10"/>
    <s v="6-15"/>
    <n v="3"/>
    <n v="2"/>
    <n v="10"/>
    <n v="9"/>
    <n v="0"/>
    <n v="9"/>
    <s v="Ok"/>
    <n v="25.321888412017167"/>
  </r>
  <r>
    <n v="49"/>
    <x v="0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s v="No"/>
    <n v="20"/>
    <n v="4"/>
    <n v="1"/>
    <n v="80"/>
    <n v="0"/>
    <n v="20"/>
    <s v="&gt;15"/>
    <n v="2"/>
    <n v="3"/>
    <n v="4"/>
    <n v="3"/>
    <n v="1"/>
    <n v="3"/>
    <s v="Below Avg"/>
    <n v="25.376344086021508"/>
  </r>
  <r>
    <n v="29"/>
    <x v="0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s v="Yes"/>
    <n v="12"/>
    <n v="3"/>
    <n v="1"/>
    <n v="80"/>
    <n v="0"/>
    <n v="9"/>
    <s v="6-15"/>
    <n v="1"/>
    <n v="3"/>
    <n v="8"/>
    <n v="7"/>
    <n v="7"/>
    <n v="7"/>
    <s v="Ok"/>
    <n v="25.431034482758619"/>
  </r>
  <r>
    <n v="54"/>
    <x v="1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s v="No"/>
    <n v="19"/>
    <n v="3"/>
    <n v="4"/>
    <n v="80"/>
    <n v="0"/>
    <n v="29"/>
    <s v="&gt;15"/>
    <n v="3"/>
    <n v="2"/>
    <n v="20"/>
    <n v="7"/>
    <n v="12"/>
    <n v="7"/>
    <s v="Ok"/>
    <n v="25.485961123110151"/>
  </r>
  <r>
    <n v="58"/>
    <x v="1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s v="Yes"/>
    <n v="21"/>
    <n v="4"/>
    <n v="3"/>
    <n v="80"/>
    <n v="1"/>
    <n v="32"/>
    <s v="&gt;15"/>
    <n v="3"/>
    <n v="3"/>
    <n v="9"/>
    <n v="8"/>
    <n v="1"/>
    <n v="5"/>
    <s v="Ok"/>
    <n v="25.324675324675322"/>
  </r>
  <r>
    <n v="55"/>
    <x v="1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s v="No"/>
    <n v="13"/>
    <n v="3"/>
    <n v="4"/>
    <n v="80"/>
    <n v="2"/>
    <n v="31"/>
    <s v="&gt;15"/>
    <n v="4"/>
    <n v="4"/>
    <n v="7"/>
    <n v="7"/>
    <n v="0"/>
    <n v="0"/>
    <s v="Ok"/>
    <n v="25.379609544468547"/>
  </r>
  <r>
    <n v="36"/>
    <x v="1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s v="Yes"/>
    <n v="16"/>
    <n v="3"/>
    <n v="4"/>
    <n v="80"/>
    <n v="0"/>
    <n v="15"/>
    <s v="6-15"/>
    <n v="3"/>
    <n v="3"/>
    <n v="5"/>
    <n v="4"/>
    <n v="0"/>
    <n v="1"/>
    <s v="Ok"/>
    <n v="25.217391304347824"/>
  </r>
  <r>
    <n v="31"/>
    <x v="0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s v="No"/>
    <n v="12"/>
    <n v="3"/>
    <n v="2"/>
    <n v="80"/>
    <n v="0"/>
    <n v="1"/>
    <s v="0-5"/>
    <n v="3"/>
    <n v="3"/>
    <n v="1"/>
    <n v="0"/>
    <n v="0"/>
    <n v="0"/>
    <s v="Below Avg"/>
    <n v="25.272331154684096"/>
  </r>
  <r>
    <n v="30"/>
    <x v="1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s v="No"/>
    <n v="14"/>
    <n v="3"/>
    <n v="2"/>
    <n v="80"/>
    <n v="2"/>
    <n v="8"/>
    <s v="6-15"/>
    <n v="3"/>
    <n v="3"/>
    <n v="3"/>
    <n v="2"/>
    <n v="0"/>
    <n v="2"/>
    <s v="Below Avg"/>
    <n v="25.109170305676855"/>
  </r>
  <r>
    <n v="31"/>
    <x v="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s v="No"/>
    <n v="11"/>
    <n v="3"/>
    <n v="3"/>
    <n v="80"/>
    <n v="0"/>
    <n v="9"/>
    <s v="6-15"/>
    <n v="3"/>
    <n v="4"/>
    <n v="3"/>
    <n v="2"/>
    <n v="1"/>
    <n v="0"/>
    <s v="Ok"/>
    <n v="25.164113785557984"/>
  </r>
  <r>
    <n v="34"/>
    <x v="1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s v="No"/>
    <n v="14"/>
    <n v="3"/>
    <n v="3"/>
    <n v="80"/>
    <n v="2"/>
    <n v="10"/>
    <s v="6-15"/>
    <n v="2"/>
    <n v="3"/>
    <n v="4"/>
    <n v="3"/>
    <n v="1"/>
    <n v="3"/>
    <s v="Below Avg"/>
    <n v="25.219298245614034"/>
  </r>
  <r>
    <n v="31"/>
    <x v="0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s v="No"/>
    <n v="12"/>
    <n v="3"/>
    <n v="3"/>
    <n v="80"/>
    <n v="0"/>
    <n v="1"/>
    <s v="0-5"/>
    <n v="3"/>
    <n v="4"/>
    <n v="1"/>
    <n v="0"/>
    <n v="0"/>
    <n v="0"/>
    <s v="Below Avg"/>
    <n v="25.274725274725274"/>
  </r>
  <r>
    <n v="27"/>
    <x v="1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s v="No"/>
    <n v="14"/>
    <n v="3"/>
    <n v="2"/>
    <n v="80"/>
    <n v="0"/>
    <n v="6"/>
    <s v="6-15"/>
    <n v="3"/>
    <n v="4"/>
    <n v="5"/>
    <n v="0"/>
    <n v="1"/>
    <n v="4"/>
    <s v="Below Avg"/>
    <n v="25.330396475770929"/>
  </r>
  <r>
    <n v="36"/>
    <x v="1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s v="No"/>
    <n v="16"/>
    <n v="3"/>
    <n v="3"/>
    <n v="80"/>
    <n v="0"/>
    <n v="10"/>
    <s v="6-15"/>
    <n v="2"/>
    <n v="2"/>
    <n v="10"/>
    <n v="4"/>
    <n v="1"/>
    <n v="8"/>
    <s v="Below Avg"/>
    <n v="25.386313465783665"/>
  </r>
  <r>
    <n v="36"/>
    <x v="1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s v="No"/>
    <n v="13"/>
    <n v="3"/>
    <n v="1"/>
    <n v="80"/>
    <n v="2"/>
    <n v="11"/>
    <s v="6-15"/>
    <n v="3"/>
    <n v="2"/>
    <n v="3"/>
    <n v="2"/>
    <n v="0"/>
    <n v="2"/>
    <s v="Below Avg"/>
    <n v="25.442477876106196"/>
  </r>
  <r>
    <n v="47"/>
    <x v="1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s v="No"/>
    <n v="12"/>
    <n v="3"/>
    <n v="3"/>
    <n v="80"/>
    <n v="1"/>
    <n v="17"/>
    <s v="&gt;15"/>
    <n v="2"/>
    <n v="2"/>
    <n v="6"/>
    <n v="5"/>
    <n v="1"/>
    <n v="2"/>
    <s v="Below Avg"/>
    <n v="25.49889135254989"/>
  </r>
  <r>
    <n v="25"/>
    <x v="0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s v="No"/>
    <n v="12"/>
    <n v="3"/>
    <n v="1"/>
    <n v="80"/>
    <n v="0"/>
    <n v="6"/>
    <s v="6-15"/>
    <n v="2"/>
    <n v="3"/>
    <n v="3"/>
    <n v="2"/>
    <n v="2"/>
    <n v="2"/>
    <s v="Below Avg"/>
    <n v="25.555555555555554"/>
  </r>
  <r>
    <n v="37"/>
    <x v="1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s v="No"/>
    <n v="14"/>
    <n v="3"/>
    <n v="1"/>
    <n v="80"/>
    <n v="0"/>
    <n v="7"/>
    <s v="6-15"/>
    <n v="2"/>
    <n v="1"/>
    <n v="6"/>
    <n v="5"/>
    <n v="1"/>
    <n v="3"/>
    <s v="Below Avg"/>
    <n v="25.612472160356347"/>
  </r>
  <r>
    <n v="56"/>
    <x v="1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s v="No"/>
    <n v="22"/>
    <n v="4"/>
    <n v="4"/>
    <n v="80"/>
    <n v="1"/>
    <n v="5"/>
    <s v="0-5"/>
    <n v="3"/>
    <n v="4"/>
    <n v="3"/>
    <n v="2"/>
    <n v="1"/>
    <n v="0"/>
    <s v="Below Avg"/>
    <n v="25.669642857142854"/>
  </r>
  <r>
    <n v="47"/>
    <x v="1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s v="No"/>
    <n v="19"/>
    <n v="3"/>
    <n v="2"/>
    <n v="80"/>
    <n v="2"/>
    <n v="26"/>
    <s v="&gt;15"/>
    <n v="2"/>
    <n v="4"/>
    <n v="20"/>
    <n v="17"/>
    <n v="5"/>
    <n v="6"/>
    <s v="Ok"/>
    <n v="25.727069351230426"/>
  </r>
  <r>
    <n v="24"/>
    <x v="1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s v="Yes"/>
    <n v="12"/>
    <n v="3"/>
    <n v="3"/>
    <n v="80"/>
    <n v="2"/>
    <n v="5"/>
    <s v="0-5"/>
    <n v="3"/>
    <n v="3"/>
    <n v="5"/>
    <n v="4"/>
    <n v="0"/>
    <n v="3"/>
    <s v="Below Avg"/>
    <n v="25.784753363228702"/>
  </r>
  <r>
    <n v="32"/>
    <x v="1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s v="No"/>
    <n v="12"/>
    <n v="3"/>
    <n v="3"/>
    <n v="80"/>
    <n v="1"/>
    <n v="7"/>
    <s v="6-15"/>
    <n v="3"/>
    <n v="2"/>
    <n v="4"/>
    <n v="3"/>
    <n v="0"/>
    <n v="3"/>
    <s v="Ok"/>
    <n v="25.842696629213485"/>
  </r>
  <r>
    <n v="34"/>
    <x v="1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s v="No"/>
    <n v="17"/>
    <n v="3"/>
    <n v="1"/>
    <n v="80"/>
    <n v="1"/>
    <n v="7"/>
    <s v="6-15"/>
    <n v="2"/>
    <n v="2"/>
    <n v="5"/>
    <n v="4"/>
    <n v="0"/>
    <n v="2"/>
    <s v="Below Avg"/>
    <n v="25.675675675675674"/>
  </r>
  <r>
    <n v="41"/>
    <x v="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s v="Yes"/>
    <n v="12"/>
    <n v="3"/>
    <n v="1"/>
    <n v="80"/>
    <n v="0"/>
    <n v="7"/>
    <s v="6-15"/>
    <n v="5"/>
    <n v="2"/>
    <n v="4"/>
    <n v="2"/>
    <n v="0"/>
    <n v="3"/>
    <s v="Below Avg"/>
    <n v="25.733634311512414"/>
  </r>
  <r>
    <n v="40"/>
    <x v="1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s v="No"/>
    <n v="11"/>
    <n v="3"/>
    <n v="3"/>
    <n v="80"/>
    <n v="2"/>
    <n v="11"/>
    <s v="6-15"/>
    <n v="2"/>
    <n v="4"/>
    <n v="8"/>
    <n v="7"/>
    <n v="0"/>
    <n v="7"/>
    <s v="Below Avg"/>
    <n v="25.791855203619914"/>
  </r>
  <r>
    <n v="31"/>
    <x v="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s v="No"/>
    <n v="18"/>
    <n v="3"/>
    <n v="1"/>
    <n v="80"/>
    <n v="1"/>
    <n v="13"/>
    <s v="6-15"/>
    <n v="5"/>
    <n v="3"/>
    <n v="13"/>
    <n v="7"/>
    <n v="9"/>
    <n v="9"/>
    <s v="Ok"/>
    <n v="25.623582766439913"/>
  </r>
  <r>
    <n v="46"/>
    <x v="0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s v="No"/>
    <n v="11"/>
    <n v="3"/>
    <n v="1"/>
    <n v="80"/>
    <n v="1"/>
    <n v="28"/>
    <s v="&gt;15"/>
    <n v="1"/>
    <n v="4"/>
    <n v="7"/>
    <n v="7"/>
    <n v="4"/>
    <n v="3"/>
    <s v="Ok"/>
    <n v="25.681818181818183"/>
  </r>
  <r>
    <n v="39"/>
    <x v="0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s v="Yes"/>
    <n v="23"/>
    <n v="4"/>
    <n v="2"/>
    <n v="80"/>
    <n v="0"/>
    <n v="11"/>
    <s v="6-15"/>
    <n v="2"/>
    <n v="4"/>
    <n v="1"/>
    <n v="0"/>
    <n v="0"/>
    <n v="0"/>
    <s v="Below Avg"/>
    <n v="25.740318906605925"/>
  </r>
  <r>
    <n v="31"/>
    <x v="0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s v="No"/>
    <n v="11"/>
    <n v="3"/>
    <n v="1"/>
    <n v="80"/>
    <n v="0"/>
    <n v="10"/>
    <s v="6-15"/>
    <n v="2"/>
    <n v="3"/>
    <n v="10"/>
    <n v="8"/>
    <n v="4"/>
    <n v="7"/>
    <s v="Ok"/>
    <n v="25.799086757990867"/>
  </r>
  <r>
    <n v="45"/>
    <x v="1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s v="Yes"/>
    <n v="18"/>
    <n v="3"/>
    <n v="2"/>
    <n v="80"/>
    <n v="1"/>
    <n v="24"/>
    <s v="&gt;15"/>
    <n v="2"/>
    <n v="3"/>
    <n v="7"/>
    <n v="7"/>
    <n v="0"/>
    <n v="7"/>
    <s v="Ok"/>
    <n v="25.629290617848969"/>
  </r>
  <r>
    <n v="31"/>
    <x v="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s v="No"/>
    <n v="18"/>
    <n v="3"/>
    <n v="4"/>
    <n v="80"/>
    <n v="0"/>
    <n v="8"/>
    <s v="6-15"/>
    <n v="3"/>
    <n v="3"/>
    <n v="3"/>
    <n v="2"/>
    <n v="0"/>
    <n v="2"/>
    <s v="Below Avg"/>
    <n v="25.688073394495415"/>
  </r>
  <r>
    <n v="31"/>
    <x v="0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s v="Yes"/>
    <n v="13"/>
    <n v="3"/>
    <n v="3"/>
    <n v="80"/>
    <n v="1"/>
    <n v="7"/>
    <s v="6-15"/>
    <n v="2"/>
    <n v="1"/>
    <n v="2"/>
    <n v="2"/>
    <n v="2"/>
    <n v="2"/>
    <s v="Below Avg"/>
    <n v="25.517241379310345"/>
  </r>
  <r>
    <n v="45"/>
    <x v="1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s v="Yes"/>
    <n v="18"/>
    <n v="3"/>
    <n v="4"/>
    <n v="80"/>
    <n v="2"/>
    <n v="10"/>
    <s v="6-15"/>
    <n v="4"/>
    <n v="4"/>
    <n v="3"/>
    <n v="1"/>
    <n v="1"/>
    <n v="2"/>
    <s v="Ok"/>
    <n v="25.576036866359448"/>
  </r>
  <r>
    <n v="48"/>
    <x v="1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s v="No"/>
    <n v="11"/>
    <n v="3"/>
    <n v="1"/>
    <n v="80"/>
    <n v="3"/>
    <n v="15"/>
    <s v="6-15"/>
    <n v="3"/>
    <n v="3"/>
    <n v="2"/>
    <n v="2"/>
    <n v="2"/>
    <n v="2"/>
    <s v="Below Avg"/>
    <n v="25.404157043879909"/>
  </r>
  <r>
    <n v="34"/>
    <x v="0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s v="No"/>
    <n v="15"/>
    <n v="3"/>
    <n v="4"/>
    <n v="80"/>
    <n v="0"/>
    <n v="2"/>
    <s v="0-5"/>
    <n v="0"/>
    <n v="3"/>
    <n v="2"/>
    <n v="2"/>
    <n v="2"/>
    <n v="2"/>
    <s v="Below Avg"/>
    <n v="25.231481481481481"/>
  </r>
  <r>
    <n v="40"/>
    <x v="1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s v="No"/>
    <n v="11"/>
    <n v="3"/>
    <n v="3"/>
    <n v="80"/>
    <n v="1"/>
    <n v="16"/>
    <s v="&gt;15"/>
    <n v="5"/>
    <n v="3"/>
    <n v="9"/>
    <n v="8"/>
    <n v="4"/>
    <n v="8"/>
    <s v="Ok"/>
    <n v="25.290023201856147"/>
  </r>
  <r>
    <n v="28"/>
    <x v="1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s v="No"/>
    <n v="18"/>
    <n v="3"/>
    <n v="4"/>
    <n v="80"/>
    <n v="0"/>
    <n v="6"/>
    <s v="6-15"/>
    <n v="4"/>
    <n v="3"/>
    <n v="5"/>
    <n v="4"/>
    <n v="1"/>
    <n v="3"/>
    <s v="Ok"/>
    <n v="25.348837209302328"/>
  </r>
  <r>
    <n v="44"/>
    <x v="1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s v="No"/>
    <n v="14"/>
    <n v="3"/>
    <n v="4"/>
    <n v="80"/>
    <n v="0"/>
    <n v="7"/>
    <s v="6-15"/>
    <n v="5"/>
    <n v="3"/>
    <n v="5"/>
    <n v="2"/>
    <n v="0"/>
    <n v="3"/>
    <s v="Below Avg"/>
    <n v="25.407925407925408"/>
  </r>
  <r>
    <n v="53"/>
    <x v="1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s v="No"/>
    <n v="12"/>
    <n v="3"/>
    <n v="2"/>
    <n v="80"/>
    <n v="0"/>
    <n v="35"/>
    <s v="&gt;15"/>
    <n v="2"/>
    <n v="2"/>
    <n v="9"/>
    <n v="8"/>
    <n v="8"/>
    <n v="8"/>
    <s v="Ok"/>
    <n v="25.467289719626169"/>
  </r>
  <r>
    <n v="49"/>
    <x v="1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s v="No"/>
    <n v="14"/>
    <n v="3"/>
    <n v="2"/>
    <n v="80"/>
    <n v="1"/>
    <n v="20"/>
    <s v="&gt;15"/>
    <n v="0"/>
    <n v="2"/>
    <n v="3"/>
    <n v="2"/>
    <n v="1"/>
    <n v="2"/>
    <s v="Ok"/>
    <n v="25.526932084309134"/>
  </r>
  <r>
    <n v="40"/>
    <x v="1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s v="No"/>
    <n v="14"/>
    <n v="3"/>
    <n v="3"/>
    <n v="80"/>
    <n v="1"/>
    <n v="8"/>
    <s v="6-15"/>
    <n v="3"/>
    <n v="4"/>
    <n v="3"/>
    <n v="1"/>
    <n v="1"/>
    <n v="2"/>
    <s v="Below Avg"/>
    <n v="25.586854460093893"/>
  </r>
  <r>
    <n v="44"/>
    <x v="1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s v="No"/>
    <n v="13"/>
    <n v="3"/>
    <n v="3"/>
    <n v="80"/>
    <n v="0"/>
    <n v="6"/>
    <s v="6-15"/>
    <n v="3"/>
    <n v="2"/>
    <n v="5"/>
    <n v="2"/>
    <n v="1"/>
    <n v="3"/>
    <s v="Below Avg"/>
    <n v="25.647058823529413"/>
  </r>
  <r>
    <n v="33"/>
    <x v="1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s v="No"/>
    <n v="14"/>
    <n v="3"/>
    <n v="1"/>
    <n v="80"/>
    <n v="2"/>
    <n v="5"/>
    <s v="0-5"/>
    <n v="2"/>
    <n v="3"/>
    <n v="4"/>
    <n v="3"/>
    <n v="0"/>
    <n v="3"/>
    <s v="Below Avg"/>
    <n v="25.707547169811324"/>
  </r>
  <r>
    <n v="34"/>
    <x v="1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s v="No"/>
    <n v="18"/>
    <n v="3"/>
    <n v="4"/>
    <n v="80"/>
    <n v="0"/>
    <n v="15"/>
    <s v="6-15"/>
    <n v="2"/>
    <n v="3"/>
    <n v="13"/>
    <n v="9"/>
    <n v="3"/>
    <n v="12"/>
    <s v="Below Avg"/>
    <n v="25.768321513002363"/>
  </r>
  <r>
    <n v="30"/>
    <x v="1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s v="No"/>
    <n v="15"/>
    <n v="3"/>
    <n v="3"/>
    <n v="80"/>
    <n v="2"/>
    <n v="4"/>
    <s v="0-5"/>
    <n v="2"/>
    <n v="2"/>
    <n v="2"/>
    <n v="1"/>
    <n v="2"/>
    <n v="2"/>
    <s v="Below Avg"/>
    <n v="25.829383886255926"/>
  </r>
  <r>
    <n v="42"/>
    <x v="1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s v="No"/>
    <n v="13"/>
    <n v="3"/>
    <n v="3"/>
    <n v="80"/>
    <n v="0"/>
    <n v="12"/>
    <s v="6-15"/>
    <n v="3"/>
    <n v="3"/>
    <n v="12"/>
    <n v="9"/>
    <n v="5"/>
    <n v="8"/>
    <s v="Below Avg"/>
    <n v="25.890736342042754"/>
  </r>
  <r>
    <n v="44"/>
    <x v="1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s v="No"/>
    <n v="12"/>
    <n v="3"/>
    <n v="3"/>
    <n v="80"/>
    <n v="1"/>
    <n v="11"/>
    <s v="6-15"/>
    <n v="4"/>
    <n v="2"/>
    <n v="1"/>
    <n v="0"/>
    <n v="0"/>
    <n v="0"/>
    <s v="Below Avg"/>
    <n v="25.952380952380956"/>
  </r>
  <r>
    <n v="30"/>
    <x v="1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s v="No"/>
    <n v="13"/>
    <n v="3"/>
    <n v="2"/>
    <n v="80"/>
    <n v="2"/>
    <n v="1"/>
    <s v="0-5"/>
    <n v="2"/>
    <n v="2"/>
    <n v="1"/>
    <n v="0"/>
    <n v="0"/>
    <n v="0"/>
    <s v="Below Avg"/>
    <n v="26.014319809069214"/>
  </r>
  <r>
    <n v="57"/>
    <x v="1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s v="No"/>
    <n v="24"/>
    <n v="4"/>
    <n v="1"/>
    <n v="80"/>
    <n v="1"/>
    <n v="13"/>
    <s v="6-15"/>
    <n v="2"/>
    <n v="2"/>
    <n v="12"/>
    <n v="9"/>
    <n v="2"/>
    <n v="8"/>
    <s v="Below Avg"/>
    <n v="26.076555023923444"/>
  </r>
  <r>
    <n v="49"/>
    <x v="1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s v="No"/>
    <n v="14"/>
    <n v="3"/>
    <n v="2"/>
    <n v="80"/>
    <n v="2"/>
    <n v="29"/>
    <s v="&gt;15"/>
    <n v="3"/>
    <n v="3"/>
    <n v="8"/>
    <n v="7"/>
    <n v="0"/>
    <n v="7"/>
    <s v="Ok"/>
    <n v="26.139088729016784"/>
  </r>
  <r>
    <n v="34"/>
    <x v="1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s v="No"/>
    <n v="14"/>
    <n v="3"/>
    <n v="4"/>
    <n v="80"/>
    <n v="2"/>
    <n v="16"/>
    <s v="&gt;15"/>
    <n v="3"/>
    <n v="2"/>
    <n v="14"/>
    <n v="8"/>
    <n v="6"/>
    <n v="9"/>
    <s v="Ok"/>
    <n v="26.201923076923077"/>
  </r>
  <r>
    <n v="28"/>
    <x v="0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s v="No"/>
    <n v="15"/>
    <n v="3"/>
    <n v="4"/>
    <n v="80"/>
    <n v="1"/>
    <n v="5"/>
    <s v="0-5"/>
    <n v="3"/>
    <n v="4"/>
    <n v="3"/>
    <n v="2"/>
    <n v="1"/>
    <n v="2"/>
    <s v="Below Avg"/>
    <n v="26.265060240963855"/>
  </r>
  <r>
    <n v="29"/>
    <x v="0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s v="No"/>
    <n v="11"/>
    <n v="3"/>
    <n v="1"/>
    <n v="80"/>
    <n v="0"/>
    <n v="7"/>
    <s v="6-15"/>
    <n v="4"/>
    <n v="1"/>
    <n v="5"/>
    <n v="3"/>
    <n v="0"/>
    <n v="0"/>
    <s v="Below Avg"/>
    <n v="26.328502415458939"/>
  </r>
  <r>
    <n v="34"/>
    <x v="0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s v="Yes"/>
    <n v="23"/>
    <n v="4"/>
    <n v="3"/>
    <n v="80"/>
    <n v="0"/>
    <n v="16"/>
    <s v="&gt;15"/>
    <n v="2"/>
    <n v="4"/>
    <n v="15"/>
    <n v="9"/>
    <n v="10"/>
    <n v="10"/>
    <s v="Below Avg"/>
    <n v="26.392251815980629"/>
  </r>
  <r>
    <n v="35"/>
    <x v="1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s v="No"/>
    <n v="13"/>
    <n v="3"/>
    <n v="1"/>
    <n v="80"/>
    <n v="1"/>
    <n v="1"/>
    <s v="0-5"/>
    <n v="3"/>
    <n v="3"/>
    <n v="1"/>
    <n v="0"/>
    <n v="0"/>
    <n v="0"/>
    <s v="Below Avg"/>
    <n v="26.456310679611651"/>
  </r>
  <r>
    <n v="24"/>
    <x v="0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s v="Yes"/>
    <n v="11"/>
    <n v="3"/>
    <n v="3"/>
    <n v="80"/>
    <n v="0"/>
    <n v="4"/>
    <s v="0-5"/>
    <n v="2"/>
    <n v="2"/>
    <n v="0"/>
    <n v="0"/>
    <n v="0"/>
    <n v="0"/>
    <s v="Below Avg"/>
    <n v="26.277372262773724"/>
  </r>
  <r>
    <n v="24"/>
    <x v="1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s v="No"/>
    <n v="13"/>
    <n v="3"/>
    <n v="3"/>
    <n v="80"/>
    <n v="1"/>
    <n v="1"/>
    <s v="0-5"/>
    <n v="2"/>
    <n v="3"/>
    <n v="1"/>
    <n v="0"/>
    <n v="0"/>
    <n v="0"/>
    <s v="Below Avg"/>
    <n v="26.341463414634148"/>
  </r>
  <r>
    <n v="44"/>
    <x v="1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s v="Yes"/>
    <n v="18"/>
    <n v="3"/>
    <n v="2"/>
    <n v="80"/>
    <n v="0"/>
    <n v="16"/>
    <s v="&gt;15"/>
    <n v="2"/>
    <n v="2"/>
    <n v="2"/>
    <n v="2"/>
    <n v="2"/>
    <n v="2"/>
    <s v="Ok"/>
    <n v="26.161369193154034"/>
  </r>
  <r>
    <n v="29"/>
    <x v="1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s v="No"/>
    <n v="14"/>
    <n v="3"/>
    <n v="3"/>
    <n v="80"/>
    <n v="2"/>
    <n v="10"/>
    <s v="6-15"/>
    <n v="3"/>
    <n v="3"/>
    <n v="10"/>
    <n v="7"/>
    <n v="0"/>
    <n v="4"/>
    <s v="Ok"/>
    <n v="26.225490196078432"/>
  </r>
  <r>
    <n v="30"/>
    <x v="1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s v="No"/>
    <n v="21"/>
    <n v="4"/>
    <n v="1"/>
    <n v="80"/>
    <n v="1"/>
    <n v="6"/>
    <s v="6-15"/>
    <n v="3"/>
    <n v="4"/>
    <n v="5"/>
    <n v="3"/>
    <n v="1"/>
    <n v="3"/>
    <s v="Below Avg"/>
    <n v="26.044226044226043"/>
  </r>
  <r>
    <n v="55"/>
    <x v="1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s v="Yes"/>
    <n v="16"/>
    <n v="3"/>
    <n v="2"/>
    <n v="80"/>
    <n v="0"/>
    <n v="4"/>
    <s v="0-5"/>
    <n v="2"/>
    <n v="3"/>
    <n v="3"/>
    <n v="2"/>
    <n v="1"/>
    <n v="2"/>
    <s v="Below Avg"/>
    <n v="26.108374384236456"/>
  </r>
  <r>
    <n v="33"/>
    <x v="1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s v="No"/>
    <n v="11"/>
    <n v="3"/>
    <n v="4"/>
    <n v="80"/>
    <n v="0"/>
    <n v="8"/>
    <s v="6-15"/>
    <n v="5"/>
    <n v="3"/>
    <n v="5"/>
    <n v="4"/>
    <n v="0"/>
    <n v="2"/>
    <s v="Below Avg"/>
    <n v="26.172839506172842"/>
  </r>
  <r>
    <n v="47"/>
    <x v="1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s v="Yes"/>
    <n v="17"/>
    <n v="3"/>
    <n v="3"/>
    <n v="80"/>
    <n v="1"/>
    <n v="11"/>
    <s v="6-15"/>
    <n v="4"/>
    <n v="2"/>
    <n v="5"/>
    <n v="4"/>
    <n v="1"/>
    <n v="2"/>
    <s v="Below Avg"/>
    <n v="25.990099009900991"/>
  </r>
  <r>
    <n v="28"/>
    <x v="0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s v="No"/>
    <n v="11"/>
    <n v="3"/>
    <n v="3"/>
    <n v="80"/>
    <n v="0"/>
    <n v="8"/>
    <s v="6-15"/>
    <n v="2"/>
    <n v="2"/>
    <n v="0"/>
    <n v="0"/>
    <n v="0"/>
    <n v="0"/>
    <s v="Below Avg"/>
    <n v="26.054590570719604"/>
  </r>
  <r>
    <n v="28"/>
    <x v="1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s v="No"/>
    <n v="14"/>
    <n v="3"/>
    <n v="4"/>
    <n v="80"/>
    <n v="1"/>
    <n v="1"/>
    <s v="0-5"/>
    <n v="2"/>
    <n v="1"/>
    <n v="1"/>
    <n v="0"/>
    <n v="0"/>
    <n v="0"/>
    <s v="Below Avg"/>
    <n v="25.870646766169152"/>
  </r>
  <r>
    <n v="28"/>
    <x v="1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s v="No"/>
    <n v="14"/>
    <n v="3"/>
    <n v="4"/>
    <n v="80"/>
    <n v="0"/>
    <n v="5"/>
    <s v="0-5"/>
    <n v="5"/>
    <n v="3"/>
    <n v="4"/>
    <n v="2"/>
    <n v="1"/>
    <n v="3"/>
    <s v="Below Avg"/>
    <n v="25.935162094763093"/>
  </r>
  <r>
    <n v="49"/>
    <x v="1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s v="No"/>
    <n v="25"/>
    <n v="4"/>
    <n v="1"/>
    <n v="80"/>
    <n v="1"/>
    <n v="10"/>
    <s v="6-15"/>
    <n v="3"/>
    <n v="3"/>
    <n v="3"/>
    <n v="2"/>
    <n v="1"/>
    <n v="2"/>
    <s v="Below Avg"/>
    <n v="26"/>
  </r>
  <r>
    <n v="29"/>
    <x v="1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s v="No"/>
    <n v="13"/>
    <n v="3"/>
    <n v="3"/>
    <n v="80"/>
    <n v="3"/>
    <n v="4"/>
    <s v="0-5"/>
    <n v="3"/>
    <n v="3"/>
    <n v="3"/>
    <n v="2"/>
    <n v="0"/>
    <n v="2"/>
    <s v="Below Avg"/>
    <n v="26.065162907268167"/>
  </r>
  <r>
    <n v="28"/>
    <x v="1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s v="No"/>
    <n v="14"/>
    <n v="3"/>
    <n v="2"/>
    <n v="80"/>
    <n v="2"/>
    <n v="8"/>
    <s v="6-15"/>
    <n v="2"/>
    <n v="2"/>
    <n v="8"/>
    <n v="6"/>
    <n v="1"/>
    <n v="7"/>
    <s v="Ok"/>
    <n v="26.13065326633166"/>
  </r>
  <r>
    <n v="33"/>
    <x v="1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s v="Yes"/>
    <n v="17"/>
    <n v="3"/>
    <n v="1"/>
    <n v="80"/>
    <n v="0"/>
    <n v="14"/>
    <s v="6-15"/>
    <n v="6"/>
    <n v="3"/>
    <n v="0"/>
    <n v="0"/>
    <n v="0"/>
    <n v="0"/>
    <s v="Ok"/>
    <n v="26.196473551637279"/>
  </r>
  <r>
    <n v="32"/>
    <x v="1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s v="No"/>
    <n v="25"/>
    <n v="4"/>
    <n v="2"/>
    <n v="80"/>
    <n v="0"/>
    <n v="10"/>
    <s v="6-15"/>
    <n v="5"/>
    <n v="4"/>
    <n v="5"/>
    <n v="2"/>
    <n v="0"/>
    <n v="0"/>
    <s v="Ok"/>
    <n v="26.262626262626267"/>
  </r>
  <r>
    <n v="54"/>
    <x v="1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s v="No"/>
    <n v="20"/>
    <n v="4"/>
    <n v="1"/>
    <n v="80"/>
    <n v="1"/>
    <n v="26"/>
    <s v="&gt;15"/>
    <n v="2"/>
    <n v="3"/>
    <n v="14"/>
    <n v="9"/>
    <n v="1"/>
    <n v="12"/>
    <s v="Ok"/>
    <n v="26.075949367088608"/>
  </r>
  <r>
    <n v="29"/>
    <x v="0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s v="No"/>
    <n v="13"/>
    <n v="3"/>
    <n v="3"/>
    <n v="80"/>
    <n v="0"/>
    <n v="11"/>
    <s v="6-15"/>
    <n v="2"/>
    <n v="1"/>
    <n v="9"/>
    <n v="7"/>
    <n v="0"/>
    <n v="7"/>
    <s v="Below Avg"/>
    <n v="26.142131979695431"/>
  </r>
  <r>
    <n v="44"/>
    <x v="1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s v="No"/>
    <n v="13"/>
    <n v="3"/>
    <n v="3"/>
    <n v="80"/>
    <n v="1"/>
    <n v="24"/>
    <s v="&gt;15"/>
    <n v="1"/>
    <n v="4"/>
    <n v="20"/>
    <n v="6"/>
    <n v="14"/>
    <n v="17"/>
    <s v="Ok"/>
    <n v="26.208651399491096"/>
  </r>
  <r>
    <n v="39"/>
    <x v="1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s v="No"/>
    <n v="18"/>
    <n v="3"/>
    <n v="4"/>
    <n v="80"/>
    <n v="0"/>
    <n v="9"/>
    <s v="6-15"/>
    <n v="3"/>
    <n v="3"/>
    <n v="2"/>
    <n v="0"/>
    <n v="2"/>
    <n v="2"/>
    <s v="Ok"/>
    <n v="26.27551020408163"/>
  </r>
  <r>
    <n v="46"/>
    <x v="1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s v="No"/>
    <n v="12"/>
    <n v="3"/>
    <n v="4"/>
    <n v="80"/>
    <n v="1"/>
    <n v="23"/>
    <s v="&gt;15"/>
    <n v="2"/>
    <n v="4"/>
    <n v="13"/>
    <n v="12"/>
    <n v="5"/>
    <n v="1"/>
    <s v="Ok"/>
    <n v="26.342710997442452"/>
  </r>
  <r>
    <n v="35"/>
    <x v="1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s v="No"/>
    <n v="19"/>
    <n v="3"/>
    <n v="4"/>
    <n v="80"/>
    <n v="0"/>
    <n v="11"/>
    <s v="6-15"/>
    <n v="3"/>
    <n v="1"/>
    <n v="11"/>
    <n v="8"/>
    <n v="3"/>
    <n v="3"/>
    <s v="Ok"/>
    <n v="26.410256410256412"/>
  </r>
  <r>
    <n v="23"/>
    <x v="1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s v="No"/>
    <n v="14"/>
    <n v="3"/>
    <n v="2"/>
    <n v="80"/>
    <n v="0"/>
    <n v="5"/>
    <s v="0-5"/>
    <n v="2"/>
    <n v="3"/>
    <n v="4"/>
    <n v="3"/>
    <n v="1"/>
    <n v="2"/>
    <s v="Below Avg"/>
    <n v="26.47814910025707"/>
  </r>
  <r>
    <n v="40"/>
    <x v="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s v="No"/>
    <n v="14"/>
    <n v="3"/>
    <n v="2"/>
    <n v="80"/>
    <n v="0"/>
    <n v="15"/>
    <s v="6-15"/>
    <n v="3"/>
    <n v="1"/>
    <n v="5"/>
    <n v="4"/>
    <n v="1"/>
    <n v="0"/>
    <s v="Below Avg"/>
    <n v="26.546391752577321"/>
  </r>
  <r>
    <n v="34"/>
    <x v="1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s v="Yes"/>
    <n v="14"/>
    <n v="3"/>
    <n v="4"/>
    <n v="80"/>
    <n v="0"/>
    <n v="10"/>
    <s v="6-15"/>
    <n v="3"/>
    <n v="3"/>
    <n v="10"/>
    <n v="9"/>
    <n v="8"/>
    <n v="6"/>
    <s v="Ok"/>
    <n v="26.614987080103358"/>
  </r>
  <r>
    <n v="31"/>
    <x v="0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s v="No"/>
    <n v="12"/>
    <n v="3"/>
    <n v="1"/>
    <n v="80"/>
    <n v="0"/>
    <n v="7"/>
    <s v="6-15"/>
    <n v="2"/>
    <n v="1"/>
    <n v="7"/>
    <n v="2"/>
    <n v="7"/>
    <n v="7"/>
    <s v="Below Avg"/>
    <n v="26.683937823834196"/>
  </r>
  <r>
    <n v="50"/>
    <x v="1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s v="Yes"/>
    <n v="13"/>
    <n v="3"/>
    <n v="4"/>
    <n v="80"/>
    <n v="0"/>
    <n v="32"/>
    <s v="&gt;15"/>
    <n v="2"/>
    <n v="3"/>
    <n v="32"/>
    <n v="6"/>
    <n v="13"/>
    <n v="9"/>
    <s v="Ok"/>
    <n v="26.493506493506491"/>
  </r>
  <r>
    <n v="34"/>
    <x v="1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s v="Yes"/>
    <n v="25"/>
    <n v="4"/>
    <n v="2"/>
    <n v="80"/>
    <n v="1"/>
    <n v="12"/>
    <s v="6-15"/>
    <n v="4"/>
    <n v="3"/>
    <n v="11"/>
    <n v="10"/>
    <n v="5"/>
    <n v="7"/>
    <s v="Below Avg"/>
    <n v="26.5625"/>
  </r>
  <r>
    <n v="42"/>
    <x v="1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s v="No"/>
    <n v="14"/>
    <n v="3"/>
    <n v="2"/>
    <n v="80"/>
    <n v="1"/>
    <n v="4"/>
    <s v="0-5"/>
    <n v="3"/>
    <n v="3"/>
    <n v="1"/>
    <n v="0"/>
    <n v="0"/>
    <n v="0"/>
    <s v="Below Avg"/>
    <n v="26.370757180156655"/>
  </r>
  <r>
    <n v="37"/>
    <x v="1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s v="No"/>
    <n v="17"/>
    <n v="3"/>
    <n v="1"/>
    <n v="80"/>
    <n v="0"/>
    <n v="10"/>
    <s v="6-15"/>
    <n v="2"/>
    <n v="3"/>
    <n v="10"/>
    <n v="8"/>
    <n v="3"/>
    <n v="7"/>
    <s v="Below Avg"/>
    <n v="26.178010471204189"/>
  </r>
  <r>
    <n v="29"/>
    <x v="1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s v="No"/>
    <n v="13"/>
    <n v="3"/>
    <n v="3"/>
    <n v="80"/>
    <n v="1"/>
    <n v="9"/>
    <s v="6-15"/>
    <n v="3"/>
    <n v="3"/>
    <n v="7"/>
    <n v="7"/>
    <n v="0"/>
    <n v="7"/>
    <s v="Ok"/>
    <n v="26.246719160104988"/>
  </r>
  <r>
    <n v="33"/>
    <x v="1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s v="No"/>
    <n v="13"/>
    <n v="3"/>
    <n v="4"/>
    <n v="80"/>
    <n v="0"/>
    <n v="5"/>
    <s v="0-5"/>
    <n v="2"/>
    <n v="3"/>
    <n v="5"/>
    <n v="3"/>
    <n v="0"/>
    <n v="2"/>
    <s v="Below Avg"/>
    <n v="26.315789473684209"/>
  </r>
  <r>
    <n v="45"/>
    <x v="1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s v="No"/>
    <n v="20"/>
    <n v="4"/>
    <n v="4"/>
    <n v="80"/>
    <n v="1"/>
    <n v="8"/>
    <s v="6-15"/>
    <n v="3"/>
    <n v="3"/>
    <n v="5"/>
    <n v="4"/>
    <n v="0"/>
    <n v="3"/>
    <s v="Below Avg"/>
    <n v="26.385224274406333"/>
  </r>
  <r>
    <n v="42"/>
    <x v="1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s v="Yes"/>
    <n v="14"/>
    <n v="3"/>
    <n v="3"/>
    <n v="80"/>
    <n v="1"/>
    <n v="24"/>
    <s v="&gt;15"/>
    <n v="3"/>
    <n v="1"/>
    <n v="20"/>
    <n v="8"/>
    <n v="13"/>
    <n v="9"/>
    <s v="Ok"/>
    <n v="26.455026455026452"/>
  </r>
  <r>
    <n v="40"/>
    <x v="1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s v="No"/>
    <n v="12"/>
    <n v="3"/>
    <n v="4"/>
    <n v="80"/>
    <n v="0"/>
    <n v="9"/>
    <s v="6-15"/>
    <n v="5"/>
    <n v="4"/>
    <n v="8"/>
    <n v="4"/>
    <n v="7"/>
    <n v="1"/>
    <s v="Below Avg"/>
    <n v="26.525198938992045"/>
  </r>
  <r>
    <n v="33"/>
    <x v="1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s v="Yes"/>
    <n v="12"/>
    <n v="3"/>
    <n v="2"/>
    <n v="80"/>
    <n v="1"/>
    <n v="15"/>
    <s v="6-15"/>
    <n v="3"/>
    <n v="3"/>
    <n v="15"/>
    <n v="14"/>
    <n v="5"/>
    <n v="7"/>
    <s v="Below Avg"/>
    <n v="26.329787234042552"/>
  </r>
  <r>
    <n v="40"/>
    <x v="1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s v="Yes"/>
    <n v="21"/>
    <n v="4"/>
    <n v="4"/>
    <n v="80"/>
    <n v="0"/>
    <n v="21"/>
    <s v="&gt;15"/>
    <n v="2"/>
    <n v="3"/>
    <n v="21"/>
    <n v="7"/>
    <n v="7"/>
    <n v="7"/>
    <s v="Ok"/>
    <n v="26.400000000000002"/>
  </r>
  <r>
    <n v="24"/>
    <x v="1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s v="No"/>
    <n v="14"/>
    <n v="3"/>
    <n v="2"/>
    <n v="80"/>
    <n v="3"/>
    <n v="2"/>
    <s v="0-5"/>
    <n v="3"/>
    <n v="3"/>
    <n v="1"/>
    <n v="1"/>
    <n v="0"/>
    <n v="0"/>
    <s v="Below Avg"/>
    <n v="26.203208556149733"/>
  </r>
  <r>
    <n v="40"/>
    <x v="1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s v="Yes"/>
    <n v="18"/>
    <n v="3"/>
    <n v="3"/>
    <n v="80"/>
    <n v="0"/>
    <n v="8"/>
    <s v="6-15"/>
    <n v="2"/>
    <n v="3"/>
    <n v="2"/>
    <n v="2"/>
    <n v="2"/>
    <n v="2"/>
    <s v="Below Avg"/>
    <n v="26.005361930294907"/>
  </r>
  <r>
    <n v="45"/>
    <x v="1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s v="No"/>
    <n v="12"/>
    <n v="3"/>
    <n v="1"/>
    <n v="80"/>
    <n v="3"/>
    <n v="10"/>
    <s v="6-15"/>
    <n v="4"/>
    <n v="3"/>
    <n v="10"/>
    <n v="8"/>
    <n v="7"/>
    <n v="7"/>
    <s v="Ok"/>
    <n v="26.0752688172043"/>
  </r>
  <r>
    <n v="35"/>
    <x v="1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s v="No"/>
    <n v="23"/>
    <n v="4"/>
    <n v="1"/>
    <n v="80"/>
    <n v="2"/>
    <n v="6"/>
    <s v="6-15"/>
    <n v="5"/>
    <n v="3"/>
    <n v="5"/>
    <n v="3"/>
    <n v="4"/>
    <n v="2"/>
    <s v="Below Avg"/>
    <n v="25.876010781671159"/>
  </r>
  <r>
    <n v="32"/>
    <x v="1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s v="No"/>
    <n v="12"/>
    <n v="3"/>
    <n v="1"/>
    <n v="80"/>
    <n v="1"/>
    <n v="12"/>
    <s v="6-15"/>
    <n v="2"/>
    <n v="3"/>
    <n v="7"/>
    <n v="1"/>
    <n v="2"/>
    <n v="5"/>
    <s v="Below Avg"/>
    <n v="25.945945945945947"/>
  </r>
  <r>
    <n v="36"/>
    <x v="1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s v="Yes"/>
    <n v="21"/>
    <n v="4"/>
    <n v="4"/>
    <n v="80"/>
    <n v="0"/>
    <n v="7"/>
    <s v="6-15"/>
    <n v="3"/>
    <n v="2"/>
    <n v="3"/>
    <n v="2"/>
    <n v="1"/>
    <n v="2"/>
    <s v="Below Avg"/>
    <n v="26.016260162601629"/>
  </r>
  <r>
    <n v="48"/>
    <x v="1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s v="No"/>
    <n v="14"/>
    <n v="3"/>
    <n v="3"/>
    <n v="80"/>
    <n v="1"/>
    <n v="18"/>
    <s v="&gt;15"/>
    <n v="2"/>
    <n v="3"/>
    <n v="8"/>
    <n v="7"/>
    <n v="7"/>
    <n v="7"/>
    <s v="Below Avg"/>
    <n v="26.086956521739129"/>
  </r>
  <r>
    <n v="29"/>
    <x v="1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s v="No"/>
    <n v="18"/>
    <n v="3"/>
    <n v="1"/>
    <n v="80"/>
    <n v="2"/>
    <n v="5"/>
    <s v="0-5"/>
    <n v="2"/>
    <n v="2"/>
    <n v="1"/>
    <n v="0"/>
    <n v="0"/>
    <n v="0"/>
    <s v="Below Avg"/>
    <n v="25.885558583106267"/>
  </r>
  <r>
    <n v="33"/>
    <x v="1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s v="No"/>
    <n v="13"/>
    <n v="3"/>
    <n v="4"/>
    <n v="80"/>
    <n v="1"/>
    <n v="8"/>
    <s v="6-15"/>
    <n v="6"/>
    <n v="1"/>
    <n v="2"/>
    <n v="2"/>
    <n v="2"/>
    <n v="2"/>
    <s v="Below Avg"/>
    <n v="25.956284153005466"/>
  </r>
  <r>
    <n v="30"/>
    <x v="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s v="No"/>
    <n v="11"/>
    <n v="3"/>
    <n v="4"/>
    <n v="80"/>
    <n v="1"/>
    <n v="10"/>
    <s v="6-15"/>
    <n v="4"/>
    <n v="3"/>
    <n v="10"/>
    <n v="8"/>
    <n v="6"/>
    <n v="7"/>
    <s v="Ok"/>
    <n v="26.027397260273972"/>
  </r>
  <r>
    <n v="38"/>
    <x v="1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s v="No"/>
    <n v="11"/>
    <n v="3"/>
    <n v="3"/>
    <n v="80"/>
    <n v="0"/>
    <n v="10"/>
    <s v="6-15"/>
    <n v="2"/>
    <n v="3"/>
    <n v="6"/>
    <n v="3"/>
    <n v="1"/>
    <n v="2"/>
    <s v="Ok"/>
    <n v="26.098901098901102"/>
  </r>
  <r>
    <n v="35"/>
    <x v="1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s v="No"/>
    <n v="19"/>
    <n v="3"/>
    <n v="2"/>
    <n v="80"/>
    <n v="0"/>
    <n v="3"/>
    <s v="0-5"/>
    <n v="3"/>
    <n v="3"/>
    <n v="3"/>
    <n v="0"/>
    <n v="1"/>
    <n v="2"/>
    <s v="Below Avg"/>
    <n v="26.170798898071624"/>
  </r>
  <r>
    <n v="30"/>
    <x v="1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s v="No"/>
    <n v="12"/>
    <n v="3"/>
    <n v="2"/>
    <n v="80"/>
    <n v="1"/>
    <n v="9"/>
    <s v="6-15"/>
    <n v="3"/>
    <n v="3"/>
    <n v="4"/>
    <n v="2"/>
    <n v="1"/>
    <n v="3"/>
    <s v="Ok"/>
    <n v="26.243093922651934"/>
  </r>
  <r>
    <n v="35"/>
    <x v="0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s v="Yes"/>
    <n v="12"/>
    <n v="3"/>
    <n v="4"/>
    <n v="80"/>
    <n v="1"/>
    <n v="1"/>
    <s v="0-5"/>
    <n v="2"/>
    <n v="3"/>
    <n v="1"/>
    <n v="0"/>
    <n v="0"/>
    <n v="0"/>
    <s v="Below Avg"/>
    <n v="26.315789473684209"/>
  </r>
  <r>
    <n v="53"/>
    <x v="0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s v="No"/>
    <n v="16"/>
    <n v="3"/>
    <n v="2"/>
    <n v="80"/>
    <n v="1"/>
    <n v="34"/>
    <s v="&gt;15"/>
    <n v="4"/>
    <n v="3"/>
    <n v="33"/>
    <n v="7"/>
    <n v="1"/>
    <n v="9"/>
    <s v="Ok"/>
    <n v="26.388888888888889"/>
  </r>
  <r>
    <n v="38"/>
    <x v="0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s v="No"/>
    <n v="11"/>
    <n v="3"/>
    <n v="1"/>
    <n v="80"/>
    <n v="2"/>
    <n v="7"/>
    <s v="6-15"/>
    <n v="2"/>
    <n v="3"/>
    <n v="5"/>
    <n v="2"/>
    <n v="1"/>
    <n v="4"/>
    <s v="Below Avg"/>
    <n v="26.18384401114206"/>
  </r>
  <r>
    <n v="32"/>
    <x v="1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s v="No"/>
    <n v="14"/>
    <n v="3"/>
    <n v="2"/>
    <n v="80"/>
    <n v="1"/>
    <n v="9"/>
    <s v="6-15"/>
    <n v="3"/>
    <n v="2"/>
    <n v="6"/>
    <n v="5"/>
    <n v="1"/>
    <n v="2"/>
    <s v="Below Avg"/>
    <n v="26.256983240223462"/>
  </r>
  <r>
    <n v="48"/>
    <x v="1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s v="No"/>
    <n v="12"/>
    <n v="3"/>
    <n v="4"/>
    <n v="80"/>
    <n v="1"/>
    <n v="10"/>
    <s v="6-15"/>
    <n v="3"/>
    <n v="2"/>
    <n v="8"/>
    <n v="2"/>
    <n v="7"/>
    <n v="6"/>
    <s v="Below Avg"/>
    <n v="26.330532212885156"/>
  </r>
  <r>
    <n v="34"/>
    <x v="1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s v="No"/>
    <n v="13"/>
    <n v="3"/>
    <n v="3"/>
    <n v="80"/>
    <n v="0"/>
    <n v="1"/>
    <s v="0-5"/>
    <n v="4"/>
    <n v="1"/>
    <n v="1"/>
    <n v="0"/>
    <n v="0"/>
    <n v="0"/>
    <s v="Below Avg"/>
    <n v="26.40449438202247"/>
  </r>
  <r>
    <n v="55"/>
    <x v="1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s v="No"/>
    <n v="21"/>
    <n v="4"/>
    <n v="3"/>
    <n v="80"/>
    <n v="1"/>
    <n v="36"/>
    <s v="&gt;15"/>
    <n v="3"/>
    <n v="3"/>
    <n v="36"/>
    <n v="6"/>
    <n v="2"/>
    <n v="13"/>
    <s v="Ok"/>
    <n v="26.478873239436616"/>
  </r>
  <r>
    <n v="34"/>
    <x v="1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s v="No"/>
    <n v="17"/>
    <n v="3"/>
    <n v="2"/>
    <n v="80"/>
    <n v="1"/>
    <n v="9"/>
    <s v="6-15"/>
    <n v="3"/>
    <n v="2"/>
    <n v="2"/>
    <n v="2"/>
    <n v="2"/>
    <n v="1"/>
    <s v="Below Avg"/>
    <n v="26.55367231638418"/>
  </r>
  <r>
    <n v="26"/>
    <x v="1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s v="No"/>
    <n v="21"/>
    <n v="4"/>
    <n v="1"/>
    <n v="80"/>
    <n v="0"/>
    <n v="1"/>
    <s v="0-5"/>
    <n v="5"/>
    <n v="3"/>
    <n v="1"/>
    <n v="0"/>
    <n v="0"/>
    <n v="0"/>
    <s v="Below Avg"/>
    <n v="26.628895184135974"/>
  </r>
  <r>
    <n v="38"/>
    <x v="1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s v="No"/>
    <n v="11"/>
    <n v="3"/>
    <n v="4"/>
    <n v="80"/>
    <n v="1"/>
    <n v="10"/>
    <s v="6-15"/>
    <n v="3"/>
    <n v="3"/>
    <n v="9"/>
    <n v="8"/>
    <n v="7"/>
    <n v="7"/>
    <s v="Ok"/>
    <n v="26.704545454545453"/>
  </r>
  <r>
    <n v="38"/>
    <x v="1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s v="No"/>
    <n v="12"/>
    <n v="3"/>
    <n v="2"/>
    <n v="80"/>
    <n v="0"/>
    <n v="8"/>
    <s v="6-15"/>
    <n v="5"/>
    <n v="4"/>
    <n v="3"/>
    <n v="2"/>
    <n v="1"/>
    <n v="2"/>
    <s v="Below Avg"/>
    <n v="26.780626780626783"/>
  </r>
  <r>
    <n v="36"/>
    <x v="1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s v="No"/>
    <n v="13"/>
    <n v="3"/>
    <n v="1"/>
    <n v="80"/>
    <n v="0"/>
    <n v="15"/>
    <s v="6-15"/>
    <n v="5"/>
    <n v="3"/>
    <n v="1"/>
    <n v="0"/>
    <n v="0"/>
    <n v="0"/>
    <s v="Ok"/>
    <n v="26.857142857142858"/>
  </r>
  <r>
    <n v="29"/>
    <x v="1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s v="Yes"/>
    <n v="18"/>
    <n v="3"/>
    <n v="4"/>
    <n v="80"/>
    <n v="0"/>
    <n v="10"/>
    <s v="6-15"/>
    <n v="3"/>
    <n v="3"/>
    <n v="10"/>
    <n v="9"/>
    <n v="1"/>
    <n v="5"/>
    <s v="Below Avg"/>
    <n v="26.93409742120344"/>
  </r>
  <r>
    <n v="35"/>
    <x v="1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s v="Yes"/>
    <n v="16"/>
    <n v="3"/>
    <n v="3"/>
    <n v="80"/>
    <n v="0"/>
    <n v="10"/>
    <s v="6-15"/>
    <n v="4"/>
    <n v="3"/>
    <n v="5"/>
    <n v="2"/>
    <n v="0"/>
    <n v="4"/>
    <s v="Ok"/>
    <n v="27.011494252873565"/>
  </r>
  <r>
    <n v="39"/>
    <x v="1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s v="No"/>
    <n v="11"/>
    <n v="3"/>
    <n v="1"/>
    <n v="80"/>
    <n v="1"/>
    <n v="11"/>
    <s v="6-15"/>
    <n v="3"/>
    <n v="3"/>
    <n v="7"/>
    <n v="6"/>
    <n v="7"/>
    <n v="6"/>
    <s v="Ok"/>
    <n v="26.801152737752158"/>
  </r>
  <r>
    <n v="29"/>
    <x v="1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s v="No"/>
    <n v="19"/>
    <n v="3"/>
    <n v="4"/>
    <n v="80"/>
    <n v="1"/>
    <n v="6"/>
    <s v="6-15"/>
    <n v="0"/>
    <n v="4"/>
    <n v="6"/>
    <n v="4"/>
    <n v="1"/>
    <n v="3"/>
    <s v="Ok"/>
    <n v="26.589595375722542"/>
  </r>
  <r>
    <n v="50"/>
    <x v="1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s v="Yes"/>
    <n v="16"/>
    <n v="3"/>
    <n v="3"/>
    <n v="80"/>
    <n v="1"/>
    <n v="27"/>
    <s v="&gt;15"/>
    <n v="2"/>
    <n v="3"/>
    <n v="1"/>
    <n v="0"/>
    <n v="0"/>
    <n v="0"/>
    <s v="Ok"/>
    <n v="26.666666666666668"/>
  </r>
  <r>
    <n v="23"/>
    <x v="1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s v="No"/>
    <n v="16"/>
    <n v="3"/>
    <n v="4"/>
    <n v="80"/>
    <n v="1"/>
    <n v="4"/>
    <s v="0-5"/>
    <n v="2"/>
    <n v="3"/>
    <n v="2"/>
    <n v="2"/>
    <n v="2"/>
    <n v="2"/>
    <s v="Below Avg"/>
    <n v="26.744186046511626"/>
  </r>
  <r>
    <n v="36"/>
    <x v="1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s v="Yes"/>
    <n v="13"/>
    <n v="3"/>
    <n v="4"/>
    <n v="80"/>
    <n v="1"/>
    <n v="9"/>
    <s v="6-15"/>
    <n v="3"/>
    <n v="3"/>
    <n v="3"/>
    <n v="2"/>
    <n v="0"/>
    <n v="2"/>
    <s v="Below Avg"/>
    <n v="26.530612244897959"/>
  </r>
  <r>
    <n v="42"/>
    <x v="1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s v="No"/>
    <n v="22"/>
    <n v="4"/>
    <n v="4"/>
    <n v="80"/>
    <n v="0"/>
    <n v="24"/>
    <s v="&gt;15"/>
    <n v="2"/>
    <n v="3"/>
    <n v="1"/>
    <n v="0"/>
    <n v="0"/>
    <n v="1"/>
    <s v="Ok"/>
    <n v="26.608187134502927"/>
  </r>
  <r>
    <n v="35"/>
    <x v="1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s v="No"/>
    <n v="17"/>
    <n v="3"/>
    <n v="4"/>
    <n v="80"/>
    <n v="2"/>
    <n v="10"/>
    <s v="6-15"/>
    <n v="3"/>
    <n v="2"/>
    <n v="10"/>
    <n v="9"/>
    <n v="6"/>
    <n v="8"/>
    <s v="Below Avg"/>
    <n v="26.392961876832842"/>
  </r>
  <r>
    <n v="34"/>
    <x v="1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s v="No"/>
    <n v="14"/>
    <n v="3"/>
    <n v="2"/>
    <n v="80"/>
    <n v="1"/>
    <n v="8"/>
    <s v="6-15"/>
    <n v="3"/>
    <n v="2"/>
    <n v="8"/>
    <n v="2"/>
    <n v="7"/>
    <n v="7"/>
    <s v="Below Avg"/>
    <n v="26.47058823529412"/>
  </r>
  <r>
    <n v="40"/>
    <x v="1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s v="No"/>
    <n v="15"/>
    <n v="3"/>
    <n v="3"/>
    <n v="80"/>
    <n v="1"/>
    <n v="5"/>
    <s v="0-5"/>
    <n v="2"/>
    <n v="3"/>
    <n v="5"/>
    <n v="4"/>
    <n v="1"/>
    <n v="2"/>
    <s v="Below Avg"/>
    <n v="26.548672566371685"/>
  </r>
  <r>
    <n v="43"/>
    <x v="1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s v="No"/>
    <n v="12"/>
    <n v="3"/>
    <n v="3"/>
    <n v="80"/>
    <n v="1"/>
    <n v="8"/>
    <s v="6-15"/>
    <n v="0"/>
    <n v="3"/>
    <n v="6"/>
    <n v="4"/>
    <n v="0"/>
    <n v="2"/>
    <s v="Below Avg"/>
    <n v="26.627218934911244"/>
  </r>
  <r>
    <n v="35"/>
    <x v="1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s v="No"/>
    <n v="18"/>
    <n v="3"/>
    <n v="4"/>
    <n v="80"/>
    <n v="1"/>
    <n v="1"/>
    <s v="0-5"/>
    <n v="5"/>
    <n v="2"/>
    <n v="1"/>
    <n v="0"/>
    <n v="0"/>
    <n v="1"/>
    <s v="Below Avg"/>
    <n v="26.706231454005934"/>
  </r>
  <r>
    <n v="46"/>
    <x v="1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s v="No"/>
    <n v="15"/>
    <n v="3"/>
    <n v="2"/>
    <n v="80"/>
    <n v="0"/>
    <n v="27"/>
    <s v="&gt;15"/>
    <n v="5"/>
    <n v="1"/>
    <n v="26"/>
    <n v="0"/>
    <n v="0"/>
    <n v="12"/>
    <s v="Ok"/>
    <n v="26.785714285714285"/>
  </r>
  <r>
    <n v="28"/>
    <x v="0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s v="Yes"/>
    <n v="17"/>
    <n v="3"/>
    <n v="3"/>
    <n v="80"/>
    <n v="3"/>
    <n v="1"/>
    <s v="0-5"/>
    <n v="3"/>
    <n v="3"/>
    <n v="1"/>
    <n v="1"/>
    <n v="0"/>
    <n v="0"/>
    <s v="Below Avg"/>
    <n v="26.865671641791046"/>
  </r>
  <r>
    <n v="22"/>
    <x v="1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s v="Yes"/>
    <n v="14"/>
    <n v="3"/>
    <n v="2"/>
    <n v="80"/>
    <n v="0"/>
    <n v="4"/>
    <s v="0-5"/>
    <n v="2"/>
    <n v="2"/>
    <n v="4"/>
    <n v="2"/>
    <n v="1"/>
    <n v="3"/>
    <s v="Below Avg"/>
    <n v="26.946107784431138"/>
  </r>
  <r>
    <n v="50"/>
    <x v="1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s v="Yes"/>
    <n v="15"/>
    <n v="3"/>
    <n v="3"/>
    <n v="80"/>
    <n v="1"/>
    <n v="32"/>
    <s v="&gt;15"/>
    <n v="3"/>
    <n v="3"/>
    <n v="30"/>
    <n v="8"/>
    <n v="12"/>
    <n v="13"/>
    <s v="Ok"/>
    <n v="26.726726726726728"/>
  </r>
  <r>
    <n v="32"/>
    <x v="1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s v="No"/>
    <n v="17"/>
    <n v="3"/>
    <n v="4"/>
    <n v="80"/>
    <n v="2"/>
    <n v="6"/>
    <s v="6-15"/>
    <n v="3"/>
    <n v="3"/>
    <n v="3"/>
    <n v="2"/>
    <n v="0"/>
    <n v="2"/>
    <s v="Below Avg"/>
    <n v="26.506024096385545"/>
  </r>
  <r>
    <n v="44"/>
    <x v="1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s v="Yes"/>
    <n v="14"/>
    <n v="3"/>
    <n v="4"/>
    <n v="80"/>
    <n v="1"/>
    <n v="23"/>
    <s v="&gt;15"/>
    <n v="4"/>
    <n v="2"/>
    <n v="22"/>
    <n v="7"/>
    <n v="1"/>
    <n v="10"/>
    <s v="Ok"/>
    <n v="26.283987915407852"/>
  </r>
  <r>
    <n v="30"/>
    <x v="1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s v="No"/>
    <n v="12"/>
    <n v="3"/>
    <n v="2"/>
    <n v="80"/>
    <n v="1"/>
    <n v="6"/>
    <s v="6-15"/>
    <n v="3"/>
    <n v="2"/>
    <n v="6"/>
    <n v="4"/>
    <n v="1"/>
    <n v="1"/>
    <s v="Below Avg"/>
    <n v="26.36363636363636"/>
  </r>
  <r>
    <n v="45"/>
    <x v="1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s v="Yes"/>
    <n v="14"/>
    <n v="3"/>
    <n v="1"/>
    <n v="80"/>
    <n v="0"/>
    <n v="10"/>
    <s v="6-15"/>
    <n v="3"/>
    <n v="3"/>
    <n v="10"/>
    <n v="7"/>
    <n v="1"/>
    <n v="4"/>
    <s v="Below Avg"/>
    <n v="26.13981762917933"/>
  </r>
  <r>
    <n v="45"/>
    <x v="1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s v="No"/>
    <n v="15"/>
    <n v="3"/>
    <n v="1"/>
    <n v="80"/>
    <n v="1"/>
    <n v="10"/>
    <s v="6-15"/>
    <n v="2"/>
    <n v="3"/>
    <n v="10"/>
    <n v="7"/>
    <n v="4"/>
    <n v="5"/>
    <s v="Below Avg"/>
    <n v="26.219512195121951"/>
  </r>
  <r>
    <n v="31"/>
    <x v="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s v="No"/>
    <n v="13"/>
    <n v="3"/>
    <n v="4"/>
    <n v="80"/>
    <n v="0"/>
    <n v="10"/>
    <s v="6-15"/>
    <n v="3"/>
    <n v="3"/>
    <n v="5"/>
    <n v="2"/>
    <n v="0"/>
    <n v="3"/>
    <s v="Below Avg"/>
    <n v="25.993883792048926"/>
  </r>
  <r>
    <n v="36"/>
    <x v="1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s v="Yes"/>
    <n v="12"/>
    <n v="3"/>
    <n v="2"/>
    <n v="80"/>
    <n v="2"/>
    <n v="7"/>
    <s v="6-15"/>
    <n v="2"/>
    <n v="3"/>
    <n v="3"/>
    <n v="2"/>
    <n v="1"/>
    <n v="1"/>
    <s v="Below Avg"/>
    <n v="26.073619631901838"/>
  </r>
  <r>
    <n v="34"/>
    <x v="1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s v="No"/>
    <n v="13"/>
    <n v="3"/>
    <n v="1"/>
    <n v="80"/>
    <n v="1"/>
    <n v="9"/>
    <s v="6-15"/>
    <n v="3"/>
    <n v="3"/>
    <n v="9"/>
    <n v="7"/>
    <n v="7"/>
    <n v="2"/>
    <s v="Below Avg"/>
    <n v="26.153846153846157"/>
  </r>
  <r>
    <n v="49"/>
    <x v="1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s v="No"/>
    <n v="14"/>
    <n v="3"/>
    <n v="4"/>
    <n v="80"/>
    <n v="1"/>
    <n v="10"/>
    <s v="6-15"/>
    <n v="3"/>
    <n v="2"/>
    <n v="9"/>
    <n v="6"/>
    <n v="1"/>
    <n v="4"/>
    <s v="Below Avg"/>
    <n v="25.925925925925924"/>
  </r>
  <r>
    <n v="39"/>
    <x v="1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s v="No"/>
    <n v="13"/>
    <n v="3"/>
    <n v="4"/>
    <n v="80"/>
    <n v="3"/>
    <n v="10"/>
    <s v="6-15"/>
    <n v="3"/>
    <n v="3"/>
    <n v="7"/>
    <n v="7"/>
    <n v="7"/>
    <n v="7"/>
    <s v="Below Avg"/>
    <n v="26.006191950464398"/>
  </r>
  <r>
    <n v="27"/>
    <x v="1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s v="No"/>
    <n v="11"/>
    <n v="3"/>
    <n v="1"/>
    <n v="80"/>
    <n v="2"/>
    <n v="7"/>
    <s v="6-15"/>
    <n v="3"/>
    <n v="3"/>
    <n v="7"/>
    <n v="7"/>
    <n v="0"/>
    <n v="7"/>
    <s v="Below Avg"/>
    <n v="26.086956521739129"/>
  </r>
  <r>
    <n v="35"/>
    <x v="1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s v="No"/>
    <n v="11"/>
    <n v="3"/>
    <n v="4"/>
    <n v="80"/>
    <n v="0"/>
    <n v="16"/>
    <s v="&gt;15"/>
    <n v="2"/>
    <n v="3"/>
    <n v="16"/>
    <n v="15"/>
    <n v="1"/>
    <n v="10"/>
    <s v="Below Avg"/>
    <n v="26.168224299065418"/>
  </r>
  <r>
    <n v="28"/>
    <x v="1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s v="No"/>
    <n v="21"/>
    <n v="4"/>
    <n v="2"/>
    <n v="80"/>
    <n v="1"/>
    <n v="6"/>
    <s v="6-15"/>
    <n v="5"/>
    <n v="2"/>
    <n v="5"/>
    <n v="3"/>
    <n v="0"/>
    <n v="0"/>
    <s v="Below Avg"/>
    <n v="26.25"/>
  </r>
  <r>
    <n v="21"/>
    <x v="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s v="No"/>
    <n v="18"/>
    <n v="3"/>
    <n v="3"/>
    <n v="80"/>
    <n v="0"/>
    <n v="3"/>
    <s v="0-5"/>
    <n v="2"/>
    <n v="3"/>
    <n v="2"/>
    <n v="2"/>
    <n v="2"/>
    <n v="2"/>
    <s v="Below Avg"/>
    <n v="26.332288401253916"/>
  </r>
  <r>
    <n v="18"/>
    <x v="0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s v="Yes"/>
    <n v="12"/>
    <n v="3"/>
    <n v="3"/>
    <n v="80"/>
    <n v="0"/>
    <n v="0"/>
    <s v="0-5"/>
    <n v="2"/>
    <n v="4"/>
    <n v="0"/>
    <n v="0"/>
    <n v="0"/>
    <n v="0"/>
    <s v="Below Avg"/>
    <n v="26.415094339622641"/>
  </r>
  <r>
    <n v="47"/>
    <x v="1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s v="No"/>
    <n v="11"/>
    <n v="3"/>
    <n v="3"/>
    <n v="80"/>
    <n v="1"/>
    <n v="27"/>
    <s v="&gt;15"/>
    <n v="2"/>
    <n v="3"/>
    <n v="5"/>
    <n v="2"/>
    <n v="1"/>
    <n v="0"/>
    <s v="Ok"/>
    <n v="26.498422712933756"/>
  </r>
  <r>
    <n v="39"/>
    <x v="1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s v="No"/>
    <n v="15"/>
    <n v="3"/>
    <n v="4"/>
    <n v="80"/>
    <n v="1"/>
    <n v="11"/>
    <s v="6-15"/>
    <n v="3"/>
    <n v="3"/>
    <n v="10"/>
    <n v="8"/>
    <n v="0"/>
    <n v="7"/>
    <s v="Below Avg"/>
    <n v="26.265822784810126"/>
  </r>
  <r>
    <n v="40"/>
    <x v="1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s v="No"/>
    <n v="13"/>
    <n v="3"/>
    <n v="4"/>
    <n v="80"/>
    <n v="2"/>
    <n v="18"/>
    <s v="&gt;15"/>
    <n v="2"/>
    <n v="3"/>
    <n v="18"/>
    <n v="15"/>
    <n v="14"/>
    <n v="12"/>
    <s v="Ok"/>
    <n v="26.349206349206352"/>
  </r>
  <r>
    <n v="35"/>
    <x v="1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s v="No"/>
    <n v="12"/>
    <n v="3"/>
    <n v="4"/>
    <n v="80"/>
    <n v="1"/>
    <n v="15"/>
    <s v="6-15"/>
    <n v="5"/>
    <n v="3"/>
    <n v="14"/>
    <n v="11"/>
    <n v="2"/>
    <n v="9"/>
    <s v="Below Avg"/>
    <n v="26.433121019108281"/>
  </r>
  <r>
    <n v="37"/>
    <x v="1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s v="No"/>
    <n v="17"/>
    <n v="3"/>
    <n v="1"/>
    <n v="80"/>
    <n v="3"/>
    <n v="9"/>
    <s v="6-15"/>
    <n v="2"/>
    <n v="2"/>
    <n v="4"/>
    <n v="3"/>
    <n v="0"/>
    <n v="2"/>
    <s v="Below Avg"/>
    <n v="26.517571884984026"/>
  </r>
  <r>
    <n v="39"/>
    <x v="1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s v="No"/>
    <n v="13"/>
    <n v="3"/>
    <n v="4"/>
    <n v="80"/>
    <n v="0"/>
    <n v="10"/>
    <s v="6-15"/>
    <n v="2"/>
    <n v="1"/>
    <n v="9"/>
    <n v="2"/>
    <n v="3"/>
    <n v="8"/>
    <s v="Below Avg"/>
    <n v="26.602564102564102"/>
  </r>
  <r>
    <n v="45"/>
    <x v="1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s v="No"/>
    <n v="19"/>
    <n v="3"/>
    <n v="1"/>
    <n v="80"/>
    <n v="2"/>
    <n v="10"/>
    <s v="6-15"/>
    <n v="3"/>
    <n v="3"/>
    <n v="10"/>
    <n v="7"/>
    <n v="3"/>
    <n v="9"/>
    <s v="Below Avg"/>
    <n v="26.688102893890676"/>
  </r>
  <r>
    <n v="38"/>
    <x v="1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s v="Yes"/>
    <n v="19"/>
    <n v="3"/>
    <n v="4"/>
    <n v="80"/>
    <n v="1"/>
    <n v="10"/>
    <s v="6-15"/>
    <n v="6"/>
    <n v="4"/>
    <n v="5"/>
    <n v="4"/>
    <n v="0"/>
    <n v="2"/>
    <s v="Ok"/>
    <n v="26.7741935483871"/>
  </r>
  <r>
    <n v="35"/>
    <x v="0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s v="No"/>
    <n v="17"/>
    <n v="3"/>
    <n v="3"/>
    <n v="80"/>
    <n v="0"/>
    <n v="15"/>
    <s v="6-15"/>
    <n v="3"/>
    <n v="3"/>
    <n v="13"/>
    <n v="12"/>
    <n v="6"/>
    <n v="0"/>
    <s v="Ok"/>
    <n v="26.860841423948216"/>
  </r>
  <r>
    <n v="37"/>
    <x v="1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s v="No"/>
    <n v="11"/>
    <n v="3"/>
    <n v="1"/>
    <n v="80"/>
    <n v="1"/>
    <n v="8"/>
    <s v="6-15"/>
    <n v="2"/>
    <n v="1"/>
    <n v="8"/>
    <n v="4"/>
    <n v="7"/>
    <n v="7"/>
    <s v="Below Avg"/>
    <n v="26.623376623376622"/>
  </r>
  <r>
    <n v="40"/>
    <x v="1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s v="Yes"/>
    <n v="15"/>
    <n v="3"/>
    <n v="4"/>
    <n v="80"/>
    <n v="0"/>
    <n v="18"/>
    <s v="&gt;15"/>
    <n v="2"/>
    <n v="2"/>
    <n v="4"/>
    <n v="2"/>
    <n v="3"/>
    <n v="3"/>
    <s v="Ok"/>
    <n v="26.710097719869708"/>
  </r>
  <r>
    <n v="44"/>
    <x v="1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s v="Yes"/>
    <n v="11"/>
    <n v="3"/>
    <n v="3"/>
    <n v="80"/>
    <n v="0"/>
    <n v="14"/>
    <s v="6-15"/>
    <n v="3"/>
    <n v="3"/>
    <n v="10"/>
    <n v="7"/>
    <n v="0"/>
    <n v="2"/>
    <s v="Ok"/>
    <n v="26.797385620915033"/>
  </r>
  <r>
    <n v="48"/>
    <x v="1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s v="No"/>
    <n v="25"/>
    <n v="4"/>
    <n v="2"/>
    <n v="80"/>
    <n v="1"/>
    <n v="23"/>
    <s v="&gt;15"/>
    <n v="3"/>
    <n v="3"/>
    <n v="2"/>
    <n v="2"/>
    <n v="2"/>
    <n v="2"/>
    <s v="Ok"/>
    <n v="26.557377049180324"/>
  </r>
  <r>
    <n v="35"/>
    <x v="0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s v="Yes"/>
    <n v="14"/>
    <n v="3"/>
    <n v="4"/>
    <n v="80"/>
    <n v="2"/>
    <n v="7"/>
    <s v="6-15"/>
    <n v="2"/>
    <n v="2"/>
    <n v="2"/>
    <n v="2"/>
    <n v="2"/>
    <n v="2"/>
    <s v="Below Avg"/>
    <n v="26.315789473684209"/>
  </r>
  <r>
    <n v="24"/>
    <x v="1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s v="Yes"/>
    <n v="13"/>
    <n v="3"/>
    <n v="3"/>
    <n v="80"/>
    <n v="0"/>
    <n v="6"/>
    <s v="6-15"/>
    <n v="2"/>
    <n v="3"/>
    <n v="6"/>
    <n v="3"/>
    <n v="1"/>
    <n v="3"/>
    <s v="Below Avg"/>
    <n v="26.402640264026399"/>
  </r>
  <r>
    <n v="27"/>
    <x v="1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s v="No"/>
    <n v="17"/>
    <n v="3"/>
    <n v="1"/>
    <n v="80"/>
    <n v="0"/>
    <n v="5"/>
    <s v="0-5"/>
    <n v="0"/>
    <n v="3"/>
    <n v="3"/>
    <n v="2"/>
    <n v="0"/>
    <n v="2"/>
    <s v="Below Avg"/>
    <n v="26.158940397350992"/>
  </r>
  <r>
    <n v="27"/>
    <x v="1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s v="No"/>
    <n v="13"/>
    <n v="3"/>
    <n v="3"/>
    <n v="80"/>
    <n v="0"/>
    <n v="6"/>
    <s v="6-15"/>
    <n v="0"/>
    <n v="2"/>
    <n v="4"/>
    <n v="2"/>
    <n v="1"/>
    <n v="2"/>
    <s v="Below Avg"/>
    <n v="25.91362126245847"/>
  </r>
  <r>
    <n v="40"/>
    <x v="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s v="Yes"/>
    <n v="14"/>
    <n v="3"/>
    <n v="2"/>
    <n v="80"/>
    <n v="0"/>
    <n v="10"/>
    <s v="6-15"/>
    <n v="3"/>
    <n v="1"/>
    <n v="4"/>
    <n v="2"/>
    <n v="0"/>
    <n v="3"/>
    <s v="Below Avg"/>
    <n v="26"/>
  </r>
  <r>
    <n v="29"/>
    <x v="1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s v="No"/>
    <n v="11"/>
    <n v="3"/>
    <n v="3"/>
    <n v="80"/>
    <n v="0"/>
    <n v="8"/>
    <s v="6-15"/>
    <n v="2"/>
    <n v="3"/>
    <n v="5"/>
    <n v="2"/>
    <n v="1"/>
    <n v="4"/>
    <s v="Below Avg"/>
    <n v="26.086956521739129"/>
  </r>
  <r>
    <n v="36"/>
    <x v="1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s v="No"/>
    <n v="12"/>
    <n v="3"/>
    <n v="3"/>
    <n v="80"/>
    <n v="2"/>
    <n v="9"/>
    <s v="6-15"/>
    <n v="6"/>
    <n v="3"/>
    <n v="3"/>
    <n v="2"/>
    <n v="0"/>
    <n v="2"/>
    <s v="Ok"/>
    <n v="25.838926174496645"/>
  </r>
  <r>
    <n v="25"/>
    <x v="1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s v="No"/>
    <n v="17"/>
    <n v="3"/>
    <n v="3"/>
    <n v="80"/>
    <n v="2"/>
    <n v="7"/>
    <s v="6-15"/>
    <n v="6"/>
    <n v="3"/>
    <n v="7"/>
    <n v="7"/>
    <n v="0"/>
    <n v="7"/>
    <s v="Below Avg"/>
    <n v="25.925925925925924"/>
  </r>
  <r>
    <n v="39"/>
    <x v="1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s v="No"/>
    <n v="21"/>
    <n v="4"/>
    <n v="3"/>
    <n v="80"/>
    <n v="0"/>
    <n v="7"/>
    <s v="6-15"/>
    <n v="3"/>
    <n v="3"/>
    <n v="5"/>
    <n v="4"/>
    <n v="1"/>
    <n v="0"/>
    <s v="Below Avg"/>
    <n v="26.013513513513516"/>
  </r>
  <r>
    <n v="49"/>
    <x v="1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s v="No"/>
    <n v="16"/>
    <n v="3"/>
    <n v="2"/>
    <n v="80"/>
    <n v="2"/>
    <n v="27"/>
    <s v="&gt;15"/>
    <n v="2"/>
    <n v="3"/>
    <n v="4"/>
    <n v="2"/>
    <n v="1"/>
    <n v="2"/>
    <s v="Ok"/>
    <n v="26.101694915254235"/>
  </r>
  <r>
    <n v="50"/>
    <x v="1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s v="No"/>
    <n v="15"/>
    <n v="3"/>
    <n v="3"/>
    <n v="80"/>
    <n v="3"/>
    <n v="19"/>
    <s v="&gt;15"/>
    <n v="3"/>
    <n v="3"/>
    <n v="14"/>
    <n v="11"/>
    <n v="1"/>
    <n v="11"/>
    <s v="Ok"/>
    <n v="26.190476190476193"/>
  </r>
  <r>
    <n v="20"/>
    <x v="1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s v="No"/>
    <n v="19"/>
    <n v="3"/>
    <n v="1"/>
    <n v="80"/>
    <n v="0"/>
    <n v="2"/>
    <s v="0-5"/>
    <n v="3"/>
    <n v="3"/>
    <n v="2"/>
    <n v="2"/>
    <n v="2"/>
    <n v="2"/>
    <s v="Below Avg"/>
    <n v="26.27986348122867"/>
  </r>
  <r>
    <n v="34"/>
    <x v="1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s v="No"/>
    <n v="12"/>
    <n v="3"/>
    <n v="3"/>
    <n v="80"/>
    <n v="1"/>
    <n v="11"/>
    <s v="6-15"/>
    <n v="2"/>
    <n v="3"/>
    <n v="11"/>
    <n v="8"/>
    <n v="7"/>
    <n v="9"/>
    <s v="Below Avg"/>
    <n v="26.36986301369863"/>
  </r>
  <r>
    <n v="36"/>
    <x v="1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s v="No"/>
    <n v="11"/>
    <n v="3"/>
    <n v="3"/>
    <n v="80"/>
    <n v="0"/>
    <n v="15"/>
    <s v="6-15"/>
    <n v="4"/>
    <n v="3"/>
    <n v="4"/>
    <n v="3"/>
    <n v="1"/>
    <n v="3"/>
    <s v="Below Avg"/>
    <n v="26.460481099656359"/>
  </r>
  <r>
    <n v="49"/>
    <x v="1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s v="Yes"/>
    <n v="19"/>
    <n v="3"/>
    <n v="2"/>
    <n v="80"/>
    <n v="1"/>
    <n v="30"/>
    <s v="&gt;15"/>
    <n v="3"/>
    <n v="3"/>
    <n v="15"/>
    <n v="11"/>
    <n v="2"/>
    <n v="12"/>
    <s v="Ok"/>
    <n v="26.551724137931032"/>
  </r>
  <r>
    <n v="36"/>
    <x v="1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s v="No"/>
    <n v="15"/>
    <n v="3"/>
    <n v="3"/>
    <n v="80"/>
    <n v="0"/>
    <n v="4"/>
    <s v="0-5"/>
    <n v="6"/>
    <n v="3"/>
    <n v="3"/>
    <n v="2"/>
    <n v="1"/>
    <n v="2"/>
    <s v="Below Avg"/>
    <n v="26.643598615916954"/>
  </r>
  <r>
    <n v="36"/>
    <x v="1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s v="No"/>
    <n v="20"/>
    <n v="4"/>
    <n v="1"/>
    <n v="80"/>
    <n v="1"/>
    <n v="13"/>
    <s v="6-15"/>
    <n v="3"/>
    <n v="3"/>
    <n v="5"/>
    <n v="4"/>
    <n v="0"/>
    <n v="4"/>
    <s v="Ok"/>
    <n v="26.388888888888889"/>
  </r>
  <r>
    <n v="54"/>
    <x v="1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s v="No"/>
    <n v="25"/>
    <n v="4"/>
    <n v="3"/>
    <n v="80"/>
    <n v="1"/>
    <n v="36"/>
    <s v="&gt;15"/>
    <n v="6"/>
    <n v="3"/>
    <n v="10"/>
    <n v="8"/>
    <n v="4"/>
    <n v="7"/>
    <s v="Ok"/>
    <n v="26.480836236933797"/>
  </r>
  <r>
    <n v="43"/>
    <x v="1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s v="No"/>
    <n v="24"/>
    <n v="4"/>
    <n v="1"/>
    <n v="80"/>
    <n v="1"/>
    <n v="14"/>
    <s v="6-15"/>
    <n v="3"/>
    <n v="3"/>
    <n v="14"/>
    <n v="10"/>
    <n v="6"/>
    <n v="11"/>
    <s v="Ok"/>
    <n v="26.573426573426573"/>
  </r>
  <r>
    <n v="35"/>
    <x v="0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s v="Yes"/>
    <n v="24"/>
    <n v="4"/>
    <n v="1"/>
    <n v="80"/>
    <n v="0"/>
    <n v="13"/>
    <s v="6-15"/>
    <n v="2"/>
    <n v="4"/>
    <n v="11"/>
    <n v="9"/>
    <n v="6"/>
    <n v="7"/>
    <s v="Below Avg"/>
    <n v="26.666666666666668"/>
  </r>
  <r>
    <n v="38"/>
    <x v="1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s v="No"/>
    <n v="15"/>
    <n v="3"/>
    <n v="4"/>
    <n v="80"/>
    <n v="2"/>
    <n v="19"/>
    <s v="&gt;15"/>
    <n v="4"/>
    <n v="4"/>
    <n v="13"/>
    <n v="11"/>
    <n v="2"/>
    <n v="9"/>
    <s v="Below Avg"/>
    <n v="26.760563380281688"/>
  </r>
  <r>
    <n v="29"/>
    <x v="1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s v="Yes"/>
    <n v="13"/>
    <n v="3"/>
    <n v="2"/>
    <n v="80"/>
    <n v="1"/>
    <n v="10"/>
    <s v="6-15"/>
    <n v="3"/>
    <n v="2"/>
    <n v="10"/>
    <n v="0"/>
    <n v="0"/>
    <n v="9"/>
    <s v="Below Avg"/>
    <n v="26.501766784452297"/>
  </r>
  <r>
    <n v="33"/>
    <x v="1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s v="No"/>
    <n v="14"/>
    <n v="3"/>
    <n v="3"/>
    <n v="80"/>
    <n v="2"/>
    <n v="6"/>
    <s v="6-15"/>
    <n v="5"/>
    <n v="3"/>
    <n v="6"/>
    <n v="2"/>
    <n v="0"/>
    <n v="4"/>
    <s v="Below Avg"/>
    <n v="26.595744680851062"/>
  </r>
  <r>
    <n v="32"/>
    <x v="1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s v="No"/>
    <n v="13"/>
    <n v="3"/>
    <n v="3"/>
    <n v="80"/>
    <n v="2"/>
    <n v="10"/>
    <s v="6-15"/>
    <n v="4"/>
    <n v="2"/>
    <n v="9"/>
    <n v="5"/>
    <n v="1"/>
    <n v="6"/>
    <s v="Below Avg"/>
    <n v="26.334519572953734"/>
  </r>
  <r>
    <n v="31"/>
    <x v="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s v="No"/>
    <n v="11"/>
    <n v="3"/>
    <n v="1"/>
    <n v="80"/>
    <n v="2"/>
    <n v="10"/>
    <s v="6-15"/>
    <n v="2"/>
    <n v="3"/>
    <n v="10"/>
    <n v="0"/>
    <n v="0"/>
    <n v="2"/>
    <s v="Below Avg"/>
    <n v="26.428571428571431"/>
  </r>
  <r>
    <n v="49"/>
    <x v="1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s v="Yes"/>
    <n v="16"/>
    <n v="3"/>
    <n v="2"/>
    <n v="80"/>
    <n v="1"/>
    <n v="17"/>
    <s v="&gt;15"/>
    <n v="2"/>
    <n v="2"/>
    <n v="2"/>
    <n v="2"/>
    <n v="2"/>
    <n v="2"/>
    <s v="Below Avg"/>
    <n v="26.523297491039425"/>
  </r>
  <r>
    <n v="38"/>
    <x v="1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s v="No"/>
    <n v="22"/>
    <n v="4"/>
    <n v="2"/>
    <n v="80"/>
    <n v="0"/>
    <n v="4"/>
    <s v="0-5"/>
    <n v="3"/>
    <n v="3"/>
    <n v="4"/>
    <n v="3"/>
    <n v="3"/>
    <n v="3"/>
    <s v="Below Avg"/>
    <n v="26.618705035971225"/>
  </r>
  <r>
    <n v="47"/>
    <x v="1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s v="No"/>
    <n v="14"/>
    <n v="3"/>
    <n v="3"/>
    <n v="80"/>
    <n v="3"/>
    <n v="29"/>
    <s v="&gt;15"/>
    <n v="2"/>
    <n v="3"/>
    <n v="3"/>
    <n v="2"/>
    <n v="1"/>
    <n v="2"/>
    <s v="Ok"/>
    <n v="26.353790613718413"/>
  </r>
  <r>
    <n v="49"/>
    <x v="1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s v="No"/>
    <n v="14"/>
    <n v="3"/>
    <n v="1"/>
    <n v="80"/>
    <n v="0"/>
    <n v="23"/>
    <s v="&gt;15"/>
    <n v="2"/>
    <n v="3"/>
    <n v="8"/>
    <n v="7"/>
    <n v="0"/>
    <n v="0"/>
    <s v="Ok"/>
    <n v="26.44927536231884"/>
  </r>
  <r>
    <n v="41"/>
    <x v="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s v="Yes"/>
    <n v="16"/>
    <n v="3"/>
    <n v="4"/>
    <n v="80"/>
    <n v="0"/>
    <n v="21"/>
    <s v="&gt;15"/>
    <n v="2"/>
    <n v="3"/>
    <n v="2"/>
    <n v="0"/>
    <n v="0"/>
    <n v="2"/>
    <s v="Ok"/>
    <n v="26.545454545454543"/>
  </r>
  <r>
    <n v="20"/>
    <x v="1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s v="No"/>
    <n v="11"/>
    <n v="3"/>
    <n v="1"/>
    <n v="80"/>
    <n v="0"/>
    <n v="2"/>
    <s v="0-5"/>
    <n v="3"/>
    <n v="3"/>
    <n v="2"/>
    <n v="2"/>
    <n v="0"/>
    <n v="2"/>
    <s v="Below Avg"/>
    <n v="26.642335766423358"/>
  </r>
  <r>
    <n v="33"/>
    <x v="1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s v="Yes"/>
    <n v="25"/>
    <n v="4"/>
    <n v="3"/>
    <n v="80"/>
    <n v="1"/>
    <n v="7"/>
    <s v="6-15"/>
    <n v="2"/>
    <n v="3"/>
    <n v="6"/>
    <n v="5"/>
    <n v="1"/>
    <n v="2"/>
    <s v="Below Avg"/>
    <n v="26.373626373626376"/>
  </r>
  <r>
    <n v="36"/>
    <x v="1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s v="No"/>
    <n v="14"/>
    <n v="3"/>
    <n v="2"/>
    <n v="80"/>
    <n v="2"/>
    <n v="10"/>
    <s v="6-15"/>
    <n v="2"/>
    <n v="2"/>
    <n v="3"/>
    <n v="2"/>
    <n v="0"/>
    <n v="2"/>
    <s v="Below Avg"/>
    <n v="26.47058823529412"/>
  </r>
  <r>
    <n v="44"/>
    <x v="1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s v="Yes"/>
    <n v="18"/>
    <n v="3"/>
    <n v="1"/>
    <n v="80"/>
    <n v="3"/>
    <n v="8"/>
    <s v="6-15"/>
    <n v="2"/>
    <n v="3"/>
    <n v="2"/>
    <n v="2"/>
    <n v="2"/>
    <n v="2"/>
    <s v="Below Avg"/>
    <n v="26.199261992619927"/>
  </r>
  <r>
    <n v="23"/>
    <x v="0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s v="Yes"/>
    <n v="11"/>
    <n v="3"/>
    <n v="1"/>
    <n v="80"/>
    <n v="0"/>
    <n v="5"/>
    <s v="0-5"/>
    <n v="2"/>
    <n v="3"/>
    <n v="5"/>
    <n v="4"/>
    <n v="1"/>
    <n v="2"/>
    <s v="Below Avg"/>
    <n v="26.296296296296294"/>
  </r>
  <r>
    <n v="38"/>
    <x v="1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s v="No"/>
    <n v="19"/>
    <n v="3"/>
    <n v="4"/>
    <n v="80"/>
    <n v="1"/>
    <n v="7"/>
    <s v="6-15"/>
    <n v="5"/>
    <n v="2"/>
    <n v="0"/>
    <n v="0"/>
    <n v="0"/>
    <n v="0"/>
    <s v="Below Avg"/>
    <n v="26.022304832713754"/>
  </r>
  <r>
    <n v="53"/>
    <x v="1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s v="No"/>
    <n v="15"/>
    <n v="3"/>
    <n v="3"/>
    <n v="80"/>
    <n v="0"/>
    <n v="11"/>
    <s v="6-15"/>
    <n v="2"/>
    <n v="3"/>
    <n v="4"/>
    <n v="3"/>
    <n v="1"/>
    <n v="2"/>
    <s v="Ok"/>
    <n v="25.746268656716421"/>
  </r>
  <r>
    <n v="48"/>
    <x v="0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s v="Yes"/>
    <n v="11"/>
    <n v="3"/>
    <n v="3"/>
    <n v="80"/>
    <n v="2"/>
    <n v="19"/>
    <s v="&gt;15"/>
    <n v="3"/>
    <n v="3"/>
    <n v="9"/>
    <n v="7"/>
    <n v="7"/>
    <n v="7"/>
    <s v="Below Avg"/>
    <n v="25.842696629213485"/>
  </r>
  <r>
    <n v="32"/>
    <x v="0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s v="No"/>
    <n v="12"/>
    <n v="3"/>
    <n v="1"/>
    <n v="80"/>
    <n v="0"/>
    <n v="1"/>
    <s v="0-5"/>
    <n v="2"/>
    <n v="3"/>
    <n v="1"/>
    <n v="0"/>
    <n v="0"/>
    <n v="0"/>
    <s v="Below Avg"/>
    <n v="25.939849624060152"/>
  </r>
  <r>
    <n v="26"/>
    <x v="1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s v="No"/>
    <n v="20"/>
    <n v="4"/>
    <n v="3"/>
    <n v="80"/>
    <n v="0"/>
    <n v="7"/>
    <s v="6-15"/>
    <n v="5"/>
    <n v="3"/>
    <n v="7"/>
    <n v="7"/>
    <n v="5"/>
    <n v="7"/>
    <s v="Below Avg"/>
    <n v="25.660377358490567"/>
  </r>
  <r>
    <n v="55"/>
    <x v="1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s v="No"/>
    <n v="12"/>
    <n v="3"/>
    <n v="4"/>
    <n v="80"/>
    <n v="1"/>
    <n v="8"/>
    <s v="6-15"/>
    <n v="1"/>
    <n v="3"/>
    <n v="4"/>
    <n v="2"/>
    <n v="1"/>
    <n v="2"/>
    <s v="Below Avg"/>
    <n v="25.757575757575758"/>
  </r>
  <r>
    <n v="34"/>
    <x v="1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s v="No"/>
    <n v="14"/>
    <n v="3"/>
    <n v="3"/>
    <n v="80"/>
    <n v="1"/>
    <n v="15"/>
    <s v="6-15"/>
    <n v="3"/>
    <n v="4"/>
    <n v="15"/>
    <n v="10"/>
    <n v="4"/>
    <n v="13"/>
    <s v="Below Avg"/>
    <n v="25.85551330798479"/>
  </r>
  <r>
    <n v="60"/>
    <x v="1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s v="No"/>
    <n v="20"/>
    <n v="4"/>
    <n v="3"/>
    <n v="80"/>
    <n v="1"/>
    <n v="19"/>
    <s v="&gt;15"/>
    <n v="2"/>
    <n v="4"/>
    <n v="1"/>
    <n v="0"/>
    <n v="0"/>
    <n v="0"/>
    <s v="Ok"/>
    <n v="25.954198473282442"/>
  </r>
  <r>
    <n v="33"/>
    <x v="1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s v="No"/>
    <n v="18"/>
    <n v="3"/>
    <n v="4"/>
    <n v="80"/>
    <n v="3"/>
    <n v="14"/>
    <s v="6-15"/>
    <n v="6"/>
    <n v="3"/>
    <n v="14"/>
    <n v="11"/>
    <n v="2"/>
    <n v="13"/>
    <s v="Below Avg"/>
    <n v="26.053639846743295"/>
  </r>
  <r>
    <n v="37"/>
    <x v="1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s v="No"/>
    <n v="14"/>
    <n v="3"/>
    <n v="3"/>
    <n v="80"/>
    <n v="2"/>
    <n v="6"/>
    <s v="6-15"/>
    <n v="2"/>
    <n v="2"/>
    <n v="6"/>
    <n v="3"/>
    <n v="1"/>
    <n v="3"/>
    <s v="Ok"/>
    <n v="26.153846153846157"/>
  </r>
  <r>
    <n v="34"/>
    <x v="1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s v="No"/>
    <n v="12"/>
    <n v="3"/>
    <n v="2"/>
    <n v="80"/>
    <n v="0"/>
    <n v="10"/>
    <s v="6-15"/>
    <n v="3"/>
    <n v="3"/>
    <n v="10"/>
    <n v="9"/>
    <n v="8"/>
    <n v="7"/>
    <s v="Below Avg"/>
    <n v="26.254826254826252"/>
  </r>
  <r>
    <n v="23"/>
    <x v="0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s v="Yes"/>
    <n v="21"/>
    <n v="4"/>
    <n v="2"/>
    <n v="80"/>
    <n v="1"/>
    <n v="3"/>
    <s v="0-5"/>
    <n v="2"/>
    <n v="3"/>
    <n v="3"/>
    <n v="2"/>
    <n v="0"/>
    <n v="2"/>
    <s v="Below Avg"/>
    <n v="26.356589147286826"/>
  </r>
  <r>
    <n v="44"/>
    <x v="1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s v="Yes"/>
    <n v="19"/>
    <n v="3"/>
    <n v="2"/>
    <n v="80"/>
    <n v="1"/>
    <n v="9"/>
    <s v="6-15"/>
    <n v="2"/>
    <n v="3"/>
    <n v="8"/>
    <n v="7"/>
    <n v="6"/>
    <n v="7"/>
    <s v="Ok"/>
    <n v="26.459143968871597"/>
  </r>
  <r>
    <n v="35"/>
    <x v="1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s v="Yes"/>
    <n v="14"/>
    <n v="3"/>
    <n v="3"/>
    <n v="80"/>
    <n v="0"/>
    <n v="6"/>
    <s v="6-15"/>
    <n v="2"/>
    <n v="4"/>
    <n v="5"/>
    <n v="4"/>
    <n v="1"/>
    <n v="4"/>
    <s v="Below Avg"/>
    <n v="26.171875"/>
  </r>
  <r>
    <n v="43"/>
    <x v="1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s v="Yes"/>
    <n v="17"/>
    <n v="3"/>
    <n v="1"/>
    <n v="80"/>
    <n v="1"/>
    <n v="10"/>
    <s v="6-15"/>
    <n v="3"/>
    <n v="3"/>
    <n v="10"/>
    <n v="9"/>
    <n v="8"/>
    <n v="8"/>
    <s v="Ok"/>
    <n v="25.882352941176475"/>
  </r>
  <r>
    <n v="24"/>
    <x v="1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s v="No"/>
    <n v="16"/>
    <n v="3"/>
    <n v="4"/>
    <n v="80"/>
    <n v="1"/>
    <n v="5"/>
    <s v="0-5"/>
    <n v="1"/>
    <n v="3"/>
    <n v="5"/>
    <n v="3"/>
    <n v="0"/>
    <n v="4"/>
    <s v="Below Avg"/>
    <n v="25.590551181102363"/>
  </r>
  <r>
    <n v="41"/>
    <x v="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s v="No"/>
    <n v="12"/>
    <n v="3"/>
    <n v="2"/>
    <n v="80"/>
    <n v="0"/>
    <n v="10"/>
    <s v="6-15"/>
    <n v="3"/>
    <n v="3"/>
    <n v="10"/>
    <n v="8"/>
    <n v="8"/>
    <n v="7"/>
    <s v="Ok"/>
    <n v="25.296442687747035"/>
  </r>
  <r>
    <n v="29"/>
    <x v="1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s v="No"/>
    <n v="17"/>
    <n v="3"/>
    <n v="3"/>
    <n v="80"/>
    <n v="1"/>
    <n v="9"/>
    <s v="6-15"/>
    <n v="2"/>
    <n v="3"/>
    <n v="5"/>
    <n v="3"/>
    <n v="1"/>
    <n v="2"/>
    <s v="Below Avg"/>
    <n v="25.396825396825395"/>
  </r>
  <r>
    <n v="36"/>
    <x v="1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s v="No"/>
    <n v="15"/>
    <n v="3"/>
    <n v="3"/>
    <n v="80"/>
    <n v="0"/>
    <n v="17"/>
    <s v="&gt;15"/>
    <n v="2"/>
    <n v="2"/>
    <n v="13"/>
    <n v="7"/>
    <n v="6"/>
    <n v="7"/>
    <s v="Below Avg"/>
    <n v="25.498007968127489"/>
  </r>
  <r>
    <n v="45"/>
    <x v="1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s v="No"/>
    <n v="23"/>
    <n v="4"/>
    <n v="4"/>
    <n v="80"/>
    <n v="1"/>
    <n v="25"/>
    <s v="&gt;15"/>
    <n v="3"/>
    <n v="2"/>
    <n v="23"/>
    <n v="15"/>
    <n v="14"/>
    <n v="4"/>
    <s v="Ok"/>
    <n v="25.6"/>
  </r>
  <r>
    <n v="24"/>
    <x v="0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s v="No"/>
    <n v="11"/>
    <n v="3"/>
    <n v="3"/>
    <n v="80"/>
    <n v="1"/>
    <n v="1"/>
    <s v="0-5"/>
    <n v="2"/>
    <n v="3"/>
    <n v="1"/>
    <n v="0"/>
    <n v="0"/>
    <n v="0"/>
    <s v="Below Avg"/>
    <n v="25.702811244979916"/>
  </r>
  <r>
    <n v="47"/>
    <x v="0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s v="No"/>
    <n v="11"/>
    <n v="3"/>
    <n v="3"/>
    <n v="80"/>
    <n v="0"/>
    <n v="25"/>
    <s v="&gt;15"/>
    <n v="3"/>
    <n v="1"/>
    <n v="23"/>
    <n v="5"/>
    <n v="14"/>
    <n v="10"/>
    <s v="Ok"/>
    <n v="25.806451612903224"/>
  </r>
  <r>
    <n v="26"/>
    <x v="1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s v="No"/>
    <n v="15"/>
    <n v="3"/>
    <n v="3"/>
    <n v="80"/>
    <n v="3"/>
    <n v="3"/>
    <s v="0-5"/>
    <n v="3"/>
    <n v="4"/>
    <n v="3"/>
    <n v="2"/>
    <n v="0"/>
    <n v="2"/>
    <s v="Below Avg"/>
    <n v="25.910931174089068"/>
  </r>
  <r>
    <n v="45"/>
    <x v="1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s v="No"/>
    <n v="11"/>
    <n v="3"/>
    <n v="3"/>
    <n v="80"/>
    <n v="0"/>
    <n v="21"/>
    <s v="&gt;15"/>
    <n v="2"/>
    <n v="3"/>
    <n v="21"/>
    <n v="6"/>
    <n v="8"/>
    <n v="6"/>
    <s v="Ok"/>
    <n v="26.016260162601629"/>
  </r>
  <r>
    <n v="32"/>
    <x v="1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s v="No"/>
    <n v="13"/>
    <n v="3"/>
    <n v="1"/>
    <n v="80"/>
    <n v="1"/>
    <n v="10"/>
    <s v="6-15"/>
    <n v="3"/>
    <n v="2"/>
    <n v="5"/>
    <n v="2"/>
    <n v="1"/>
    <n v="3"/>
    <s v="Below Avg"/>
    <n v="26.122448979591837"/>
  </r>
  <r>
    <n v="31"/>
    <x v="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s v="No"/>
    <n v="14"/>
    <n v="3"/>
    <n v="4"/>
    <n v="80"/>
    <n v="1"/>
    <n v="6"/>
    <s v="6-15"/>
    <n v="2"/>
    <n v="4"/>
    <n v="5"/>
    <n v="2"/>
    <n v="0"/>
    <n v="3"/>
    <s v="Below Avg"/>
    <n v="26.229508196721312"/>
  </r>
  <r>
    <n v="41"/>
    <x v="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s v="No"/>
    <n v="19"/>
    <n v="3"/>
    <n v="2"/>
    <n v="80"/>
    <n v="1"/>
    <n v="10"/>
    <s v="6-15"/>
    <n v="4"/>
    <n v="3"/>
    <n v="3"/>
    <n v="2"/>
    <n v="1"/>
    <n v="2"/>
    <s v="Ok"/>
    <n v="26.337448559670783"/>
  </r>
  <r>
    <n v="40"/>
    <x v="1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s v="Yes"/>
    <n v="16"/>
    <n v="3"/>
    <n v="2"/>
    <n v="80"/>
    <n v="1"/>
    <n v="18"/>
    <s v="&gt;15"/>
    <n v="3"/>
    <n v="3"/>
    <n v="1"/>
    <n v="0"/>
    <n v="0"/>
    <n v="0"/>
    <s v="Ok"/>
    <n v="26.446280991735538"/>
  </r>
  <r>
    <n v="24"/>
    <x v="1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s v="No"/>
    <n v="13"/>
    <n v="3"/>
    <n v="2"/>
    <n v="80"/>
    <n v="3"/>
    <n v="6"/>
    <s v="6-15"/>
    <n v="2"/>
    <n v="4"/>
    <n v="6"/>
    <n v="2"/>
    <n v="1"/>
    <n v="2"/>
    <s v="Below Avg"/>
    <n v="26.556016597510375"/>
  </r>
  <r>
    <n v="46"/>
    <x v="1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s v="No"/>
    <n v="14"/>
    <n v="3"/>
    <n v="4"/>
    <n v="80"/>
    <n v="0"/>
    <n v="19"/>
    <s v="&gt;15"/>
    <n v="3"/>
    <n v="3"/>
    <n v="10"/>
    <n v="7"/>
    <n v="0"/>
    <n v="9"/>
    <s v="Below Avg"/>
    <n v="26.25"/>
  </r>
  <r>
    <n v="35"/>
    <x v="1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s v="No"/>
    <n v="16"/>
    <n v="3"/>
    <n v="2"/>
    <n v="80"/>
    <n v="1"/>
    <n v="17"/>
    <s v="&gt;15"/>
    <n v="3"/>
    <n v="3"/>
    <n v="7"/>
    <n v="7"/>
    <n v="0"/>
    <n v="7"/>
    <s v="Ok"/>
    <n v="26.359832635983267"/>
  </r>
  <r>
    <n v="30"/>
    <x v="1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s v="No"/>
    <n v="12"/>
    <n v="3"/>
    <n v="2"/>
    <n v="80"/>
    <n v="1"/>
    <n v="10"/>
    <s v="6-15"/>
    <n v="2"/>
    <n v="2"/>
    <n v="10"/>
    <n v="0"/>
    <n v="0"/>
    <n v="8"/>
    <s v="Below Avg"/>
    <n v="26.47058823529412"/>
  </r>
  <r>
    <n v="47"/>
    <x v="1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s v="No"/>
    <n v="11"/>
    <n v="3"/>
    <n v="4"/>
    <n v="80"/>
    <n v="1"/>
    <n v="4"/>
    <s v="0-5"/>
    <n v="3"/>
    <n v="1"/>
    <n v="1"/>
    <n v="0"/>
    <n v="0"/>
    <n v="0"/>
    <s v="Below Avg"/>
    <n v="26.582278481012654"/>
  </r>
  <r>
    <n v="46"/>
    <x v="1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s v="Yes"/>
    <n v="12"/>
    <n v="3"/>
    <n v="2"/>
    <n v="80"/>
    <n v="1"/>
    <n v="13"/>
    <s v="6-15"/>
    <n v="5"/>
    <n v="2"/>
    <n v="10"/>
    <n v="6"/>
    <n v="0"/>
    <n v="3"/>
    <s v="Ok"/>
    <n v="26.694915254237291"/>
  </r>
  <r>
    <n v="36"/>
    <x v="0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s v="Yes"/>
    <n v="13"/>
    <n v="3"/>
    <n v="2"/>
    <n v="80"/>
    <n v="3"/>
    <n v="16"/>
    <s v="&gt;15"/>
    <n v="3"/>
    <n v="3"/>
    <n v="2"/>
    <n v="2"/>
    <n v="2"/>
    <n v="2"/>
    <s v="Below Avg"/>
    <n v="26.808510638297872"/>
  </r>
  <r>
    <n v="32"/>
    <x v="0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s v="No"/>
    <n v="15"/>
    <n v="3"/>
    <n v="2"/>
    <n v="80"/>
    <n v="0"/>
    <n v="10"/>
    <s v="6-15"/>
    <n v="2"/>
    <n v="3"/>
    <n v="0"/>
    <n v="0"/>
    <n v="0"/>
    <n v="0"/>
    <s v="Ok"/>
    <n v="26.495726495726498"/>
  </r>
  <r>
    <n v="23"/>
    <x v="1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s v="No"/>
    <n v="13"/>
    <n v="3"/>
    <n v="3"/>
    <n v="80"/>
    <n v="0"/>
    <n v="3"/>
    <s v="0-5"/>
    <n v="3"/>
    <n v="1"/>
    <n v="3"/>
    <n v="2"/>
    <n v="1"/>
    <n v="2"/>
    <s v="Below Avg"/>
    <n v="26.180257510729614"/>
  </r>
  <r>
    <n v="31"/>
    <x v="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s v="No"/>
    <n v="20"/>
    <n v="4"/>
    <n v="4"/>
    <n v="80"/>
    <n v="0"/>
    <n v="9"/>
    <s v="6-15"/>
    <n v="3"/>
    <n v="2"/>
    <n v="5"/>
    <n v="4"/>
    <n v="1"/>
    <n v="4"/>
    <s v="Below Avg"/>
    <n v="26.293103448275861"/>
  </r>
  <r>
    <n v="39"/>
    <x v="1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s v="Yes"/>
    <n v="15"/>
    <n v="3"/>
    <n v="4"/>
    <n v="80"/>
    <n v="1"/>
    <n v="9"/>
    <s v="6-15"/>
    <n v="2"/>
    <n v="3"/>
    <n v="9"/>
    <n v="8"/>
    <n v="5"/>
    <n v="8"/>
    <s v="Ok"/>
    <n v="26.406926406926406"/>
  </r>
  <r>
    <n v="32"/>
    <x v="1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s v="No"/>
    <n v="13"/>
    <n v="3"/>
    <n v="3"/>
    <n v="80"/>
    <n v="1"/>
    <n v="10"/>
    <s v="6-15"/>
    <n v="2"/>
    <n v="1"/>
    <n v="4"/>
    <n v="3"/>
    <n v="0"/>
    <n v="2"/>
    <s v="Ok"/>
    <n v="26.521739130434785"/>
  </r>
  <r>
    <n v="40"/>
    <x v="1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s v="No"/>
    <n v="14"/>
    <n v="3"/>
    <n v="2"/>
    <n v="80"/>
    <n v="0"/>
    <n v="21"/>
    <s v="&gt;15"/>
    <n v="3"/>
    <n v="2"/>
    <n v="21"/>
    <n v="8"/>
    <n v="12"/>
    <n v="8"/>
    <s v="Ok"/>
    <n v="26.200873362445414"/>
  </r>
  <r>
    <n v="45"/>
    <x v="1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s v="No"/>
    <n v="21"/>
    <n v="4"/>
    <n v="3"/>
    <n v="80"/>
    <n v="2"/>
    <n v="9"/>
    <s v="6-15"/>
    <n v="2"/>
    <n v="4"/>
    <n v="5"/>
    <n v="0"/>
    <n v="0"/>
    <n v="3"/>
    <s v="Ok"/>
    <n v="26.315789473684209"/>
  </r>
  <r>
    <n v="30"/>
    <x v="1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s v="No"/>
    <n v="16"/>
    <n v="3"/>
    <n v="4"/>
    <n v="80"/>
    <n v="0"/>
    <n v="10"/>
    <s v="6-15"/>
    <n v="2"/>
    <n v="3"/>
    <n v="9"/>
    <n v="7"/>
    <n v="0"/>
    <n v="7"/>
    <s v="Below Avg"/>
    <n v="26.431718061674008"/>
  </r>
  <r>
    <n v="24"/>
    <x v="1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s v="No"/>
    <n v="14"/>
    <n v="3"/>
    <n v="4"/>
    <n v="80"/>
    <n v="1"/>
    <n v="3"/>
    <s v="0-5"/>
    <n v="2"/>
    <n v="3"/>
    <n v="2"/>
    <n v="2"/>
    <n v="2"/>
    <n v="1"/>
    <s v="Below Avg"/>
    <n v="26.548672566371685"/>
  </r>
  <r>
    <n v="30"/>
    <x v="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s v="No"/>
    <n v="11"/>
    <n v="3"/>
    <n v="3"/>
    <n v="80"/>
    <n v="1"/>
    <n v="6"/>
    <s v="6-15"/>
    <n v="0"/>
    <n v="2"/>
    <n v="4"/>
    <n v="2"/>
    <n v="1"/>
    <n v="2"/>
    <s v="Below Avg"/>
    <n v="26.666666666666668"/>
  </r>
  <r>
    <n v="31"/>
    <x v="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s v="No"/>
    <n v="19"/>
    <n v="3"/>
    <n v="3"/>
    <n v="80"/>
    <n v="1"/>
    <n v="6"/>
    <s v="6-15"/>
    <n v="3"/>
    <n v="3"/>
    <n v="5"/>
    <n v="2"/>
    <n v="0"/>
    <n v="2"/>
    <s v="Ok"/>
    <n v="26.785714285714285"/>
  </r>
  <r>
    <n v="27"/>
    <x v="1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s v="No"/>
    <n v="11"/>
    <n v="3"/>
    <n v="3"/>
    <n v="80"/>
    <n v="0"/>
    <n v="6"/>
    <s v="6-15"/>
    <n v="5"/>
    <n v="2"/>
    <n v="6"/>
    <n v="2"/>
    <n v="1"/>
    <n v="4"/>
    <s v="Below Avg"/>
    <n v="26.905829596412556"/>
  </r>
  <r>
    <n v="29"/>
    <x v="0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s v="No"/>
    <n v="13"/>
    <n v="3"/>
    <n v="3"/>
    <n v="80"/>
    <n v="0"/>
    <n v="2"/>
    <s v="0-5"/>
    <n v="3"/>
    <n v="3"/>
    <n v="2"/>
    <n v="2"/>
    <n v="2"/>
    <n v="2"/>
    <s v="Below Avg"/>
    <n v="27.027027027027028"/>
  </r>
  <r>
    <n v="29"/>
    <x v="1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s v="Yes"/>
    <n v="12"/>
    <n v="3"/>
    <n v="4"/>
    <n v="80"/>
    <n v="0"/>
    <n v="10"/>
    <s v="6-15"/>
    <n v="5"/>
    <n v="4"/>
    <n v="3"/>
    <n v="2"/>
    <n v="0"/>
    <n v="2"/>
    <s v="Ok"/>
    <n v="27.149321266968325"/>
  </r>
  <r>
    <n v="30"/>
    <x v="1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s v="No"/>
    <n v="11"/>
    <n v="3"/>
    <n v="1"/>
    <n v="80"/>
    <n v="1"/>
    <n v="12"/>
    <s v="6-15"/>
    <n v="2"/>
    <n v="3"/>
    <n v="7"/>
    <n v="7"/>
    <n v="1"/>
    <n v="7"/>
    <s v="Ok"/>
    <n v="27.27272727272727"/>
  </r>
  <r>
    <n v="34"/>
    <x v="1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s v="Yes"/>
    <n v="14"/>
    <n v="3"/>
    <n v="1"/>
    <n v="80"/>
    <n v="3"/>
    <n v="6"/>
    <s v="6-15"/>
    <n v="3"/>
    <n v="3"/>
    <n v="5"/>
    <n v="0"/>
    <n v="1"/>
    <n v="2"/>
    <s v="Below Avg"/>
    <n v="26.94063926940639"/>
  </r>
  <r>
    <n v="33"/>
    <x v="1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s v="No"/>
    <n v="15"/>
    <n v="3"/>
    <n v="4"/>
    <n v="80"/>
    <n v="0"/>
    <n v="13"/>
    <s v="6-15"/>
    <n v="2"/>
    <n v="2"/>
    <n v="11"/>
    <n v="7"/>
    <n v="1"/>
    <n v="7"/>
    <s v="Below Avg"/>
    <n v="27.064220183486238"/>
  </r>
  <r>
    <n v="49"/>
    <x v="1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s v="No"/>
    <n v="12"/>
    <n v="3"/>
    <n v="3"/>
    <n v="80"/>
    <n v="0"/>
    <n v="8"/>
    <s v="6-15"/>
    <n v="1"/>
    <n v="4"/>
    <n v="5"/>
    <n v="1"/>
    <n v="0"/>
    <n v="4"/>
    <s v="Below Avg"/>
    <n v="26.728110599078342"/>
  </r>
  <r>
    <n v="33"/>
    <x v="0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s v="Yes"/>
    <n v="20"/>
    <n v="4"/>
    <n v="3"/>
    <n v="80"/>
    <n v="0"/>
    <n v="11"/>
    <s v="6-15"/>
    <n v="2"/>
    <n v="2"/>
    <n v="0"/>
    <n v="0"/>
    <n v="0"/>
    <n v="0"/>
    <s v="Ok"/>
    <n v="26.851851851851855"/>
  </r>
  <r>
    <n v="38"/>
    <x v="1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s v="No"/>
    <n v="14"/>
    <n v="3"/>
    <n v="2"/>
    <n v="80"/>
    <n v="1"/>
    <n v="9"/>
    <s v="6-15"/>
    <n v="4"/>
    <n v="2"/>
    <n v="6"/>
    <n v="1"/>
    <n v="0"/>
    <n v="5"/>
    <s v="Below Avg"/>
    <n v="26.976744186046513"/>
  </r>
  <r>
    <n v="31"/>
    <x v="0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s v="No"/>
    <n v="13"/>
    <n v="3"/>
    <n v="1"/>
    <n v="80"/>
    <n v="3"/>
    <n v="10"/>
    <s v="6-15"/>
    <n v="2"/>
    <n v="3"/>
    <n v="1"/>
    <n v="0"/>
    <n v="0"/>
    <n v="0"/>
    <s v="Ok"/>
    <n v="26.635514018691588"/>
  </r>
  <r>
    <n v="29"/>
    <x v="1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s v="No"/>
    <n v="13"/>
    <n v="3"/>
    <n v="3"/>
    <n v="80"/>
    <n v="1"/>
    <n v="1"/>
    <s v="0-5"/>
    <n v="2"/>
    <n v="3"/>
    <n v="1"/>
    <n v="0"/>
    <n v="0"/>
    <n v="0"/>
    <s v="Below Avg"/>
    <n v="26.760563380281688"/>
  </r>
  <r>
    <n v="30"/>
    <x v="1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s v="No"/>
    <n v="16"/>
    <n v="3"/>
    <n v="3"/>
    <n v="80"/>
    <n v="1"/>
    <n v="10"/>
    <s v="6-15"/>
    <n v="3"/>
    <n v="3"/>
    <n v="7"/>
    <n v="0"/>
    <n v="1"/>
    <n v="7"/>
    <s v="Below Avg"/>
    <n v="26.886792452830189"/>
  </r>
  <r>
    <n v="32"/>
    <x v="1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s v="No"/>
    <n v="14"/>
    <n v="3"/>
    <n v="2"/>
    <n v="80"/>
    <n v="0"/>
    <n v="12"/>
    <s v="6-15"/>
    <n v="3"/>
    <n v="3"/>
    <n v="7"/>
    <n v="7"/>
    <n v="0"/>
    <n v="7"/>
    <s v="Below Avg"/>
    <n v="27.014218009478675"/>
  </r>
  <r>
    <n v="38"/>
    <x v="1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s v="Yes"/>
    <n v="16"/>
    <n v="3"/>
    <n v="3"/>
    <n v="80"/>
    <n v="1"/>
    <n v="15"/>
    <s v="6-15"/>
    <n v="2"/>
    <n v="3"/>
    <n v="1"/>
    <n v="0"/>
    <n v="1"/>
    <n v="0"/>
    <s v="Below Avg"/>
    <n v="27.142857142857142"/>
  </r>
  <r>
    <n v="43"/>
    <x v="0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s v="Yes"/>
    <n v="16"/>
    <n v="3"/>
    <n v="4"/>
    <n v="80"/>
    <n v="1"/>
    <n v="6"/>
    <s v="6-15"/>
    <n v="4"/>
    <n v="3"/>
    <n v="1"/>
    <n v="0"/>
    <n v="0"/>
    <n v="0"/>
    <s v="Below Avg"/>
    <n v="27.27272727272727"/>
  </r>
  <r>
    <n v="42"/>
    <x v="1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s v="No"/>
    <n v="22"/>
    <n v="4"/>
    <n v="2"/>
    <n v="80"/>
    <n v="3"/>
    <n v="7"/>
    <s v="6-15"/>
    <n v="6"/>
    <n v="2"/>
    <n v="5"/>
    <n v="3"/>
    <n v="0"/>
    <n v="4"/>
    <s v="Below Avg"/>
    <n v="26.923076923076923"/>
  </r>
  <r>
    <n v="55"/>
    <x v="1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s v="No"/>
    <n v="12"/>
    <n v="3"/>
    <n v="2"/>
    <n v="80"/>
    <n v="3"/>
    <n v="34"/>
    <s v="&gt;15"/>
    <n v="2"/>
    <n v="3"/>
    <n v="1"/>
    <n v="0"/>
    <n v="0"/>
    <n v="0"/>
    <s v="Ok"/>
    <n v="26.570048309178745"/>
  </r>
  <r>
    <n v="33"/>
    <x v="1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s v="No"/>
    <n v="15"/>
    <n v="3"/>
    <n v="4"/>
    <n v="80"/>
    <n v="2"/>
    <n v="11"/>
    <s v="6-15"/>
    <n v="2"/>
    <n v="2"/>
    <n v="9"/>
    <n v="8"/>
    <n v="1"/>
    <n v="7"/>
    <s v="Below Avg"/>
    <n v="26.699029126213592"/>
  </r>
  <r>
    <n v="41"/>
    <x v="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s v="No"/>
    <n v="20"/>
    <n v="4"/>
    <n v="2"/>
    <n v="80"/>
    <n v="2"/>
    <n v="5"/>
    <s v="0-5"/>
    <n v="2"/>
    <n v="3"/>
    <n v="5"/>
    <n v="3"/>
    <n v="0"/>
    <n v="4"/>
    <s v="Below Avg"/>
    <n v="26.829268292682929"/>
  </r>
  <r>
    <n v="34"/>
    <x v="1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s v="Yes"/>
    <n v="14"/>
    <n v="3"/>
    <n v="3"/>
    <n v="80"/>
    <n v="1"/>
    <n v="15"/>
    <s v="6-15"/>
    <n v="3"/>
    <n v="3"/>
    <n v="15"/>
    <n v="14"/>
    <n v="0"/>
    <n v="7"/>
    <s v="Below Avg"/>
    <n v="26.96078431372549"/>
  </r>
  <r>
    <n v="53"/>
    <x v="1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s v="Yes"/>
    <n v="20"/>
    <n v="4"/>
    <n v="4"/>
    <n v="80"/>
    <n v="3"/>
    <n v="27"/>
    <s v="&gt;15"/>
    <n v="2"/>
    <n v="2"/>
    <n v="3"/>
    <n v="2"/>
    <n v="0"/>
    <n v="2"/>
    <s v="Ok"/>
    <n v="27.093596059113302"/>
  </r>
  <r>
    <n v="43"/>
    <x v="1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s v="No"/>
    <n v="13"/>
    <n v="3"/>
    <n v="2"/>
    <n v="80"/>
    <n v="0"/>
    <n v="10"/>
    <s v="6-15"/>
    <n v="5"/>
    <n v="3"/>
    <n v="9"/>
    <n v="7"/>
    <n v="1"/>
    <n v="8"/>
    <s v="Below Avg"/>
    <n v="26.732673267326735"/>
  </r>
  <r>
    <n v="34"/>
    <x v="1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s v="No"/>
    <n v="12"/>
    <n v="3"/>
    <n v="1"/>
    <n v="80"/>
    <n v="0"/>
    <n v="6"/>
    <s v="6-15"/>
    <n v="3"/>
    <n v="3"/>
    <n v="2"/>
    <n v="2"/>
    <n v="2"/>
    <n v="2"/>
    <s v="Below Avg"/>
    <n v="26.368159203980102"/>
  </r>
  <r>
    <n v="21"/>
    <x v="0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s v="No"/>
    <n v="13"/>
    <n v="3"/>
    <n v="2"/>
    <n v="80"/>
    <n v="0"/>
    <n v="1"/>
    <s v="0-5"/>
    <n v="3"/>
    <n v="3"/>
    <n v="1"/>
    <n v="0"/>
    <n v="1"/>
    <n v="0"/>
    <s v="Below Avg"/>
    <n v="26.5"/>
  </r>
  <r>
    <n v="38"/>
    <x v="1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s v="No"/>
    <n v="11"/>
    <n v="3"/>
    <n v="2"/>
    <n v="80"/>
    <n v="1"/>
    <n v="5"/>
    <s v="0-5"/>
    <n v="3"/>
    <n v="3"/>
    <n v="5"/>
    <n v="4"/>
    <n v="0"/>
    <n v="4"/>
    <s v="Below Avg"/>
    <n v="26.633165829145728"/>
  </r>
  <r>
    <n v="22"/>
    <x v="0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s v="Yes"/>
    <n v="17"/>
    <n v="3"/>
    <n v="3"/>
    <n v="80"/>
    <n v="0"/>
    <n v="1"/>
    <s v="0-5"/>
    <n v="6"/>
    <n v="3"/>
    <n v="1"/>
    <n v="0"/>
    <n v="0"/>
    <n v="0"/>
    <s v="Below Avg"/>
    <n v="26.767676767676768"/>
  </r>
  <r>
    <n v="31"/>
    <x v="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s v="No"/>
    <n v="14"/>
    <n v="3"/>
    <n v="1"/>
    <n v="80"/>
    <n v="2"/>
    <n v="13"/>
    <s v="6-15"/>
    <n v="3"/>
    <n v="3"/>
    <n v="12"/>
    <n v="7"/>
    <n v="5"/>
    <n v="7"/>
    <s v="Below Avg"/>
    <n v="26.903553299492383"/>
  </r>
  <r>
    <n v="51"/>
    <x v="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s v="No"/>
    <n v="11"/>
    <n v="3"/>
    <n v="4"/>
    <n v="80"/>
    <n v="0"/>
    <n v="15"/>
    <s v="6-15"/>
    <n v="2"/>
    <n v="3"/>
    <n v="2"/>
    <n v="2"/>
    <n v="2"/>
    <n v="2"/>
    <s v="Ok"/>
    <n v="26.530612244897959"/>
  </r>
  <r>
    <n v="37"/>
    <x v="1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s v="No"/>
    <n v="14"/>
    <n v="3"/>
    <n v="1"/>
    <n v="80"/>
    <n v="2"/>
    <n v="5"/>
    <s v="0-5"/>
    <n v="2"/>
    <n v="3"/>
    <n v="5"/>
    <n v="2"/>
    <n v="0"/>
    <n v="3"/>
    <s v="Below Avg"/>
    <n v="26.666666666666668"/>
  </r>
  <r>
    <n v="46"/>
    <x v="1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s v="Yes"/>
    <n v="17"/>
    <n v="3"/>
    <n v="3"/>
    <n v="80"/>
    <n v="1"/>
    <n v="24"/>
    <s v="&gt;15"/>
    <n v="3"/>
    <n v="3"/>
    <n v="2"/>
    <n v="1"/>
    <n v="2"/>
    <n v="2"/>
    <s v="Ok"/>
    <n v="26.804123711340207"/>
  </r>
  <r>
    <n v="36"/>
    <x v="1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s v="Yes"/>
    <n v="13"/>
    <n v="3"/>
    <n v="4"/>
    <n v="80"/>
    <n v="1"/>
    <n v="15"/>
    <s v="6-15"/>
    <n v="1"/>
    <n v="3"/>
    <n v="12"/>
    <n v="8"/>
    <n v="5"/>
    <n v="7"/>
    <s v="Ok"/>
    <n v="26.94300518134715"/>
  </r>
  <r>
    <n v="44"/>
    <x v="0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s v="Yes"/>
    <n v="12"/>
    <n v="3"/>
    <n v="3"/>
    <n v="80"/>
    <n v="3"/>
    <n v="6"/>
    <s v="6-15"/>
    <n v="2"/>
    <n v="2"/>
    <n v="5"/>
    <n v="3"/>
    <n v="2"/>
    <n v="3"/>
    <s v="Below Avg"/>
    <n v="26.5625"/>
  </r>
  <r>
    <n v="37"/>
    <x v="1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s v="No"/>
    <n v="13"/>
    <n v="3"/>
    <n v="3"/>
    <n v="80"/>
    <n v="0"/>
    <n v="19"/>
    <s v="&gt;15"/>
    <n v="4"/>
    <n v="2"/>
    <n v="10"/>
    <n v="0"/>
    <n v="4"/>
    <n v="7"/>
    <s v="Below Avg"/>
    <n v="26.178010471204189"/>
  </r>
  <r>
    <n v="35"/>
    <x v="0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s v="Yes"/>
    <n v="18"/>
    <n v="3"/>
    <n v="4"/>
    <n v="80"/>
    <n v="0"/>
    <n v="10"/>
    <s v="6-15"/>
    <n v="2"/>
    <n v="3"/>
    <n v="10"/>
    <n v="7"/>
    <n v="7"/>
    <n v="7"/>
    <s v="Below Avg"/>
    <n v="25.789473684210527"/>
  </r>
  <r>
    <n v="33"/>
    <x v="1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s v="No"/>
    <n v="19"/>
    <n v="3"/>
    <n v="2"/>
    <n v="80"/>
    <n v="1"/>
    <n v="14"/>
    <s v="6-15"/>
    <n v="1"/>
    <n v="3"/>
    <n v="10"/>
    <n v="8"/>
    <n v="7"/>
    <n v="6"/>
    <s v="Below Avg"/>
    <n v="25.925925925925924"/>
  </r>
  <r>
    <n v="28"/>
    <x v="1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s v="No"/>
    <n v="11"/>
    <n v="3"/>
    <n v="3"/>
    <n v="80"/>
    <n v="1"/>
    <n v="5"/>
    <s v="0-5"/>
    <n v="6"/>
    <n v="4"/>
    <n v="5"/>
    <n v="3"/>
    <n v="0"/>
    <n v="3"/>
    <s v="Below Avg"/>
    <n v="25.531914893617021"/>
  </r>
  <r>
    <n v="39"/>
    <x v="1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s v="No"/>
    <n v="21"/>
    <n v="4"/>
    <n v="3"/>
    <n v="80"/>
    <n v="0"/>
    <n v="9"/>
    <s v="6-15"/>
    <n v="3"/>
    <n v="3"/>
    <n v="4"/>
    <n v="3"/>
    <n v="2"/>
    <n v="2"/>
    <s v="Ok"/>
    <n v="25.668449197860966"/>
  </r>
  <r>
    <n v="46"/>
    <x v="1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s v="No"/>
    <n v="15"/>
    <n v="3"/>
    <n v="3"/>
    <n v="80"/>
    <n v="0"/>
    <n v="6"/>
    <s v="6-15"/>
    <n v="3"/>
    <n v="3"/>
    <n v="2"/>
    <n v="2"/>
    <n v="2"/>
    <n v="2"/>
    <s v="Ok"/>
    <n v="25.806451612903224"/>
  </r>
  <r>
    <n v="40"/>
    <x v="1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s v="No"/>
    <n v="17"/>
    <n v="3"/>
    <n v="4"/>
    <n v="80"/>
    <n v="1"/>
    <n v="7"/>
    <s v="6-15"/>
    <n v="5"/>
    <n v="2"/>
    <n v="4"/>
    <n v="3"/>
    <n v="0"/>
    <n v="2"/>
    <s v="Below Avg"/>
    <n v="25.945945945945947"/>
  </r>
  <r>
    <n v="42"/>
    <x v="1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s v="No"/>
    <n v="18"/>
    <n v="3"/>
    <n v="3"/>
    <n v="80"/>
    <n v="2"/>
    <n v="10"/>
    <s v="6-15"/>
    <n v="2"/>
    <n v="2"/>
    <n v="0"/>
    <n v="0"/>
    <n v="0"/>
    <n v="0"/>
    <s v="Below Avg"/>
    <n v="26.086956521739129"/>
  </r>
  <r>
    <n v="35"/>
    <x v="1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s v="No"/>
    <n v="14"/>
    <n v="3"/>
    <n v="3"/>
    <n v="80"/>
    <n v="1"/>
    <n v="15"/>
    <s v="6-15"/>
    <n v="6"/>
    <n v="3"/>
    <n v="7"/>
    <n v="7"/>
    <n v="1"/>
    <n v="7"/>
    <s v="Below Avg"/>
    <n v="26.229508196721312"/>
  </r>
  <r>
    <n v="38"/>
    <x v="1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s v="No"/>
    <n v="13"/>
    <n v="3"/>
    <n v="4"/>
    <n v="80"/>
    <n v="3"/>
    <n v="13"/>
    <s v="6-15"/>
    <n v="3"/>
    <n v="3"/>
    <n v="11"/>
    <n v="10"/>
    <n v="3"/>
    <n v="8"/>
    <s v="Below Avg"/>
    <n v="26.373626373626376"/>
  </r>
  <r>
    <n v="34"/>
    <x v="0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s v="No"/>
    <n v="17"/>
    <n v="3"/>
    <n v="3"/>
    <n v="80"/>
    <n v="1"/>
    <n v="11"/>
    <s v="6-15"/>
    <n v="3"/>
    <n v="2"/>
    <n v="7"/>
    <n v="1"/>
    <n v="0"/>
    <n v="7"/>
    <s v="Below Avg"/>
    <n v="26.519337016574585"/>
  </r>
  <r>
    <n v="37"/>
    <x v="0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s v="No"/>
    <n v="15"/>
    <n v="3"/>
    <n v="2"/>
    <n v="80"/>
    <n v="0"/>
    <n v="10"/>
    <s v="6-15"/>
    <n v="4"/>
    <n v="1"/>
    <n v="10"/>
    <n v="3"/>
    <n v="0"/>
    <n v="8"/>
    <s v="Below Avg"/>
    <n v="26.666666666666668"/>
  </r>
  <r>
    <n v="39"/>
    <x v="1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s v="No"/>
    <n v="18"/>
    <n v="3"/>
    <n v="4"/>
    <n v="80"/>
    <n v="1"/>
    <n v="7"/>
    <s v="6-15"/>
    <n v="6"/>
    <n v="3"/>
    <n v="2"/>
    <n v="1"/>
    <n v="2"/>
    <n v="2"/>
    <s v="Below Avg"/>
    <n v="26.815642458100559"/>
  </r>
  <r>
    <n v="43"/>
    <x v="1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s v="No"/>
    <n v="13"/>
    <n v="3"/>
    <n v="3"/>
    <n v="80"/>
    <n v="0"/>
    <n v="7"/>
    <s v="6-15"/>
    <n v="2"/>
    <n v="2"/>
    <n v="3"/>
    <n v="2"/>
    <n v="1"/>
    <n v="2"/>
    <s v="Below Avg"/>
    <n v="26.966292134831459"/>
  </r>
  <r>
    <n v="41"/>
    <x v="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s v="No"/>
    <n v="12"/>
    <n v="3"/>
    <n v="1"/>
    <n v="80"/>
    <n v="0"/>
    <n v="11"/>
    <s v="6-15"/>
    <n v="3"/>
    <n v="1"/>
    <n v="3"/>
    <n v="2"/>
    <n v="1"/>
    <n v="2"/>
    <s v="Ok"/>
    <n v="27.118644067796609"/>
  </r>
  <r>
    <n v="41"/>
    <x v="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s v="Yes"/>
    <n v="13"/>
    <n v="3"/>
    <n v="4"/>
    <n v="80"/>
    <n v="1"/>
    <n v="23"/>
    <s v="&gt;15"/>
    <n v="3"/>
    <n v="4"/>
    <n v="22"/>
    <n v="14"/>
    <n v="13"/>
    <n v="5"/>
    <s v="Ok"/>
    <n v="27.27272727272727"/>
  </r>
  <r>
    <n v="30"/>
    <x v="1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s v="No"/>
    <n v="14"/>
    <n v="3"/>
    <n v="2"/>
    <n v="80"/>
    <n v="0"/>
    <n v="9"/>
    <s v="6-15"/>
    <n v="3"/>
    <n v="3"/>
    <n v="7"/>
    <n v="7"/>
    <n v="0"/>
    <n v="2"/>
    <s v="Ok"/>
    <n v="27.428571428571431"/>
  </r>
  <r>
    <n v="26"/>
    <x v="0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s v="Yes"/>
    <n v="11"/>
    <n v="3"/>
    <n v="3"/>
    <n v="80"/>
    <n v="0"/>
    <n v="6"/>
    <s v="6-15"/>
    <n v="3"/>
    <n v="3"/>
    <n v="5"/>
    <n v="1"/>
    <n v="1"/>
    <n v="4"/>
    <s v="Below Avg"/>
    <n v="27.011494252873565"/>
  </r>
  <r>
    <n v="46"/>
    <x v="0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s v="No"/>
    <n v="22"/>
    <n v="4"/>
    <n v="4"/>
    <n v="80"/>
    <n v="1"/>
    <n v="13"/>
    <s v="6-15"/>
    <n v="2"/>
    <n v="4"/>
    <n v="9"/>
    <n v="7"/>
    <n v="3"/>
    <n v="7"/>
    <s v="Ok"/>
    <n v="27.167630057803464"/>
  </r>
  <r>
    <n v="40"/>
    <x v="1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s v="No"/>
    <n v="17"/>
    <n v="3"/>
    <n v="4"/>
    <n v="80"/>
    <n v="1"/>
    <n v="12"/>
    <s v="6-15"/>
    <n v="3"/>
    <n v="3"/>
    <n v="5"/>
    <n v="3"/>
    <n v="0"/>
    <n v="3"/>
    <s v="Ok"/>
    <n v="26.744186046511626"/>
  </r>
  <r>
    <n v="34"/>
    <x v="1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s v="No"/>
    <n v="21"/>
    <n v="4"/>
    <n v="3"/>
    <n v="80"/>
    <n v="2"/>
    <n v="10"/>
    <s v="6-15"/>
    <n v="5"/>
    <n v="3"/>
    <n v="10"/>
    <n v="8"/>
    <n v="4"/>
    <n v="8"/>
    <s v="Ok"/>
    <n v="26.900584795321635"/>
  </r>
  <r>
    <n v="58"/>
    <x v="1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s v="No"/>
    <n v="22"/>
    <n v="4"/>
    <n v="4"/>
    <n v="80"/>
    <n v="1"/>
    <n v="37"/>
    <s v="&gt;15"/>
    <n v="0"/>
    <n v="2"/>
    <n v="16"/>
    <n v="9"/>
    <n v="14"/>
    <n v="14"/>
    <s v="Ok"/>
    <n v="27.058823529411764"/>
  </r>
  <r>
    <n v="35"/>
    <x v="1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s v="No"/>
    <n v="16"/>
    <n v="3"/>
    <n v="2"/>
    <n v="80"/>
    <n v="1"/>
    <n v="6"/>
    <s v="6-15"/>
    <n v="2"/>
    <n v="4"/>
    <n v="5"/>
    <n v="4"/>
    <n v="0"/>
    <n v="3"/>
    <s v="Below Avg"/>
    <n v="27.218934911242602"/>
  </r>
  <r>
    <n v="47"/>
    <x v="1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s v="Yes"/>
    <n v="12"/>
    <n v="3"/>
    <n v="3"/>
    <n v="80"/>
    <n v="1"/>
    <n v="28"/>
    <s v="&gt;15"/>
    <n v="4"/>
    <n v="3"/>
    <n v="22"/>
    <n v="11"/>
    <n v="14"/>
    <n v="10"/>
    <s v="Ok"/>
    <n v="27.380952380952383"/>
  </r>
  <r>
    <n v="40"/>
    <x v="1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s v="No"/>
    <n v="12"/>
    <n v="3"/>
    <n v="2"/>
    <n v="80"/>
    <n v="1"/>
    <n v="15"/>
    <s v="6-15"/>
    <n v="3"/>
    <n v="3"/>
    <n v="7"/>
    <n v="4"/>
    <n v="7"/>
    <n v="7"/>
    <s v="Below Avg"/>
    <n v="27.54491017964072"/>
  </r>
  <r>
    <n v="54"/>
    <x v="1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s v="No"/>
    <n v="15"/>
    <n v="3"/>
    <n v="2"/>
    <n v="80"/>
    <n v="1"/>
    <n v="14"/>
    <s v="6-15"/>
    <n v="2"/>
    <n v="2"/>
    <n v="7"/>
    <n v="1"/>
    <n v="1"/>
    <n v="7"/>
    <s v="Ok"/>
    <n v="27.108433734939759"/>
  </r>
  <r>
    <n v="31"/>
    <x v="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s v="No"/>
    <n v="14"/>
    <n v="3"/>
    <n v="4"/>
    <n v="80"/>
    <n v="2"/>
    <n v="9"/>
    <s v="6-15"/>
    <n v="3"/>
    <n v="3"/>
    <n v="3"/>
    <n v="2"/>
    <n v="2"/>
    <n v="2"/>
    <s v="Ok"/>
    <n v="27.27272727272727"/>
  </r>
  <r>
    <n v="28"/>
    <x v="1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s v="No"/>
    <n v="25"/>
    <n v="4"/>
    <n v="3"/>
    <n v="80"/>
    <n v="1"/>
    <n v="3"/>
    <s v="0-5"/>
    <n v="3"/>
    <n v="3"/>
    <n v="3"/>
    <n v="2"/>
    <n v="1"/>
    <n v="2"/>
    <s v="Below Avg"/>
    <n v="27.439024390243905"/>
  </r>
  <r>
    <n v="38"/>
    <x v="1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s v="Yes"/>
    <n v="20"/>
    <n v="4"/>
    <n v="1"/>
    <n v="80"/>
    <n v="2"/>
    <n v="20"/>
    <s v="&gt;15"/>
    <n v="4"/>
    <n v="2"/>
    <n v="4"/>
    <n v="2"/>
    <n v="0"/>
    <n v="3"/>
    <s v="Below Avg"/>
    <n v="27.607361963190186"/>
  </r>
  <r>
    <n v="26"/>
    <x v="1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s v="No"/>
    <n v="13"/>
    <n v="3"/>
    <n v="1"/>
    <n v="80"/>
    <n v="0"/>
    <n v="5"/>
    <s v="0-5"/>
    <n v="4"/>
    <n v="3"/>
    <n v="5"/>
    <n v="3"/>
    <n v="1"/>
    <n v="2"/>
    <s v="Below Avg"/>
    <n v="27.777777777777779"/>
  </r>
  <r>
    <n v="58"/>
    <x v="1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s v="Yes"/>
    <n v="14"/>
    <n v="3"/>
    <n v="2"/>
    <n v="80"/>
    <n v="0"/>
    <n v="23"/>
    <s v="&gt;15"/>
    <n v="3"/>
    <n v="3"/>
    <n v="2"/>
    <n v="2"/>
    <n v="2"/>
    <n v="2"/>
    <s v="Ok"/>
    <n v="27.329192546583851"/>
  </r>
  <r>
    <n v="18"/>
    <x v="1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s v="No"/>
    <n v="16"/>
    <n v="3"/>
    <n v="3"/>
    <n v="80"/>
    <n v="0"/>
    <n v="0"/>
    <s v="0-5"/>
    <n v="4"/>
    <n v="1"/>
    <n v="0"/>
    <n v="0"/>
    <n v="0"/>
    <n v="0"/>
    <s v="Below Avg"/>
    <n v="27.500000000000004"/>
  </r>
  <r>
    <n v="31"/>
    <x v="0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s v="No"/>
    <n v="17"/>
    <n v="3"/>
    <n v="3"/>
    <n v="80"/>
    <n v="0"/>
    <n v="2"/>
    <s v="0-5"/>
    <n v="4"/>
    <n v="3"/>
    <n v="1"/>
    <n v="0"/>
    <n v="0"/>
    <n v="0"/>
    <s v="Below Avg"/>
    <n v="27.044025157232703"/>
  </r>
  <r>
    <n v="29"/>
    <x v="0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s v="Yes"/>
    <n v="15"/>
    <n v="3"/>
    <n v="4"/>
    <n v="80"/>
    <n v="3"/>
    <n v="4"/>
    <s v="0-5"/>
    <n v="3"/>
    <n v="3"/>
    <n v="2"/>
    <n v="2"/>
    <n v="2"/>
    <n v="0"/>
    <s v="Below Avg"/>
    <n v="27.215189873417721"/>
  </r>
  <r>
    <n v="45"/>
    <x v="1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s v="No"/>
    <n v="22"/>
    <n v="4"/>
    <n v="2"/>
    <n v="80"/>
    <n v="2"/>
    <n v="10"/>
    <s v="6-15"/>
    <n v="3"/>
    <n v="4"/>
    <n v="8"/>
    <n v="7"/>
    <n v="5"/>
    <n v="7"/>
    <s v="Below Avg"/>
    <n v="27.388535031847134"/>
  </r>
  <r>
    <n v="36"/>
    <x v="1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s v="Yes"/>
    <n v="22"/>
    <n v="4"/>
    <n v="4"/>
    <n v="80"/>
    <n v="1"/>
    <n v="15"/>
    <s v="6-15"/>
    <n v="2"/>
    <n v="3"/>
    <n v="1"/>
    <n v="0"/>
    <n v="0"/>
    <n v="0"/>
    <s v="Ok"/>
    <n v="26.923076923076923"/>
  </r>
  <r>
    <n v="43"/>
    <x v="1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s v="No"/>
    <n v="20"/>
    <n v="4"/>
    <n v="3"/>
    <n v="80"/>
    <n v="1"/>
    <n v="7"/>
    <s v="6-15"/>
    <n v="5"/>
    <n v="3"/>
    <n v="7"/>
    <n v="7"/>
    <n v="7"/>
    <n v="7"/>
    <s v="Below Avg"/>
    <n v="27.096774193548391"/>
  </r>
  <r>
    <n v="27"/>
    <x v="1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s v="Yes"/>
    <n v="14"/>
    <n v="3"/>
    <n v="3"/>
    <n v="80"/>
    <n v="0"/>
    <n v="6"/>
    <s v="6-15"/>
    <n v="3"/>
    <n v="2"/>
    <n v="5"/>
    <n v="4"/>
    <n v="0"/>
    <n v="2"/>
    <s v="Below Avg"/>
    <n v="26.623376623376622"/>
  </r>
  <r>
    <n v="29"/>
    <x v="1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s v="No"/>
    <n v="13"/>
    <n v="3"/>
    <n v="2"/>
    <n v="80"/>
    <n v="0"/>
    <n v="11"/>
    <s v="6-15"/>
    <n v="3"/>
    <n v="4"/>
    <n v="11"/>
    <n v="8"/>
    <n v="3"/>
    <n v="10"/>
    <s v="Below Avg"/>
    <n v="26.797385620915033"/>
  </r>
  <r>
    <n v="32"/>
    <x v="1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s v="No"/>
    <n v="13"/>
    <n v="3"/>
    <n v="3"/>
    <n v="80"/>
    <n v="0"/>
    <n v="4"/>
    <s v="0-5"/>
    <n v="2"/>
    <n v="4"/>
    <n v="0"/>
    <n v="0"/>
    <n v="0"/>
    <n v="0"/>
    <s v="Below Avg"/>
    <n v="26.315789473684209"/>
  </r>
  <r>
    <n v="42"/>
    <x v="1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s v="No"/>
    <n v="22"/>
    <n v="4"/>
    <n v="2"/>
    <n v="80"/>
    <n v="2"/>
    <n v="10"/>
    <s v="6-15"/>
    <n v="1"/>
    <n v="2"/>
    <n v="6"/>
    <n v="3"/>
    <n v="3"/>
    <n v="3"/>
    <s v="Below Avg"/>
    <n v="26.490066225165563"/>
  </r>
  <r>
    <n v="47"/>
    <x v="1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s v="No"/>
    <n v="12"/>
    <n v="3"/>
    <n v="3"/>
    <n v="80"/>
    <n v="0"/>
    <n v="7"/>
    <s v="6-15"/>
    <n v="2"/>
    <n v="3"/>
    <n v="2"/>
    <n v="2"/>
    <n v="2"/>
    <n v="0"/>
    <s v="Below Avg"/>
    <n v="26.666666666666668"/>
  </r>
  <r>
    <n v="46"/>
    <x v="1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s v="No"/>
    <n v="14"/>
    <n v="3"/>
    <n v="3"/>
    <n v="80"/>
    <n v="1"/>
    <n v="12"/>
    <s v="6-15"/>
    <n v="4"/>
    <n v="2"/>
    <n v="9"/>
    <n v="8"/>
    <n v="4"/>
    <n v="7"/>
    <s v="Ok"/>
    <n v="26.845637583892618"/>
  </r>
  <r>
    <n v="28"/>
    <x v="1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s v="No"/>
    <n v="15"/>
    <n v="3"/>
    <n v="2"/>
    <n v="80"/>
    <n v="1"/>
    <n v="3"/>
    <s v="0-5"/>
    <n v="2"/>
    <n v="3"/>
    <n v="3"/>
    <n v="2"/>
    <n v="2"/>
    <n v="2"/>
    <s v="Below Avg"/>
    <n v="27.027027027027028"/>
  </r>
  <r>
    <n v="29"/>
    <x v="1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s v="No"/>
    <n v="17"/>
    <n v="3"/>
    <n v="4"/>
    <n v="80"/>
    <n v="2"/>
    <n v="11"/>
    <s v="6-15"/>
    <n v="3"/>
    <n v="3"/>
    <n v="7"/>
    <n v="0"/>
    <n v="1"/>
    <n v="6"/>
    <s v="Ok"/>
    <n v="27.210884353741498"/>
  </r>
  <r>
    <n v="42"/>
    <x v="1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s v="No"/>
    <n v="13"/>
    <n v="3"/>
    <n v="4"/>
    <n v="80"/>
    <n v="0"/>
    <n v="8"/>
    <s v="6-15"/>
    <n v="3"/>
    <n v="3"/>
    <n v="0"/>
    <n v="0"/>
    <n v="0"/>
    <n v="0"/>
    <s v="Below Avg"/>
    <n v="27.397260273972602"/>
  </r>
  <r>
    <n v="32"/>
    <x v="0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s v="Yes"/>
    <n v="12"/>
    <n v="3"/>
    <n v="3"/>
    <n v="80"/>
    <n v="0"/>
    <n v="7"/>
    <s v="6-15"/>
    <n v="3"/>
    <n v="2"/>
    <n v="2"/>
    <n v="2"/>
    <n v="2"/>
    <n v="2"/>
    <s v="Ok"/>
    <n v="27.586206896551722"/>
  </r>
  <r>
    <n v="46"/>
    <x v="1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s v="No"/>
    <n v="12"/>
    <n v="3"/>
    <n v="4"/>
    <n v="80"/>
    <n v="1"/>
    <n v="25"/>
    <s v="&gt;15"/>
    <n v="5"/>
    <n v="3"/>
    <n v="19"/>
    <n v="17"/>
    <n v="2"/>
    <n v="8"/>
    <s v="Ok"/>
    <n v="27.777777777777779"/>
  </r>
  <r>
    <n v="27"/>
    <x v="1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s v="No"/>
    <n v="21"/>
    <n v="4"/>
    <n v="4"/>
    <n v="80"/>
    <n v="1"/>
    <n v="9"/>
    <s v="6-15"/>
    <n v="5"/>
    <n v="3"/>
    <n v="9"/>
    <n v="8"/>
    <n v="5"/>
    <n v="8"/>
    <s v="Below Avg"/>
    <n v="27.27272727272727"/>
  </r>
  <r>
    <n v="29"/>
    <x v="1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s v="No"/>
    <n v="11"/>
    <n v="3"/>
    <n v="4"/>
    <n v="80"/>
    <n v="0"/>
    <n v="1"/>
    <s v="0-5"/>
    <n v="3"/>
    <n v="3"/>
    <n v="1"/>
    <n v="0"/>
    <n v="0"/>
    <n v="0"/>
    <s v="Below Avg"/>
    <n v="27.464788732394368"/>
  </r>
  <r>
    <n v="43"/>
    <x v="1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s v="No"/>
    <n v="13"/>
    <n v="3"/>
    <n v="4"/>
    <n v="80"/>
    <n v="0"/>
    <n v="21"/>
    <s v="&gt;15"/>
    <n v="2"/>
    <n v="3"/>
    <n v="16"/>
    <n v="12"/>
    <n v="6"/>
    <n v="14"/>
    <s v="Ok"/>
    <n v="27.659574468085108"/>
  </r>
  <r>
    <n v="48"/>
    <x v="1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s v="No"/>
    <n v="12"/>
    <n v="3"/>
    <n v="4"/>
    <n v="80"/>
    <n v="0"/>
    <n v="29"/>
    <s v="&gt;15"/>
    <n v="3"/>
    <n v="3"/>
    <n v="22"/>
    <n v="10"/>
    <n v="12"/>
    <n v="9"/>
    <s v="Ok"/>
    <n v="27.857142857142858"/>
  </r>
  <r>
    <n v="29"/>
    <x v="0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s v="Yes"/>
    <n v="24"/>
    <n v="4"/>
    <n v="2"/>
    <n v="80"/>
    <n v="0"/>
    <n v="1"/>
    <s v="0-5"/>
    <n v="3"/>
    <n v="2"/>
    <n v="1"/>
    <n v="0"/>
    <n v="1"/>
    <n v="0"/>
    <s v="Below Avg"/>
    <n v="28.057553956834528"/>
  </r>
  <r>
    <n v="46"/>
    <x v="0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s v="No"/>
    <n v="21"/>
    <n v="4"/>
    <n v="3"/>
    <n v="80"/>
    <n v="3"/>
    <n v="14"/>
    <s v="6-15"/>
    <n v="2"/>
    <n v="3"/>
    <n v="8"/>
    <n v="7"/>
    <n v="0"/>
    <n v="7"/>
    <s v="Ok"/>
    <n v="28.260869565217391"/>
  </r>
  <r>
    <n v="27"/>
    <x v="1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s v="No"/>
    <n v="19"/>
    <n v="3"/>
    <n v="4"/>
    <n v="80"/>
    <n v="1"/>
    <n v="8"/>
    <s v="6-15"/>
    <n v="2"/>
    <n v="2"/>
    <n v="7"/>
    <n v="6"/>
    <n v="7"/>
    <n v="3"/>
    <s v="Below Avg"/>
    <n v="27.737226277372262"/>
  </r>
  <r>
    <n v="39"/>
    <x v="1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s v="No"/>
    <n v="14"/>
    <n v="3"/>
    <n v="2"/>
    <n v="80"/>
    <n v="3"/>
    <n v="7"/>
    <s v="6-15"/>
    <n v="2"/>
    <n v="3"/>
    <n v="2"/>
    <n v="2"/>
    <n v="2"/>
    <n v="2"/>
    <s v="Below Avg"/>
    <n v="27.941176470588236"/>
  </r>
  <r>
    <n v="55"/>
    <x v="1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s v="No"/>
    <n v="20"/>
    <n v="4"/>
    <n v="2"/>
    <n v="80"/>
    <n v="1"/>
    <n v="19"/>
    <s v="&gt;15"/>
    <n v="2"/>
    <n v="4"/>
    <n v="5"/>
    <n v="2"/>
    <n v="0"/>
    <n v="4"/>
    <s v="Below Avg"/>
    <n v="28.148148148148149"/>
  </r>
  <r>
    <n v="28"/>
    <x v="1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s v="No"/>
    <n v="19"/>
    <n v="3"/>
    <n v="4"/>
    <n v="80"/>
    <n v="1"/>
    <n v="1"/>
    <s v="0-5"/>
    <n v="3"/>
    <n v="3"/>
    <n v="1"/>
    <n v="0"/>
    <n v="0"/>
    <n v="0"/>
    <s v="Below Avg"/>
    <n v="28.35820895522388"/>
  </r>
  <r>
    <n v="30"/>
    <x v="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s v="No"/>
    <n v="13"/>
    <n v="3"/>
    <n v="3"/>
    <n v="80"/>
    <n v="0"/>
    <n v="1"/>
    <s v="0-5"/>
    <n v="3"/>
    <n v="2"/>
    <n v="1"/>
    <n v="0"/>
    <n v="0"/>
    <n v="0"/>
    <s v="Below Avg"/>
    <n v="28.571428571428569"/>
  </r>
  <r>
    <n v="22"/>
    <x v="0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s v="Yes"/>
    <n v="23"/>
    <n v="4"/>
    <n v="1"/>
    <n v="80"/>
    <n v="0"/>
    <n v="1"/>
    <s v="0-5"/>
    <n v="2"/>
    <n v="3"/>
    <n v="1"/>
    <n v="0"/>
    <n v="0"/>
    <n v="0"/>
    <s v="Below Avg"/>
    <n v="28.787878787878789"/>
  </r>
  <r>
    <n v="36"/>
    <x v="1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s v="Yes"/>
    <n v="13"/>
    <n v="3"/>
    <n v="1"/>
    <n v="80"/>
    <n v="1"/>
    <n v="10"/>
    <s v="6-15"/>
    <n v="4"/>
    <n v="3"/>
    <n v="10"/>
    <n v="9"/>
    <n v="1"/>
    <n v="7"/>
    <s v="Below Avg"/>
    <n v="29.007633587786259"/>
  </r>
  <r>
    <n v="31"/>
    <x v="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s v="No"/>
    <n v="11"/>
    <n v="3"/>
    <n v="1"/>
    <n v="80"/>
    <n v="1"/>
    <n v="10"/>
    <s v="6-15"/>
    <n v="2"/>
    <n v="3"/>
    <n v="10"/>
    <n v="8"/>
    <n v="0"/>
    <n v="2"/>
    <s v="Below Avg"/>
    <n v="28.46153846153846"/>
  </r>
  <r>
    <n v="34"/>
    <x v="1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s v="Yes"/>
    <n v="13"/>
    <n v="3"/>
    <n v="4"/>
    <n v="80"/>
    <n v="3"/>
    <n v="9"/>
    <s v="6-15"/>
    <n v="3"/>
    <n v="3"/>
    <n v="5"/>
    <n v="3"/>
    <n v="1"/>
    <n v="0"/>
    <s v="Ok"/>
    <n v="27.906976744186046"/>
  </r>
  <r>
    <n v="29"/>
    <x v="1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s v="No"/>
    <n v="14"/>
    <n v="3"/>
    <n v="2"/>
    <n v="80"/>
    <n v="0"/>
    <n v="11"/>
    <s v="6-15"/>
    <n v="2"/>
    <n v="3"/>
    <n v="3"/>
    <n v="2"/>
    <n v="1"/>
    <n v="2"/>
    <s v="Below Avg"/>
    <n v="28.125"/>
  </r>
  <r>
    <n v="37"/>
    <x v="1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s v="Yes"/>
    <n v="22"/>
    <n v="4"/>
    <n v="3"/>
    <n v="80"/>
    <n v="1"/>
    <n v="16"/>
    <s v="&gt;15"/>
    <n v="2"/>
    <n v="3"/>
    <n v="5"/>
    <n v="3"/>
    <n v="0"/>
    <n v="4"/>
    <s v="Below Avg"/>
    <n v="27.559055118110237"/>
  </r>
  <r>
    <n v="35"/>
    <x v="1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s v="Yes"/>
    <n v="11"/>
    <n v="3"/>
    <n v="4"/>
    <n v="80"/>
    <n v="0"/>
    <n v="4"/>
    <s v="0-5"/>
    <n v="2"/>
    <n v="3"/>
    <n v="3"/>
    <n v="2"/>
    <n v="0"/>
    <n v="2"/>
    <s v="Below Avg"/>
    <n v="27.777777777777779"/>
  </r>
  <r>
    <n v="45"/>
    <x v="1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s v="No"/>
    <n v="13"/>
    <n v="3"/>
    <n v="4"/>
    <n v="80"/>
    <n v="2"/>
    <n v="10"/>
    <s v="6-15"/>
    <n v="2"/>
    <n v="2"/>
    <n v="9"/>
    <n v="8"/>
    <n v="3"/>
    <n v="8"/>
    <s v="Ok"/>
    <n v="27.200000000000003"/>
  </r>
  <r>
    <n v="36"/>
    <x v="1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s v="No"/>
    <n v="21"/>
    <n v="4"/>
    <n v="4"/>
    <n v="80"/>
    <n v="0"/>
    <n v="10"/>
    <s v="6-15"/>
    <n v="2"/>
    <n v="2"/>
    <n v="10"/>
    <n v="1"/>
    <n v="0"/>
    <n v="8"/>
    <s v="Below Avg"/>
    <n v="26.612903225806448"/>
  </r>
  <r>
    <n v="40"/>
    <x v="1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s v="No"/>
    <n v="11"/>
    <n v="3"/>
    <n v="1"/>
    <n v="80"/>
    <n v="1"/>
    <n v="22"/>
    <s v="&gt;15"/>
    <n v="3"/>
    <n v="3"/>
    <n v="19"/>
    <n v="7"/>
    <n v="11"/>
    <n v="16"/>
    <s v="Ok"/>
    <n v="26.829268292682929"/>
  </r>
  <r>
    <n v="26"/>
    <x v="1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s v="Yes"/>
    <n v="13"/>
    <n v="3"/>
    <n v="3"/>
    <n v="80"/>
    <n v="1"/>
    <n v="1"/>
    <s v="0-5"/>
    <n v="3"/>
    <n v="2"/>
    <n v="1"/>
    <n v="0"/>
    <n v="1"/>
    <n v="0"/>
    <s v="Below Avg"/>
    <n v="27.049180327868854"/>
  </r>
  <r>
    <n v="27"/>
    <x v="1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s v="No"/>
    <n v="14"/>
    <n v="3"/>
    <n v="2"/>
    <n v="80"/>
    <n v="0"/>
    <n v="9"/>
    <s v="6-15"/>
    <n v="5"/>
    <n v="2"/>
    <n v="8"/>
    <n v="7"/>
    <n v="0"/>
    <n v="7"/>
    <s v="Ok"/>
    <n v="27.27272727272727"/>
  </r>
  <r>
    <n v="48"/>
    <x v="1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s v="No"/>
    <n v="11"/>
    <n v="3"/>
    <n v="2"/>
    <n v="80"/>
    <n v="1"/>
    <n v="24"/>
    <s v="&gt;15"/>
    <n v="3"/>
    <n v="3"/>
    <n v="22"/>
    <n v="17"/>
    <n v="4"/>
    <n v="7"/>
    <s v="Ok"/>
    <n v="26.666666666666668"/>
  </r>
  <r>
    <n v="44"/>
    <x v="1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s v="No"/>
    <n v="15"/>
    <n v="3"/>
    <n v="4"/>
    <n v="80"/>
    <n v="1"/>
    <n v="10"/>
    <s v="6-15"/>
    <n v="5"/>
    <n v="3"/>
    <n v="2"/>
    <n v="0"/>
    <n v="2"/>
    <n v="2"/>
    <s v="Below Avg"/>
    <n v="26.890756302521009"/>
  </r>
  <r>
    <n v="34"/>
    <x v="0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s v="Yes"/>
    <n v="23"/>
    <n v="4"/>
    <n v="2"/>
    <n v="80"/>
    <n v="1"/>
    <n v="5"/>
    <s v="0-5"/>
    <n v="2"/>
    <n v="3"/>
    <n v="5"/>
    <n v="2"/>
    <n v="3"/>
    <n v="0"/>
    <s v="Below Avg"/>
    <n v="27.118644067796609"/>
  </r>
  <r>
    <n v="56"/>
    <x v="0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s v="No"/>
    <n v="16"/>
    <n v="3"/>
    <n v="4"/>
    <n v="80"/>
    <n v="0"/>
    <n v="5"/>
    <s v="0-5"/>
    <n v="3"/>
    <n v="3"/>
    <n v="4"/>
    <n v="2"/>
    <n v="1"/>
    <n v="0"/>
    <s v="Below Avg"/>
    <n v="27.350427350427353"/>
  </r>
  <r>
    <n v="36"/>
    <x v="1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s v="No"/>
    <n v="16"/>
    <n v="3"/>
    <n v="3"/>
    <n v="80"/>
    <n v="2"/>
    <n v="12"/>
    <s v="6-15"/>
    <n v="1"/>
    <n v="1"/>
    <n v="4"/>
    <n v="2"/>
    <n v="1"/>
    <n v="3"/>
    <s v="Below Avg"/>
    <n v="26.72413793103448"/>
  </r>
  <r>
    <n v="41"/>
    <x v="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s v="No"/>
    <n v="21"/>
    <n v="4"/>
    <n v="3"/>
    <n v="80"/>
    <n v="1"/>
    <n v="14"/>
    <s v="6-15"/>
    <n v="3"/>
    <n v="3"/>
    <n v="5"/>
    <n v="4"/>
    <n v="1"/>
    <n v="4"/>
    <s v="Below Avg"/>
    <n v="26.956521739130434"/>
  </r>
  <r>
    <n v="42"/>
    <x v="1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s v="No"/>
    <n v="13"/>
    <n v="3"/>
    <n v="2"/>
    <n v="80"/>
    <n v="1"/>
    <n v="18"/>
    <s v="&gt;15"/>
    <n v="3"/>
    <n v="4"/>
    <n v="13"/>
    <n v="7"/>
    <n v="5"/>
    <n v="7"/>
    <s v="Ok"/>
    <n v="27.192982456140353"/>
  </r>
  <r>
    <n v="31"/>
    <x v="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s v="Yes"/>
    <n v="11"/>
    <n v="3"/>
    <n v="4"/>
    <n v="80"/>
    <n v="1"/>
    <n v="8"/>
    <s v="6-15"/>
    <n v="2"/>
    <n v="3"/>
    <n v="5"/>
    <n v="2"/>
    <n v="1"/>
    <n v="4"/>
    <s v="Ok"/>
    <n v="27.43362831858407"/>
  </r>
  <r>
    <n v="34"/>
    <x v="1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s v="Yes"/>
    <n v="12"/>
    <n v="3"/>
    <n v="3"/>
    <n v="80"/>
    <n v="0"/>
    <n v="9"/>
    <s v="6-15"/>
    <n v="3"/>
    <n v="2"/>
    <n v="4"/>
    <n v="2"/>
    <n v="0"/>
    <n v="1"/>
    <s v="Ok"/>
    <n v="27.678571428571431"/>
  </r>
  <r>
    <n v="31"/>
    <x v="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s v="No"/>
    <n v="12"/>
    <n v="3"/>
    <n v="2"/>
    <n v="80"/>
    <n v="1"/>
    <n v="4"/>
    <s v="0-5"/>
    <n v="0"/>
    <n v="2"/>
    <n v="2"/>
    <n v="2"/>
    <n v="2"/>
    <n v="2"/>
    <s v="Below Avg"/>
    <n v="27.027027027027028"/>
  </r>
  <r>
    <n v="26"/>
    <x v="1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s v="No"/>
    <n v="18"/>
    <n v="3"/>
    <n v="1"/>
    <n v="80"/>
    <n v="1"/>
    <n v="8"/>
    <s v="6-15"/>
    <n v="3"/>
    <n v="3"/>
    <n v="7"/>
    <n v="7"/>
    <n v="7"/>
    <n v="7"/>
    <s v="Below Avg"/>
    <n v="26.36363636363636"/>
  </r>
  <r>
    <n v="45"/>
    <x v="1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s v="No"/>
    <n v="12"/>
    <n v="3"/>
    <n v="3"/>
    <n v="80"/>
    <n v="0"/>
    <n v="12"/>
    <s v="6-15"/>
    <n v="3"/>
    <n v="3"/>
    <n v="4"/>
    <n v="2"/>
    <n v="0"/>
    <n v="3"/>
    <s v="Below Avg"/>
    <n v="26.605504587155966"/>
  </r>
  <r>
    <n v="33"/>
    <x v="1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s v="No"/>
    <n v="14"/>
    <n v="3"/>
    <n v="2"/>
    <n v="80"/>
    <n v="0"/>
    <n v="10"/>
    <s v="6-15"/>
    <n v="2"/>
    <n v="2"/>
    <n v="10"/>
    <n v="4"/>
    <n v="0"/>
    <n v="9"/>
    <s v="Below Avg"/>
    <n v="26.851851851851855"/>
  </r>
  <r>
    <n v="28"/>
    <x v="1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s v="Yes"/>
    <n v="12"/>
    <n v="3"/>
    <n v="3"/>
    <n v="80"/>
    <n v="1"/>
    <n v="7"/>
    <s v="6-15"/>
    <n v="2"/>
    <n v="3"/>
    <n v="7"/>
    <n v="7"/>
    <n v="0"/>
    <n v="7"/>
    <s v="Ok"/>
    <n v="27.102803738317753"/>
  </r>
  <r>
    <n v="29"/>
    <x v="0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s v="No"/>
    <n v="17"/>
    <n v="3"/>
    <n v="4"/>
    <n v="80"/>
    <n v="0"/>
    <n v="1"/>
    <s v="0-5"/>
    <n v="3"/>
    <n v="3"/>
    <n v="1"/>
    <n v="0"/>
    <n v="0"/>
    <n v="0"/>
    <s v="Below Avg"/>
    <n v="27.358490566037734"/>
  </r>
  <r>
    <n v="39"/>
    <x v="1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s v="No"/>
    <n v="19"/>
    <n v="3"/>
    <n v="3"/>
    <n v="80"/>
    <n v="1"/>
    <n v="10"/>
    <s v="6-15"/>
    <n v="1"/>
    <n v="3"/>
    <n v="3"/>
    <n v="2"/>
    <n v="1"/>
    <n v="2"/>
    <s v="Below Avg"/>
    <n v="26.666666666666668"/>
  </r>
  <r>
    <n v="27"/>
    <x v="1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s v="No"/>
    <n v="11"/>
    <n v="3"/>
    <n v="3"/>
    <n v="80"/>
    <n v="1"/>
    <n v="6"/>
    <s v="6-15"/>
    <n v="3"/>
    <n v="2"/>
    <n v="5"/>
    <n v="3"/>
    <n v="1"/>
    <n v="2"/>
    <s v="Below Avg"/>
    <n v="26.923076923076923"/>
  </r>
  <r>
    <n v="34"/>
    <x v="1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s v="Yes"/>
    <n v="15"/>
    <n v="3"/>
    <n v="2"/>
    <n v="80"/>
    <n v="0"/>
    <n v="16"/>
    <s v="&gt;15"/>
    <n v="3"/>
    <n v="3"/>
    <n v="15"/>
    <n v="10"/>
    <n v="6"/>
    <n v="11"/>
    <s v="Ok"/>
    <n v="27.184466019417474"/>
  </r>
  <r>
    <n v="28"/>
    <x v="0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s v="Yes"/>
    <n v="11"/>
    <n v="3"/>
    <n v="4"/>
    <n v="80"/>
    <n v="0"/>
    <n v="6"/>
    <s v="6-15"/>
    <n v="0"/>
    <n v="3"/>
    <n v="2"/>
    <n v="0"/>
    <n v="2"/>
    <n v="2"/>
    <s v="Ok"/>
    <n v="27.450980392156865"/>
  </r>
  <r>
    <n v="47"/>
    <x v="1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s v="No"/>
    <n v="18"/>
    <n v="3"/>
    <n v="3"/>
    <n v="80"/>
    <n v="1"/>
    <n v="16"/>
    <s v="&gt;15"/>
    <n v="4"/>
    <n v="4"/>
    <n v="8"/>
    <n v="7"/>
    <n v="1"/>
    <n v="7"/>
    <s v="Below Avg"/>
    <n v="26.732673267326735"/>
  </r>
  <r>
    <n v="56"/>
    <x v="1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s v="No"/>
    <n v="16"/>
    <n v="3"/>
    <n v="3"/>
    <n v="80"/>
    <n v="1"/>
    <n v="6"/>
    <s v="6-15"/>
    <n v="3"/>
    <n v="3"/>
    <n v="0"/>
    <n v="0"/>
    <n v="0"/>
    <n v="0"/>
    <s v="Below Avg"/>
    <n v="26"/>
  </r>
  <r>
    <n v="39"/>
    <x v="1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s v="No"/>
    <n v="25"/>
    <n v="4"/>
    <n v="4"/>
    <n v="80"/>
    <n v="1"/>
    <n v="10"/>
    <s v="6-15"/>
    <n v="3"/>
    <n v="3"/>
    <n v="10"/>
    <n v="0"/>
    <n v="7"/>
    <n v="9"/>
    <s v="Below Avg"/>
    <n v="26.262626262626267"/>
  </r>
  <r>
    <n v="38"/>
    <x v="1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s v="Yes"/>
    <n v="16"/>
    <n v="3"/>
    <n v="3"/>
    <n v="80"/>
    <n v="1"/>
    <n v="20"/>
    <s v="&gt;15"/>
    <n v="3"/>
    <n v="3"/>
    <n v="20"/>
    <n v="11"/>
    <n v="0"/>
    <n v="7"/>
    <s v="Below Avg"/>
    <n v="26.530612244897959"/>
  </r>
  <r>
    <n v="58"/>
    <x v="1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s v="Yes"/>
    <n v="13"/>
    <n v="3"/>
    <n v="3"/>
    <n v="80"/>
    <n v="1"/>
    <n v="29"/>
    <s v="&gt;15"/>
    <n v="2"/>
    <n v="2"/>
    <n v="1"/>
    <n v="0"/>
    <n v="0"/>
    <n v="0"/>
    <s v="Ok"/>
    <n v="26.804123711340207"/>
  </r>
  <r>
    <n v="32"/>
    <x v="0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s v="Yes"/>
    <n v="14"/>
    <n v="3"/>
    <n v="1"/>
    <n v="80"/>
    <n v="0"/>
    <n v="8"/>
    <s v="6-15"/>
    <n v="2"/>
    <n v="3"/>
    <n v="4"/>
    <n v="1"/>
    <n v="0"/>
    <n v="3"/>
    <s v="Below Avg"/>
    <n v="26.041666666666668"/>
  </r>
  <r>
    <n v="38"/>
    <x v="1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s v="No"/>
    <n v="19"/>
    <n v="3"/>
    <n v="4"/>
    <n v="80"/>
    <n v="2"/>
    <n v="10"/>
    <s v="6-15"/>
    <n v="0"/>
    <n v="4"/>
    <n v="5"/>
    <n v="2"/>
    <n v="0"/>
    <n v="3"/>
    <s v="Below Avg"/>
    <n v="25.263157894736842"/>
  </r>
  <r>
    <n v="49"/>
    <x v="1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s v="No"/>
    <n v="15"/>
    <n v="3"/>
    <n v="4"/>
    <n v="80"/>
    <n v="0"/>
    <n v="28"/>
    <s v="&gt;15"/>
    <n v="3"/>
    <n v="3"/>
    <n v="5"/>
    <n v="4"/>
    <n v="4"/>
    <n v="3"/>
    <s v="Ok"/>
    <n v="24.468085106382979"/>
  </r>
  <r>
    <n v="42"/>
    <x v="1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s v="Yes"/>
    <n v="12"/>
    <n v="3"/>
    <n v="3"/>
    <n v="80"/>
    <n v="2"/>
    <n v="14"/>
    <s v="6-15"/>
    <n v="4"/>
    <n v="3"/>
    <n v="0"/>
    <n v="0"/>
    <n v="0"/>
    <n v="0"/>
    <s v="Below Avg"/>
    <n v="24.731182795698924"/>
  </r>
  <r>
    <n v="27"/>
    <x v="0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s v="No"/>
    <n v="12"/>
    <n v="3"/>
    <n v="1"/>
    <n v="80"/>
    <n v="0"/>
    <n v="1"/>
    <s v="0-5"/>
    <n v="2"/>
    <n v="3"/>
    <n v="1"/>
    <n v="0"/>
    <n v="0"/>
    <n v="0"/>
    <s v="Below Avg"/>
    <n v="25"/>
  </r>
  <r>
    <n v="35"/>
    <x v="1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s v="No"/>
    <n v="16"/>
    <n v="3"/>
    <n v="4"/>
    <n v="80"/>
    <n v="1"/>
    <n v="6"/>
    <s v="6-15"/>
    <n v="2"/>
    <n v="1"/>
    <n v="5"/>
    <n v="3"/>
    <n v="0"/>
    <n v="4"/>
    <s v="Below Avg"/>
    <n v="24.175824175824175"/>
  </r>
  <r>
    <n v="28"/>
    <x v="1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s v="No"/>
    <n v="14"/>
    <n v="3"/>
    <n v="3"/>
    <n v="80"/>
    <n v="0"/>
    <n v="5"/>
    <s v="0-5"/>
    <n v="3"/>
    <n v="2"/>
    <n v="5"/>
    <n v="3"/>
    <n v="1"/>
    <n v="4"/>
    <s v="Below Avg"/>
    <n v="24.444444444444443"/>
  </r>
  <r>
    <n v="31"/>
    <x v="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s v="Yes"/>
    <n v="13"/>
    <n v="3"/>
    <n v="4"/>
    <n v="80"/>
    <n v="1"/>
    <n v="4"/>
    <s v="0-5"/>
    <n v="3"/>
    <n v="4"/>
    <n v="4"/>
    <n v="2"/>
    <n v="2"/>
    <n v="3"/>
    <s v="Below Avg"/>
    <n v="24.719101123595504"/>
  </r>
  <r>
    <n v="36"/>
    <x v="1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s v="No"/>
    <n v="22"/>
    <n v="4"/>
    <n v="2"/>
    <n v="80"/>
    <n v="0"/>
    <n v="5"/>
    <s v="0-5"/>
    <n v="3"/>
    <n v="3"/>
    <n v="5"/>
    <n v="4"/>
    <n v="0"/>
    <n v="2"/>
    <s v="Below Avg"/>
    <n v="25"/>
  </r>
  <r>
    <n v="34"/>
    <x v="1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s v="No"/>
    <n v="21"/>
    <n v="4"/>
    <n v="1"/>
    <n v="80"/>
    <n v="0"/>
    <n v="14"/>
    <s v="6-15"/>
    <n v="3"/>
    <n v="2"/>
    <n v="14"/>
    <n v="8"/>
    <n v="2"/>
    <n v="1"/>
    <s v="Ok"/>
    <n v="24.137931034482758"/>
  </r>
  <r>
    <n v="34"/>
    <x v="1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s v="No"/>
    <n v="18"/>
    <n v="3"/>
    <n v="3"/>
    <n v="80"/>
    <n v="1"/>
    <n v="9"/>
    <s v="6-15"/>
    <n v="2"/>
    <n v="2"/>
    <n v="8"/>
    <n v="7"/>
    <n v="1"/>
    <n v="1"/>
    <s v="Ok"/>
    <n v="24.418604651162788"/>
  </r>
  <r>
    <n v="26"/>
    <x v="1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s v="No"/>
    <n v="13"/>
    <n v="3"/>
    <n v="4"/>
    <n v="80"/>
    <n v="0"/>
    <n v="8"/>
    <s v="6-15"/>
    <n v="6"/>
    <n v="2"/>
    <n v="7"/>
    <n v="7"/>
    <n v="7"/>
    <n v="6"/>
    <s v="Below Avg"/>
    <n v="24.705882352941178"/>
  </r>
  <r>
    <n v="29"/>
    <x v="1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s v="No"/>
    <n v="12"/>
    <n v="3"/>
    <n v="1"/>
    <n v="80"/>
    <n v="1"/>
    <n v="6"/>
    <s v="6-15"/>
    <n v="5"/>
    <n v="2"/>
    <n v="5"/>
    <n v="3"/>
    <n v="0"/>
    <n v="2"/>
    <s v="Below Avg"/>
    <n v="25"/>
  </r>
  <r>
    <n v="32"/>
    <x v="1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s v="No"/>
    <n v="18"/>
    <n v="3"/>
    <n v="2"/>
    <n v="80"/>
    <n v="1"/>
    <n v="9"/>
    <s v="6-15"/>
    <n v="6"/>
    <n v="3"/>
    <n v="5"/>
    <n v="1"/>
    <n v="1"/>
    <n v="2"/>
    <s v="Ok"/>
    <n v="25.301204819277107"/>
  </r>
  <r>
    <n v="31"/>
    <x v="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s v="No"/>
    <n v="21"/>
    <n v="4"/>
    <n v="2"/>
    <n v="80"/>
    <n v="0"/>
    <n v="10"/>
    <s v="6-15"/>
    <n v="6"/>
    <n v="3"/>
    <n v="10"/>
    <n v="8"/>
    <n v="8"/>
    <n v="7"/>
    <s v="Below Avg"/>
    <n v="25.609756097560975"/>
  </r>
  <r>
    <n v="28"/>
    <x v="0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s v="No"/>
    <n v="12"/>
    <n v="3"/>
    <n v="1"/>
    <n v="80"/>
    <n v="1"/>
    <n v="6"/>
    <s v="6-15"/>
    <n v="2"/>
    <n v="2"/>
    <n v="4"/>
    <n v="1"/>
    <n v="0"/>
    <n v="3"/>
    <s v="Below Avg"/>
    <n v="25.925925925925924"/>
  </r>
  <r>
    <n v="38"/>
    <x v="1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s v="No"/>
    <n v="14"/>
    <n v="3"/>
    <n v="1"/>
    <n v="80"/>
    <n v="0"/>
    <n v="20"/>
    <s v="&gt;15"/>
    <n v="3"/>
    <n v="2"/>
    <n v="1"/>
    <n v="0"/>
    <n v="0"/>
    <n v="0"/>
    <s v="Below Avg"/>
    <n v="26.25"/>
  </r>
  <r>
    <n v="35"/>
    <x v="1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s v="Yes"/>
    <n v="11"/>
    <n v="3"/>
    <n v="4"/>
    <n v="80"/>
    <n v="0"/>
    <n v="10"/>
    <s v="6-15"/>
    <n v="2"/>
    <n v="3"/>
    <n v="10"/>
    <n v="8"/>
    <n v="0"/>
    <n v="9"/>
    <s v="Below Avg"/>
    <n v="26.582278481012654"/>
  </r>
  <r>
    <n v="27"/>
    <x v="1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s v="No"/>
    <n v="14"/>
    <n v="3"/>
    <n v="1"/>
    <n v="80"/>
    <n v="0"/>
    <n v="7"/>
    <s v="6-15"/>
    <n v="5"/>
    <n v="3"/>
    <n v="7"/>
    <n v="7"/>
    <n v="0"/>
    <n v="7"/>
    <s v="Below Avg"/>
    <n v="26.923076923076923"/>
  </r>
  <r>
    <n v="32"/>
    <x v="1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s v="No"/>
    <n v="24"/>
    <n v="4"/>
    <n v="2"/>
    <n v="80"/>
    <n v="0"/>
    <n v="8"/>
    <s v="6-15"/>
    <n v="1"/>
    <n v="3"/>
    <n v="1"/>
    <n v="0"/>
    <n v="0"/>
    <n v="0"/>
    <s v="Ok"/>
    <n v="25.97402597402597"/>
  </r>
  <r>
    <n v="31"/>
    <x v="0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s v="Yes"/>
    <n v="11"/>
    <n v="3"/>
    <n v="3"/>
    <n v="80"/>
    <n v="0"/>
    <n v="10"/>
    <s v="6-15"/>
    <n v="4"/>
    <n v="3"/>
    <n v="10"/>
    <n v="7"/>
    <n v="0"/>
    <n v="8"/>
    <s v="Below Avg"/>
    <n v="26.315789473684209"/>
  </r>
  <r>
    <n v="53"/>
    <x v="0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s v="Yes"/>
    <n v="13"/>
    <n v="3"/>
    <n v="2"/>
    <n v="80"/>
    <n v="0"/>
    <n v="15"/>
    <s v="6-15"/>
    <n v="2"/>
    <n v="2"/>
    <n v="2"/>
    <n v="2"/>
    <n v="2"/>
    <n v="2"/>
    <s v="Ok"/>
    <n v="26.666666666666668"/>
  </r>
  <r>
    <n v="54"/>
    <x v="1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s v="No"/>
    <n v="11"/>
    <n v="3"/>
    <n v="3"/>
    <n v="80"/>
    <n v="2"/>
    <n v="9"/>
    <s v="6-15"/>
    <n v="6"/>
    <n v="2"/>
    <n v="4"/>
    <n v="3"/>
    <n v="2"/>
    <n v="3"/>
    <s v="Below Avg"/>
    <n v="25.675675675675674"/>
  </r>
  <r>
    <n v="33"/>
    <x v="1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s v="No"/>
    <n v="20"/>
    <n v="4"/>
    <n v="3"/>
    <n v="80"/>
    <n v="3"/>
    <n v="9"/>
    <s v="6-15"/>
    <n v="2"/>
    <n v="3"/>
    <n v="9"/>
    <n v="7"/>
    <n v="2"/>
    <n v="8"/>
    <s v="Ok"/>
    <n v="24.657534246575342"/>
  </r>
  <r>
    <n v="43"/>
    <x v="1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s v="No"/>
    <n v="17"/>
    <n v="3"/>
    <n v="2"/>
    <n v="80"/>
    <n v="1"/>
    <n v="10"/>
    <s v="6-15"/>
    <n v="1"/>
    <n v="3"/>
    <n v="10"/>
    <n v="9"/>
    <n v="0"/>
    <n v="9"/>
    <s v="Ok"/>
    <n v="25"/>
  </r>
  <r>
    <n v="38"/>
    <x v="1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s v="Yes"/>
    <n v="11"/>
    <n v="3"/>
    <n v="2"/>
    <n v="80"/>
    <n v="1"/>
    <n v="7"/>
    <s v="6-15"/>
    <n v="2"/>
    <n v="3"/>
    <n v="6"/>
    <n v="2"/>
    <n v="1"/>
    <n v="2"/>
    <s v="Below Avg"/>
    <n v="25.352112676056336"/>
  </r>
  <r>
    <n v="55"/>
    <x v="1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s v="Yes"/>
    <n v="18"/>
    <n v="3"/>
    <n v="1"/>
    <n v="80"/>
    <n v="1"/>
    <n v="35"/>
    <s v="&gt;15"/>
    <n v="0"/>
    <n v="3"/>
    <n v="10"/>
    <n v="9"/>
    <n v="1"/>
    <n v="4"/>
    <s v="Ok"/>
    <n v="25.714285714285712"/>
  </r>
  <r>
    <n v="31"/>
    <x v="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s v="Yes"/>
    <n v="11"/>
    <n v="3"/>
    <n v="3"/>
    <n v="80"/>
    <n v="3"/>
    <n v="1"/>
    <s v="0-5"/>
    <n v="4"/>
    <n v="3"/>
    <n v="1"/>
    <n v="0"/>
    <n v="0"/>
    <n v="0"/>
    <s v="Below Avg"/>
    <n v="24.637681159420293"/>
  </r>
  <r>
    <n v="39"/>
    <x v="1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s v="No"/>
    <n v="12"/>
    <n v="3"/>
    <n v="1"/>
    <n v="80"/>
    <n v="0"/>
    <n v="21"/>
    <s v="&gt;15"/>
    <n v="3"/>
    <n v="3"/>
    <n v="20"/>
    <n v="8"/>
    <n v="11"/>
    <n v="10"/>
    <s v="Ok"/>
    <n v="23.52941176470588"/>
  </r>
  <r>
    <n v="42"/>
    <x v="1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s v="No"/>
    <n v="12"/>
    <n v="3"/>
    <n v="4"/>
    <n v="80"/>
    <n v="0"/>
    <n v="20"/>
    <s v="&gt;15"/>
    <n v="2"/>
    <n v="3"/>
    <n v="20"/>
    <n v="9"/>
    <n v="3"/>
    <n v="7"/>
    <s v="Below Avg"/>
    <n v="22.388059701492537"/>
  </r>
  <r>
    <n v="31"/>
    <x v="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s v="No"/>
    <n v="20"/>
    <n v="4"/>
    <n v="3"/>
    <n v="80"/>
    <n v="1"/>
    <n v="13"/>
    <s v="6-15"/>
    <n v="2"/>
    <n v="4"/>
    <n v="11"/>
    <n v="7"/>
    <n v="4"/>
    <n v="8"/>
    <s v="Ok"/>
    <n v="22.727272727272727"/>
  </r>
  <r>
    <n v="54"/>
    <x v="1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s v="Yes"/>
    <n v="19"/>
    <n v="3"/>
    <n v="4"/>
    <n v="80"/>
    <n v="0"/>
    <n v="9"/>
    <s v="6-15"/>
    <n v="3"/>
    <n v="3"/>
    <n v="5"/>
    <n v="2"/>
    <n v="1"/>
    <n v="4"/>
    <s v="Below Avg"/>
    <n v="23.076923076923077"/>
  </r>
  <r>
    <n v="24"/>
    <x v="1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s v="No"/>
    <n v="12"/>
    <n v="3"/>
    <n v="2"/>
    <n v="80"/>
    <n v="0"/>
    <n v="4"/>
    <s v="0-5"/>
    <n v="2"/>
    <n v="2"/>
    <n v="4"/>
    <n v="3"/>
    <n v="1"/>
    <n v="2"/>
    <s v="Below Avg"/>
    <n v="23.4375"/>
  </r>
  <r>
    <n v="23"/>
    <x v="1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s v="No"/>
    <n v="13"/>
    <n v="3"/>
    <n v="3"/>
    <n v="80"/>
    <n v="0"/>
    <n v="5"/>
    <s v="0-5"/>
    <n v="6"/>
    <n v="4"/>
    <n v="5"/>
    <n v="2"/>
    <n v="1"/>
    <n v="4"/>
    <s v="Below Avg"/>
    <n v="22.222222222222221"/>
  </r>
  <r>
    <n v="40"/>
    <x v="1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s v="No"/>
    <n v="11"/>
    <n v="3"/>
    <n v="1"/>
    <n v="80"/>
    <n v="1"/>
    <n v="10"/>
    <s v="6-15"/>
    <n v="2"/>
    <n v="4"/>
    <n v="10"/>
    <n v="9"/>
    <n v="9"/>
    <n v="4"/>
    <s v="Ok"/>
    <n v="22.58064516129032"/>
  </r>
  <r>
    <n v="40"/>
    <x v="1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s v="No"/>
    <n v="14"/>
    <n v="3"/>
    <n v="3"/>
    <n v="80"/>
    <n v="1"/>
    <n v="15"/>
    <s v="6-15"/>
    <n v="4"/>
    <n v="3"/>
    <n v="11"/>
    <n v="8"/>
    <n v="5"/>
    <n v="10"/>
    <s v="Below Avg"/>
    <n v="22.950819672131146"/>
  </r>
  <r>
    <n v="25"/>
    <x v="1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s v="No"/>
    <n v="14"/>
    <n v="3"/>
    <n v="3"/>
    <n v="80"/>
    <n v="0"/>
    <n v="6"/>
    <s v="6-15"/>
    <n v="3"/>
    <n v="3"/>
    <n v="2"/>
    <n v="0"/>
    <n v="1"/>
    <n v="2"/>
    <s v="Below Avg"/>
    <n v="23.333333333333332"/>
  </r>
  <r>
    <n v="30"/>
    <x v="1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s v="No"/>
    <n v="13"/>
    <n v="3"/>
    <n v="3"/>
    <n v="80"/>
    <n v="0"/>
    <n v="12"/>
    <s v="6-15"/>
    <n v="6"/>
    <n v="2"/>
    <n v="12"/>
    <n v="8"/>
    <n v="1"/>
    <n v="7"/>
    <s v="Below Avg"/>
    <n v="23.728813559322035"/>
  </r>
  <r>
    <n v="25"/>
    <x v="1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s v="Yes"/>
    <n v="19"/>
    <n v="3"/>
    <n v="3"/>
    <n v="80"/>
    <n v="1"/>
    <n v="7"/>
    <s v="6-15"/>
    <n v="2"/>
    <n v="2"/>
    <n v="2"/>
    <n v="2"/>
    <n v="0"/>
    <n v="2"/>
    <s v="Below Avg"/>
    <n v="24.137931034482758"/>
  </r>
  <r>
    <n v="47"/>
    <x v="1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s v="No"/>
    <n v="23"/>
    <n v="4"/>
    <n v="2"/>
    <n v="80"/>
    <n v="0"/>
    <n v="25"/>
    <s v="&gt;15"/>
    <n v="3"/>
    <n v="3"/>
    <n v="17"/>
    <n v="14"/>
    <n v="12"/>
    <n v="11"/>
    <s v="Ok"/>
    <n v="24.561403508771928"/>
  </r>
  <r>
    <n v="33"/>
    <x v="1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s v="No"/>
    <n v="12"/>
    <n v="3"/>
    <n v="3"/>
    <n v="80"/>
    <n v="3"/>
    <n v="1"/>
    <s v="0-5"/>
    <n v="2"/>
    <n v="2"/>
    <n v="1"/>
    <n v="1"/>
    <n v="0"/>
    <n v="0"/>
    <s v="Below Avg"/>
    <n v="23.214285714285715"/>
  </r>
  <r>
    <n v="38"/>
    <x v="1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s v="No"/>
    <n v="15"/>
    <n v="3"/>
    <n v="1"/>
    <n v="80"/>
    <n v="2"/>
    <n v="16"/>
    <s v="&gt;15"/>
    <n v="3"/>
    <n v="3"/>
    <n v="15"/>
    <n v="13"/>
    <n v="5"/>
    <n v="8"/>
    <s v="Below Avg"/>
    <n v="23.636363636363637"/>
  </r>
  <r>
    <n v="31"/>
    <x v="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s v="No"/>
    <n v="19"/>
    <n v="3"/>
    <n v="3"/>
    <n v="80"/>
    <n v="1"/>
    <n v="3"/>
    <s v="0-5"/>
    <n v="1"/>
    <n v="3"/>
    <n v="2"/>
    <n v="2"/>
    <n v="1"/>
    <n v="2"/>
    <s v="Below Avg"/>
    <n v="24.074074074074073"/>
  </r>
  <r>
    <n v="38"/>
    <x v="1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s v="No"/>
    <n v="11"/>
    <n v="3"/>
    <n v="4"/>
    <n v="80"/>
    <n v="1"/>
    <n v="10"/>
    <s v="6-15"/>
    <n v="1"/>
    <n v="3"/>
    <n v="8"/>
    <n v="3"/>
    <n v="7"/>
    <n v="7"/>
    <s v="Below Avg"/>
    <n v="24.528301886792452"/>
  </r>
  <r>
    <n v="42"/>
    <x v="1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s v="Yes"/>
    <n v="17"/>
    <n v="3"/>
    <n v="3"/>
    <n v="80"/>
    <n v="1"/>
    <n v="9"/>
    <s v="6-15"/>
    <n v="3"/>
    <n v="2"/>
    <n v="4"/>
    <n v="3"/>
    <n v="1"/>
    <n v="2"/>
    <s v="Below Avg"/>
    <n v="25"/>
  </r>
  <r>
    <n v="41"/>
    <x v="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s v="No"/>
    <n v="22"/>
    <n v="4"/>
    <n v="1"/>
    <n v="80"/>
    <n v="1"/>
    <n v="12"/>
    <s v="6-15"/>
    <n v="3"/>
    <n v="3"/>
    <n v="5"/>
    <n v="3"/>
    <n v="1"/>
    <n v="0"/>
    <s v="Below Avg"/>
    <n v="25.490196078431371"/>
  </r>
  <r>
    <n v="47"/>
    <x v="1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s v="No"/>
    <n v="18"/>
    <n v="3"/>
    <n v="1"/>
    <n v="80"/>
    <n v="2"/>
    <n v="14"/>
    <s v="6-15"/>
    <n v="3"/>
    <n v="1"/>
    <n v="13"/>
    <n v="8"/>
    <n v="5"/>
    <n v="12"/>
    <s v="Ok"/>
    <n v="24"/>
  </r>
  <r>
    <n v="35"/>
    <x v="1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s v="Yes"/>
    <n v="11"/>
    <n v="3"/>
    <n v="3"/>
    <n v="80"/>
    <n v="1"/>
    <n v="5"/>
    <s v="0-5"/>
    <n v="3"/>
    <n v="3"/>
    <n v="2"/>
    <n v="2"/>
    <n v="2"/>
    <n v="2"/>
    <s v="Below Avg"/>
    <n v="24.489795918367346"/>
  </r>
  <r>
    <n v="22"/>
    <x v="1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s v="No"/>
    <n v="12"/>
    <n v="3"/>
    <n v="4"/>
    <n v="80"/>
    <n v="0"/>
    <n v="4"/>
    <s v="0-5"/>
    <n v="2"/>
    <n v="4"/>
    <n v="3"/>
    <n v="2"/>
    <n v="1"/>
    <n v="2"/>
    <s v="Below Avg"/>
    <n v="25"/>
  </r>
  <r>
    <n v="35"/>
    <x v="1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s v="No"/>
    <n v="19"/>
    <n v="3"/>
    <n v="2"/>
    <n v="80"/>
    <n v="0"/>
    <n v="10"/>
    <s v="6-15"/>
    <n v="5"/>
    <n v="3"/>
    <n v="10"/>
    <n v="7"/>
    <n v="0"/>
    <n v="8"/>
    <s v="Below Avg"/>
    <n v="23.404255319148938"/>
  </r>
  <r>
    <n v="33"/>
    <x v="1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s v="Yes"/>
    <n v="13"/>
    <n v="3"/>
    <n v="1"/>
    <n v="80"/>
    <n v="1"/>
    <n v="10"/>
    <s v="6-15"/>
    <n v="6"/>
    <n v="3"/>
    <n v="9"/>
    <n v="7"/>
    <n v="8"/>
    <n v="1"/>
    <s v="Below Avg"/>
    <n v="23.913043478260871"/>
  </r>
  <r>
    <n v="32"/>
    <x v="1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s v="No"/>
    <n v="13"/>
    <n v="3"/>
    <n v="3"/>
    <n v="80"/>
    <n v="0"/>
    <n v="6"/>
    <s v="6-15"/>
    <n v="3"/>
    <n v="3"/>
    <n v="6"/>
    <n v="2"/>
    <n v="4"/>
    <n v="1"/>
    <s v="Below Avg"/>
    <n v="24.444444444444443"/>
  </r>
  <r>
    <n v="40"/>
    <x v="1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s v="No"/>
    <n v="19"/>
    <n v="3"/>
    <n v="3"/>
    <n v="80"/>
    <n v="2"/>
    <n v="8"/>
    <s v="6-15"/>
    <n v="3"/>
    <n v="2"/>
    <n v="1"/>
    <n v="0"/>
    <n v="0"/>
    <n v="0"/>
    <s v="Below Avg"/>
    <n v="22.727272727272727"/>
  </r>
  <r>
    <n v="32"/>
    <x v="1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s v="No"/>
    <n v="14"/>
    <n v="3"/>
    <n v="2"/>
    <n v="80"/>
    <n v="1"/>
    <n v="3"/>
    <s v="0-5"/>
    <n v="2"/>
    <n v="3"/>
    <n v="2"/>
    <n v="2"/>
    <n v="2"/>
    <n v="2"/>
    <s v="Below Avg"/>
    <n v="23.255813953488371"/>
  </r>
  <r>
    <n v="39"/>
    <x v="1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s v="No"/>
    <n v="13"/>
    <n v="3"/>
    <n v="1"/>
    <n v="80"/>
    <n v="0"/>
    <n v="18"/>
    <s v="&gt;15"/>
    <n v="2"/>
    <n v="3"/>
    <n v="7"/>
    <n v="7"/>
    <n v="1"/>
    <n v="7"/>
    <s v="Below Avg"/>
    <n v="23.809523809523807"/>
  </r>
  <r>
    <n v="38"/>
    <x v="1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s v="No"/>
    <n v="12"/>
    <n v="3"/>
    <n v="1"/>
    <n v="80"/>
    <n v="1"/>
    <n v="20"/>
    <s v="&gt;15"/>
    <n v="3"/>
    <n v="3"/>
    <n v="18"/>
    <n v="16"/>
    <n v="1"/>
    <n v="11"/>
    <s v="Ok"/>
    <n v="24.390243902439025"/>
  </r>
  <r>
    <n v="32"/>
    <x v="1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s v="No"/>
    <n v="19"/>
    <n v="3"/>
    <n v="3"/>
    <n v="80"/>
    <n v="2"/>
    <n v="14"/>
    <s v="6-15"/>
    <n v="3"/>
    <n v="3"/>
    <n v="14"/>
    <n v="10"/>
    <n v="5"/>
    <n v="7"/>
    <s v="Ok"/>
    <n v="25"/>
  </r>
  <r>
    <n v="37"/>
    <x v="1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s v="Yes"/>
    <n v="25"/>
    <n v="4"/>
    <n v="1"/>
    <n v="80"/>
    <n v="1"/>
    <n v="16"/>
    <s v="&gt;15"/>
    <n v="2"/>
    <n v="3"/>
    <n v="16"/>
    <n v="11"/>
    <n v="6"/>
    <n v="8"/>
    <s v="Ok"/>
    <n v="25.641025641025639"/>
  </r>
  <r>
    <n v="25"/>
    <x v="1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s v="Yes"/>
    <n v="22"/>
    <n v="4"/>
    <n v="2"/>
    <n v="80"/>
    <n v="1"/>
    <n v="6"/>
    <s v="6-15"/>
    <n v="3"/>
    <n v="2"/>
    <n v="5"/>
    <n v="3"/>
    <n v="0"/>
    <n v="4"/>
    <s v="Below Avg"/>
    <n v="26.315789473684209"/>
  </r>
  <r>
    <n v="52"/>
    <x v="1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s v="No"/>
    <n v="15"/>
    <n v="3"/>
    <n v="2"/>
    <n v="80"/>
    <n v="2"/>
    <n v="16"/>
    <s v="&gt;15"/>
    <n v="3"/>
    <n v="2"/>
    <n v="9"/>
    <n v="8"/>
    <n v="0"/>
    <n v="0"/>
    <s v="Below Avg"/>
    <n v="24.324324324324326"/>
  </r>
  <r>
    <n v="44"/>
    <x v="1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s v="Yes"/>
    <n v="12"/>
    <n v="3"/>
    <n v="3"/>
    <n v="80"/>
    <n v="0"/>
    <n v="6"/>
    <s v="6-15"/>
    <n v="2"/>
    <n v="3"/>
    <n v="4"/>
    <n v="3"/>
    <n v="1"/>
    <n v="2"/>
    <s v="Below Avg"/>
    <n v="22.222222222222221"/>
  </r>
  <r>
    <n v="21"/>
    <x v="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s v="Yes"/>
    <n v="11"/>
    <n v="3"/>
    <n v="4"/>
    <n v="80"/>
    <n v="0"/>
    <n v="2"/>
    <s v="0-5"/>
    <n v="6"/>
    <n v="3"/>
    <n v="2"/>
    <n v="2"/>
    <n v="1"/>
    <n v="2"/>
    <s v="Below Avg"/>
    <n v="22.857142857142858"/>
  </r>
  <r>
    <n v="39"/>
    <x v="1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s v="No"/>
    <n v="13"/>
    <n v="3"/>
    <n v="3"/>
    <n v="80"/>
    <n v="0"/>
    <n v="21"/>
    <s v="&gt;15"/>
    <n v="3"/>
    <n v="2"/>
    <n v="6"/>
    <n v="0"/>
    <n v="1"/>
    <n v="3"/>
    <s v="Ok"/>
    <n v="20.588235294117645"/>
  </r>
  <r>
    <n v="23"/>
    <x v="0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s v="No"/>
    <n v="19"/>
    <n v="3"/>
    <n v="1"/>
    <n v="80"/>
    <n v="1"/>
    <n v="1"/>
    <s v="0-5"/>
    <n v="3"/>
    <n v="2"/>
    <n v="1"/>
    <n v="0"/>
    <n v="1"/>
    <n v="0"/>
    <s v="Below Avg"/>
    <n v="18.181818181818183"/>
  </r>
  <r>
    <n v="36"/>
    <x v="1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s v="No"/>
    <n v="19"/>
    <n v="3"/>
    <n v="3"/>
    <n v="80"/>
    <n v="2"/>
    <n v="10"/>
    <s v="6-15"/>
    <n v="2"/>
    <n v="3"/>
    <n v="9"/>
    <n v="7"/>
    <n v="3"/>
    <n v="4"/>
    <s v="Ok"/>
    <n v="18.75"/>
  </r>
  <r>
    <n v="36"/>
    <x v="1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s v="No"/>
    <n v="13"/>
    <n v="3"/>
    <n v="2"/>
    <n v="80"/>
    <n v="3"/>
    <n v="18"/>
    <s v="&gt;15"/>
    <n v="3"/>
    <n v="3"/>
    <n v="4"/>
    <n v="2"/>
    <n v="0"/>
    <n v="2"/>
    <s v="Below Avg"/>
    <n v="19.35483870967742"/>
  </r>
  <r>
    <n v="56"/>
    <x v="1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s v="No"/>
    <n v="21"/>
    <n v="4"/>
    <n v="1"/>
    <n v="80"/>
    <n v="1"/>
    <n v="13"/>
    <s v="6-15"/>
    <n v="2"/>
    <n v="2"/>
    <n v="13"/>
    <n v="12"/>
    <n v="1"/>
    <n v="9"/>
    <s v="Ok"/>
    <n v="0"/>
  </r>
  <r>
    <n v="29"/>
    <x v="0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s v="Yes"/>
    <n v="14"/>
    <n v="3"/>
    <n v="2"/>
    <n v="80"/>
    <n v="3"/>
    <n v="4"/>
    <s v="0-5"/>
    <n v="3"/>
    <n v="4"/>
    <n v="2"/>
    <n v="2"/>
    <n v="2"/>
    <n v="2"/>
    <s v="Below Avg"/>
    <m/>
  </r>
  <r>
    <n v="42"/>
    <x v="1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s v="No"/>
    <n v="11"/>
    <n v="3"/>
    <n v="1"/>
    <n v="80"/>
    <n v="0"/>
    <n v="24"/>
    <s v="&gt;15"/>
    <n v="2"/>
    <n v="2"/>
    <n v="22"/>
    <n v="6"/>
    <n v="4"/>
    <n v="14"/>
    <s v="Ok"/>
    <m/>
  </r>
  <r>
    <n v="56"/>
    <x v="0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s v="No"/>
    <n v="11"/>
    <n v="3"/>
    <n v="4"/>
    <n v="80"/>
    <n v="1"/>
    <n v="14"/>
    <s v="6-15"/>
    <n v="4"/>
    <n v="1"/>
    <n v="10"/>
    <n v="9"/>
    <n v="9"/>
    <n v="8"/>
    <s v="Below Avg"/>
    <m/>
  </r>
  <r>
    <n v="41"/>
    <x v="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s v="No"/>
    <n v="23"/>
    <n v="4"/>
    <n v="3"/>
    <n v="80"/>
    <n v="1"/>
    <n v="21"/>
    <s v="&gt;15"/>
    <n v="3"/>
    <n v="3"/>
    <n v="20"/>
    <n v="7"/>
    <n v="0"/>
    <n v="10"/>
    <s v="Ok"/>
    <m/>
  </r>
  <r>
    <n v="34"/>
    <x v="1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s v="No"/>
    <n v="21"/>
    <n v="4"/>
    <n v="4"/>
    <n v="80"/>
    <n v="2"/>
    <n v="8"/>
    <s v="6-15"/>
    <n v="2"/>
    <n v="3"/>
    <n v="8"/>
    <n v="7"/>
    <n v="1"/>
    <n v="7"/>
    <s v="Below Avg"/>
    <m/>
  </r>
  <r>
    <n v="36"/>
    <x v="1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s v="No"/>
    <n v="24"/>
    <n v="4"/>
    <n v="1"/>
    <n v="80"/>
    <n v="1"/>
    <n v="15"/>
    <s v="6-15"/>
    <n v="4"/>
    <n v="2"/>
    <n v="15"/>
    <n v="12"/>
    <n v="11"/>
    <n v="11"/>
    <s v="Below Avg"/>
    <m/>
  </r>
  <r>
    <n v="41"/>
    <x v="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s v="No"/>
    <n v="11"/>
    <n v="3"/>
    <n v="3"/>
    <n v="80"/>
    <n v="1"/>
    <n v="14"/>
    <s v="6-15"/>
    <n v="5"/>
    <n v="3"/>
    <n v="5"/>
    <n v="4"/>
    <n v="0"/>
    <n v="4"/>
    <s v="Ok"/>
    <m/>
  </r>
  <r>
    <n v="32"/>
    <x v="1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s v="No"/>
    <n v="14"/>
    <n v="3"/>
    <n v="4"/>
    <n v="80"/>
    <n v="0"/>
    <n v="4"/>
    <s v="0-5"/>
    <n v="4"/>
    <n v="3"/>
    <n v="4"/>
    <n v="2"/>
    <n v="1"/>
    <n v="2"/>
    <s v="Below Avg"/>
    <m/>
  </r>
  <r>
    <n v="35"/>
    <x v="1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s v="Yes"/>
    <n v="16"/>
    <n v="3"/>
    <n v="3"/>
    <n v="80"/>
    <n v="0"/>
    <n v="9"/>
    <s v="6-15"/>
    <n v="2"/>
    <n v="3"/>
    <n v="9"/>
    <n v="0"/>
    <n v="1"/>
    <n v="7"/>
    <s v="Ok"/>
    <m/>
  </r>
  <r>
    <n v="38"/>
    <x v="1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s v="No"/>
    <n v="11"/>
    <n v="3"/>
    <n v="3"/>
    <n v="80"/>
    <n v="1"/>
    <n v="10"/>
    <s v="6-15"/>
    <n v="1"/>
    <n v="3"/>
    <n v="10"/>
    <n v="7"/>
    <n v="1"/>
    <n v="9"/>
    <s v="Below Avg"/>
    <m/>
  </r>
  <r>
    <n v="50"/>
    <x v="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s v="No"/>
    <n v="12"/>
    <n v="3"/>
    <n v="4"/>
    <n v="80"/>
    <n v="2"/>
    <n v="12"/>
    <s v="6-15"/>
    <n v="3"/>
    <n v="3"/>
    <n v="6"/>
    <n v="3"/>
    <n v="0"/>
    <n v="1"/>
    <s v="Below Avg"/>
    <m/>
  </r>
  <r>
    <n v="36"/>
    <x v="1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s v="No"/>
    <n v="13"/>
    <n v="3"/>
    <n v="1"/>
    <n v="80"/>
    <n v="1"/>
    <n v="8"/>
    <s v="6-15"/>
    <n v="2"/>
    <n v="2"/>
    <n v="6"/>
    <n v="3"/>
    <n v="0"/>
    <n v="0"/>
    <s v="Below Avg"/>
    <m/>
  </r>
  <r>
    <n v="45"/>
    <x v="1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s v="No"/>
    <n v="15"/>
    <n v="3"/>
    <n v="3"/>
    <n v="80"/>
    <n v="0"/>
    <n v="8"/>
    <s v="6-15"/>
    <n v="3"/>
    <n v="3"/>
    <n v="5"/>
    <n v="3"/>
    <n v="0"/>
    <n v="1"/>
    <s v="Below Avg"/>
    <m/>
  </r>
  <r>
    <n v="40"/>
    <x v="1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s v="No"/>
    <n v="14"/>
    <n v="3"/>
    <n v="4"/>
    <n v="80"/>
    <n v="0"/>
    <n v="8"/>
    <s v="6-15"/>
    <n v="2"/>
    <n v="3"/>
    <n v="2"/>
    <n v="2"/>
    <n v="2"/>
    <n v="2"/>
    <s v="Below Avg"/>
    <m/>
  </r>
  <r>
    <n v="35"/>
    <x v="1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s v="Yes"/>
    <n v="14"/>
    <n v="3"/>
    <n v="4"/>
    <n v="80"/>
    <n v="2"/>
    <n v="10"/>
    <s v="6-15"/>
    <n v="2"/>
    <n v="4"/>
    <n v="10"/>
    <n v="2"/>
    <n v="0"/>
    <n v="2"/>
    <s v="Ok"/>
    <m/>
  </r>
  <r>
    <n v="40"/>
    <x v="1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s v="No"/>
    <n v="14"/>
    <n v="3"/>
    <n v="2"/>
    <n v="80"/>
    <n v="3"/>
    <n v="20"/>
    <s v="&gt;15"/>
    <n v="2"/>
    <n v="3"/>
    <n v="5"/>
    <n v="3"/>
    <n v="0"/>
    <n v="2"/>
    <s v="Below Avg"/>
    <m/>
  </r>
  <r>
    <n v="35"/>
    <x v="1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s v="No"/>
    <n v="12"/>
    <n v="3"/>
    <n v="4"/>
    <n v="80"/>
    <n v="1"/>
    <n v="4"/>
    <s v="0-5"/>
    <n v="5"/>
    <n v="3"/>
    <n v="4"/>
    <n v="3"/>
    <n v="1"/>
    <n v="1"/>
    <s v="Below Avg"/>
    <m/>
  </r>
  <r>
    <n v="29"/>
    <x v="1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s v="Yes"/>
    <n v="13"/>
    <n v="3"/>
    <n v="1"/>
    <n v="80"/>
    <n v="1"/>
    <n v="10"/>
    <s v="6-15"/>
    <n v="2"/>
    <n v="3"/>
    <n v="4"/>
    <n v="3"/>
    <n v="0"/>
    <n v="3"/>
    <s v="Below Avg"/>
    <m/>
  </r>
  <r>
    <n v="29"/>
    <x v="1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s v="No"/>
    <n v="14"/>
    <n v="3"/>
    <n v="2"/>
    <n v="80"/>
    <n v="0"/>
    <n v="5"/>
    <s v="0-5"/>
    <n v="3"/>
    <n v="1"/>
    <n v="5"/>
    <n v="4"/>
    <n v="0"/>
    <n v="4"/>
    <s v="Below Avg"/>
    <m/>
  </r>
  <r>
    <n v="50"/>
    <x v="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s v="Yes"/>
    <n v="13"/>
    <n v="3"/>
    <n v="2"/>
    <n v="80"/>
    <n v="1"/>
    <n v="20"/>
    <s v="&gt;15"/>
    <n v="3"/>
    <n v="3"/>
    <n v="3"/>
    <n v="2"/>
    <n v="2"/>
    <n v="0"/>
    <s v="Ok"/>
    <m/>
  </r>
  <r>
    <n v="39"/>
    <x v="1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s v="No"/>
    <n v="11"/>
    <n v="3"/>
    <n v="1"/>
    <n v="80"/>
    <n v="1"/>
    <n v="21"/>
    <s v="&gt;15"/>
    <n v="2"/>
    <n v="2"/>
    <n v="20"/>
    <n v="9"/>
    <n v="9"/>
    <n v="6"/>
    <s v="Ok"/>
    <m/>
  </r>
  <r>
    <n v="31"/>
    <x v="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s v="No"/>
    <n v="19"/>
    <n v="3"/>
    <n v="2"/>
    <n v="80"/>
    <n v="0"/>
    <n v="10"/>
    <s v="6-15"/>
    <n v="2"/>
    <n v="3"/>
    <n v="9"/>
    <n v="4"/>
    <n v="1"/>
    <n v="7"/>
    <s v="Ok"/>
    <m/>
  </r>
  <r>
    <n v="26"/>
    <x v="1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s v="No"/>
    <n v="18"/>
    <n v="3"/>
    <n v="4"/>
    <n v="80"/>
    <n v="0"/>
    <n v="5"/>
    <s v="0-5"/>
    <n v="2"/>
    <n v="3"/>
    <n v="4"/>
    <n v="2"/>
    <n v="0"/>
    <n v="0"/>
    <s v="Below Avg"/>
    <m/>
  </r>
  <r>
    <n v="36"/>
    <x v="1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s v="No"/>
    <n v="17"/>
    <n v="3"/>
    <n v="3"/>
    <n v="80"/>
    <n v="1"/>
    <n v="17"/>
    <s v="&gt;15"/>
    <n v="3"/>
    <n v="3"/>
    <n v="5"/>
    <n v="2"/>
    <n v="0"/>
    <n v="3"/>
    <s v="Below Avg"/>
    <m/>
  </r>
  <r>
    <n v="39"/>
    <x v="1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s v="No"/>
    <n v="15"/>
    <n v="3"/>
    <n v="1"/>
    <n v="80"/>
    <n v="1"/>
    <n v="9"/>
    <s v="6-15"/>
    <n v="5"/>
    <n v="3"/>
    <n v="7"/>
    <n v="7"/>
    <n v="1"/>
    <n v="7"/>
    <s v="Ok"/>
    <m/>
  </r>
  <r>
    <n v="27"/>
    <x v="1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s v="Yes"/>
    <n v="20"/>
    <n v="4"/>
    <n v="2"/>
    <n v="80"/>
    <n v="1"/>
    <n v="6"/>
    <s v="6-15"/>
    <n v="0"/>
    <n v="3"/>
    <n v="6"/>
    <n v="2"/>
    <n v="0"/>
    <n v="3"/>
    <s v="Below Avg"/>
    <m/>
  </r>
  <r>
    <n v="49"/>
    <x v="1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s v="No"/>
    <n v="14"/>
    <n v="3"/>
    <n v="4"/>
    <n v="80"/>
    <n v="0"/>
    <n v="17"/>
    <s v="&gt;15"/>
    <n v="3"/>
    <n v="2"/>
    <n v="9"/>
    <n v="6"/>
    <n v="0"/>
    <n v="8"/>
    <s v="Ok"/>
    <m/>
  </r>
  <r>
    <n v="34"/>
    <x v="1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s v="No"/>
    <n v="12"/>
    <n v="3"/>
    <n v="1"/>
    <n v="80"/>
    <n v="0"/>
    <n v="6"/>
    <s v="6-15"/>
    <n v="3"/>
    <n v="4"/>
    <n v="4"/>
    <n v="3"/>
    <n v="1"/>
    <n v="2"/>
    <s v="Ok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Yes"/>
    <s v="Travel_Rarely"/>
    <n v="1102"/>
    <x v="0"/>
    <n v="1"/>
    <n v="2"/>
    <s v="Life Sciences"/>
    <n v="1"/>
    <n v="1"/>
    <n v="2"/>
    <s v="Female"/>
    <n v="94"/>
    <n v="3"/>
    <x v="0"/>
    <s v="Sales Executive"/>
    <n v="4"/>
    <s v="Single"/>
    <n v="5993"/>
    <n v="19479"/>
    <n v="8"/>
    <s v="Y"/>
    <s v="Yes"/>
    <s v="Yes"/>
    <n v="11"/>
    <n v="3"/>
    <n v="1"/>
    <n v="80"/>
    <n v="0"/>
    <n v="8"/>
    <s v="6-15"/>
    <n v="0"/>
    <n v="1"/>
    <n v="6"/>
    <n v="4"/>
    <n v="0"/>
    <n v="5"/>
    <s v="Below Avg"/>
    <n v="28.280081577158395"/>
    <s v="No"/>
    <s v="Low Risk"/>
  </r>
  <r>
    <n v="49"/>
    <x v="1"/>
    <s v="No"/>
    <s v="Travel_Frequently"/>
    <n v="279"/>
    <x v="1"/>
    <n v="8"/>
    <n v="1"/>
    <s v="Life Sciences"/>
    <n v="1"/>
    <n v="2"/>
    <n v="3"/>
    <s v="Male"/>
    <n v="61"/>
    <n v="2"/>
    <x v="0"/>
    <s v="Research Scientist"/>
    <n v="2"/>
    <s v="Married"/>
    <n v="5130"/>
    <n v="24907"/>
    <n v="1"/>
    <s v="Y"/>
    <s v="No"/>
    <s v="No"/>
    <n v="23"/>
    <n v="4"/>
    <n v="4"/>
    <n v="80"/>
    <n v="1"/>
    <n v="10"/>
    <s v="6-15"/>
    <n v="3"/>
    <n v="3"/>
    <n v="10"/>
    <n v="7"/>
    <n v="1"/>
    <n v="7"/>
    <s v="Below Avg"/>
    <n v="28.299319727891159"/>
    <s v="No"/>
    <s v="Low Risk"/>
  </r>
  <r>
    <n v="37"/>
    <x v="0"/>
    <s v="Yes"/>
    <s v="Travel_Rarely"/>
    <n v="1373"/>
    <x v="1"/>
    <n v="2"/>
    <n v="2"/>
    <s v="Other"/>
    <n v="1"/>
    <n v="4"/>
    <n v="4"/>
    <s v="Male"/>
    <n v="92"/>
    <n v="2"/>
    <x v="1"/>
    <s v="Laboratory Technician"/>
    <n v="3"/>
    <s v="Single"/>
    <n v="2090"/>
    <n v="2396"/>
    <n v="6"/>
    <s v="Y"/>
    <s v="Yes"/>
    <s v="Yes"/>
    <n v="15"/>
    <n v="3"/>
    <n v="2"/>
    <n v="80"/>
    <n v="0"/>
    <n v="7"/>
    <s v="6-15"/>
    <n v="3"/>
    <n v="3"/>
    <n v="0"/>
    <n v="0"/>
    <n v="0"/>
    <n v="0"/>
    <s v="Below Avg"/>
    <n v="28.250510551395507"/>
    <s v="No"/>
    <s v="High Risk"/>
  </r>
  <r>
    <n v="33"/>
    <x v="1"/>
    <s v="No"/>
    <s v="Travel_Frequently"/>
    <n v="1392"/>
    <x v="1"/>
    <n v="3"/>
    <n v="4"/>
    <s v="Life Sciences"/>
    <n v="1"/>
    <n v="5"/>
    <n v="4"/>
    <s v="Female"/>
    <n v="56"/>
    <n v="3"/>
    <x v="1"/>
    <s v="Research Scientist"/>
    <n v="3"/>
    <s v="Married"/>
    <n v="2909"/>
    <n v="23159"/>
    <n v="1"/>
    <s v="Y"/>
    <s v="Yes"/>
    <s v="Yes"/>
    <n v="11"/>
    <n v="3"/>
    <n v="3"/>
    <n v="80"/>
    <n v="0"/>
    <n v="8"/>
    <s v="6-15"/>
    <n v="3"/>
    <n v="3"/>
    <n v="8"/>
    <n v="7"/>
    <n v="3"/>
    <n v="0"/>
    <s v="Below Avg"/>
    <n v="28.269754768392367"/>
    <s v="No"/>
    <s v="Low Risk"/>
  </r>
  <r>
    <n v="27"/>
    <x v="1"/>
    <s v="No"/>
    <s v="Travel_Rarely"/>
    <n v="591"/>
    <x v="1"/>
    <n v="2"/>
    <n v="1"/>
    <s v="Medical"/>
    <n v="1"/>
    <n v="7"/>
    <n v="1"/>
    <s v="Male"/>
    <n v="40"/>
    <n v="3"/>
    <x v="1"/>
    <s v="Laboratory Technician"/>
    <n v="2"/>
    <s v="Married"/>
    <n v="3468"/>
    <n v="16632"/>
    <n v="9"/>
    <s v="Y"/>
    <s v="No"/>
    <s v="No"/>
    <n v="12"/>
    <n v="3"/>
    <n v="4"/>
    <n v="80"/>
    <n v="1"/>
    <n v="6"/>
    <s v="6-15"/>
    <n v="3"/>
    <n v="3"/>
    <n v="2"/>
    <n v="2"/>
    <n v="2"/>
    <n v="2"/>
    <s v="Below Avg"/>
    <n v="28.220858895705518"/>
    <s v="No"/>
    <s v="Low Risk"/>
  </r>
  <r>
    <n v="32"/>
    <x v="1"/>
    <s v="No"/>
    <s v="Travel_Frequently"/>
    <n v="1005"/>
    <x v="1"/>
    <n v="2"/>
    <n v="2"/>
    <s v="Life Sciences"/>
    <n v="1"/>
    <n v="8"/>
    <n v="4"/>
    <s v="Male"/>
    <n v="79"/>
    <n v="3"/>
    <x v="1"/>
    <s v="Laboratory Technician"/>
    <n v="4"/>
    <s v="Single"/>
    <n v="3068"/>
    <n v="11864"/>
    <n v="0"/>
    <s v="Y"/>
    <s v="No"/>
    <s v="No"/>
    <n v="13"/>
    <n v="3"/>
    <n v="3"/>
    <n v="80"/>
    <n v="0"/>
    <n v="8"/>
    <s v="6-15"/>
    <n v="2"/>
    <n v="2"/>
    <n v="7"/>
    <n v="7"/>
    <n v="3"/>
    <n v="6"/>
    <s v="Below Avg"/>
    <n v="28.171896316507507"/>
    <s v="No"/>
    <s v="Low Risk"/>
  </r>
  <r>
    <n v="59"/>
    <x v="1"/>
    <s v="No"/>
    <s v="Travel_Rarely"/>
    <n v="1324"/>
    <x v="1"/>
    <n v="3"/>
    <n v="3"/>
    <s v="Medical"/>
    <n v="1"/>
    <n v="10"/>
    <n v="3"/>
    <s v="Female"/>
    <n v="81"/>
    <n v="4"/>
    <x v="1"/>
    <s v="Laboratory Technician"/>
    <n v="1"/>
    <s v="Married"/>
    <n v="2670"/>
    <n v="9964"/>
    <n v="4"/>
    <s v="Y"/>
    <s v="Yes"/>
    <s v="Yes"/>
    <n v="20"/>
    <n v="4"/>
    <n v="1"/>
    <n v="80"/>
    <n v="3"/>
    <n v="12"/>
    <s v="6-15"/>
    <n v="3"/>
    <n v="2"/>
    <n v="1"/>
    <n v="0"/>
    <n v="0"/>
    <n v="0"/>
    <s v="Below Avg"/>
    <n v="28.191126279863482"/>
    <s v="No"/>
    <s v="Low Risk"/>
  </r>
  <r>
    <n v="30"/>
    <x v="1"/>
    <s v="No"/>
    <s v="Travel_Rarely"/>
    <n v="1358"/>
    <x v="1"/>
    <n v="24"/>
    <n v="1"/>
    <s v="Life Sciences"/>
    <n v="1"/>
    <n v="11"/>
    <n v="4"/>
    <s v="Male"/>
    <n v="67"/>
    <n v="3"/>
    <x v="1"/>
    <s v="Laboratory Technician"/>
    <n v="3"/>
    <s v="Divorced"/>
    <n v="2693"/>
    <n v="13335"/>
    <n v="1"/>
    <s v="Y"/>
    <s v="No"/>
    <s v="No"/>
    <n v="22"/>
    <n v="4"/>
    <n v="2"/>
    <n v="80"/>
    <n v="1"/>
    <n v="1"/>
    <s v="0-5"/>
    <n v="2"/>
    <n v="3"/>
    <n v="1"/>
    <n v="0"/>
    <n v="0"/>
    <n v="0"/>
    <s v="Below Avg"/>
    <n v="28.210382513661202"/>
    <s v="No"/>
    <s v="Low Risk"/>
  </r>
  <r>
    <n v="38"/>
    <x v="1"/>
    <s v="No"/>
    <s v="Travel_Frequently"/>
    <n v="216"/>
    <x v="1"/>
    <n v="23"/>
    <n v="3"/>
    <s v="Life Sciences"/>
    <n v="1"/>
    <n v="12"/>
    <n v="4"/>
    <s v="Male"/>
    <n v="44"/>
    <n v="2"/>
    <x v="2"/>
    <s v="Manufacturing Director"/>
    <n v="3"/>
    <s v="Single"/>
    <n v="9526"/>
    <n v="8787"/>
    <n v="0"/>
    <s v="Y"/>
    <s v="No"/>
    <s v="No"/>
    <n v="21"/>
    <n v="4"/>
    <n v="2"/>
    <n v="80"/>
    <n v="0"/>
    <n v="10"/>
    <s v="6-15"/>
    <n v="2"/>
    <n v="3"/>
    <n v="9"/>
    <n v="7"/>
    <n v="1"/>
    <n v="8"/>
    <s v="Ok"/>
    <n v="28.161312371838687"/>
    <s v="No"/>
    <s v="Low Risk"/>
  </r>
  <r>
    <n v="36"/>
    <x v="1"/>
    <s v="No"/>
    <s v="Travel_Rarely"/>
    <n v="1299"/>
    <x v="1"/>
    <n v="27"/>
    <n v="3"/>
    <s v="Medical"/>
    <n v="1"/>
    <n v="13"/>
    <n v="3"/>
    <s v="Male"/>
    <n v="94"/>
    <n v="3"/>
    <x v="0"/>
    <s v="Healthcare Representative"/>
    <n v="3"/>
    <s v="Married"/>
    <n v="5237"/>
    <n v="16577"/>
    <n v="6"/>
    <s v="Y"/>
    <s v="No"/>
    <s v="No"/>
    <n v="13"/>
    <n v="3"/>
    <n v="2"/>
    <n v="80"/>
    <n v="2"/>
    <n v="17"/>
    <s v="&gt;15"/>
    <n v="3"/>
    <n v="2"/>
    <n v="7"/>
    <n v="7"/>
    <n v="7"/>
    <n v="7"/>
    <s v="Below Avg"/>
    <n v="28.18057455540356"/>
    <s v="No"/>
    <s v="Low Risk"/>
  </r>
  <r>
    <n v="35"/>
    <x v="1"/>
    <s v="No"/>
    <s v="Travel_Rarely"/>
    <n v="809"/>
    <x v="1"/>
    <n v="16"/>
    <n v="3"/>
    <s v="Medical"/>
    <n v="1"/>
    <n v="14"/>
    <n v="1"/>
    <s v="Male"/>
    <n v="84"/>
    <n v="4"/>
    <x v="1"/>
    <s v="Laboratory Technician"/>
    <n v="2"/>
    <s v="Married"/>
    <n v="2426"/>
    <n v="16479"/>
    <n v="0"/>
    <s v="Y"/>
    <s v="No"/>
    <s v="No"/>
    <n v="13"/>
    <n v="3"/>
    <n v="3"/>
    <n v="80"/>
    <n v="1"/>
    <n v="6"/>
    <s v="6-15"/>
    <n v="5"/>
    <n v="3"/>
    <n v="5"/>
    <n v="4"/>
    <n v="0"/>
    <n v="3"/>
    <s v="Below Avg"/>
    <n v="28.199863107460644"/>
    <s v="No"/>
    <s v="Low Risk"/>
  </r>
  <r>
    <n v="29"/>
    <x v="1"/>
    <s v="No"/>
    <s v="Travel_Rarely"/>
    <n v="153"/>
    <x v="1"/>
    <n v="15"/>
    <n v="2"/>
    <s v="Life Sciences"/>
    <n v="1"/>
    <n v="15"/>
    <n v="4"/>
    <s v="Female"/>
    <n v="49"/>
    <n v="2"/>
    <x v="0"/>
    <s v="Laboratory Technician"/>
    <n v="3"/>
    <s v="Single"/>
    <n v="4193"/>
    <n v="12682"/>
    <n v="0"/>
    <s v="Y"/>
    <s v="Yes"/>
    <s v="Yes"/>
    <n v="12"/>
    <n v="3"/>
    <n v="4"/>
    <n v="80"/>
    <n v="0"/>
    <n v="10"/>
    <s v="6-15"/>
    <n v="3"/>
    <n v="3"/>
    <n v="9"/>
    <n v="5"/>
    <n v="0"/>
    <n v="8"/>
    <s v="Below Avg"/>
    <n v="28.219178082191782"/>
    <s v="No"/>
    <s v="Low Risk"/>
  </r>
  <r>
    <n v="31"/>
    <x v="1"/>
    <s v="No"/>
    <s v="Travel_Rarely"/>
    <n v="670"/>
    <x v="1"/>
    <n v="26"/>
    <n v="1"/>
    <s v="Life Sciences"/>
    <n v="1"/>
    <n v="16"/>
    <n v="1"/>
    <s v="Male"/>
    <n v="31"/>
    <n v="3"/>
    <x v="1"/>
    <s v="Research Scientist"/>
    <n v="3"/>
    <s v="Divorced"/>
    <n v="2911"/>
    <n v="15170"/>
    <n v="1"/>
    <s v="Y"/>
    <s v="No"/>
    <s v="No"/>
    <n v="17"/>
    <n v="3"/>
    <n v="4"/>
    <n v="80"/>
    <n v="1"/>
    <n v="5"/>
    <s v="0-5"/>
    <n v="1"/>
    <n v="2"/>
    <n v="5"/>
    <n v="2"/>
    <n v="4"/>
    <n v="3"/>
    <s v="Below Avg"/>
    <n v="28.238519533927349"/>
    <s v="No"/>
    <s v="Low Risk"/>
  </r>
  <r>
    <n v="34"/>
    <x v="1"/>
    <s v="No"/>
    <s v="Travel_Rarely"/>
    <n v="1346"/>
    <x v="1"/>
    <n v="19"/>
    <n v="2"/>
    <s v="Medical"/>
    <n v="1"/>
    <n v="18"/>
    <n v="2"/>
    <s v="Male"/>
    <n v="93"/>
    <n v="3"/>
    <x v="1"/>
    <s v="Laboratory Technician"/>
    <n v="4"/>
    <s v="Divorced"/>
    <n v="2661"/>
    <n v="8758"/>
    <n v="0"/>
    <s v="Y"/>
    <s v="No"/>
    <s v="No"/>
    <n v="11"/>
    <n v="3"/>
    <n v="3"/>
    <n v="80"/>
    <n v="1"/>
    <n v="3"/>
    <s v="0-5"/>
    <n v="2"/>
    <n v="3"/>
    <n v="2"/>
    <n v="2"/>
    <n v="1"/>
    <n v="2"/>
    <s v="Below Avg"/>
    <n v="28.189300411522634"/>
    <s v="No"/>
    <s v="Low Risk"/>
  </r>
  <r>
    <n v="28"/>
    <x v="0"/>
    <s v="Yes"/>
    <s v="Travel_Rarely"/>
    <n v="103"/>
    <x v="1"/>
    <n v="24"/>
    <n v="3"/>
    <s v="Life Sciences"/>
    <n v="1"/>
    <n v="19"/>
    <n v="3"/>
    <s v="Male"/>
    <n v="50"/>
    <n v="2"/>
    <x v="1"/>
    <s v="Laboratory Technician"/>
    <n v="3"/>
    <s v="Single"/>
    <n v="2028"/>
    <n v="12947"/>
    <n v="5"/>
    <s v="Y"/>
    <s v="Yes"/>
    <s v="Yes"/>
    <n v="14"/>
    <n v="3"/>
    <n v="2"/>
    <n v="80"/>
    <n v="0"/>
    <n v="6"/>
    <s v="6-15"/>
    <n v="4"/>
    <n v="3"/>
    <n v="4"/>
    <n v="2"/>
    <n v="0"/>
    <n v="3"/>
    <s v="Below Avg"/>
    <n v="28.208647906657514"/>
    <s v="No"/>
    <s v="Low Risk"/>
  </r>
  <r>
    <n v="29"/>
    <x v="1"/>
    <s v="No"/>
    <s v="Travel_Rarely"/>
    <n v="1389"/>
    <x v="1"/>
    <n v="21"/>
    <n v="4"/>
    <s v="Life Sciences"/>
    <n v="1"/>
    <n v="20"/>
    <n v="2"/>
    <s v="Female"/>
    <n v="51"/>
    <n v="4"/>
    <x v="2"/>
    <s v="Manufacturing Director"/>
    <n v="1"/>
    <s v="Divorced"/>
    <n v="9980"/>
    <n v="10195"/>
    <n v="1"/>
    <s v="Y"/>
    <s v="No"/>
    <s v="No"/>
    <n v="11"/>
    <n v="3"/>
    <n v="3"/>
    <n v="80"/>
    <n v="1"/>
    <n v="10"/>
    <s v="6-15"/>
    <n v="1"/>
    <n v="3"/>
    <n v="10"/>
    <n v="9"/>
    <n v="8"/>
    <n v="8"/>
    <s v="Ok"/>
    <n v="28.228021978021978"/>
    <s v="No"/>
    <s v="Low Risk"/>
  </r>
  <r>
    <n v="32"/>
    <x v="1"/>
    <s v="No"/>
    <s v="Travel_Rarely"/>
    <n v="334"/>
    <x v="1"/>
    <n v="5"/>
    <n v="2"/>
    <s v="Life Sciences"/>
    <n v="1"/>
    <n v="21"/>
    <n v="1"/>
    <s v="Male"/>
    <n v="80"/>
    <n v="4"/>
    <x v="1"/>
    <s v="Research Scientist"/>
    <n v="2"/>
    <s v="Divorced"/>
    <n v="3298"/>
    <n v="15053"/>
    <n v="0"/>
    <s v="Y"/>
    <s v="Yes"/>
    <s v="Yes"/>
    <n v="12"/>
    <n v="3"/>
    <n v="4"/>
    <n v="80"/>
    <n v="2"/>
    <n v="7"/>
    <s v="6-15"/>
    <n v="5"/>
    <n v="2"/>
    <n v="6"/>
    <n v="2"/>
    <n v="0"/>
    <n v="5"/>
    <s v="Below Avg"/>
    <n v="28.178694158075601"/>
    <s v="No"/>
    <s v="Low Risk"/>
  </r>
  <r>
    <n v="22"/>
    <x v="1"/>
    <s v="No"/>
    <s v="Non-Travel"/>
    <n v="1123"/>
    <x v="1"/>
    <n v="16"/>
    <n v="2"/>
    <s v="Medical"/>
    <n v="1"/>
    <n v="22"/>
    <n v="4"/>
    <s v="Male"/>
    <n v="96"/>
    <n v="4"/>
    <x v="1"/>
    <s v="Laboratory Technician"/>
    <n v="4"/>
    <s v="Divorced"/>
    <n v="2935"/>
    <n v="7324"/>
    <n v="1"/>
    <s v="Y"/>
    <s v="Yes"/>
    <s v="Yes"/>
    <n v="13"/>
    <n v="3"/>
    <n v="2"/>
    <n v="80"/>
    <n v="2"/>
    <n v="1"/>
    <s v="0-5"/>
    <n v="2"/>
    <n v="2"/>
    <n v="1"/>
    <n v="0"/>
    <n v="0"/>
    <n v="0"/>
    <s v="Below Avg"/>
    <n v="28.198074277854197"/>
    <s v="No"/>
    <s v="Low Risk"/>
  </r>
  <r>
    <n v="53"/>
    <x v="1"/>
    <s v="No"/>
    <s v="Travel_Rarely"/>
    <n v="1219"/>
    <x v="0"/>
    <n v="2"/>
    <n v="4"/>
    <s v="Life Sciences"/>
    <n v="1"/>
    <n v="23"/>
    <n v="1"/>
    <s v="Female"/>
    <n v="78"/>
    <n v="2"/>
    <x v="3"/>
    <s v="Manager"/>
    <n v="4"/>
    <s v="Married"/>
    <n v="15427"/>
    <n v="22021"/>
    <n v="2"/>
    <s v="Y"/>
    <s v="No"/>
    <s v="No"/>
    <n v="16"/>
    <n v="3"/>
    <n v="3"/>
    <n v="80"/>
    <n v="0"/>
    <n v="31"/>
    <s v="&gt;15"/>
    <n v="3"/>
    <n v="3"/>
    <n v="25"/>
    <n v="8"/>
    <n v="3"/>
    <n v="7"/>
    <s v="Ok"/>
    <n v="28.148657949070888"/>
    <s v="No"/>
    <s v="Low Risk"/>
  </r>
  <r>
    <n v="38"/>
    <x v="1"/>
    <s v="No"/>
    <s v="Travel_Rarely"/>
    <n v="371"/>
    <x v="1"/>
    <n v="2"/>
    <n v="3"/>
    <s v="Life Sciences"/>
    <n v="1"/>
    <n v="24"/>
    <n v="4"/>
    <s v="Male"/>
    <n v="45"/>
    <n v="3"/>
    <x v="1"/>
    <s v="Research Scientist"/>
    <n v="4"/>
    <s v="Single"/>
    <n v="3944"/>
    <n v="4306"/>
    <n v="5"/>
    <s v="Y"/>
    <s v="Yes"/>
    <s v="Yes"/>
    <n v="11"/>
    <n v="3"/>
    <n v="3"/>
    <n v="80"/>
    <n v="0"/>
    <n v="6"/>
    <s v="6-15"/>
    <n v="3"/>
    <n v="3"/>
    <n v="3"/>
    <n v="2"/>
    <n v="1"/>
    <n v="2"/>
    <s v="Below Avg"/>
    <n v="28.099173553719009"/>
    <s v="No"/>
    <s v="Low Risk"/>
  </r>
  <r>
    <n v="24"/>
    <x v="1"/>
    <s v="No"/>
    <s v="Non-Travel"/>
    <n v="673"/>
    <x v="1"/>
    <n v="11"/>
    <n v="2"/>
    <s v="Other"/>
    <n v="1"/>
    <n v="26"/>
    <n v="1"/>
    <s v="Female"/>
    <n v="96"/>
    <n v="4"/>
    <x v="0"/>
    <s v="Manufacturing Director"/>
    <n v="3"/>
    <s v="Divorced"/>
    <n v="4011"/>
    <n v="8232"/>
    <n v="0"/>
    <s v="Y"/>
    <s v="No"/>
    <s v="No"/>
    <n v="18"/>
    <n v="3"/>
    <n v="4"/>
    <n v="80"/>
    <n v="1"/>
    <n v="5"/>
    <s v="0-5"/>
    <n v="5"/>
    <n v="2"/>
    <n v="4"/>
    <n v="2"/>
    <n v="1"/>
    <n v="3"/>
    <s v="Below Avg"/>
    <n v="28.11853893866299"/>
    <s v="No"/>
    <s v="Low Risk"/>
  </r>
  <r>
    <n v="36"/>
    <x v="0"/>
    <s v="Yes"/>
    <s v="Travel_Rarely"/>
    <n v="1218"/>
    <x v="0"/>
    <n v="9"/>
    <n v="4"/>
    <s v="Life Sciences"/>
    <n v="1"/>
    <n v="27"/>
    <n v="3"/>
    <s v="Male"/>
    <n v="82"/>
    <n v="2"/>
    <x v="1"/>
    <s v="Sales Representative"/>
    <n v="1"/>
    <s v="Single"/>
    <n v="3407"/>
    <n v="6986"/>
    <n v="7"/>
    <s v="Y"/>
    <s v="No"/>
    <s v="No"/>
    <n v="23"/>
    <n v="4"/>
    <n v="2"/>
    <n v="80"/>
    <n v="0"/>
    <n v="10"/>
    <s v="6-15"/>
    <n v="4"/>
    <n v="3"/>
    <n v="5"/>
    <n v="3"/>
    <n v="0"/>
    <n v="3"/>
    <s v="Below Avg"/>
    <n v="28.068965517241377"/>
    <s v="No"/>
    <s v="Low Risk"/>
  </r>
  <r>
    <n v="34"/>
    <x v="1"/>
    <s v="No"/>
    <s v="Travel_Rarely"/>
    <n v="419"/>
    <x v="1"/>
    <n v="7"/>
    <n v="4"/>
    <s v="Life Sciences"/>
    <n v="1"/>
    <n v="28"/>
    <n v="1"/>
    <s v="Female"/>
    <n v="53"/>
    <n v="3"/>
    <x v="2"/>
    <s v="Research Director"/>
    <n v="2"/>
    <s v="Single"/>
    <n v="11994"/>
    <n v="21293"/>
    <n v="0"/>
    <s v="Y"/>
    <s v="No"/>
    <s v="No"/>
    <n v="11"/>
    <n v="3"/>
    <n v="3"/>
    <n v="80"/>
    <n v="0"/>
    <n v="13"/>
    <s v="6-15"/>
    <n v="4"/>
    <n v="3"/>
    <n v="12"/>
    <n v="6"/>
    <n v="2"/>
    <n v="11"/>
    <s v="Ok"/>
    <n v="28.088336783988961"/>
    <s v="No"/>
    <s v="Low Risk"/>
  </r>
  <r>
    <n v="21"/>
    <x v="1"/>
    <s v="No"/>
    <s v="Travel_Rarely"/>
    <n v="391"/>
    <x v="1"/>
    <n v="15"/>
    <n v="2"/>
    <s v="Life Sciences"/>
    <n v="1"/>
    <n v="30"/>
    <n v="3"/>
    <s v="Male"/>
    <n v="96"/>
    <n v="3"/>
    <x v="1"/>
    <s v="Research Scientist"/>
    <n v="4"/>
    <s v="Single"/>
    <n v="1232"/>
    <n v="19281"/>
    <n v="1"/>
    <s v="Y"/>
    <s v="No"/>
    <s v="No"/>
    <n v="14"/>
    <n v="3"/>
    <n v="4"/>
    <n v="80"/>
    <n v="0"/>
    <n v="0"/>
    <s v="0-5"/>
    <n v="6"/>
    <n v="3"/>
    <n v="0"/>
    <n v="0"/>
    <n v="0"/>
    <n v="0"/>
    <s v="Below Avg"/>
    <n v="28.107734806629836"/>
    <s v="No"/>
    <s v="Low Risk"/>
  </r>
  <r>
    <n v="34"/>
    <x v="0"/>
    <s v="Yes"/>
    <s v="Travel_Rarely"/>
    <n v="699"/>
    <x v="1"/>
    <n v="6"/>
    <n v="1"/>
    <s v="Medical"/>
    <n v="1"/>
    <n v="31"/>
    <n v="2"/>
    <s v="Male"/>
    <n v="83"/>
    <n v="3"/>
    <x v="1"/>
    <s v="Research Scientist"/>
    <n v="1"/>
    <s v="Single"/>
    <n v="2960"/>
    <n v="17102"/>
    <n v="2"/>
    <s v="Y"/>
    <s v="No"/>
    <s v="No"/>
    <n v="11"/>
    <n v="3"/>
    <n v="3"/>
    <n v="80"/>
    <n v="0"/>
    <n v="8"/>
    <s v="6-15"/>
    <n v="2"/>
    <n v="3"/>
    <n v="4"/>
    <n v="2"/>
    <n v="1"/>
    <n v="3"/>
    <s v="Below Avg"/>
    <n v="28.127159640635796"/>
    <s v="No"/>
    <s v="Low Risk"/>
  </r>
  <r>
    <n v="53"/>
    <x v="1"/>
    <s v="No"/>
    <s v="Travel_Rarely"/>
    <n v="1282"/>
    <x v="1"/>
    <n v="5"/>
    <n v="3"/>
    <s v="Other"/>
    <n v="1"/>
    <n v="32"/>
    <n v="3"/>
    <s v="Female"/>
    <n v="58"/>
    <n v="3"/>
    <x v="4"/>
    <s v="Manager"/>
    <n v="3"/>
    <s v="Divorced"/>
    <n v="19094"/>
    <n v="10735"/>
    <n v="4"/>
    <s v="Y"/>
    <s v="No"/>
    <s v="No"/>
    <n v="11"/>
    <n v="3"/>
    <n v="4"/>
    <n v="80"/>
    <n v="1"/>
    <n v="26"/>
    <s v="&gt;15"/>
    <n v="3"/>
    <n v="2"/>
    <n v="14"/>
    <n v="13"/>
    <n v="4"/>
    <n v="8"/>
    <s v="Ok"/>
    <n v="28.146611341632088"/>
    <s v="No"/>
    <s v="Low Risk"/>
  </r>
  <r>
    <n v="32"/>
    <x v="0"/>
    <s v="Yes"/>
    <s v="Travel_Frequently"/>
    <n v="1125"/>
    <x v="1"/>
    <n v="16"/>
    <n v="1"/>
    <s v="Life Sciences"/>
    <n v="1"/>
    <n v="33"/>
    <n v="2"/>
    <s v="Female"/>
    <n v="72"/>
    <n v="1"/>
    <x v="1"/>
    <s v="Research Scientist"/>
    <n v="1"/>
    <s v="Single"/>
    <n v="3919"/>
    <n v="4681"/>
    <n v="1"/>
    <s v="Y"/>
    <s v="Yes"/>
    <s v="Yes"/>
    <n v="22"/>
    <n v="4"/>
    <n v="2"/>
    <n v="80"/>
    <n v="0"/>
    <n v="10"/>
    <s v="6-15"/>
    <n v="5"/>
    <n v="3"/>
    <n v="10"/>
    <n v="2"/>
    <n v="6"/>
    <n v="7"/>
    <s v="Below Avg"/>
    <n v="28.166089965397923"/>
    <s v="No"/>
    <s v="Low Risk"/>
  </r>
  <r>
    <n v="42"/>
    <x v="1"/>
    <s v="No"/>
    <s v="Travel_Rarely"/>
    <n v="691"/>
    <x v="0"/>
    <n v="8"/>
    <n v="4"/>
    <s v="Marketing"/>
    <n v="1"/>
    <n v="35"/>
    <n v="3"/>
    <s v="Male"/>
    <n v="48"/>
    <n v="3"/>
    <x v="0"/>
    <s v="Sales Executive"/>
    <n v="2"/>
    <s v="Married"/>
    <n v="6825"/>
    <n v="21173"/>
    <n v="0"/>
    <s v="Y"/>
    <s v="No"/>
    <s v="No"/>
    <n v="11"/>
    <n v="3"/>
    <n v="4"/>
    <n v="80"/>
    <n v="1"/>
    <n v="10"/>
    <s v="6-15"/>
    <n v="2"/>
    <n v="3"/>
    <n v="9"/>
    <n v="7"/>
    <n v="4"/>
    <n v="2"/>
    <s v="Below Avg"/>
    <n v="28.185595567867033"/>
    <s v="No"/>
    <s v="Low Risk"/>
  </r>
  <r>
    <n v="44"/>
    <x v="1"/>
    <s v="No"/>
    <s v="Travel_Rarely"/>
    <n v="477"/>
    <x v="1"/>
    <n v="7"/>
    <n v="4"/>
    <s v="Medical"/>
    <n v="1"/>
    <n v="36"/>
    <n v="1"/>
    <s v="Female"/>
    <n v="42"/>
    <n v="2"/>
    <x v="2"/>
    <s v="Healthcare Representative"/>
    <n v="4"/>
    <s v="Married"/>
    <n v="10248"/>
    <n v="2094"/>
    <n v="3"/>
    <s v="Y"/>
    <s v="No"/>
    <s v="No"/>
    <n v="14"/>
    <n v="3"/>
    <n v="4"/>
    <n v="80"/>
    <n v="1"/>
    <n v="24"/>
    <s v="&gt;15"/>
    <n v="4"/>
    <n v="3"/>
    <n v="22"/>
    <n v="6"/>
    <n v="5"/>
    <n v="17"/>
    <s v="Ok"/>
    <n v="28.135828135828135"/>
    <s v="No"/>
    <s v="Low Risk"/>
  </r>
  <r>
    <n v="46"/>
    <x v="1"/>
    <s v="No"/>
    <s v="Travel_Rarely"/>
    <n v="705"/>
    <x v="0"/>
    <n v="2"/>
    <n v="4"/>
    <s v="Marketing"/>
    <n v="1"/>
    <n v="38"/>
    <n v="2"/>
    <s v="Female"/>
    <n v="83"/>
    <n v="3"/>
    <x v="4"/>
    <s v="Manager"/>
    <n v="1"/>
    <s v="Single"/>
    <n v="18947"/>
    <n v="22822"/>
    <n v="3"/>
    <s v="Y"/>
    <s v="No"/>
    <s v="No"/>
    <n v="12"/>
    <n v="3"/>
    <n v="4"/>
    <n v="80"/>
    <n v="0"/>
    <n v="22"/>
    <s v="&gt;15"/>
    <n v="2"/>
    <n v="2"/>
    <n v="2"/>
    <n v="2"/>
    <n v="2"/>
    <n v="1"/>
    <s v="Ok"/>
    <n v="28.155339805825243"/>
    <s v="No"/>
    <s v="Low Risk"/>
  </r>
  <r>
    <n v="33"/>
    <x v="1"/>
    <s v="No"/>
    <s v="Travel_Rarely"/>
    <n v="924"/>
    <x v="1"/>
    <n v="2"/>
    <n v="3"/>
    <s v="Medical"/>
    <n v="1"/>
    <n v="39"/>
    <n v="3"/>
    <s v="Male"/>
    <n v="78"/>
    <n v="3"/>
    <x v="1"/>
    <s v="Laboratory Technician"/>
    <n v="4"/>
    <s v="Single"/>
    <n v="2496"/>
    <n v="6670"/>
    <n v="4"/>
    <s v="Y"/>
    <s v="No"/>
    <s v="No"/>
    <n v="11"/>
    <n v="3"/>
    <n v="4"/>
    <n v="80"/>
    <n v="0"/>
    <n v="7"/>
    <s v="6-15"/>
    <n v="3"/>
    <n v="3"/>
    <n v="1"/>
    <n v="1"/>
    <n v="0"/>
    <n v="0"/>
    <s v="Below Avg"/>
    <n v="28.174878556557946"/>
    <s v="No"/>
    <s v="Low Risk"/>
  </r>
  <r>
    <n v="44"/>
    <x v="1"/>
    <s v="No"/>
    <s v="Travel_Rarely"/>
    <n v="1459"/>
    <x v="1"/>
    <n v="10"/>
    <n v="4"/>
    <s v="Other"/>
    <n v="1"/>
    <n v="40"/>
    <n v="4"/>
    <s v="Male"/>
    <n v="41"/>
    <n v="3"/>
    <x v="0"/>
    <s v="Healthcare Representative"/>
    <n v="4"/>
    <s v="Married"/>
    <n v="6465"/>
    <n v="19121"/>
    <n v="2"/>
    <s v="Y"/>
    <s v="Yes"/>
    <s v="Yes"/>
    <n v="13"/>
    <n v="3"/>
    <n v="4"/>
    <n v="80"/>
    <n v="0"/>
    <n v="9"/>
    <s v="6-15"/>
    <n v="5"/>
    <n v="4"/>
    <n v="4"/>
    <n v="2"/>
    <n v="1"/>
    <n v="3"/>
    <s v="Ok"/>
    <n v="28.194444444444443"/>
    <s v="No"/>
    <s v="Low Risk"/>
  </r>
  <r>
    <n v="30"/>
    <x v="1"/>
    <s v="No"/>
    <s v="Travel_Rarely"/>
    <n v="125"/>
    <x v="1"/>
    <n v="9"/>
    <n v="2"/>
    <s v="Medical"/>
    <n v="1"/>
    <n v="41"/>
    <n v="4"/>
    <s v="Male"/>
    <n v="83"/>
    <n v="2"/>
    <x v="1"/>
    <s v="Laboratory Technician"/>
    <n v="3"/>
    <s v="Single"/>
    <n v="2206"/>
    <n v="16117"/>
    <n v="1"/>
    <s v="Y"/>
    <s v="No"/>
    <s v="No"/>
    <n v="13"/>
    <n v="3"/>
    <n v="1"/>
    <n v="80"/>
    <n v="0"/>
    <n v="10"/>
    <s v="6-15"/>
    <n v="5"/>
    <n v="3"/>
    <n v="10"/>
    <n v="0"/>
    <n v="1"/>
    <n v="8"/>
    <s v="Below Avg"/>
    <n v="28.214037526059766"/>
    <s v="No"/>
    <s v="Low Risk"/>
  </r>
  <r>
    <n v="39"/>
    <x v="0"/>
    <s v="Yes"/>
    <s v="Travel_Rarely"/>
    <n v="895"/>
    <x v="0"/>
    <n v="5"/>
    <n v="3"/>
    <s v="Technical Degree"/>
    <n v="1"/>
    <n v="42"/>
    <n v="4"/>
    <s v="Male"/>
    <n v="56"/>
    <n v="3"/>
    <x v="0"/>
    <s v="Sales Representative"/>
    <n v="4"/>
    <s v="Married"/>
    <n v="2086"/>
    <n v="3335"/>
    <n v="3"/>
    <s v="Y"/>
    <s v="No"/>
    <s v="No"/>
    <n v="14"/>
    <n v="3"/>
    <n v="3"/>
    <n v="80"/>
    <n v="1"/>
    <n v="19"/>
    <s v="&gt;15"/>
    <n v="6"/>
    <n v="4"/>
    <n v="1"/>
    <n v="0"/>
    <n v="0"/>
    <n v="0"/>
    <s v="Below Avg"/>
    <n v="28.164116828929071"/>
    <s v="No"/>
    <s v="High Risk"/>
  </r>
  <r>
    <n v="24"/>
    <x v="0"/>
    <s v="Yes"/>
    <s v="Travel_Rarely"/>
    <n v="813"/>
    <x v="1"/>
    <n v="1"/>
    <n v="3"/>
    <s v="Medical"/>
    <n v="1"/>
    <n v="45"/>
    <n v="2"/>
    <s v="Male"/>
    <n v="61"/>
    <n v="3"/>
    <x v="1"/>
    <s v="Research Scientist"/>
    <n v="4"/>
    <s v="Married"/>
    <n v="2293"/>
    <n v="3020"/>
    <n v="2"/>
    <s v="Y"/>
    <s v="Yes"/>
    <s v="Yes"/>
    <n v="16"/>
    <n v="3"/>
    <n v="1"/>
    <n v="80"/>
    <n v="1"/>
    <n v="6"/>
    <s v="6-15"/>
    <n v="2"/>
    <n v="2"/>
    <n v="2"/>
    <n v="0"/>
    <n v="2"/>
    <n v="0"/>
    <s v="Below Avg"/>
    <n v="28.183716075156578"/>
    <s v="No"/>
    <s v="Low Risk"/>
  </r>
  <r>
    <n v="43"/>
    <x v="1"/>
    <s v="No"/>
    <s v="Travel_Rarely"/>
    <n v="1273"/>
    <x v="1"/>
    <n v="2"/>
    <n v="2"/>
    <s v="Medical"/>
    <n v="1"/>
    <n v="46"/>
    <n v="4"/>
    <s v="Female"/>
    <n v="72"/>
    <n v="4"/>
    <x v="1"/>
    <s v="Research Scientist"/>
    <n v="3"/>
    <s v="Divorced"/>
    <n v="2645"/>
    <n v="21923"/>
    <n v="1"/>
    <s v="Y"/>
    <s v="No"/>
    <s v="No"/>
    <n v="12"/>
    <n v="3"/>
    <n v="4"/>
    <n v="80"/>
    <n v="2"/>
    <n v="6"/>
    <s v="6-15"/>
    <n v="3"/>
    <n v="2"/>
    <n v="5"/>
    <n v="3"/>
    <n v="1"/>
    <n v="4"/>
    <s v="Below Avg"/>
    <n v="28.203342618384404"/>
    <s v="No"/>
    <s v="Low Risk"/>
  </r>
  <r>
    <n v="50"/>
    <x v="0"/>
    <s v="Yes"/>
    <s v="Travel_Rarely"/>
    <n v="869"/>
    <x v="0"/>
    <n v="3"/>
    <n v="2"/>
    <s v="Marketing"/>
    <n v="1"/>
    <n v="47"/>
    <n v="1"/>
    <s v="Male"/>
    <n v="86"/>
    <n v="2"/>
    <x v="1"/>
    <s v="Sales Representative"/>
    <n v="3"/>
    <s v="Married"/>
    <n v="2683"/>
    <n v="3810"/>
    <n v="1"/>
    <s v="Y"/>
    <s v="Yes"/>
    <s v="Yes"/>
    <n v="14"/>
    <n v="3"/>
    <n v="3"/>
    <n v="80"/>
    <n v="0"/>
    <n v="3"/>
    <s v="0-5"/>
    <n v="2"/>
    <n v="3"/>
    <n v="3"/>
    <n v="2"/>
    <n v="0"/>
    <n v="2"/>
    <s v="Below Avg"/>
    <n v="28.153310104529616"/>
    <s v="No"/>
    <s v="Low Risk"/>
  </r>
  <r>
    <n v="35"/>
    <x v="1"/>
    <s v="No"/>
    <s v="Travel_Rarely"/>
    <n v="890"/>
    <x v="0"/>
    <n v="2"/>
    <n v="3"/>
    <s v="Marketing"/>
    <n v="1"/>
    <n v="49"/>
    <n v="4"/>
    <s v="Female"/>
    <n v="97"/>
    <n v="3"/>
    <x v="1"/>
    <s v="Sales Representative"/>
    <n v="4"/>
    <s v="Married"/>
    <n v="2014"/>
    <n v="9687"/>
    <n v="1"/>
    <s v="Y"/>
    <s v="No"/>
    <s v="No"/>
    <n v="13"/>
    <n v="3"/>
    <n v="1"/>
    <n v="80"/>
    <n v="0"/>
    <n v="2"/>
    <s v="0-5"/>
    <n v="3"/>
    <n v="3"/>
    <n v="2"/>
    <n v="2"/>
    <n v="2"/>
    <n v="2"/>
    <s v="Below Avg"/>
    <n v="28.172942817294285"/>
    <s v="No"/>
    <s v="Low Risk"/>
  </r>
  <r>
    <n v="36"/>
    <x v="1"/>
    <s v="No"/>
    <s v="Travel_Rarely"/>
    <n v="852"/>
    <x v="1"/>
    <n v="5"/>
    <n v="4"/>
    <s v="Life Sciences"/>
    <n v="1"/>
    <n v="51"/>
    <n v="2"/>
    <s v="Female"/>
    <n v="82"/>
    <n v="2"/>
    <x v="1"/>
    <s v="Research Scientist"/>
    <n v="1"/>
    <s v="Married"/>
    <n v="3419"/>
    <n v="13072"/>
    <n v="9"/>
    <s v="Y"/>
    <s v="Yes"/>
    <s v="Yes"/>
    <n v="14"/>
    <n v="3"/>
    <n v="4"/>
    <n v="80"/>
    <n v="1"/>
    <n v="6"/>
    <s v="6-15"/>
    <n v="3"/>
    <n v="4"/>
    <n v="1"/>
    <n v="1"/>
    <n v="0"/>
    <n v="0"/>
    <s v="Below Avg"/>
    <n v="28.122819260293092"/>
    <s v="No"/>
    <s v="Low Risk"/>
  </r>
  <r>
    <n v="33"/>
    <x v="1"/>
    <s v="No"/>
    <s v="Travel_Frequently"/>
    <n v="1141"/>
    <x v="0"/>
    <n v="1"/>
    <n v="3"/>
    <s v="Life Sciences"/>
    <n v="1"/>
    <n v="52"/>
    <n v="3"/>
    <s v="Female"/>
    <n v="42"/>
    <n v="4"/>
    <x v="0"/>
    <s v="Sales Executive"/>
    <n v="1"/>
    <s v="Married"/>
    <n v="5376"/>
    <n v="3193"/>
    <n v="2"/>
    <s v="Y"/>
    <s v="No"/>
    <s v="No"/>
    <n v="19"/>
    <n v="3"/>
    <n v="1"/>
    <n v="80"/>
    <n v="2"/>
    <n v="10"/>
    <s v="6-15"/>
    <n v="3"/>
    <n v="3"/>
    <n v="5"/>
    <n v="3"/>
    <n v="1"/>
    <n v="3"/>
    <s v="Below Avg"/>
    <n v="28.14245810055866"/>
    <s v="No"/>
    <s v="Low Risk"/>
  </r>
  <r>
    <n v="35"/>
    <x v="1"/>
    <s v="No"/>
    <s v="Travel_Rarely"/>
    <n v="464"/>
    <x v="1"/>
    <n v="4"/>
    <n v="2"/>
    <s v="Other"/>
    <n v="1"/>
    <n v="53"/>
    <n v="3"/>
    <s v="Male"/>
    <n v="75"/>
    <n v="3"/>
    <x v="1"/>
    <s v="Laboratory Technician"/>
    <n v="4"/>
    <s v="Divorced"/>
    <n v="1951"/>
    <n v="10910"/>
    <n v="1"/>
    <s v="Y"/>
    <s v="No"/>
    <s v="No"/>
    <n v="12"/>
    <n v="3"/>
    <n v="3"/>
    <n v="80"/>
    <n v="1"/>
    <n v="1"/>
    <s v="0-5"/>
    <n v="3"/>
    <n v="3"/>
    <n v="1"/>
    <n v="0"/>
    <n v="0"/>
    <n v="0"/>
    <s v="Below Avg"/>
    <n v="28.092243186582809"/>
    <s v="No"/>
    <s v="Low Risk"/>
  </r>
  <r>
    <n v="27"/>
    <x v="1"/>
    <s v="No"/>
    <s v="Travel_Rarely"/>
    <n v="1240"/>
    <x v="1"/>
    <n v="2"/>
    <n v="4"/>
    <s v="Life Sciences"/>
    <n v="1"/>
    <n v="54"/>
    <n v="4"/>
    <s v="Female"/>
    <n v="33"/>
    <n v="3"/>
    <x v="1"/>
    <s v="Laboratory Technician"/>
    <n v="1"/>
    <s v="Divorced"/>
    <n v="2341"/>
    <n v="19715"/>
    <n v="1"/>
    <s v="Y"/>
    <s v="No"/>
    <s v="No"/>
    <n v="13"/>
    <n v="3"/>
    <n v="4"/>
    <n v="80"/>
    <n v="1"/>
    <n v="1"/>
    <s v="0-5"/>
    <n v="6"/>
    <n v="3"/>
    <n v="1"/>
    <n v="0"/>
    <n v="0"/>
    <n v="0"/>
    <s v="Below Avg"/>
    <n v="28.11188811188811"/>
    <s v="No"/>
    <s v="Low Risk"/>
  </r>
  <r>
    <n v="26"/>
    <x v="0"/>
    <s v="Yes"/>
    <s v="Travel_Rarely"/>
    <n v="1357"/>
    <x v="1"/>
    <n v="25"/>
    <n v="3"/>
    <s v="Life Sciences"/>
    <n v="1"/>
    <n v="55"/>
    <n v="1"/>
    <s v="Male"/>
    <n v="48"/>
    <n v="1"/>
    <x v="1"/>
    <s v="Laboratory Technician"/>
    <n v="3"/>
    <s v="Single"/>
    <n v="2293"/>
    <n v="10558"/>
    <n v="1"/>
    <s v="Y"/>
    <s v="No"/>
    <s v="No"/>
    <n v="12"/>
    <n v="3"/>
    <n v="3"/>
    <n v="80"/>
    <n v="0"/>
    <n v="1"/>
    <s v="0-5"/>
    <n v="2"/>
    <n v="2"/>
    <n v="1"/>
    <n v="0"/>
    <n v="0"/>
    <n v="1"/>
    <s v="Below Avg"/>
    <n v="28.131560531840449"/>
    <s v="No"/>
    <s v="High Risk"/>
  </r>
  <r>
    <n v="27"/>
    <x v="1"/>
    <s v="No"/>
    <s v="Travel_Frequently"/>
    <n v="994"/>
    <x v="0"/>
    <n v="8"/>
    <n v="3"/>
    <s v="Life Sciences"/>
    <n v="1"/>
    <n v="56"/>
    <n v="4"/>
    <s v="Male"/>
    <n v="37"/>
    <n v="3"/>
    <x v="2"/>
    <s v="Sales Executive"/>
    <n v="3"/>
    <s v="Single"/>
    <n v="8726"/>
    <n v="2975"/>
    <n v="1"/>
    <s v="Y"/>
    <s v="No"/>
    <s v="No"/>
    <n v="15"/>
    <n v="3"/>
    <n v="4"/>
    <n v="80"/>
    <n v="0"/>
    <n v="9"/>
    <s v="6-15"/>
    <n v="0"/>
    <n v="3"/>
    <n v="9"/>
    <n v="8"/>
    <n v="1"/>
    <n v="7"/>
    <s v="Ok"/>
    <n v="28.15126050420168"/>
    <s v="No"/>
    <s v="Low Risk"/>
  </r>
  <r>
    <n v="30"/>
    <x v="1"/>
    <s v="No"/>
    <s v="Travel_Frequently"/>
    <n v="721"/>
    <x v="1"/>
    <n v="1"/>
    <n v="2"/>
    <s v="Medical"/>
    <n v="1"/>
    <n v="57"/>
    <n v="3"/>
    <s v="Female"/>
    <n v="58"/>
    <n v="3"/>
    <x v="0"/>
    <s v="Laboratory Technician"/>
    <n v="4"/>
    <s v="Single"/>
    <n v="4011"/>
    <n v="10781"/>
    <n v="1"/>
    <s v="Y"/>
    <s v="No"/>
    <s v="No"/>
    <n v="23"/>
    <n v="4"/>
    <n v="4"/>
    <n v="80"/>
    <n v="0"/>
    <n v="12"/>
    <s v="6-15"/>
    <n v="2"/>
    <n v="3"/>
    <n v="12"/>
    <n v="8"/>
    <n v="3"/>
    <n v="7"/>
    <s v="Below Avg"/>
    <n v="28.170988086895587"/>
    <s v="No"/>
    <s v="Low Risk"/>
  </r>
  <r>
    <n v="41"/>
    <x v="0"/>
    <s v="Yes"/>
    <s v="Travel_Rarely"/>
    <n v="1360"/>
    <x v="1"/>
    <n v="12"/>
    <n v="3"/>
    <s v="Technical Degree"/>
    <n v="1"/>
    <n v="58"/>
    <n v="2"/>
    <s v="Female"/>
    <n v="49"/>
    <n v="3"/>
    <x v="4"/>
    <s v="Research Director"/>
    <n v="3"/>
    <s v="Married"/>
    <n v="19545"/>
    <n v="16280"/>
    <n v="1"/>
    <s v="Y"/>
    <s v="No"/>
    <s v="No"/>
    <n v="12"/>
    <n v="3"/>
    <n v="4"/>
    <n v="80"/>
    <n v="0"/>
    <n v="23"/>
    <s v="&gt;15"/>
    <n v="0"/>
    <n v="3"/>
    <n v="22"/>
    <n v="15"/>
    <n v="15"/>
    <n v="8"/>
    <s v="Ok"/>
    <n v="28.190743338008417"/>
    <s v="No"/>
    <s v="Low Risk"/>
  </r>
  <r>
    <n v="34"/>
    <x v="1"/>
    <s v="No"/>
    <s v="Non-Travel"/>
    <n v="1065"/>
    <x v="0"/>
    <n v="23"/>
    <n v="4"/>
    <s v="Marketing"/>
    <n v="1"/>
    <n v="60"/>
    <n v="2"/>
    <s v="Male"/>
    <n v="72"/>
    <n v="3"/>
    <x v="0"/>
    <s v="Sales Executive"/>
    <n v="3"/>
    <s v="Single"/>
    <n v="4568"/>
    <n v="10034"/>
    <n v="0"/>
    <s v="Y"/>
    <s v="No"/>
    <s v="No"/>
    <n v="20"/>
    <n v="4"/>
    <n v="3"/>
    <n v="80"/>
    <n v="0"/>
    <n v="10"/>
    <s v="6-15"/>
    <n v="2"/>
    <n v="3"/>
    <n v="9"/>
    <n v="5"/>
    <n v="8"/>
    <n v="7"/>
    <s v="Below Avg"/>
    <n v="28.210526315789476"/>
    <s v="No"/>
    <s v="Low Risk"/>
  </r>
  <r>
    <n v="37"/>
    <x v="1"/>
    <s v="No"/>
    <s v="Travel_Rarely"/>
    <n v="408"/>
    <x v="1"/>
    <n v="19"/>
    <n v="2"/>
    <s v="Life Sciences"/>
    <n v="1"/>
    <n v="61"/>
    <n v="2"/>
    <s v="Male"/>
    <n v="73"/>
    <n v="3"/>
    <x v="1"/>
    <s v="Research Scientist"/>
    <n v="2"/>
    <s v="Married"/>
    <n v="3022"/>
    <n v="10227"/>
    <n v="4"/>
    <s v="Y"/>
    <s v="No"/>
    <s v="No"/>
    <n v="21"/>
    <n v="4"/>
    <n v="1"/>
    <n v="80"/>
    <n v="0"/>
    <n v="8"/>
    <s v="6-15"/>
    <n v="1"/>
    <n v="3"/>
    <n v="1"/>
    <n v="0"/>
    <n v="0"/>
    <n v="0"/>
    <s v="Below Avg"/>
    <n v="28.230337078651687"/>
    <s v="No"/>
    <s v="Low Risk"/>
  </r>
  <r>
    <n v="46"/>
    <x v="1"/>
    <s v="No"/>
    <s v="Travel_Frequently"/>
    <n v="1211"/>
    <x v="0"/>
    <n v="5"/>
    <n v="4"/>
    <s v="Marketing"/>
    <n v="1"/>
    <n v="62"/>
    <n v="1"/>
    <s v="Male"/>
    <n v="98"/>
    <n v="3"/>
    <x v="0"/>
    <s v="Sales Executive"/>
    <n v="4"/>
    <s v="Single"/>
    <n v="5772"/>
    <n v="20445"/>
    <n v="4"/>
    <s v="Y"/>
    <s v="Yes"/>
    <s v="Yes"/>
    <n v="21"/>
    <n v="4"/>
    <n v="3"/>
    <n v="80"/>
    <n v="0"/>
    <n v="14"/>
    <s v="6-15"/>
    <n v="4"/>
    <n v="3"/>
    <n v="9"/>
    <n v="6"/>
    <n v="0"/>
    <n v="8"/>
    <s v="Below Avg"/>
    <n v="28.250175685172174"/>
    <s v="No"/>
    <s v="Low Risk"/>
  </r>
  <r>
    <n v="35"/>
    <x v="1"/>
    <s v="No"/>
    <s v="Travel_Rarely"/>
    <n v="1229"/>
    <x v="1"/>
    <n v="8"/>
    <n v="1"/>
    <s v="Life Sciences"/>
    <n v="1"/>
    <n v="63"/>
    <n v="4"/>
    <s v="Male"/>
    <n v="36"/>
    <n v="4"/>
    <x v="1"/>
    <s v="Laboratory Technician"/>
    <n v="4"/>
    <s v="Married"/>
    <n v="2269"/>
    <n v="4892"/>
    <n v="1"/>
    <s v="Y"/>
    <s v="No"/>
    <s v="No"/>
    <n v="19"/>
    <n v="3"/>
    <n v="4"/>
    <n v="80"/>
    <n v="0"/>
    <n v="1"/>
    <s v="0-5"/>
    <n v="2"/>
    <n v="3"/>
    <n v="1"/>
    <n v="0"/>
    <n v="0"/>
    <n v="1"/>
    <s v="Below Avg"/>
    <n v="28.270042194092827"/>
    <s v="No"/>
    <s v="Low Risk"/>
  </r>
  <r>
    <n v="48"/>
    <x v="0"/>
    <s v="Yes"/>
    <s v="Travel_Rarely"/>
    <n v="626"/>
    <x v="1"/>
    <n v="1"/>
    <n v="2"/>
    <s v="Life Sciences"/>
    <n v="1"/>
    <n v="64"/>
    <n v="1"/>
    <s v="Male"/>
    <n v="98"/>
    <n v="2"/>
    <x v="2"/>
    <s v="Laboratory Technician"/>
    <n v="3"/>
    <s v="Single"/>
    <n v="5381"/>
    <n v="19294"/>
    <n v="9"/>
    <s v="Y"/>
    <s v="Yes"/>
    <s v="Yes"/>
    <n v="13"/>
    <n v="3"/>
    <n v="4"/>
    <n v="80"/>
    <n v="0"/>
    <n v="23"/>
    <s v="&gt;15"/>
    <n v="2"/>
    <n v="3"/>
    <n v="1"/>
    <n v="0"/>
    <n v="0"/>
    <n v="0"/>
    <s v="Below Avg"/>
    <n v="28.219563687543982"/>
    <s v="No"/>
    <s v="High Risk"/>
  </r>
  <r>
    <n v="28"/>
    <x v="0"/>
    <s v="Yes"/>
    <s v="Travel_Rarely"/>
    <n v="1434"/>
    <x v="1"/>
    <n v="5"/>
    <n v="4"/>
    <s v="Technical Degree"/>
    <n v="1"/>
    <n v="65"/>
    <n v="3"/>
    <s v="Male"/>
    <n v="50"/>
    <n v="3"/>
    <x v="1"/>
    <s v="Laboratory Technician"/>
    <n v="3"/>
    <s v="Single"/>
    <n v="3441"/>
    <n v="11179"/>
    <n v="1"/>
    <s v="Y"/>
    <s v="Yes"/>
    <s v="Yes"/>
    <n v="13"/>
    <n v="3"/>
    <n v="3"/>
    <n v="80"/>
    <n v="0"/>
    <n v="2"/>
    <s v="0-5"/>
    <n v="3"/>
    <n v="2"/>
    <n v="2"/>
    <n v="2"/>
    <n v="2"/>
    <n v="2"/>
    <s v="Below Avg"/>
    <n v="28.239436619718312"/>
    <s v="No"/>
    <s v="Low Risk"/>
  </r>
  <r>
    <n v="44"/>
    <x v="1"/>
    <s v="No"/>
    <s v="Travel_Rarely"/>
    <n v="1488"/>
    <x v="0"/>
    <n v="1"/>
    <n v="5"/>
    <s v="Marketing"/>
    <n v="1"/>
    <n v="68"/>
    <n v="2"/>
    <s v="Female"/>
    <n v="75"/>
    <n v="3"/>
    <x v="0"/>
    <s v="Sales Executive"/>
    <n v="1"/>
    <s v="Divorced"/>
    <n v="5454"/>
    <n v="4009"/>
    <n v="5"/>
    <s v="Y"/>
    <s v="Yes"/>
    <s v="Yes"/>
    <n v="21"/>
    <n v="4"/>
    <n v="3"/>
    <n v="80"/>
    <n v="1"/>
    <n v="9"/>
    <s v="6-15"/>
    <n v="2"/>
    <n v="2"/>
    <n v="4"/>
    <n v="3"/>
    <n v="1"/>
    <n v="3"/>
    <s v="Below Avg"/>
    <n v="28.188865398167724"/>
    <s v="No"/>
    <s v="Low Risk"/>
  </r>
  <r>
    <n v="35"/>
    <x v="1"/>
    <s v="No"/>
    <s v="Non-Travel"/>
    <n v="1097"/>
    <x v="1"/>
    <n v="11"/>
    <n v="2"/>
    <s v="Medical"/>
    <n v="1"/>
    <n v="70"/>
    <n v="3"/>
    <s v="Male"/>
    <n v="79"/>
    <n v="2"/>
    <x v="2"/>
    <s v="Healthcare Representative"/>
    <n v="1"/>
    <s v="Married"/>
    <n v="9884"/>
    <n v="8302"/>
    <n v="2"/>
    <s v="Y"/>
    <s v="Yes"/>
    <s v="Yes"/>
    <n v="13"/>
    <n v="3"/>
    <n v="3"/>
    <n v="80"/>
    <n v="1"/>
    <n v="10"/>
    <s v="6-15"/>
    <n v="3"/>
    <n v="3"/>
    <n v="4"/>
    <n v="0"/>
    <n v="2"/>
    <n v="3"/>
    <s v="Ok"/>
    <n v="28.138222849083217"/>
    <s v="No"/>
    <s v="Low Risk"/>
  </r>
  <r>
    <n v="26"/>
    <x v="1"/>
    <s v="No"/>
    <s v="Travel_Rarely"/>
    <n v="1443"/>
    <x v="0"/>
    <n v="23"/>
    <n v="3"/>
    <s v="Marketing"/>
    <n v="1"/>
    <n v="72"/>
    <n v="3"/>
    <s v="Female"/>
    <n v="47"/>
    <n v="2"/>
    <x v="0"/>
    <s v="Sales Executive"/>
    <n v="4"/>
    <s v="Married"/>
    <n v="4157"/>
    <n v="21436"/>
    <n v="7"/>
    <s v="Y"/>
    <s v="Yes"/>
    <s v="Yes"/>
    <n v="19"/>
    <n v="3"/>
    <n v="3"/>
    <n v="80"/>
    <n v="1"/>
    <n v="5"/>
    <s v="0-5"/>
    <n v="2"/>
    <n v="2"/>
    <n v="2"/>
    <n v="2"/>
    <n v="0"/>
    <n v="0"/>
    <s v="Below Avg"/>
    <n v="28.087508821453778"/>
    <s v="No"/>
    <s v="Low Risk"/>
  </r>
  <r>
    <n v="33"/>
    <x v="1"/>
    <s v="No"/>
    <s v="Travel_Frequently"/>
    <n v="515"/>
    <x v="1"/>
    <n v="1"/>
    <n v="2"/>
    <s v="Life Sciences"/>
    <n v="1"/>
    <n v="73"/>
    <n v="1"/>
    <s v="Female"/>
    <n v="98"/>
    <n v="3"/>
    <x v="2"/>
    <s v="Research Director"/>
    <n v="4"/>
    <s v="Single"/>
    <n v="13458"/>
    <n v="15146"/>
    <n v="1"/>
    <s v="Y"/>
    <s v="Yes"/>
    <s v="Yes"/>
    <n v="12"/>
    <n v="3"/>
    <n v="3"/>
    <n v="80"/>
    <n v="0"/>
    <n v="15"/>
    <s v="6-15"/>
    <n v="1"/>
    <n v="3"/>
    <n v="15"/>
    <n v="14"/>
    <n v="8"/>
    <n v="12"/>
    <s v="Ok"/>
    <n v="28.03672316384181"/>
    <s v="No"/>
    <s v="Low Risk"/>
  </r>
  <r>
    <n v="35"/>
    <x v="1"/>
    <s v="No"/>
    <s v="Travel_Frequently"/>
    <n v="853"/>
    <x v="0"/>
    <n v="18"/>
    <n v="5"/>
    <s v="Life Sciences"/>
    <n v="1"/>
    <n v="74"/>
    <n v="2"/>
    <s v="Male"/>
    <n v="71"/>
    <n v="3"/>
    <x v="2"/>
    <s v="Sales Executive"/>
    <n v="1"/>
    <s v="Married"/>
    <n v="9069"/>
    <n v="11031"/>
    <n v="1"/>
    <s v="Y"/>
    <s v="No"/>
    <s v="No"/>
    <n v="22"/>
    <n v="4"/>
    <n v="4"/>
    <n v="80"/>
    <n v="1"/>
    <n v="9"/>
    <s v="6-15"/>
    <n v="3"/>
    <n v="2"/>
    <n v="9"/>
    <n v="8"/>
    <n v="1"/>
    <n v="8"/>
    <s v="Ok"/>
    <n v="27.985865724381625"/>
    <s v="No"/>
    <s v="Low Risk"/>
  </r>
  <r>
    <n v="35"/>
    <x v="1"/>
    <s v="No"/>
    <s v="Travel_Rarely"/>
    <n v="1142"/>
    <x v="1"/>
    <n v="23"/>
    <n v="4"/>
    <s v="Medical"/>
    <n v="1"/>
    <n v="75"/>
    <n v="3"/>
    <s v="Female"/>
    <n v="30"/>
    <n v="3"/>
    <x v="1"/>
    <s v="Laboratory Technician"/>
    <n v="1"/>
    <s v="Married"/>
    <n v="4014"/>
    <n v="16002"/>
    <n v="3"/>
    <s v="Y"/>
    <s v="Yes"/>
    <s v="Yes"/>
    <n v="15"/>
    <n v="3"/>
    <n v="3"/>
    <n v="80"/>
    <n v="1"/>
    <n v="4"/>
    <s v="0-5"/>
    <n v="3"/>
    <n v="3"/>
    <n v="2"/>
    <n v="2"/>
    <n v="2"/>
    <n v="2"/>
    <s v="Below Avg"/>
    <n v="27.934936350777935"/>
    <s v="No"/>
    <s v="Low Risk"/>
  </r>
  <r>
    <n v="31"/>
    <x v="1"/>
    <s v="No"/>
    <s v="Travel_Rarely"/>
    <n v="655"/>
    <x v="1"/>
    <n v="7"/>
    <n v="4"/>
    <s v="Life Sciences"/>
    <n v="1"/>
    <n v="76"/>
    <n v="4"/>
    <s v="Male"/>
    <n v="48"/>
    <n v="3"/>
    <x v="0"/>
    <s v="Laboratory Technician"/>
    <n v="4"/>
    <s v="Divorced"/>
    <n v="5915"/>
    <n v="9528"/>
    <n v="3"/>
    <s v="Y"/>
    <s v="No"/>
    <s v="No"/>
    <n v="22"/>
    <n v="4"/>
    <n v="4"/>
    <n v="80"/>
    <n v="1"/>
    <n v="10"/>
    <s v="6-15"/>
    <n v="3"/>
    <n v="2"/>
    <n v="7"/>
    <n v="7"/>
    <n v="1"/>
    <n v="7"/>
    <s v="Below Avg"/>
    <n v="27.954706298655342"/>
    <s v="No"/>
    <s v="Low Risk"/>
  </r>
  <r>
    <n v="37"/>
    <x v="1"/>
    <s v="No"/>
    <s v="Travel_Rarely"/>
    <n v="1115"/>
    <x v="1"/>
    <n v="1"/>
    <n v="4"/>
    <s v="Life Sciences"/>
    <n v="1"/>
    <n v="77"/>
    <n v="1"/>
    <s v="Male"/>
    <n v="51"/>
    <n v="2"/>
    <x v="0"/>
    <s v="Manufacturing Director"/>
    <n v="3"/>
    <s v="Divorced"/>
    <n v="5993"/>
    <n v="2689"/>
    <n v="1"/>
    <s v="Y"/>
    <s v="No"/>
    <s v="No"/>
    <n v="18"/>
    <n v="3"/>
    <n v="3"/>
    <n v="80"/>
    <n v="1"/>
    <n v="7"/>
    <s v="6-15"/>
    <n v="2"/>
    <n v="4"/>
    <n v="7"/>
    <n v="5"/>
    <n v="0"/>
    <n v="7"/>
    <s v="Below Avg"/>
    <n v="27.90368271954674"/>
    <s v="No"/>
    <s v="Low Risk"/>
  </r>
  <r>
    <n v="32"/>
    <x v="1"/>
    <s v="No"/>
    <s v="Travel_Rarely"/>
    <n v="427"/>
    <x v="1"/>
    <n v="1"/>
    <n v="3"/>
    <s v="Medical"/>
    <n v="1"/>
    <n v="78"/>
    <n v="1"/>
    <s v="Male"/>
    <n v="33"/>
    <n v="3"/>
    <x v="0"/>
    <s v="Manufacturing Director"/>
    <n v="4"/>
    <s v="Married"/>
    <n v="6162"/>
    <n v="10877"/>
    <n v="1"/>
    <s v="Y"/>
    <s v="Yes"/>
    <s v="Yes"/>
    <n v="22"/>
    <n v="4"/>
    <n v="2"/>
    <n v="80"/>
    <n v="1"/>
    <n v="9"/>
    <s v="6-15"/>
    <n v="3"/>
    <n v="3"/>
    <n v="9"/>
    <n v="8"/>
    <n v="7"/>
    <n v="8"/>
    <s v="Below Avg"/>
    <n v="27.923458540042525"/>
    <s v="No"/>
    <s v="Low Risk"/>
  </r>
  <r>
    <n v="38"/>
    <x v="1"/>
    <s v="No"/>
    <s v="Travel_Frequently"/>
    <n v="653"/>
    <x v="1"/>
    <n v="29"/>
    <n v="5"/>
    <s v="Life Sciences"/>
    <n v="1"/>
    <n v="79"/>
    <n v="4"/>
    <s v="Female"/>
    <n v="50"/>
    <n v="3"/>
    <x v="0"/>
    <s v="Laboratory Technician"/>
    <n v="4"/>
    <s v="Single"/>
    <n v="2406"/>
    <n v="5456"/>
    <n v="1"/>
    <s v="Y"/>
    <s v="No"/>
    <s v="No"/>
    <n v="11"/>
    <n v="3"/>
    <n v="4"/>
    <n v="80"/>
    <n v="0"/>
    <n v="10"/>
    <s v="6-15"/>
    <n v="2"/>
    <n v="3"/>
    <n v="10"/>
    <n v="3"/>
    <n v="9"/>
    <n v="9"/>
    <s v="Below Avg"/>
    <n v="27.943262411347519"/>
    <s v="No"/>
    <s v="Low Risk"/>
  </r>
  <r>
    <n v="50"/>
    <x v="1"/>
    <s v="No"/>
    <s v="Travel_Rarely"/>
    <n v="989"/>
    <x v="1"/>
    <n v="7"/>
    <n v="2"/>
    <s v="Medical"/>
    <n v="1"/>
    <n v="80"/>
    <n v="2"/>
    <s v="Female"/>
    <n v="43"/>
    <n v="2"/>
    <x v="4"/>
    <s v="Research Director"/>
    <n v="3"/>
    <s v="Divorced"/>
    <n v="18740"/>
    <n v="16701"/>
    <n v="5"/>
    <s v="Y"/>
    <s v="Yes"/>
    <s v="Yes"/>
    <n v="12"/>
    <n v="3"/>
    <n v="4"/>
    <n v="80"/>
    <n v="1"/>
    <n v="29"/>
    <s v="&gt;15"/>
    <n v="2"/>
    <n v="2"/>
    <n v="27"/>
    <n v="3"/>
    <n v="13"/>
    <n v="8"/>
    <s v="Ok"/>
    <n v="27.892122072391768"/>
    <s v="No"/>
    <s v="Low Risk"/>
  </r>
  <r>
    <n v="59"/>
    <x v="1"/>
    <s v="No"/>
    <s v="Travel_Rarely"/>
    <n v="1435"/>
    <x v="0"/>
    <n v="25"/>
    <n v="3"/>
    <s v="Life Sciences"/>
    <n v="1"/>
    <n v="81"/>
    <n v="1"/>
    <s v="Female"/>
    <n v="99"/>
    <n v="3"/>
    <x v="2"/>
    <s v="Sales Executive"/>
    <n v="1"/>
    <s v="Single"/>
    <n v="7637"/>
    <n v="2354"/>
    <n v="7"/>
    <s v="Y"/>
    <s v="No"/>
    <s v="No"/>
    <n v="11"/>
    <n v="3"/>
    <n v="4"/>
    <n v="80"/>
    <n v="0"/>
    <n v="28"/>
    <s v="&gt;15"/>
    <n v="3"/>
    <n v="2"/>
    <n v="21"/>
    <n v="16"/>
    <n v="7"/>
    <n v="9"/>
    <s v="Ok"/>
    <n v="27.911931818181817"/>
    <s v="No"/>
    <s v="Low Risk"/>
  </r>
  <r>
    <n v="36"/>
    <x v="1"/>
    <s v="No"/>
    <s v="Travel_Rarely"/>
    <n v="1223"/>
    <x v="1"/>
    <n v="8"/>
    <n v="3"/>
    <s v="Technical Degree"/>
    <n v="1"/>
    <n v="83"/>
    <n v="3"/>
    <s v="Female"/>
    <n v="59"/>
    <n v="3"/>
    <x v="2"/>
    <s v="Healthcare Representative"/>
    <n v="3"/>
    <s v="Divorced"/>
    <n v="10096"/>
    <n v="8202"/>
    <n v="1"/>
    <s v="Y"/>
    <s v="No"/>
    <s v="No"/>
    <n v="13"/>
    <n v="3"/>
    <n v="2"/>
    <n v="80"/>
    <n v="3"/>
    <n v="17"/>
    <s v="&gt;15"/>
    <n v="2"/>
    <n v="3"/>
    <n v="17"/>
    <n v="14"/>
    <n v="12"/>
    <n v="8"/>
    <s v="Ok"/>
    <n v="27.860696517412936"/>
    <s v="No"/>
    <s v="Low Risk"/>
  </r>
  <r>
    <n v="55"/>
    <x v="1"/>
    <s v="No"/>
    <s v="Travel_Rarely"/>
    <n v="836"/>
    <x v="1"/>
    <n v="8"/>
    <n v="3"/>
    <s v="Medical"/>
    <n v="1"/>
    <n v="84"/>
    <n v="4"/>
    <s v="Female"/>
    <n v="33"/>
    <n v="3"/>
    <x v="3"/>
    <s v="Manager"/>
    <n v="3"/>
    <s v="Divorced"/>
    <n v="14756"/>
    <n v="19730"/>
    <n v="2"/>
    <s v="Y"/>
    <s v="Yes"/>
    <s v="Yes"/>
    <n v="14"/>
    <n v="3"/>
    <n v="3"/>
    <n v="80"/>
    <n v="3"/>
    <n v="21"/>
    <s v="&gt;15"/>
    <n v="2"/>
    <n v="3"/>
    <n v="5"/>
    <n v="0"/>
    <n v="0"/>
    <n v="2"/>
    <s v="Ok"/>
    <n v="27.880512091038405"/>
    <s v="No"/>
    <s v="Low Risk"/>
  </r>
  <r>
    <n v="36"/>
    <x v="1"/>
    <s v="No"/>
    <s v="Travel_Frequently"/>
    <n v="1195"/>
    <x v="1"/>
    <n v="11"/>
    <n v="3"/>
    <s v="Life Sciences"/>
    <n v="1"/>
    <n v="85"/>
    <n v="2"/>
    <s v="Male"/>
    <n v="95"/>
    <n v="2"/>
    <x v="0"/>
    <s v="Manufacturing Director"/>
    <n v="2"/>
    <s v="Single"/>
    <n v="6499"/>
    <n v="22656"/>
    <n v="1"/>
    <s v="Y"/>
    <s v="No"/>
    <s v="No"/>
    <n v="13"/>
    <n v="3"/>
    <n v="3"/>
    <n v="80"/>
    <n v="0"/>
    <n v="6"/>
    <s v="6-15"/>
    <n v="3"/>
    <n v="3"/>
    <n v="6"/>
    <n v="5"/>
    <n v="0"/>
    <n v="3"/>
    <s v="Ok"/>
    <n v="27.900355871886124"/>
    <s v="No"/>
    <s v="Low Risk"/>
  </r>
  <r>
    <n v="45"/>
    <x v="1"/>
    <s v="No"/>
    <s v="Travel_Rarely"/>
    <n v="1339"/>
    <x v="1"/>
    <n v="7"/>
    <n v="3"/>
    <s v="Life Sciences"/>
    <n v="1"/>
    <n v="86"/>
    <n v="2"/>
    <s v="Male"/>
    <n v="59"/>
    <n v="3"/>
    <x v="2"/>
    <s v="Research Scientist"/>
    <n v="1"/>
    <s v="Divorced"/>
    <n v="9724"/>
    <n v="18787"/>
    <n v="2"/>
    <s v="Y"/>
    <s v="No"/>
    <s v="No"/>
    <n v="17"/>
    <n v="3"/>
    <n v="3"/>
    <n v="80"/>
    <n v="1"/>
    <n v="25"/>
    <s v="&gt;15"/>
    <n v="2"/>
    <n v="3"/>
    <n v="1"/>
    <n v="0"/>
    <n v="0"/>
    <n v="0"/>
    <s v="Ok"/>
    <n v="27.849002849002847"/>
    <s v="No"/>
    <s v="Low Risk"/>
  </r>
  <r>
    <n v="35"/>
    <x v="1"/>
    <s v="No"/>
    <s v="Travel_Frequently"/>
    <n v="664"/>
    <x v="1"/>
    <n v="1"/>
    <n v="3"/>
    <s v="Medical"/>
    <n v="1"/>
    <n v="88"/>
    <n v="2"/>
    <s v="Male"/>
    <n v="79"/>
    <n v="3"/>
    <x v="1"/>
    <s v="Research Scientist"/>
    <n v="1"/>
    <s v="Married"/>
    <n v="2194"/>
    <n v="5868"/>
    <n v="4"/>
    <s v="Y"/>
    <s v="No"/>
    <s v="No"/>
    <n v="13"/>
    <n v="3"/>
    <n v="4"/>
    <n v="80"/>
    <n v="1"/>
    <n v="5"/>
    <s v="0-5"/>
    <n v="2"/>
    <n v="2"/>
    <n v="3"/>
    <n v="2"/>
    <n v="1"/>
    <n v="2"/>
    <s v="Below Avg"/>
    <n v="27.868852459016392"/>
    <s v="No"/>
    <s v="Low Risk"/>
  </r>
  <r>
    <n v="36"/>
    <x v="0"/>
    <s v="Yes"/>
    <s v="Travel_Rarely"/>
    <n v="318"/>
    <x v="1"/>
    <n v="9"/>
    <n v="3"/>
    <s v="Medical"/>
    <n v="1"/>
    <n v="90"/>
    <n v="4"/>
    <s v="Male"/>
    <n v="79"/>
    <n v="2"/>
    <x v="1"/>
    <s v="Research Scientist"/>
    <n v="3"/>
    <s v="Married"/>
    <n v="3388"/>
    <n v="21777"/>
    <n v="0"/>
    <s v="Y"/>
    <s v="Yes"/>
    <s v="Yes"/>
    <n v="17"/>
    <n v="3"/>
    <n v="1"/>
    <n v="80"/>
    <n v="1"/>
    <n v="2"/>
    <s v="0-5"/>
    <n v="0"/>
    <n v="2"/>
    <n v="1"/>
    <n v="0"/>
    <n v="0"/>
    <n v="0"/>
    <s v="Below Avg"/>
    <n v="27.888730385164052"/>
    <s v="No"/>
    <s v="High Risk"/>
  </r>
  <r>
    <n v="59"/>
    <x v="1"/>
    <s v="No"/>
    <s v="Travel_Frequently"/>
    <n v="1225"/>
    <x v="0"/>
    <n v="1"/>
    <n v="1"/>
    <s v="Life Sciences"/>
    <n v="1"/>
    <n v="91"/>
    <n v="1"/>
    <s v="Female"/>
    <n v="57"/>
    <n v="2"/>
    <x v="0"/>
    <s v="Sales Executive"/>
    <n v="3"/>
    <s v="Single"/>
    <n v="5473"/>
    <n v="24668"/>
    <n v="7"/>
    <s v="Y"/>
    <s v="No"/>
    <s v="No"/>
    <n v="11"/>
    <n v="3"/>
    <n v="4"/>
    <n v="80"/>
    <n v="0"/>
    <n v="20"/>
    <s v="&gt;15"/>
    <n v="2"/>
    <n v="2"/>
    <n v="4"/>
    <n v="3"/>
    <n v="1"/>
    <n v="3"/>
    <s v="Below Avg"/>
    <n v="27.908636688079941"/>
    <s v="No"/>
    <s v="Low Risk"/>
  </r>
  <r>
    <n v="29"/>
    <x v="1"/>
    <s v="No"/>
    <s v="Travel_Rarely"/>
    <n v="1328"/>
    <x v="1"/>
    <n v="2"/>
    <n v="3"/>
    <s v="Life Sciences"/>
    <n v="1"/>
    <n v="94"/>
    <n v="3"/>
    <s v="Male"/>
    <n v="76"/>
    <n v="3"/>
    <x v="1"/>
    <s v="Research Scientist"/>
    <n v="2"/>
    <s v="Married"/>
    <n v="2703"/>
    <n v="4956"/>
    <n v="0"/>
    <s v="Y"/>
    <s v="No"/>
    <s v="No"/>
    <n v="23"/>
    <n v="4"/>
    <n v="4"/>
    <n v="80"/>
    <n v="1"/>
    <n v="6"/>
    <s v="6-15"/>
    <n v="3"/>
    <n v="3"/>
    <n v="5"/>
    <n v="4"/>
    <n v="0"/>
    <n v="4"/>
    <s v="Below Avg"/>
    <n v="27.857142857142858"/>
    <s v="No"/>
    <s v="Low Risk"/>
  </r>
  <r>
    <n v="31"/>
    <x v="1"/>
    <s v="No"/>
    <s v="Travel_Rarely"/>
    <n v="1082"/>
    <x v="1"/>
    <n v="1"/>
    <n v="4"/>
    <s v="Medical"/>
    <n v="1"/>
    <n v="95"/>
    <n v="3"/>
    <s v="Male"/>
    <n v="87"/>
    <n v="3"/>
    <x v="1"/>
    <s v="Research Scientist"/>
    <n v="2"/>
    <s v="Single"/>
    <n v="2501"/>
    <n v="18775"/>
    <n v="1"/>
    <s v="Y"/>
    <s v="No"/>
    <s v="No"/>
    <n v="17"/>
    <n v="3"/>
    <n v="2"/>
    <n v="80"/>
    <n v="0"/>
    <n v="1"/>
    <s v="0-5"/>
    <n v="4"/>
    <n v="3"/>
    <n v="1"/>
    <n v="1"/>
    <n v="1"/>
    <n v="0"/>
    <s v="Below Avg"/>
    <n v="27.877055039313799"/>
    <s v="No"/>
    <s v="Low Risk"/>
  </r>
  <r>
    <n v="32"/>
    <x v="1"/>
    <s v="No"/>
    <s v="Travel_Rarely"/>
    <n v="548"/>
    <x v="1"/>
    <n v="1"/>
    <n v="3"/>
    <s v="Life Sciences"/>
    <n v="1"/>
    <n v="96"/>
    <n v="2"/>
    <s v="Male"/>
    <n v="66"/>
    <n v="3"/>
    <x v="0"/>
    <s v="Research Scientist"/>
    <n v="2"/>
    <s v="Married"/>
    <n v="6220"/>
    <n v="7346"/>
    <n v="1"/>
    <s v="Y"/>
    <s v="No"/>
    <s v="No"/>
    <n v="17"/>
    <n v="3"/>
    <n v="2"/>
    <n v="80"/>
    <n v="2"/>
    <n v="10"/>
    <s v="6-15"/>
    <n v="3"/>
    <n v="3"/>
    <n v="10"/>
    <n v="4"/>
    <n v="0"/>
    <n v="9"/>
    <s v="Below Avg"/>
    <n v="27.896995708154503"/>
    <s v="No"/>
    <s v="Low Risk"/>
  </r>
  <r>
    <n v="36"/>
    <x v="1"/>
    <s v="No"/>
    <s v="Travel_Rarely"/>
    <n v="132"/>
    <x v="1"/>
    <n v="6"/>
    <n v="3"/>
    <s v="Life Sciences"/>
    <n v="1"/>
    <n v="97"/>
    <n v="2"/>
    <s v="Female"/>
    <n v="55"/>
    <n v="4"/>
    <x v="1"/>
    <s v="Laboratory Technician"/>
    <n v="4"/>
    <s v="Married"/>
    <n v="3038"/>
    <n v="22002"/>
    <n v="3"/>
    <s v="Y"/>
    <s v="No"/>
    <s v="No"/>
    <n v="12"/>
    <n v="3"/>
    <n v="2"/>
    <n v="80"/>
    <n v="0"/>
    <n v="5"/>
    <s v="0-5"/>
    <n v="3"/>
    <n v="3"/>
    <n v="1"/>
    <n v="0"/>
    <n v="0"/>
    <n v="0"/>
    <s v="Below Avg"/>
    <n v="27.91696492483894"/>
    <s v="No"/>
    <s v="Low Risk"/>
  </r>
  <r>
    <n v="31"/>
    <x v="1"/>
    <s v="No"/>
    <s v="Travel_Rarely"/>
    <n v="746"/>
    <x v="1"/>
    <n v="8"/>
    <n v="4"/>
    <s v="Life Sciences"/>
    <n v="1"/>
    <n v="98"/>
    <n v="3"/>
    <s v="Female"/>
    <n v="61"/>
    <n v="3"/>
    <x v="0"/>
    <s v="Manufacturing Director"/>
    <n v="4"/>
    <s v="Single"/>
    <n v="4424"/>
    <n v="20682"/>
    <n v="1"/>
    <s v="Y"/>
    <s v="No"/>
    <s v="No"/>
    <n v="23"/>
    <n v="4"/>
    <n v="4"/>
    <n v="80"/>
    <n v="0"/>
    <n v="11"/>
    <s v="6-15"/>
    <n v="2"/>
    <n v="3"/>
    <n v="11"/>
    <n v="7"/>
    <n v="1"/>
    <n v="8"/>
    <s v="Below Avg"/>
    <n v="27.936962750716333"/>
    <s v="No"/>
    <s v="Low Risk"/>
  </r>
  <r>
    <n v="35"/>
    <x v="1"/>
    <s v="No"/>
    <s v="Travel_Rarely"/>
    <n v="776"/>
    <x v="0"/>
    <n v="1"/>
    <n v="4"/>
    <s v="Marketing"/>
    <n v="1"/>
    <n v="100"/>
    <n v="3"/>
    <s v="Male"/>
    <n v="32"/>
    <n v="2"/>
    <x v="0"/>
    <s v="Sales Executive"/>
    <n v="1"/>
    <s v="Single"/>
    <n v="4312"/>
    <n v="23016"/>
    <n v="0"/>
    <s v="Y"/>
    <s v="No"/>
    <s v="No"/>
    <n v="14"/>
    <n v="3"/>
    <n v="2"/>
    <n v="80"/>
    <n v="0"/>
    <n v="16"/>
    <s v="&gt;15"/>
    <n v="2"/>
    <n v="3"/>
    <n v="15"/>
    <n v="13"/>
    <n v="2"/>
    <n v="8"/>
    <s v="Below Avg"/>
    <n v="27.956989247311824"/>
    <s v="No"/>
    <s v="Low Risk"/>
  </r>
  <r>
    <n v="45"/>
    <x v="1"/>
    <s v="No"/>
    <s v="Travel_Rarely"/>
    <n v="193"/>
    <x v="1"/>
    <n v="6"/>
    <n v="4"/>
    <s v="Other"/>
    <n v="1"/>
    <n v="101"/>
    <n v="4"/>
    <s v="Male"/>
    <n v="52"/>
    <n v="3"/>
    <x v="2"/>
    <s v="Research Director"/>
    <n v="1"/>
    <s v="Married"/>
    <n v="13245"/>
    <n v="15067"/>
    <n v="4"/>
    <s v="Y"/>
    <s v="Yes"/>
    <s v="Yes"/>
    <n v="14"/>
    <n v="3"/>
    <n v="2"/>
    <n v="80"/>
    <n v="0"/>
    <n v="17"/>
    <s v="&gt;15"/>
    <n v="3"/>
    <n v="4"/>
    <n v="0"/>
    <n v="0"/>
    <n v="0"/>
    <n v="0"/>
    <s v="Ok"/>
    <n v="27.977044476327116"/>
    <s v="No"/>
    <s v="Low Risk"/>
  </r>
  <r>
    <n v="37"/>
    <x v="1"/>
    <s v="No"/>
    <s v="Travel_Rarely"/>
    <n v="397"/>
    <x v="1"/>
    <n v="7"/>
    <n v="4"/>
    <s v="Medical"/>
    <n v="1"/>
    <n v="102"/>
    <n v="1"/>
    <s v="Male"/>
    <n v="30"/>
    <n v="3"/>
    <x v="2"/>
    <s v="Research Director"/>
    <n v="3"/>
    <s v="Single"/>
    <n v="13664"/>
    <n v="25258"/>
    <n v="4"/>
    <s v="Y"/>
    <s v="No"/>
    <s v="No"/>
    <n v="13"/>
    <n v="3"/>
    <n v="1"/>
    <n v="80"/>
    <n v="0"/>
    <n v="16"/>
    <s v="&gt;15"/>
    <n v="3"/>
    <n v="4"/>
    <n v="5"/>
    <n v="2"/>
    <n v="0"/>
    <n v="2"/>
    <s v="Ok"/>
    <n v="27.997128499641061"/>
    <s v="No"/>
    <s v="Low Risk"/>
  </r>
  <r>
    <n v="46"/>
    <x v="1"/>
    <s v="No"/>
    <s v="Travel_Rarely"/>
    <n v="945"/>
    <x v="2"/>
    <n v="5"/>
    <n v="2"/>
    <s v="Medical"/>
    <n v="1"/>
    <n v="103"/>
    <n v="2"/>
    <s v="Male"/>
    <n v="80"/>
    <n v="3"/>
    <x v="0"/>
    <s v="Human Resources"/>
    <n v="2"/>
    <s v="Divorced"/>
    <n v="5021"/>
    <n v="10425"/>
    <n v="8"/>
    <s v="Y"/>
    <s v="Yes"/>
    <s v="Yes"/>
    <n v="22"/>
    <n v="4"/>
    <n v="4"/>
    <n v="80"/>
    <n v="1"/>
    <n v="16"/>
    <s v="&gt;15"/>
    <n v="2"/>
    <n v="3"/>
    <n v="4"/>
    <n v="2"/>
    <n v="0"/>
    <n v="2"/>
    <s v="Below Avg"/>
    <n v="27.945402298850574"/>
    <s v="No"/>
    <s v="Low Risk"/>
  </r>
  <r>
    <n v="30"/>
    <x v="1"/>
    <s v="No"/>
    <s v="Travel_Rarely"/>
    <n v="852"/>
    <x v="1"/>
    <n v="1"/>
    <n v="1"/>
    <s v="Life Sciences"/>
    <n v="1"/>
    <n v="104"/>
    <n v="4"/>
    <s v="Male"/>
    <n v="55"/>
    <n v="2"/>
    <x v="0"/>
    <s v="Laboratory Technician"/>
    <n v="4"/>
    <s v="Married"/>
    <n v="5126"/>
    <n v="15998"/>
    <n v="1"/>
    <s v="Y"/>
    <s v="Yes"/>
    <s v="Yes"/>
    <n v="12"/>
    <n v="3"/>
    <n v="3"/>
    <n v="80"/>
    <n v="2"/>
    <n v="10"/>
    <s v="6-15"/>
    <n v="1"/>
    <n v="2"/>
    <n v="10"/>
    <n v="8"/>
    <n v="3"/>
    <n v="0"/>
    <s v="Below Avg"/>
    <n v="27.965492451473761"/>
    <s v="No"/>
    <s v="Low Risk"/>
  </r>
  <r>
    <n v="35"/>
    <x v="1"/>
    <s v="No"/>
    <s v="Travel_Rarely"/>
    <n v="1214"/>
    <x v="1"/>
    <n v="1"/>
    <n v="3"/>
    <s v="Medical"/>
    <n v="1"/>
    <n v="105"/>
    <n v="2"/>
    <s v="Male"/>
    <n v="30"/>
    <n v="2"/>
    <x v="1"/>
    <s v="Research Scientist"/>
    <n v="3"/>
    <s v="Single"/>
    <n v="2859"/>
    <n v="26278"/>
    <n v="1"/>
    <s v="Y"/>
    <s v="No"/>
    <s v="No"/>
    <n v="18"/>
    <n v="3"/>
    <n v="1"/>
    <n v="80"/>
    <n v="0"/>
    <n v="6"/>
    <s v="6-15"/>
    <n v="3"/>
    <n v="3"/>
    <n v="6"/>
    <n v="4"/>
    <n v="0"/>
    <n v="4"/>
    <s v="Below Avg"/>
    <n v="27.913669064748202"/>
    <s v="No"/>
    <s v="Low Risk"/>
  </r>
  <r>
    <n v="55"/>
    <x v="1"/>
    <s v="No"/>
    <s v="Travel_Rarely"/>
    <n v="111"/>
    <x v="0"/>
    <n v="1"/>
    <n v="2"/>
    <s v="Life Sciences"/>
    <n v="1"/>
    <n v="106"/>
    <n v="1"/>
    <s v="Male"/>
    <n v="70"/>
    <n v="3"/>
    <x v="2"/>
    <s v="Sales Executive"/>
    <n v="4"/>
    <s v="Married"/>
    <n v="10239"/>
    <n v="18092"/>
    <n v="3"/>
    <s v="Y"/>
    <s v="No"/>
    <s v="No"/>
    <n v="14"/>
    <n v="3"/>
    <n v="4"/>
    <n v="80"/>
    <n v="1"/>
    <n v="24"/>
    <s v="&gt;15"/>
    <n v="4"/>
    <n v="3"/>
    <n v="1"/>
    <n v="0"/>
    <n v="1"/>
    <n v="0"/>
    <s v="Ok"/>
    <n v="27.861771058315334"/>
    <s v="No"/>
    <s v="Low Risk"/>
  </r>
  <r>
    <n v="38"/>
    <x v="1"/>
    <s v="No"/>
    <s v="Non-Travel"/>
    <n v="573"/>
    <x v="1"/>
    <n v="6"/>
    <n v="3"/>
    <s v="Medical"/>
    <n v="1"/>
    <n v="107"/>
    <n v="2"/>
    <s v="Female"/>
    <n v="79"/>
    <n v="1"/>
    <x v="0"/>
    <s v="Research Scientist"/>
    <n v="4"/>
    <s v="Divorced"/>
    <n v="5329"/>
    <n v="15717"/>
    <n v="7"/>
    <s v="Y"/>
    <s v="Yes"/>
    <s v="Yes"/>
    <n v="12"/>
    <n v="3"/>
    <n v="4"/>
    <n v="80"/>
    <n v="3"/>
    <n v="17"/>
    <s v="&gt;15"/>
    <n v="3"/>
    <n v="3"/>
    <n v="13"/>
    <n v="11"/>
    <n v="1"/>
    <n v="9"/>
    <s v="Below Avg"/>
    <n v="27.881844380403457"/>
    <s v="No"/>
    <s v="Low Risk"/>
  </r>
  <r>
    <n v="34"/>
    <x v="1"/>
    <s v="No"/>
    <s v="Travel_Rarely"/>
    <n v="1153"/>
    <x v="1"/>
    <n v="1"/>
    <n v="2"/>
    <s v="Medical"/>
    <n v="1"/>
    <n v="110"/>
    <n v="1"/>
    <s v="Male"/>
    <n v="94"/>
    <n v="3"/>
    <x v="0"/>
    <s v="Manufacturing Director"/>
    <n v="2"/>
    <s v="Married"/>
    <n v="4325"/>
    <n v="17736"/>
    <n v="1"/>
    <s v="Y"/>
    <s v="No"/>
    <s v="No"/>
    <n v="15"/>
    <n v="3"/>
    <n v="3"/>
    <n v="80"/>
    <n v="0"/>
    <n v="5"/>
    <s v="0-5"/>
    <n v="2"/>
    <n v="3"/>
    <n v="5"/>
    <n v="2"/>
    <n v="1"/>
    <n v="3"/>
    <s v="Below Avg"/>
    <n v="27.901946647440518"/>
    <s v="No"/>
    <s v="Low Risk"/>
  </r>
  <r>
    <n v="56"/>
    <x v="1"/>
    <s v="No"/>
    <s v="Travel_Rarely"/>
    <n v="1400"/>
    <x v="1"/>
    <n v="7"/>
    <n v="3"/>
    <s v="Life Sciences"/>
    <n v="1"/>
    <n v="112"/>
    <n v="4"/>
    <s v="Male"/>
    <n v="49"/>
    <n v="1"/>
    <x v="2"/>
    <s v="Manufacturing Director"/>
    <n v="4"/>
    <s v="Single"/>
    <n v="7260"/>
    <n v="21698"/>
    <n v="4"/>
    <s v="Y"/>
    <s v="No"/>
    <s v="No"/>
    <n v="11"/>
    <n v="3"/>
    <n v="1"/>
    <n v="80"/>
    <n v="0"/>
    <n v="37"/>
    <s v="&gt;15"/>
    <n v="3"/>
    <n v="2"/>
    <n v="6"/>
    <n v="4"/>
    <n v="0"/>
    <n v="2"/>
    <s v="Ok"/>
    <n v="27.849927849927852"/>
    <s v="No"/>
    <s v="Low Risk"/>
  </r>
  <r>
    <n v="23"/>
    <x v="1"/>
    <s v="No"/>
    <s v="Travel_Rarely"/>
    <n v="541"/>
    <x v="0"/>
    <n v="2"/>
    <n v="1"/>
    <s v="Technical Degree"/>
    <n v="1"/>
    <n v="113"/>
    <n v="3"/>
    <s v="Male"/>
    <n v="62"/>
    <n v="3"/>
    <x v="1"/>
    <s v="Sales Representative"/>
    <n v="1"/>
    <s v="Divorced"/>
    <n v="2322"/>
    <n v="9518"/>
    <n v="3"/>
    <s v="Y"/>
    <s v="No"/>
    <s v="No"/>
    <n v="13"/>
    <n v="3"/>
    <n v="3"/>
    <n v="80"/>
    <n v="1"/>
    <n v="3"/>
    <s v="0-5"/>
    <n v="3"/>
    <n v="3"/>
    <n v="0"/>
    <n v="0"/>
    <n v="0"/>
    <n v="0"/>
    <s v="Below Avg"/>
    <n v="27.870036101083034"/>
    <s v="No"/>
    <s v="Low Risk"/>
  </r>
  <r>
    <n v="51"/>
    <x v="1"/>
    <s v="No"/>
    <s v="Travel_Rarely"/>
    <n v="432"/>
    <x v="1"/>
    <n v="9"/>
    <n v="4"/>
    <s v="Life Sciences"/>
    <n v="1"/>
    <n v="116"/>
    <n v="4"/>
    <s v="Male"/>
    <n v="96"/>
    <n v="3"/>
    <x v="1"/>
    <s v="Laboratory Technician"/>
    <n v="4"/>
    <s v="Married"/>
    <n v="2075"/>
    <n v="18725"/>
    <n v="3"/>
    <s v="Y"/>
    <s v="No"/>
    <s v="No"/>
    <n v="23"/>
    <n v="4"/>
    <n v="2"/>
    <n v="80"/>
    <n v="2"/>
    <n v="10"/>
    <s v="6-15"/>
    <n v="4"/>
    <n v="3"/>
    <n v="4"/>
    <n v="2"/>
    <n v="0"/>
    <n v="3"/>
    <s v="Below Avg"/>
    <n v="27.890173410404621"/>
    <s v="No"/>
    <s v="Low Risk"/>
  </r>
  <r>
    <n v="30"/>
    <x v="1"/>
    <s v="No"/>
    <s v="Travel_Rarely"/>
    <n v="288"/>
    <x v="1"/>
    <n v="2"/>
    <n v="3"/>
    <s v="Life Sciences"/>
    <n v="1"/>
    <n v="117"/>
    <n v="3"/>
    <s v="Male"/>
    <n v="99"/>
    <n v="2"/>
    <x v="0"/>
    <s v="Healthcare Representative"/>
    <n v="4"/>
    <s v="Married"/>
    <n v="4152"/>
    <n v="15830"/>
    <n v="1"/>
    <s v="Y"/>
    <s v="No"/>
    <s v="No"/>
    <n v="19"/>
    <n v="3"/>
    <n v="1"/>
    <n v="80"/>
    <n v="3"/>
    <n v="11"/>
    <s v="6-15"/>
    <n v="3"/>
    <n v="3"/>
    <n v="11"/>
    <n v="10"/>
    <n v="10"/>
    <n v="8"/>
    <s v="Below Avg"/>
    <n v="27.910339840925523"/>
    <s v="No"/>
    <s v="Low Risk"/>
  </r>
  <r>
    <n v="46"/>
    <x v="0"/>
    <s v="Yes"/>
    <s v="Travel_Rarely"/>
    <n v="669"/>
    <x v="0"/>
    <n v="9"/>
    <n v="2"/>
    <s v="Medical"/>
    <n v="1"/>
    <n v="118"/>
    <n v="3"/>
    <s v="Male"/>
    <n v="64"/>
    <n v="2"/>
    <x v="2"/>
    <s v="Sales Executive"/>
    <n v="4"/>
    <s v="Single"/>
    <n v="9619"/>
    <n v="13596"/>
    <n v="1"/>
    <s v="Y"/>
    <s v="No"/>
    <s v="No"/>
    <n v="16"/>
    <n v="3"/>
    <n v="4"/>
    <n v="80"/>
    <n v="0"/>
    <n v="9"/>
    <s v="6-15"/>
    <n v="3"/>
    <n v="3"/>
    <n v="9"/>
    <n v="8"/>
    <n v="4"/>
    <n v="7"/>
    <s v="Ok"/>
    <n v="27.930535455861072"/>
    <s v="No"/>
    <s v="Low Risk"/>
  </r>
  <r>
    <n v="40"/>
    <x v="1"/>
    <s v="No"/>
    <s v="Travel_Frequently"/>
    <n v="530"/>
    <x v="1"/>
    <n v="1"/>
    <n v="4"/>
    <s v="Life Sciences"/>
    <n v="1"/>
    <n v="119"/>
    <n v="3"/>
    <s v="Male"/>
    <n v="78"/>
    <n v="2"/>
    <x v="3"/>
    <s v="Healthcare Representative"/>
    <n v="2"/>
    <s v="Married"/>
    <n v="13503"/>
    <n v="14115"/>
    <n v="1"/>
    <s v="Y"/>
    <s v="No"/>
    <s v="No"/>
    <n v="22"/>
    <n v="4"/>
    <n v="4"/>
    <n v="80"/>
    <n v="1"/>
    <n v="22"/>
    <s v="&gt;15"/>
    <n v="3"/>
    <n v="2"/>
    <n v="22"/>
    <n v="3"/>
    <n v="11"/>
    <n v="11"/>
    <s v="Ok"/>
    <n v="27.950760318609703"/>
    <s v="No"/>
    <s v="Low Risk"/>
  </r>
  <r>
    <n v="51"/>
    <x v="1"/>
    <s v="No"/>
    <s v="Travel_Rarely"/>
    <n v="632"/>
    <x v="0"/>
    <n v="21"/>
    <n v="4"/>
    <s v="Marketing"/>
    <n v="1"/>
    <n v="120"/>
    <n v="3"/>
    <s v="Male"/>
    <n v="71"/>
    <n v="3"/>
    <x v="0"/>
    <s v="Sales Executive"/>
    <n v="4"/>
    <s v="Single"/>
    <n v="5441"/>
    <n v="8423"/>
    <n v="0"/>
    <s v="Y"/>
    <s v="Yes"/>
    <s v="Yes"/>
    <n v="22"/>
    <n v="4"/>
    <n v="4"/>
    <n v="80"/>
    <n v="0"/>
    <n v="11"/>
    <s v="6-15"/>
    <n v="2"/>
    <n v="1"/>
    <n v="10"/>
    <n v="7"/>
    <n v="1"/>
    <n v="0"/>
    <s v="Below Avg"/>
    <n v="27.971014492753621"/>
    <s v="No"/>
    <s v="Low Risk"/>
  </r>
  <r>
    <n v="30"/>
    <x v="1"/>
    <s v="No"/>
    <s v="Travel_Rarely"/>
    <n v="1334"/>
    <x v="0"/>
    <n v="4"/>
    <n v="2"/>
    <s v="Medical"/>
    <n v="1"/>
    <n v="121"/>
    <n v="3"/>
    <s v="Female"/>
    <n v="63"/>
    <n v="2"/>
    <x v="0"/>
    <s v="Sales Executive"/>
    <n v="2"/>
    <s v="Divorced"/>
    <n v="5209"/>
    <n v="19760"/>
    <n v="1"/>
    <s v="Y"/>
    <s v="Yes"/>
    <s v="Yes"/>
    <n v="12"/>
    <n v="3"/>
    <n v="2"/>
    <n v="80"/>
    <n v="3"/>
    <n v="11"/>
    <s v="6-15"/>
    <n v="4"/>
    <n v="2"/>
    <n v="11"/>
    <n v="8"/>
    <n v="2"/>
    <n v="7"/>
    <s v="Below Avg"/>
    <n v="27.991298042059466"/>
    <s v="No"/>
    <s v="Low Risk"/>
  </r>
  <r>
    <n v="46"/>
    <x v="1"/>
    <s v="No"/>
    <s v="Travel_Frequently"/>
    <n v="638"/>
    <x v="1"/>
    <n v="1"/>
    <n v="3"/>
    <s v="Medical"/>
    <n v="1"/>
    <n v="124"/>
    <n v="3"/>
    <s v="Male"/>
    <n v="40"/>
    <n v="2"/>
    <x v="2"/>
    <s v="Healthcare Representative"/>
    <n v="1"/>
    <s v="Married"/>
    <n v="10673"/>
    <n v="3142"/>
    <n v="2"/>
    <s v="Y"/>
    <s v="Yes"/>
    <s v="Yes"/>
    <n v="13"/>
    <n v="3"/>
    <n v="3"/>
    <n v="80"/>
    <n v="1"/>
    <n v="21"/>
    <s v="&gt;15"/>
    <n v="5"/>
    <n v="2"/>
    <n v="10"/>
    <n v="9"/>
    <n v="9"/>
    <n v="5"/>
    <s v="Ok"/>
    <n v="27.939042089985488"/>
    <s v="No"/>
    <s v="Low Risk"/>
  </r>
  <r>
    <n v="32"/>
    <x v="1"/>
    <s v="No"/>
    <s v="Travel_Rarely"/>
    <n v="1093"/>
    <x v="0"/>
    <n v="6"/>
    <n v="4"/>
    <s v="Medical"/>
    <n v="1"/>
    <n v="125"/>
    <n v="2"/>
    <s v="Male"/>
    <n v="87"/>
    <n v="3"/>
    <x v="0"/>
    <s v="Sales Executive"/>
    <n v="3"/>
    <s v="Single"/>
    <n v="5010"/>
    <n v="24301"/>
    <n v="1"/>
    <s v="Y"/>
    <s v="No"/>
    <s v="No"/>
    <n v="16"/>
    <n v="3"/>
    <n v="1"/>
    <n v="80"/>
    <n v="0"/>
    <n v="12"/>
    <s v="6-15"/>
    <n v="0"/>
    <n v="3"/>
    <n v="11"/>
    <n v="8"/>
    <n v="5"/>
    <n v="7"/>
    <s v="Below Avg"/>
    <n v="27.886710239651418"/>
    <s v="No"/>
    <s v="Low Risk"/>
  </r>
  <r>
    <n v="54"/>
    <x v="1"/>
    <s v="No"/>
    <s v="Travel_Rarely"/>
    <n v="1217"/>
    <x v="1"/>
    <n v="2"/>
    <n v="4"/>
    <s v="Technical Degree"/>
    <n v="1"/>
    <n v="126"/>
    <n v="1"/>
    <s v="Female"/>
    <n v="60"/>
    <n v="3"/>
    <x v="2"/>
    <s v="Research Director"/>
    <n v="3"/>
    <s v="Married"/>
    <n v="13549"/>
    <n v="24001"/>
    <n v="9"/>
    <s v="Y"/>
    <s v="No"/>
    <s v="No"/>
    <n v="12"/>
    <n v="3"/>
    <n v="1"/>
    <n v="80"/>
    <n v="1"/>
    <n v="16"/>
    <s v="&gt;15"/>
    <n v="5"/>
    <n v="1"/>
    <n v="4"/>
    <n v="3"/>
    <n v="0"/>
    <n v="3"/>
    <s v="Ok"/>
    <n v="27.834302325581394"/>
    <s v="No"/>
    <s v="Low Risk"/>
  </r>
  <r>
    <n v="24"/>
    <x v="1"/>
    <s v="No"/>
    <s v="Travel_Rarely"/>
    <n v="1353"/>
    <x v="0"/>
    <n v="3"/>
    <n v="2"/>
    <s v="Other"/>
    <n v="1"/>
    <n v="128"/>
    <n v="1"/>
    <s v="Female"/>
    <n v="33"/>
    <n v="3"/>
    <x v="0"/>
    <s v="Sales Executive"/>
    <n v="3"/>
    <s v="Married"/>
    <n v="4999"/>
    <n v="17519"/>
    <n v="0"/>
    <s v="Y"/>
    <s v="No"/>
    <s v="No"/>
    <n v="21"/>
    <n v="4"/>
    <n v="1"/>
    <n v="80"/>
    <n v="1"/>
    <n v="4"/>
    <s v="0-5"/>
    <n v="2"/>
    <n v="2"/>
    <n v="3"/>
    <n v="2"/>
    <n v="0"/>
    <n v="2"/>
    <s v="Below Avg"/>
    <n v="27.854545454545455"/>
    <s v="No"/>
    <s v="Low Risk"/>
  </r>
  <r>
    <n v="28"/>
    <x v="1"/>
    <s v="No"/>
    <s v="Non-Travel"/>
    <n v="120"/>
    <x v="0"/>
    <n v="4"/>
    <n v="3"/>
    <s v="Medical"/>
    <n v="1"/>
    <n v="129"/>
    <n v="2"/>
    <s v="Male"/>
    <n v="43"/>
    <n v="3"/>
    <x v="0"/>
    <s v="Sales Executive"/>
    <n v="3"/>
    <s v="Married"/>
    <n v="4221"/>
    <n v="8863"/>
    <n v="1"/>
    <s v="Y"/>
    <s v="No"/>
    <s v="No"/>
    <n v="15"/>
    <n v="3"/>
    <n v="2"/>
    <n v="80"/>
    <n v="0"/>
    <n v="5"/>
    <s v="0-5"/>
    <n v="3"/>
    <n v="4"/>
    <n v="5"/>
    <n v="4"/>
    <n v="0"/>
    <n v="4"/>
    <s v="Below Avg"/>
    <n v="27.874818049490539"/>
    <s v="No"/>
    <s v="Low Risk"/>
  </r>
  <r>
    <n v="58"/>
    <x v="1"/>
    <s v="No"/>
    <s v="Travel_Rarely"/>
    <n v="682"/>
    <x v="0"/>
    <n v="10"/>
    <n v="4"/>
    <s v="Medical"/>
    <n v="1"/>
    <n v="131"/>
    <n v="4"/>
    <s v="Male"/>
    <n v="37"/>
    <n v="3"/>
    <x v="3"/>
    <s v="Sales Executive"/>
    <n v="3"/>
    <s v="Single"/>
    <n v="13872"/>
    <n v="24409"/>
    <n v="0"/>
    <s v="Y"/>
    <s v="No"/>
    <s v="No"/>
    <n v="13"/>
    <n v="3"/>
    <n v="3"/>
    <n v="80"/>
    <n v="0"/>
    <n v="38"/>
    <s v="&gt;15"/>
    <n v="1"/>
    <n v="2"/>
    <n v="37"/>
    <n v="10"/>
    <n v="1"/>
    <n v="8"/>
    <s v="Ok"/>
    <n v="27.895120174799708"/>
    <s v="No"/>
    <s v="Low Risk"/>
  </r>
  <r>
    <n v="44"/>
    <x v="1"/>
    <s v="No"/>
    <s v="Non-Travel"/>
    <n v="489"/>
    <x v="1"/>
    <n v="23"/>
    <n v="3"/>
    <s v="Medical"/>
    <n v="1"/>
    <n v="132"/>
    <n v="2"/>
    <s v="Male"/>
    <n v="67"/>
    <n v="3"/>
    <x v="0"/>
    <s v="Laboratory Technician"/>
    <n v="2"/>
    <s v="Married"/>
    <n v="2042"/>
    <n v="25043"/>
    <n v="4"/>
    <s v="Y"/>
    <s v="No"/>
    <s v="No"/>
    <n v="12"/>
    <n v="3"/>
    <n v="3"/>
    <n v="80"/>
    <n v="1"/>
    <n v="17"/>
    <s v="&gt;15"/>
    <n v="3"/>
    <n v="4"/>
    <n v="3"/>
    <n v="2"/>
    <n v="1"/>
    <n v="2"/>
    <s v="Below Avg"/>
    <n v="27.915451895043731"/>
    <s v="No"/>
    <s v="Low Risk"/>
  </r>
  <r>
    <n v="37"/>
    <x v="0"/>
    <s v="Yes"/>
    <s v="Travel_Rarely"/>
    <n v="807"/>
    <x v="2"/>
    <n v="6"/>
    <n v="4"/>
    <s v="Human Resources"/>
    <n v="1"/>
    <n v="133"/>
    <n v="3"/>
    <s v="Male"/>
    <n v="63"/>
    <n v="3"/>
    <x v="1"/>
    <s v="Human Resources"/>
    <n v="1"/>
    <s v="Divorced"/>
    <n v="2073"/>
    <n v="23648"/>
    <n v="4"/>
    <s v="Y"/>
    <s v="Yes"/>
    <s v="Yes"/>
    <n v="22"/>
    <n v="4"/>
    <n v="4"/>
    <n v="80"/>
    <n v="0"/>
    <n v="7"/>
    <s v="6-15"/>
    <n v="3"/>
    <n v="3"/>
    <n v="3"/>
    <n v="2"/>
    <n v="0"/>
    <n v="2"/>
    <s v="Below Avg"/>
    <n v="27.935813274981765"/>
    <s v="No"/>
    <s v="Low Risk"/>
  </r>
  <r>
    <n v="32"/>
    <x v="1"/>
    <s v="No"/>
    <s v="Travel_Rarely"/>
    <n v="827"/>
    <x v="1"/>
    <n v="1"/>
    <n v="1"/>
    <s v="Life Sciences"/>
    <n v="1"/>
    <n v="134"/>
    <n v="4"/>
    <s v="Male"/>
    <n v="71"/>
    <n v="3"/>
    <x v="1"/>
    <s v="Research Scientist"/>
    <n v="1"/>
    <s v="Single"/>
    <n v="2956"/>
    <n v="15178"/>
    <n v="1"/>
    <s v="Y"/>
    <s v="No"/>
    <s v="No"/>
    <n v="13"/>
    <n v="3"/>
    <n v="4"/>
    <n v="80"/>
    <n v="0"/>
    <n v="1"/>
    <s v="0-5"/>
    <n v="2"/>
    <n v="3"/>
    <n v="1"/>
    <n v="0"/>
    <n v="0"/>
    <n v="0"/>
    <s v="Below Avg"/>
    <n v="27.956204379562045"/>
    <s v="No"/>
    <s v="Low Risk"/>
  </r>
  <r>
    <n v="20"/>
    <x v="0"/>
    <s v="Yes"/>
    <s v="Travel_Frequently"/>
    <n v="871"/>
    <x v="1"/>
    <n v="6"/>
    <n v="3"/>
    <s v="Life Sciences"/>
    <n v="1"/>
    <n v="137"/>
    <n v="4"/>
    <s v="Female"/>
    <n v="66"/>
    <n v="2"/>
    <x v="1"/>
    <s v="Laboratory Technician"/>
    <n v="4"/>
    <s v="Single"/>
    <n v="2926"/>
    <n v="19783"/>
    <n v="1"/>
    <s v="Y"/>
    <s v="Yes"/>
    <s v="Yes"/>
    <n v="18"/>
    <n v="3"/>
    <n v="2"/>
    <n v="80"/>
    <n v="0"/>
    <n v="1"/>
    <s v="0-5"/>
    <n v="5"/>
    <n v="3"/>
    <n v="1"/>
    <n v="0"/>
    <n v="1"/>
    <n v="0"/>
    <s v="Below Avg"/>
    <n v="27.903579254930605"/>
    <s v="No"/>
    <s v="High Risk"/>
  </r>
  <r>
    <n v="34"/>
    <x v="1"/>
    <s v="No"/>
    <s v="Travel_Rarely"/>
    <n v="665"/>
    <x v="1"/>
    <n v="6"/>
    <n v="4"/>
    <s v="Other"/>
    <n v="1"/>
    <n v="138"/>
    <n v="1"/>
    <s v="Female"/>
    <n v="41"/>
    <n v="3"/>
    <x v="0"/>
    <s v="Research Scientist"/>
    <n v="3"/>
    <s v="Single"/>
    <n v="4809"/>
    <n v="12482"/>
    <n v="1"/>
    <s v="Y"/>
    <s v="No"/>
    <s v="No"/>
    <n v="14"/>
    <n v="3"/>
    <n v="3"/>
    <n v="80"/>
    <n v="0"/>
    <n v="16"/>
    <s v="&gt;15"/>
    <n v="3"/>
    <n v="3"/>
    <n v="16"/>
    <n v="13"/>
    <n v="2"/>
    <n v="10"/>
    <s v="Below Avg"/>
    <n v="27.923976608187136"/>
    <s v="No"/>
    <s v="Low Risk"/>
  </r>
  <r>
    <n v="37"/>
    <x v="1"/>
    <s v="No"/>
    <s v="Non-Travel"/>
    <n v="1040"/>
    <x v="1"/>
    <n v="2"/>
    <n v="2"/>
    <s v="Life Sciences"/>
    <n v="1"/>
    <n v="139"/>
    <n v="3"/>
    <s v="Male"/>
    <n v="100"/>
    <n v="2"/>
    <x v="0"/>
    <s v="Healthcare Representative"/>
    <n v="4"/>
    <s v="Divorced"/>
    <n v="5163"/>
    <n v="15850"/>
    <n v="5"/>
    <s v="Y"/>
    <s v="No"/>
    <s v="No"/>
    <n v="14"/>
    <n v="3"/>
    <n v="4"/>
    <n v="80"/>
    <n v="1"/>
    <n v="17"/>
    <s v="&gt;15"/>
    <n v="2"/>
    <n v="4"/>
    <n v="1"/>
    <n v="0"/>
    <n v="0"/>
    <n v="0"/>
    <s v="Below Avg"/>
    <n v="27.871250914411121"/>
    <s v="No"/>
    <s v="Low Risk"/>
  </r>
  <r>
    <n v="59"/>
    <x v="1"/>
    <s v="No"/>
    <s v="Non-Travel"/>
    <n v="1420"/>
    <x v="2"/>
    <n v="2"/>
    <n v="4"/>
    <s v="Human Resources"/>
    <n v="1"/>
    <n v="140"/>
    <n v="3"/>
    <s v="Female"/>
    <n v="32"/>
    <n v="2"/>
    <x v="4"/>
    <s v="Manager"/>
    <n v="4"/>
    <s v="Married"/>
    <n v="18844"/>
    <n v="21922"/>
    <n v="9"/>
    <s v="Y"/>
    <s v="No"/>
    <s v="No"/>
    <n v="21"/>
    <n v="4"/>
    <n v="4"/>
    <n v="80"/>
    <n v="1"/>
    <n v="30"/>
    <s v="&gt;15"/>
    <n v="3"/>
    <n v="3"/>
    <n v="3"/>
    <n v="2"/>
    <n v="2"/>
    <n v="2"/>
    <s v="Ok"/>
    <n v="27.891654465592975"/>
    <s v="No"/>
    <s v="Low Risk"/>
  </r>
  <r>
    <n v="50"/>
    <x v="1"/>
    <s v="No"/>
    <s v="Travel_Frequently"/>
    <n v="1115"/>
    <x v="1"/>
    <n v="1"/>
    <n v="3"/>
    <s v="Life Sciences"/>
    <n v="1"/>
    <n v="141"/>
    <n v="1"/>
    <s v="Female"/>
    <n v="73"/>
    <n v="3"/>
    <x v="4"/>
    <s v="Research Director"/>
    <n v="2"/>
    <s v="Married"/>
    <n v="18172"/>
    <n v="9755"/>
    <n v="3"/>
    <s v="Y"/>
    <s v="Yes"/>
    <s v="Yes"/>
    <n v="19"/>
    <n v="3"/>
    <n v="1"/>
    <n v="80"/>
    <n v="0"/>
    <n v="28"/>
    <s v="&gt;15"/>
    <n v="1"/>
    <n v="2"/>
    <n v="8"/>
    <n v="3"/>
    <n v="0"/>
    <n v="7"/>
    <s v="Ok"/>
    <n v="27.912087912087912"/>
    <s v="No"/>
    <s v="Low Risk"/>
  </r>
  <r>
    <n v="25"/>
    <x v="0"/>
    <s v="Yes"/>
    <s v="Travel_Rarely"/>
    <n v="240"/>
    <x v="0"/>
    <n v="5"/>
    <n v="3"/>
    <s v="Marketing"/>
    <n v="1"/>
    <n v="142"/>
    <n v="3"/>
    <s v="Male"/>
    <n v="46"/>
    <n v="2"/>
    <x v="0"/>
    <s v="Sales Executive"/>
    <n v="3"/>
    <s v="Single"/>
    <n v="5744"/>
    <n v="26959"/>
    <n v="1"/>
    <s v="Y"/>
    <s v="Yes"/>
    <s v="Yes"/>
    <n v="11"/>
    <n v="3"/>
    <n v="4"/>
    <n v="80"/>
    <n v="0"/>
    <n v="6"/>
    <s v="6-15"/>
    <n v="1"/>
    <n v="3"/>
    <n v="6"/>
    <n v="4"/>
    <n v="0"/>
    <n v="3"/>
    <s v="Below Avg"/>
    <n v="27.932551319648091"/>
    <s v="No"/>
    <s v="Low Risk"/>
  </r>
  <r>
    <n v="25"/>
    <x v="1"/>
    <s v="No"/>
    <s v="Travel_Rarely"/>
    <n v="1280"/>
    <x v="1"/>
    <n v="7"/>
    <n v="1"/>
    <s v="Medical"/>
    <n v="1"/>
    <n v="143"/>
    <n v="4"/>
    <s v="Male"/>
    <n v="64"/>
    <n v="2"/>
    <x v="1"/>
    <s v="Research Scientist"/>
    <n v="4"/>
    <s v="Married"/>
    <n v="2889"/>
    <n v="26897"/>
    <n v="1"/>
    <s v="Y"/>
    <s v="No"/>
    <s v="No"/>
    <n v="11"/>
    <n v="3"/>
    <n v="3"/>
    <n v="80"/>
    <n v="2"/>
    <n v="2"/>
    <s v="0-5"/>
    <n v="2"/>
    <n v="3"/>
    <n v="2"/>
    <n v="2"/>
    <n v="2"/>
    <n v="1"/>
    <s v="Below Avg"/>
    <n v="27.879677182685253"/>
    <s v="No"/>
    <s v="Low Risk"/>
  </r>
  <r>
    <n v="22"/>
    <x v="1"/>
    <s v="No"/>
    <s v="Travel_Rarely"/>
    <n v="534"/>
    <x v="1"/>
    <n v="15"/>
    <n v="3"/>
    <s v="Medical"/>
    <n v="1"/>
    <n v="144"/>
    <n v="2"/>
    <s v="Female"/>
    <n v="59"/>
    <n v="3"/>
    <x v="1"/>
    <s v="Laboratory Technician"/>
    <n v="4"/>
    <s v="Single"/>
    <n v="2871"/>
    <n v="23785"/>
    <n v="1"/>
    <s v="Y"/>
    <s v="No"/>
    <s v="No"/>
    <n v="15"/>
    <n v="3"/>
    <n v="3"/>
    <n v="80"/>
    <n v="0"/>
    <n v="1"/>
    <s v="0-5"/>
    <n v="5"/>
    <n v="3"/>
    <n v="0"/>
    <n v="0"/>
    <n v="0"/>
    <n v="0"/>
    <s v="Below Avg"/>
    <n v="27.826725403817914"/>
    <s v="No"/>
    <s v="Low Risk"/>
  </r>
  <r>
    <n v="51"/>
    <x v="1"/>
    <s v="No"/>
    <s v="Travel_Frequently"/>
    <n v="1456"/>
    <x v="1"/>
    <n v="1"/>
    <n v="4"/>
    <s v="Medical"/>
    <n v="1"/>
    <n v="145"/>
    <n v="1"/>
    <s v="Female"/>
    <n v="30"/>
    <n v="2"/>
    <x v="2"/>
    <s v="Healthcare Representative"/>
    <n v="1"/>
    <s v="Single"/>
    <n v="7484"/>
    <n v="25796"/>
    <n v="3"/>
    <s v="Y"/>
    <s v="No"/>
    <s v="No"/>
    <n v="20"/>
    <n v="4"/>
    <n v="3"/>
    <n v="80"/>
    <n v="0"/>
    <n v="23"/>
    <s v="&gt;15"/>
    <n v="1"/>
    <n v="2"/>
    <n v="13"/>
    <n v="12"/>
    <n v="12"/>
    <n v="8"/>
    <s v="Ok"/>
    <n v="27.847171197648791"/>
    <s v="No"/>
    <s v="Low Risk"/>
  </r>
  <r>
    <n v="34"/>
    <x v="0"/>
    <s v="Yes"/>
    <s v="Travel_Frequently"/>
    <n v="658"/>
    <x v="1"/>
    <n v="7"/>
    <n v="3"/>
    <s v="Life Sciences"/>
    <n v="1"/>
    <n v="147"/>
    <n v="1"/>
    <s v="Male"/>
    <n v="66"/>
    <n v="1"/>
    <x v="0"/>
    <s v="Laboratory Technician"/>
    <n v="3"/>
    <s v="Single"/>
    <n v="6074"/>
    <n v="22887"/>
    <n v="1"/>
    <s v="Y"/>
    <s v="Yes"/>
    <s v="Yes"/>
    <n v="24"/>
    <n v="4"/>
    <n v="4"/>
    <n v="80"/>
    <n v="0"/>
    <n v="9"/>
    <s v="6-15"/>
    <n v="3"/>
    <n v="3"/>
    <n v="9"/>
    <n v="7"/>
    <n v="0"/>
    <n v="6"/>
    <s v="Below Avg"/>
    <n v="27.867647058823529"/>
    <s v="No"/>
    <s v="Low Risk"/>
  </r>
  <r>
    <n v="54"/>
    <x v="1"/>
    <s v="No"/>
    <s v="Non-Travel"/>
    <n v="142"/>
    <x v="2"/>
    <n v="26"/>
    <n v="3"/>
    <s v="Human Resources"/>
    <n v="1"/>
    <n v="148"/>
    <n v="4"/>
    <s v="Female"/>
    <n v="30"/>
    <n v="4"/>
    <x v="3"/>
    <s v="Manager"/>
    <n v="4"/>
    <s v="Single"/>
    <n v="17328"/>
    <n v="13871"/>
    <n v="2"/>
    <s v="Y"/>
    <s v="Yes"/>
    <s v="Yes"/>
    <n v="12"/>
    <n v="3"/>
    <n v="3"/>
    <n v="80"/>
    <n v="0"/>
    <n v="23"/>
    <s v="&gt;15"/>
    <n v="3"/>
    <n v="3"/>
    <n v="5"/>
    <n v="3"/>
    <n v="4"/>
    <n v="4"/>
    <s v="Ok"/>
    <n v="27.888153053715968"/>
    <s v="No"/>
    <s v="Low Risk"/>
  </r>
  <r>
    <n v="24"/>
    <x v="1"/>
    <s v="No"/>
    <s v="Travel_Rarely"/>
    <n v="1127"/>
    <x v="1"/>
    <n v="18"/>
    <n v="1"/>
    <s v="Life Sciences"/>
    <n v="1"/>
    <n v="150"/>
    <n v="2"/>
    <s v="Male"/>
    <n v="52"/>
    <n v="3"/>
    <x v="1"/>
    <s v="Laboratory Technician"/>
    <n v="3"/>
    <s v="Married"/>
    <n v="2774"/>
    <n v="13257"/>
    <n v="0"/>
    <s v="Y"/>
    <s v="No"/>
    <s v="No"/>
    <n v="12"/>
    <n v="3"/>
    <n v="3"/>
    <n v="80"/>
    <n v="1"/>
    <n v="6"/>
    <s v="6-15"/>
    <n v="2"/>
    <n v="3"/>
    <n v="5"/>
    <n v="3"/>
    <n v="1"/>
    <n v="2"/>
    <s v="Below Avg"/>
    <n v="27.835051546391753"/>
    <s v="No"/>
    <s v="Low Risk"/>
  </r>
  <r>
    <n v="34"/>
    <x v="1"/>
    <s v="No"/>
    <s v="Travel_Rarely"/>
    <n v="1031"/>
    <x v="1"/>
    <n v="6"/>
    <n v="4"/>
    <s v="Life Sciences"/>
    <n v="1"/>
    <n v="151"/>
    <n v="3"/>
    <s v="Female"/>
    <n v="45"/>
    <n v="2"/>
    <x v="0"/>
    <s v="Research Scientist"/>
    <n v="2"/>
    <s v="Divorced"/>
    <n v="4505"/>
    <n v="15000"/>
    <n v="6"/>
    <s v="Y"/>
    <s v="No"/>
    <s v="No"/>
    <n v="15"/>
    <n v="3"/>
    <n v="3"/>
    <n v="80"/>
    <n v="1"/>
    <n v="12"/>
    <s v="6-15"/>
    <n v="3"/>
    <n v="3"/>
    <n v="1"/>
    <n v="0"/>
    <n v="0"/>
    <n v="0"/>
    <s v="Below Avg"/>
    <n v="27.78187177597642"/>
    <s v="No"/>
    <s v="Low Risk"/>
  </r>
  <r>
    <n v="37"/>
    <x v="1"/>
    <s v="No"/>
    <s v="Travel_Rarely"/>
    <n v="1189"/>
    <x v="0"/>
    <n v="3"/>
    <n v="3"/>
    <s v="Life Sciences"/>
    <n v="1"/>
    <n v="152"/>
    <n v="3"/>
    <s v="Male"/>
    <n v="87"/>
    <n v="3"/>
    <x v="2"/>
    <s v="Sales Executive"/>
    <n v="4"/>
    <s v="Single"/>
    <n v="7428"/>
    <n v="14506"/>
    <n v="2"/>
    <s v="Y"/>
    <s v="No"/>
    <s v="No"/>
    <n v="12"/>
    <n v="3"/>
    <n v="1"/>
    <n v="80"/>
    <n v="0"/>
    <n v="12"/>
    <s v="6-15"/>
    <n v="3"/>
    <n v="3"/>
    <n v="5"/>
    <n v="3"/>
    <n v="1"/>
    <n v="3"/>
    <s v="Ok"/>
    <n v="27.802359882005902"/>
    <s v="No"/>
    <s v="Low Risk"/>
  </r>
  <r>
    <n v="34"/>
    <x v="1"/>
    <s v="No"/>
    <s v="Travel_Rarely"/>
    <n v="1354"/>
    <x v="1"/>
    <n v="5"/>
    <n v="3"/>
    <s v="Medical"/>
    <n v="1"/>
    <n v="153"/>
    <n v="3"/>
    <s v="Female"/>
    <n v="45"/>
    <n v="2"/>
    <x v="2"/>
    <s v="Manager"/>
    <n v="1"/>
    <s v="Single"/>
    <n v="11631"/>
    <n v="5615"/>
    <n v="2"/>
    <s v="Y"/>
    <s v="No"/>
    <s v="No"/>
    <n v="12"/>
    <n v="3"/>
    <n v="4"/>
    <n v="80"/>
    <n v="0"/>
    <n v="14"/>
    <s v="6-15"/>
    <n v="6"/>
    <n v="3"/>
    <n v="11"/>
    <n v="10"/>
    <n v="5"/>
    <n v="8"/>
    <s v="Ok"/>
    <n v="27.822878228782287"/>
    <s v="No"/>
    <s v="Low Risk"/>
  </r>
  <r>
    <n v="36"/>
    <x v="1"/>
    <s v="No"/>
    <s v="Travel_Frequently"/>
    <n v="1467"/>
    <x v="0"/>
    <n v="11"/>
    <n v="2"/>
    <s v="Technical Degree"/>
    <n v="1"/>
    <n v="154"/>
    <n v="2"/>
    <s v="Female"/>
    <n v="92"/>
    <n v="3"/>
    <x v="2"/>
    <s v="Sales Executive"/>
    <n v="4"/>
    <s v="Married"/>
    <n v="9738"/>
    <n v="22952"/>
    <n v="0"/>
    <s v="Y"/>
    <s v="No"/>
    <s v="No"/>
    <n v="14"/>
    <n v="3"/>
    <n v="3"/>
    <n v="80"/>
    <n v="1"/>
    <n v="10"/>
    <s v="6-15"/>
    <n v="6"/>
    <n v="3"/>
    <n v="9"/>
    <n v="7"/>
    <n v="2"/>
    <n v="8"/>
    <s v="Ok"/>
    <n v="27.843426883308712"/>
    <s v="No"/>
    <s v="Low Risk"/>
  </r>
  <r>
    <n v="36"/>
    <x v="1"/>
    <s v="No"/>
    <s v="Travel_Rarely"/>
    <n v="922"/>
    <x v="1"/>
    <n v="3"/>
    <n v="2"/>
    <s v="Life Sciences"/>
    <n v="1"/>
    <n v="155"/>
    <n v="1"/>
    <s v="Female"/>
    <n v="39"/>
    <n v="3"/>
    <x v="1"/>
    <s v="Laboratory Technician"/>
    <n v="4"/>
    <s v="Divorced"/>
    <n v="2835"/>
    <n v="2561"/>
    <n v="5"/>
    <s v="Y"/>
    <s v="No"/>
    <s v="No"/>
    <n v="22"/>
    <n v="4"/>
    <n v="1"/>
    <n v="80"/>
    <n v="1"/>
    <n v="7"/>
    <s v="6-15"/>
    <n v="2"/>
    <n v="3"/>
    <n v="1"/>
    <n v="0"/>
    <n v="0"/>
    <n v="0"/>
    <s v="Below Avg"/>
    <n v="27.8640059127864"/>
    <s v="No"/>
    <s v="Low Risk"/>
  </r>
  <r>
    <n v="43"/>
    <x v="1"/>
    <s v="No"/>
    <s v="Travel_Frequently"/>
    <n v="394"/>
    <x v="0"/>
    <n v="26"/>
    <n v="2"/>
    <s v="Life Sciences"/>
    <n v="1"/>
    <n v="158"/>
    <n v="3"/>
    <s v="Male"/>
    <n v="92"/>
    <n v="3"/>
    <x v="3"/>
    <s v="Manager"/>
    <n v="4"/>
    <s v="Married"/>
    <n v="16959"/>
    <n v="19494"/>
    <n v="1"/>
    <s v="Y"/>
    <s v="Yes"/>
    <s v="Yes"/>
    <n v="12"/>
    <n v="3"/>
    <n v="4"/>
    <n v="80"/>
    <n v="2"/>
    <n v="25"/>
    <s v="&gt;15"/>
    <n v="3"/>
    <n v="4"/>
    <n v="25"/>
    <n v="12"/>
    <n v="4"/>
    <n v="12"/>
    <s v="Ok"/>
    <n v="27.884615384615387"/>
    <s v="No"/>
    <s v="Low Risk"/>
  </r>
  <r>
    <n v="30"/>
    <x v="1"/>
    <s v="No"/>
    <s v="Travel_Frequently"/>
    <n v="1312"/>
    <x v="1"/>
    <n v="23"/>
    <n v="3"/>
    <s v="Life Sciences"/>
    <n v="1"/>
    <n v="159"/>
    <n v="1"/>
    <s v="Male"/>
    <n v="96"/>
    <n v="1"/>
    <x v="1"/>
    <s v="Research Scientist"/>
    <n v="3"/>
    <s v="Divorced"/>
    <n v="2613"/>
    <n v="22310"/>
    <n v="1"/>
    <s v="Y"/>
    <s v="No"/>
    <s v="No"/>
    <n v="25"/>
    <n v="4"/>
    <n v="3"/>
    <n v="80"/>
    <n v="3"/>
    <n v="10"/>
    <s v="6-15"/>
    <n v="2"/>
    <n v="2"/>
    <n v="10"/>
    <n v="7"/>
    <n v="0"/>
    <n v="9"/>
    <s v="Below Avg"/>
    <n v="27.905255366395266"/>
    <s v="No"/>
    <s v="Low Risk"/>
  </r>
  <r>
    <n v="33"/>
    <x v="1"/>
    <s v="No"/>
    <s v="Non-Travel"/>
    <n v="750"/>
    <x v="0"/>
    <n v="22"/>
    <n v="2"/>
    <s v="Marketing"/>
    <n v="1"/>
    <n v="160"/>
    <n v="3"/>
    <s v="Male"/>
    <n v="95"/>
    <n v="3"/>
    <x v="0"/>
    <s v="Sales Executive"/>
    <n v="2"/>
    <s v="Married"/>
    <n v="6146"/>
    <n v="15480"/>
    <n v="0"/>
    <s v="Y"/>
    <s v="No"/>
    <s v="No"/>
    <n v="13"/>
    <n v="3"/>
    <n v="1"/>
    <n v="80"/>
    <n v="1"/>
    <n v="8"/>
    <s v="6-15"/>
    <n v="2"/>
    <n v="4"/>
    <n v="7"/>
    <n v="7"/>
    <n v="0"/>
    <n v="7"/>
    <s v="Below Avg"/>
    <n v="27.851851851851851"/>
    <s v="No"/>
    <s v="Low Risk"/>
  </r>
  <r>
    <n v="56"/>
    <x v="0"/>
    <s v="Yes"/>
    <s v="Travel_Rarely"/>
    <n v="441"/>
    <x v="1"/>
    <n v="14"/>
    <n v="4"/>
    <s v="Life Sciences"/>
    <n v="1"/>
    <n v="161"/>
    <n v="2"/>
    <s v="Female"/>
    <n v="72"/>
    <n v="3"/>
    <x v="1"/>
    <s v="Research Scientist"/>
    <n v="2"/>
    <s v="Married"/>
    <n v="4963"/>
    <n v="4510"/>
    <n v="9"/>
    <s v="Y"/>
    <s v="Yes"/>
    <s v="Yes"/>
    <n v="18"/>
    <n v="3"/>
    <n v="1"/>
    <n v="80"/>
    <n v="3"/>
    <n v="7"/>
    <s v="6-15"/>
    <n v="2"/>
    <n v="3"/>
    <n v="5"/>
    <n v="4"/>
    <n v="4"/>
    <n v="3"/>
    <s v="Below Avg"/>
    <n v="27.872498146775389"/>
    <s v="No"/>
    <s v="Low Risk"/>
  </r>
  <r>
    <n v="51"/>
    <x v="1"/>
    <s v="No"/>
    <s v="Travel_Rarely"/>
    <n v="684"/>
    <x v="1"/>
    <n v="6"/>
    <n v="3"/>
    <s v="Life Sciences"/>
    <n v="1"/>
    <n v="162"/>
    <n v="1"/>
    <s v="Male"/>
    <n v="51"/>
    <n v="3"/>
    <x v="4"/>
    <s v="Research Director"/>
    <n v="3"/>
    <s v="Single"/>
    <n v="19537"/>
    <n v="6462"/>
    <n v="7"/>
    <s v="Y"/>
    <s v="No"/>
    <s v="No"/>
    <n v="13"/>
    <n v="3"/>
    <n v="3"/>
    <n v="80"/>
    <n v="0"/>
    <n v="23"/>
    <s v="&gt;15"/>
    <n v="5"/>
    <n v="3"/>
    <n v="20"/>
    <n v="18"/>
    <n v="15"/>
    <n v="15"/>
    <s v="Ok"/>
    <n v="27.893175074183979"/>
    <s v="No"/>
    <s v="Low Risk"/>
  </r>
  <r>
    <n v="31"/>
    <x v="0"/>
    <s v="Yes"/>
    <s v="Travel_Rarely"/>
    <n v="249"/>
    <x v="0"/>
    <n v="6"/>
    <n v="4"/>
    <s v="Life Sciences"/>
    <n v="1"/>
    <n v="163"/>
    <n v="2"/>
    <s v="Male"/>
    <n v="76"/>
    <n v="1"/>
    <x v="0"/>
    <s v="Sales Executive"/>
    <n v="3"/>
    <s v="Married"/>
    <n v="6172"/>
    <n v="20739"/>
    <n v="4"/>
    <s v="Y"/>
    <s v="Yes"/>
    <s v="Yes"/>
    <n v="18"/>
    <n v="3"/>
    <n v="2"/>
    <n v="80"/>
    <n v="0"/>
    <n v="12"/>
    <s v="6-15"/>
    <n v="3"/>
    <n v="2"/>
    <n v="7"/>
    <n v="7"/>
    <n v="7"/>
    <n v="7"/>
    <s v="Below Avg"/>
    <n v="27.839643652561247"/>
    <s v="No"/>
    <s v="Low Risk"/>
  </r>
  <r>
    <n v="26"/>
    <x v="1"/>
    <s v="No"/>
    <s v="Travel_Rarely"/>
    <n v="841"/>
    <x v="1"/>
    <n v="6"/>
    <n v="3"/>
    <s v="Other"/>
    <n v="1"/>
    <n v="164"/>
    <n v="3"/>
    <s v="Female"/>
    <n v="46"/>
    <n v="2"/>
    <x v="1"/>
    <s v="Research Scientist"/>
    <n v="2"/>
    <s v="Married"/>
    <n v="2368"/>
    <n v="23300"/>
    <n v="1"/>
    <s v="Y"/>
    <s v="No"/>
    <s v="No"/>
    <n v="19"/>
    <n v="3"/>
    <n v="3"/>
    <n v="80"/>
    <n v="0"/>
    <n v="5"/>
    <s v="0-5"/>
    <n v="3"/>
    <n v="2"/>
    <n v="5"/>
    <n v="4"/>
    <n v="4"/>
    <n v="3"/>
    <s v="Below Avg"/>
    <n v="27.860326894502229"/>
    <s v="No"/>
    <s v="Low Risk"/>
  </r>
  <r>
    <n v="58"/>
    <x v="0"/>
    <s v="Yes"/>
    <s v="Travel_Rarely"/>
    <n v="147"/>
    <x v="1"/>
    <n v="23"/>
    <n v="4"/>
    <s v="Medical"/>
    <n v="1"/>
    <n v="165"/>
    <n v="4"/>
    <s v="Female"/>
    <n v="94"/>
    <n v="3"/>
    <x v="2"/>
    <s v="Healthcare Representative"/>
    <n v="4"/>
    <s v="Married"/>
    <n v="10312"/>
    <n v="3465"/>
    <n v="1"/>
    <s v="Y"/>
    <s v="No"/>
    <s v="No"/>
    <n v="12"/>
    <n v="3"/>
    <n v="4"/>
    <n v="80"/>
    <n v="1"/>
    <n v="40"/>
    <s v="&gt;15"/>
    <n v="3"/>
    <n v="2"/>
    <n v="40"/>
    <n v="10"/>
    <n v="15"/>
    <n v="6"/>
    <s v="Ok"/>
    <n v="27.806691449814124"/>
    <s v="No"/>
    <s v="Low Risk"/>
  </r>
  <r>
    <n v="19"/>
    <x v="0"/>
    <s v="Yes"/>
    <s v="Travel_Rarely"/>
    <n v="528"/>
    <x v="0"/>
    <n v="22"/>
    <n v="1"/>
    <s v="Marketing"/>
    <n v="1"/>
    <n v="167"/>
    <n v="4"/>
    <s v="Male"/>
    <n v="50"/>
    <n v="3"/>
    <x v="1"/>
    <s v="Sales Representative"/>
    <n v="3"/>
    <s v="Single"/>
    <n v="1675"/>
    <n v="26820"/>
    <n v="1"/>
    <s v="Y"/>
    <s v="Yes"/>
    <s v="Yes"/>
    <n v="19"/>
    <n v="3"/>
    <n v="4"/>
    <n v="80"/>
    <n v="0"/>
    <n v="0"/>
    <s v="0-5"/>
    <n v="2"/>
    <n v="2"/>
    <n v="0"/>
    <n v="0"/>
    <n v="0"/>
    <n v="0"/>
    <s v="Below Avg"/>
    <n v="27.827380952380953"/>
    <s v="No"/>
    <s v="High Risk"/>
  </r>
  <r>
    <n v="22"/>
    <x v="1"/>
    <s v="No"/>
    <s v="Travel_Rarely"/>
    <n v="594"/>
    <x v="1"/>
    <n v="2"/>
    <n v="1"/>
    <s v="Technical Degree"/>
    <n v="1"/>
    <n v="169"/>
    <n v="3"/>
    <s v="Male"/>
    <n v="100"/>
    <n v="3"/>
    <x v="1"/>
    <s v="Laboratory Technician"/>
    <n v="4"/>
    <s v="Married"/>
    <n v="2523"/>
    <n v="19299"/>
    <n v="0"/>
    <s v="Y"/>
    <s v="No"/>
    <s v="No"/>
    <n v="14"/>
    <n v="3"/>
    <n v="3"/>
    <n v="80"/>
    <n v="1"/>
    <n v="3"/>
    <s v="0-5"/>
    <n v="2"/>
    <n v="3"/>
    <n v="2"/>
    <n v="1"/>
    <n v="2"/>
    <n v="1"/>
    <s v="Below Avg"/>
    <n v="27.848101265822784"/>
    <s v="No"/>
    <s v="Low Risk"/>
  </r>
  <r>
    <n v="49"/>
    <x v="1"/>
    <s v="No"/>
    <s v="Travel_Rarely"/>
    <n v="470"/>
    <x v="1"/>
    <n v="20"/>
    <n v="4"/>
    <s v="Medical"/>
    <n v="1"/>
    <n v="170"/>
    <n v="3"/>
    <s v="Female"/>
    <n v="96"/>
    <n v="3"/>
    <x v="0"/>
    <s v="Manufacturing Director"/>
    <n v="1"/>
    <s v="Married"/>
    <n v="6567"/>
    <n v="5549"/>
    <n v="1"/>
    <s v="Y"/>
    <s v="No"/>
    <s v="No"/>
    <n v="14"/>
    <n v="3"/>
    <n v="3"/>
    <n v="80"/>
    <n v="0"/>
    <n v="16"/>
    <s v="&gt;15"/>
    <n v="2"/>
    <n v="2"/>
    <n v="15"/>
    <n v="11"/>
    <n v="5"/>
    <n v="11"/>
    <s v="Ok"/>
    <n v="27.794336810730254"/>
    <s v="No"/>
    <s v="Low Risk"/>
  </r>
  <r>
    <n v="43"/>
    <x v="1"/>
    <s v="No"/>
    <s v="Travel_Frequently"/>
    <n v="957"/>
    <x v="1"/>
    <n v="28"/>
    <n v="3"/>
    <s v="Medical"/>
    <n v="1"/>
    <n v="171"/>
    <n v="2"/>
    <s v="Female"/>
    <n v="72"/>
    <n v="4"/>
    <x v="1"/>
    <s v="Research Scientist"/>
    <n v="3"/>
    <s v="Single"/>
    <n v="4739"/>
    <n v="16090"/>
    <n v="4"/>
    <s v="Y"/>
    <s v="No"/>
    <s v="No"/>
    <n v="12"/>
    <n v="3"/>
    <n v="4"/>
    <n v="80"/>
    <n v="0"/>
    <n v="18"/>
    <s v="&gt;15"/>
    <n v="2"/>
    <n v="3"/>
    <n v="3"/>
    <n v="2"/>
    <n v="1"/>
    <n v="2"/>
    <s v="Below Avg"/>
    <n v="27.815063385533183"/>
    <s v="No"/>
    <s v="Low Risk"/>
  </r>
  <r>
    <n v="50"/>
    <x v="1"/>
    <s v="No"/>
    <s v="Travel_Frequently"/>
    <n v="809"/>
    <x v="0"/>
    <n v="12"/>
    <n v="3"/>
    <s v="Marketing"/>
    <n v="1"/>
    <n v="174"/>
    <n v="3"/>
    <s v="Female"/>
    <n v="77"/>
    <n v="3"/>
    <x v="2"/>
    <s v="Sales Executive"/>
    <n v="4"/>
    <s v="Single"/>
    <n v="9208"/>
    <n v="6645"/>
    <n v="4"/>
    <s v="Y"/>
    <s v="No"/>
    <s v="No"/>
    <n v="11"/>
    <n v="3"/>
    <n v="4"/>
    <n v="80"/>
    <n v="0"/>
    <n v="16"/>
    <s v="&gt;15"/>
    <n v="3"/>
    <n v="3"/>
    <n v="2"/>
    <n v="2"/>
    <n v="2"/>
    <n v="1"/>
    <s v="Ok"/>
    <n v="27.835820895522389"/>
    <s v="No"/>
    <s v="Low Risk"/>
  </r>
  <r>
    <n v="31"/>
    <x v="0"/>
    <s v="Yes"/>
    <s v="Travel_Rarely"/>
    <n v="542"/>
    <x v="0"/>
    <n v="20"/>
    <n v="3"/>
    <s v="Life Sciences"/>
    <n v="1"/>
    <n v="175"/>
    <n v="2"/>
    <s v="Female"/>
    <n v="71"/>
    <n v="1"/>
    <x v="0"/>
    <s v="Sales Executive"/>
    <n v="3"/>
    <s v="Married"/>
    <n v="4559"/>
    <n v="24788"/>
    <n v="3"/>
    <s v="Y"/>
    <s v="Yes"/>
    <s v="Yes"/>
    <n v="11"/>
    <n v="3"/>
    <n v="3"/>
    <n v="80"/>
    <n v="1"/>
    <n v="4"/>
    <s v="0-5"/>
    <n v="2"/>
    <n v="3"/>
    <n v="2"/>
    <n v="2"/>
    <n v="2"/>
    <n v="2"/>
    <s v="Below Avg"/>
    <n v="27.856609410007465"/>
    <s v="No"/>
    <s v="Low Risk"/>
  </r>
  <r>
    <n v="41"/>
    <x v="1"/>
    <s v="No"/>
    <s v="Travel_Rarely"/>
    <n v="802"/>
    <x v="0"/>
    <n v="9"/>
    <n v="1"/>
    <s v="Life Sciences"/>
    <n v="1"/>
    <n v="176"/>
    <n v="3"/>
    <s v="Male"/>
    <n v="96"/>
    <n v="3"/>
    <x v="2"/>
    <s v="Sales Executive"/>
    <n v="3"/>
    <s v="Divorced"/>
    <n v="8189"/>
    <n v="21196"/>
    <n v="3"/>
    <s v="Y"/>
    <s v="Yes"/>
    <s v="Yes"/>
    <n v="13"/>
    <n v="3"/>
    <n v="3"/>
    <n v="80"/>
    <n v="1"/>
    <n v="12"/>
    <s v="6-15"/>
    <n v="2"/>
    <n v="3"/>
    <n v="9"/>
    <n v="7"/>
    <n v="0"/>
    <n v="7"/>
    <s v="Ok"/>
    <n v="27.877428998505234"/>
    <s v="No"/>
    <s v="Low Risk"/>
  </r>
  <r>
    <n v="26"/>
    <x v="1"/>
    <s v="No"/>
    <s v="Travel_Rarely"/>
    <n v="1355"/>
    <x v="2"/>
    <n v="25"/>
    <n v="1"/>
    <s v="Life Sciences"/>
    <n v="1"/>
    <n v="177"/>
    <n v="3"/>
    <s v="Female"/>
    <n v="61"/>
    <n v="3"/>
    <x v="1"/>
    <s v="Human Resources"/>
    <n v="3"/>
    <s v="Married"/>
    <n v="2942"/>
    <n v="8916"/>
    <n v="1"/>
    <s v="Y"/>
    <s v="No"/>
    <s v="No"/>
    <n v="23"/>
    <n v="4"/>
    <n v="4"/>
    <n v="80"/>
    <n v="1"/>
    <n v="8"/>
    <s v="6-15"/>
    <n v="3"/>
    <n v="3"/>
    <n v="8"/>
    <n v="7"/>
    <n v="5"/>
    <n v="7"/>
    <s v="Below Avg"/>
    <n v="27.823485415108451"/>
    <s v="No"/>
    <s v="Low Risk"/>
  </r>
  <r>
    <n v="36"/>
    <x v="1"/>
    <s v="No"/>
    <s v="Travel_Rarely"/>
    <n v="216"/>
    <x v="1"/>
    <n v="6"/>
    <n v="2"/>
    <s v="Medical"/>
    <n v="1"/>
    <n v="178"/>
    <n v="2"/>
    <s v="Male"/>
    <n v="84"/>
    <n v="3"/>
    <x v="0"/>
    <s v="Manufacturing Director"/>
    <n v="2"/>
    <s v="Divorced"/>
    <n v="4941"/>
    <n v="2819"/>
    <n v="6"/>
    <s v="Y"/>
    <s v="No"/>
    <s v="No"/>
    <n v="20"/>
    <n v="4"/>
    <n v="4"/>
    <n v="80"/>
    <n v="2"/>
    <n v="7"/>
    <s v="6-15"/>
    <n v="0"/>
    <n v="3"/>
    <n v="3"/>
    <n v="2"/>
    <n v="0"/>
    <n v="1"/>
    <s v="Below Avg"/>
    <n v="27.769461077844309"/>
    <s v="No"/>
    <s v="Low Risk"/>
  </r>
  <r>
    <n v="51"/>
    <x v="0"/>
    <s v="Yes"/>
    <s v="Travel_Frequently"/>
    <n v="1150"/>
    <x v="1"/>
    <n v="8"/>
    <n v="4"/>
    <s v="Life Sciences"/>
    <n v="1"/>
    <n v="179"/>
    <n v="1"/>
    <s v="Male"/>
    <n v="53"/>
    <n v="1"/>
    <x v="2"/>
    <s v="Manufacturing Director"/>
    <n v="4"/>
    <s v="Single"/>
    <n v="10650"/>
    <n v="25150"/>
    <n v="2"/>
    <s v="Y"/>
    <s v="No"/>
    <s v="No"/>
    <n v="15"/>
    <n v="3"/>
    <n v="4"/>
    <n v="80"/>
    <n v="0"/>
    <n v="18"/>
    <s v="&gt;15"/>
    <n v="2"/>
    <n v="3"/>
    <n v="4"/>
    <n v="2"/>
    <n v="0"/>
    <n v="3"/>
    <s v="Ok"/>
    <n v="27.790262172284645"/>
    <s v="No"/>
    <s v="Low Risk"/>
  </r>
  <r>
    <n v="39"/>
    <x v="1"/>
    <s v="No"/>
    <s v="Travel_Rarely"/>
    <n v="1329"/>
    <x v="0"/>
    <n v="4"/>
    <n v="4"/>
    <s v="Life Sciences"/>
    <n v="1"/>
    <n v="182"/>
    <n v="4"/>
    <s v="Female"/>
    <n v="47"/>
    <n v="2"/>
    <x v="0"/>
    <s v="Sales Executive"/>
    <n v="3"/>
    <s v="Married"/>
    <n v="5902"/>
    <n v="14590"/>
    <n v="4"/>
    <s v="Y"/>
    <s v="No"/>
    <s v="No"/>
    <n v="14"/>
    <n v="3"/>
    <n v="3"/>
    <n v="80"/>
    <n v="1"/>
    <n v="17"/>
    <s v="&gt;15"/>
    <n v="1"/>
    <n v="4"/>
    <n v="15"/>
    <n v="11"/>
    <n v="5"/>
    <n v="9"/>
    <s v="Below Avg"/>
    <n v="27.811094452773617"/>
    <s v="No"/>
    <s v="Low Risk"/>
  </r>
  <r>
    <n v="25"/>
    <x v="1"/>
    <s v="No"/>
    <s v="Travel_Rarely"/>
    <n v="959"/>
    <x v="0"/>
    <n v="28"/>
    <n v="3"/>
    <s v="Life Sciences"/>
    <n v="1"/>
    <n v="183"/>
    <n v="1"/>
    <s v="Male"/>
    <n v="41"/>
    <n v="2"/>
    <x v="0"/>
    <s v="Sales Executive"/>
    <n v="3"/>
    <s v="Married"/>
    <n v="8639"/>
    <n v="24835"/>
    <n v="2"/>
    <s v="Y"/>
    <s v="No"/>
    <s v="No"/>
    <n v="18"/>
    <n v="3"/>
    <n v="4"/>
    <n v="80"/>
    <n v="0"/>
    <n v="6"/>
    <s v="6-15"/>
    <n v="3"/>
    <n v="3"/>
    <n v="2"/>
    <n v="2"/>
    <n v="2"/>
    <n v="2"/>
    <s v="Ok"/>
    <n v="27.831957989497376"/>
    <s v="No"/>
    <s v="Low Risk"/>
  </r>
  <r>
    <n v="30"/>
    <x v="1"/>
    <s v="No"/>
    <s v="Travel_Rarely"/>
    <n v="1240"/>
    <x v="2"/>
    <n v="9"/>
    <n v="3"/>
    <s v="Human Resources"/>
    <n v="1"/>
    <n v="184"/>
    <n v="3"/>
    <s v="Male"/>
    <n v="48"/>
    <n v="3"/>
    <x v="0"/>
    <s v="Human Resources"/>
    <n v="4"/>
    <s v="Married"/>
    <n v="6347"/>
    <n v="13982"/>
    <n v="0"/>
    <s v="Y"/>
    <s v="Yes"/>
    <s v="Yes"/>
    <n v="19"/>
    <n v="3"/>
    <n v="4"/>
    <n v="80"/>
    <n v="0"/>
    <n v="12"/>
    <s v="6-15"/>
    <n v="2"/>
    <n v="1"/>
    <n v="11"/>
    <n v="9"/>
    <n v="4"/>
    <n v="7"/>
    <s v="Below Avg"/>
    <n v="27.852852852852855"/>
    <s v="No"/>
    <s v="Low Risk"/>
  </r>
  <r>
    <n v="32"/>
    <x v="0"/>
    <s v="Yes"/>
    <s v="Travel_Rarely"/>
    <n v="1033"/>
    <x v="1"/>
    <n v="9"/>
    <n v="3"/>
    <s v="Medical"/>
    <n v="1"/>
    <n v="190"/>
    <n v="1"/>
    <s v="Female"/>
    <n v="41"/>
    <n v="3"/>
    <x v="1"/>
    <s v="Laboratory Technician"/>
    <n v="1"/>
    <s v="Single"/>
    <n v="4200"/>
    <n v="10224"/>
    <n v="7"/>
    <s v="Y"/>
    <s v="No"/>
    <s v="No"/>
    <n v="22"/>
    <n v="4"/>
    <n v="1"/>
    <n v="80"/>
    <n v="0"/>
    <n v="10"/>
    <s v="6-15"/>
    <n v="2"/>
    <n v="4"/>
    <n v="5"/>
    <n v="4"/>
    <n v="0"/>
    <n v="4"/>
    <s v="Below Avg"/>
    <n v="27.873779113448531"/>
    <s v="No"/>
    <s v="Low Risk"/>
  </r>
  <r>
    <n v="45"/>
    <x v="1"/>
    <s v="No"/>
    <s v="Travel_Rarely"/>
    <n v="1316"/>
    <x v="1"/>
    <n v="29"/>
    <n v="3"/>
    <s v="Medical"/>
    <n v="1"/>
    <n v="192"/>
    <n v="3"/>
    <s v="Male"/>
    <n v="83"/>
    <n v="3"/>
    <x v="1"/>
    <s v="Research Scientist"/>
    <n v="4"/>
    <s v="Single"/>
    <n v="3452"/>
    <n v="9752"/>
    <n v="5"/>
    <s v="Y"/>
    <s v="No"/>
    <s v="No"/>
    <n v="13"/>
    <n v="3"/>
    <n v="2"/>
    <n v="80"/>
    <n v="0"/>
    <n v="9"/>
    <s v="6-15"/>
    <n v="2"/>
    <n v="2"/>
    <n v="6"/>
    <n v="5"/>
    <n v="0"/>
    <n v="3"/>
    <s v="Below Avg"/>
    <n v="27.819548872180448"/>
    <s v="No"/>
    <s v="Low Risk"/>
  </r>
  <r>
    <n v="38"/>
    <x v="1"/>
    <s v="No"/>
    <s v="Travel_Rarely"/>
    <n v="364"/>
    <x v="1"/>
    <n v="3"/>
    <n v="5"/>
    <s v="Technical Degree"/>
    <n v="1"/>
    <n v="193"/>
    <n v="4"/>
    <s v="Female"/>
    <n v="32"/>
    <n v="3"/>
    <x v="0"/>
    <s v="Research Scientist"/>
    <n v="3"/>
    <s v="Single"/>
    <n v="4317"/>
    <n v="2302"/>
    <n v="3"/>
    <s v="Y"/>
    <s v="Yes"/>
    <s v="Yes"/>
    <n v="20"/>
    <n v="4"/>
    <n v="2"/>
    <n v="80"/>
    <n v="0"/>
    <n v="19"/>
    <s v="&gt;15"/>
    <n v="2"/>
    <n v="3"/>
    <n v="3"/>
    <n v="2"/>
    <n v="2"/>
    <n v="2"/>
    <s v="Below Avg"/>
    <n v="27.840481565086534"/>
    <s v="No"/>
    <s v="Low Risk"/>
  </r>
  <r>
    <n v="30"/>
    <x v="1"/>
    <s v="No"/>
    <s v="Travel_Rarely"/>
    <n v="438"/>
    <x v="1"/>
    <n v="18"/>
    <n v="3"/>
    <s v="Life Sciences"/>
    <n v="1"/>
    <n v="194"/>
    <n v="1"/>
    <s v="Female"/>
    <n v="75"/>
    <n v="3"/>
    <x v="1"/>
    <s v="Research Scientist"/>
    <n v="3"/>
    <s v="Single"/>
    <n v="2632"/>
    <n v="23910"/>
    <n v="1"/>
    <s v="Y"/>
    <s v="No"/>
    <s v="No"/>
    <n v="14"/>
    <n v="3"/>
    <n v="3"/>
    <n v="80"/>
    <n v="0"/>
    <n v="5"/>
    <s v="0-5"/>
    <n v="4"/>
    <n v="2"/>
    <n v="5"/>
    <n v="4"/>
    <n v="0"/>
    <n v="4"/>
    <s v="Below Avg"/>
    <n v="27.861445783132531"/>
    <s v="No"/>
    <s v="Low Risk"/>
  </r>
  <r>
    <n v="32"/>
    <x v="1"/>
    <s v="No"/>
    <s v="Travel_Frequently"/>
    <n v="689"/>
    <x v="0"/>
    <n v="9"/>
    <n v="2"/>
    <s v="Medical"/>
    <n v="1"/>
    <n v="195"/>
    <n v="4"/>
    <s v="Male"/>
    <n v="35"/>
    <n v="1"/>
    <x v="0"/>
    <s v="Sales Executive"/>
    <n v="4"/>
    <s v="Divorced"/>
    <n v="4668"/>
    <n v="22812"/>
    <n v="0"/>
    <s v="Y"/>
    <s v="No"/>
    <s v="No"/>
    <n v="17"/>
    <n v="3"/>
    <n v="4"/>
    <n v="80"/>
    <n v="3"/>
    <n v="9"/>
    <s v="6-15"/>
    <n v="2"/>
    <n v="4"/>
    <n v="8"/>
    <n v="7"/>
    <n v="0"/>
    <n v="7"/>
    <s v="Below Avg"/>
    <n v="27.807083647324792"/>
    <s v="No"/>
    <s v="Low Risk"/>
  </r>
  <r>
    <n v="30"/>
    <x v="1"/>
    <s v="No"/>
    <s v="Travel_Rarely"/>
    <n v="201"/>
    <x v="1"/>
    <n v="5"/>
    <n v="3"/>
    <s v="Technical Degree"/>
    <n v="1"/>
    <n v="197"/>
    <n v="4"/>
    <s v="Female"/>
    <n v="84"/>
    <n v="3"/>
    <x v="1"/>
    <s v="Research Scientist"/>
    <n v="1"/>
    <s v="Divorced"/>
    <n v="3204"/>
    <n v="10415"/>
    <n v="5"/>
    <s v="Y"/>
    <s v="No"/>
    <s v="No"/>
    <n v="14"/>
    <n v="3"/>
    <n v="4"/>
    <n v="80"/>
    <n v="1"/>
    <n v="8"/>
    <s v="6-15"/>
    <n v="3"/>
    <n v="3"/>
    <n v="3"/>
    <n v="2"/>
    <n v="2"/>
    <n v="2"/>
    <s v="Below Avg"/>
    <n v="27.828054298642535"/>
    <s v="No"/>
    <s v="Low Risk"/>
  </r>
  <r>
    <n v="30"/>
    <x v="1"/>
    <s v="No"/>
    <s v="Travel_Rarely"/>
    <n v="1427"/>
    <x v="1"/>
    <n v="2"/>
    <n v="1"/>
    <s v="Medical"/>
    <n v="1"/>
    <n v="198"/>
    <n v="2"/>
    <s v="Male"/>
    <n v="35"/>
    <n v="2"/>
    <x v="1"/>
    <s v="Laboratory Technician"/>
    <n v="4"/>
    <s v="Single"/>
    <n v="2720"/>
    <n v="11162"/>
    <n v="0"/>
    <s v="Y"/>
    <s v="No"/>
    <s v="No"/>
    <n v="13"/>
    <n v="3"/>
    <n v="4"/>
    <n v="80"/>
    <n v="0"/>
    <n v="6"/>
    <s v="6-15"/>
    <n v="3"/>
    <n v="3"/>
    <n v="5"/>
    <n v="3"/>
    <n v="1"/>
    <n v="2"/>
    <s v="Below Avg"/>
    <n v="27.849056603773587"/>
    <s v="No"/>
    <s v="Low Risk"/>
  </r>
  <r>
    <n v="41"/>
    <x v="1"/>
    <s v="No"/>
    <s v="Travel_Frequently"/>
    <n v="857"/>
    <x v="1"/>
    <n v="10"/>
    <n v="3"/>
    <s v="Life Sciences"/>
    <n v="1"/>
    <n v="199"/>
    <n v="4"/>
    <s v="Male"/>
    <n v="91"/>
    <n v="2"/>
    <x v="3"/>
    <s v="Manager"/>
    <n v="1"/>
    <s v="Divorced"/>
    <n v="17181"/>
    <n v="12888"/>
    <n v="4"/>
    <s v="Y"/>
    <s v="No"/>
    <s v="No"/>
    <n v="13"/>
    <n v="3"/>
    <n v="2"/>
    <n v="80"/>
    <n v="1"/>
    <n v="21"/>
    <s v="&gt;15"/>
    <n v="2"/>
    <n v="2"/>
    <n v="7"/>
    <n v="6"/>
    <n v="7"/>
    <n v="7"/>
    <s v="Ok"/>
    <n v="27.870090634441087"/>
    <s v="No"/>
    <s v="Low Risk"/>
  </r>
  <r>
    <n v="41"/>
    <x v="1"/>
    <s v="No"/>
    <s v="Travel_Rarely"/>
    <n v="933"/>
    <x v="1"/>
    <n v="9"/>
    <n v="4"/>
    <s v="Life Sciences"/>
    <n v="1"/>
    <n v="200"/>
    <n v="3"/>
    <s v="Male"/>
    <n v="94"/>
    <n v="3"/>
    <x v="1"/>
    <s v="Laboratory Technician"/>
    <n v="1"/>
    <s v="Married"/>
    <n v="2238"/>
    <n v="6961"/>
    <n v="2"/>
    <s v="Y"/>
    <s v="No"/>
    <s v="No"/>
    <n v="21"/>
    <n v="4"/>
    <n v="4"/>
    <n v="80"/>
    <n v="1"/>
    <n v="7"/>
    <s v="6-15"/>
    <n v="2"/>
    <n v="3"/>
    <n v="5"/>
    <n v="0"/>
    <n v="1"/>
    <n v="4"/>
    <s v="Below Avg"/>
    <n v="27.89115646258503"/>
    <s v="No"/>
    <s v="Low Risk"/>
  </r>
  <r>
    <n v="19"/>
    <x v="1"/>
    <s v="No"/>
    <s v="Travel_Rarely"/>
    <n v="1181"/>
    <x v="1"/>
    <n v="3"/>
    <n v="1"/>
    <s v="Medical"/>
    <n v="1"/>
    <n v="201"/>
    <n v="2"/>
    <s v="Female"/>
    <n v="79"/>
    <n v="3"/>
    <x v="1"/>
    <s v="Laboratory Technician"/>
    <n v="2"/>
    <s v="Single"/>
    <n v="1483"/>
    <n v="16102"/>
    <n v="1"/>
    <s v="Y"/>
    <s v="No"/>
    <s v="No"/>
    <n v="14"/>
    <n v="3"/>
    <n v="4"/>
    <n v="80"/>
    <n v="0"/>
    <n v="1"/>
    <s v="0-5"/>
    <n v="3"/>
    <n v="3"/>
    <n v="1"/>
    <n v="0"/>
    <n v="0"/>
    <n v="0"/>
    <s v="Below Avg"/>
    <n v="27.912254160363087"/>
    <s v="No"/>
    <s v="Low Risk"/>
  </r>
  <r>
    <n v="40"/>
    <x v="1"/>
    <s v="No"/>
    <s v="Travel_Frequently"/>
    <n v="1395"/>
    <x v="1"/>
    <n v="26"/>
    <n v="3"/>
    <s v="Medical"/>
    <n v="1"/>
    <n v="202"/>
    <n v="2"/>
    <s v="Female"/>
    <n v="54"/>
    <n v="3"/>
    <x v="0"/>
    <s v="Research Scientist"/>
    <n v="2"/>
    <s v="Divorced"/>
    <n v="5605"/>
    <n v="8504"/>
    <n v="1"/>
    <s v="Y"/>
    <s v="No"/>
    <s v="No"/>
    <n v="11"/>
    <n v="3"/>
    <n v="1"/>
    <n v="80"/>
    <n v="1"/>
    <n v="20"/>
    <s v="&gt;15"/>
    <n v="2"/>
    <n v="3"/>
    <n v="20"/>
    <n v="7"/>
    <n v="2"/>
    <n v="13"/>
    <s v="Below Avg"/>
    <n v="27.9333838001514"/>
    <s v="No"/>
    <s v="Low Risk"/>
  </r>
  <r>
    <n v="35"/>
    <x v="1"/>
    <s v="No"/>
    <s v="Travel_Rarely"/>
    <n v="662"/>
    <x v="0"/>
    <n v="1"/>
    <n v="5"/>
    <s v="Marketing"/>
    <n v="1"/>
    <n v="204"/>
    <n v="3"/>
    <s v="Male"/>
    <n v="94"/>
    <n v="3"/>
    <x v="2"/>
    <s v="Sales Executive"/>
    <n v="2"/>
    <s v="Married"/>
    <n v="7295"/>
    <n v="11439"/>
    <n v="1"/>
    <s v="Y"/>
    <s v="No"/>
    <s v="No"/>
    <n v="13"/>
    <n v="3"/>
    <n v="1"/>
    <n v="80"/>
    <n v="2"/>
    <n v="10"/>
    <s v="6-15"/>
    <n v="3"/>
    <n v="3"/>
    <n v="10"/>
    <n v="8"/>
    <n v="0"/>
    <n v="6"/>
    <s v="Ok"/>
    <n v="27.954545454545453"/>
    <s v="No"/>
    <s v="Low Risk"/>
  </r>
  <r>
    <n v="53"/>
    <x v="1"/>
    <s v="No"/>
    <s v="Travel_Rarely"/>
    <n v="1436"/>
    <x v="0"/>
    <n v="6"/>
    <n v="2"/>
    <s v="Marketing"/>
    <n v="1"/>
    <n v="205"/>
    <n v="2"/>
    <s v="Male"/>
    <n v="34"/>
    <n v="3"/>
    <x v="0"/>
    <s v="Sales Representative"/>
    <n v="3"/>
    <s v="Married"/>
    <n v="2306"/>
    <n v="16047"/>
    <n v="2"/>
    <s v="Y"/>
    <s v="Yes"/>
    <s v="Yes"/>
    <n v="20"/>
    <n v="4"/>
    <n v="4"/>
    <n v="80"/>
    <n v="1"/>
    <n v="13"/>
    <s v="6-15"/>
    <n v="3"/>
    <n v="1"/>
    <n v="7"/>
    <n v="7"/>
    <n v="4"/>
    <n v="5"/>
    <s v="Below Avg"/>
    <n v="27.975739196360877"/>
    <s v="No"/>
    <s v="Low Risk"/>
  </r>
  <r>
    <n v="45"/>
    <x v="1"/>
    <s v="No"/>
    <s v="Travel_Rarely"/>
    <n v="194"/>
    <x v="1"/>
    <n v="9"/>
    <n v="3"/>
    <s v="Life Sciences"/>
    <n v="1"/>
    <n v="206"/>
    <n v="2"/>
    <s v="Male"/>
    <n v="60"/>
    <n v="3"/>
    <x v="0"/>
    <s v="Laboratory Technician"/>
    <n v="2"/>
    <s v="Divorced"/>
    <n v="2348"/>
    <n v="10901"/>
    <n v="8"/>
    <s v="Y"/>
    <s v="No"/>
    <s v="No"/>
    <n v="18"/>
    <n v="3"/>
    <n v="3"/>
    <n v="80"/>
    <n v="1"/>
    <n v="20"/>
    <s v="&gt;15"/>
    <n v="2"/>
    <n v="1"/>
    <n v="17"/>
    <n v="9"/>
    <n v="0"/>
    <n v="15"/>
    <s v="Below Avg"/>
    <n v="27.996965098634298"/>
    <s v="No"/>
    <s v="Low Risk"/>
  </r>
  <r>
    <n v="32"/>
    <x v="1"/>
    <s v="No"/>
    <s v="Travel_Frequently"/>
    <n v="967"/>
    <x v="0"/>
    <n v="8"/>
    <n v="3"/>
    <s v="Marketing"/>
    <n v="1"/>
    <n v="207"/>
    <n v="2"/>
    <s v="Female"/>
    <n v="43"/>
    <n v="3"/>
    <x v="2"/>
    <s v="Sales Executive"/>
    <n v="4"/>
    <s v="Single"/>
    <n v="8998"/>
    <n v="15589"/>
    <n v="1"/>
    <s v="Y"/>
    <s v="No"/>
    <s v="No"/>
    <n v="14"/>
    <n v="3"/>
    <n v="4"/>
    <n v="80"/>
    <n v="0"/>
    <n v="9"/>
    <s v="6-15"/>
    <n v="2"/>
    <n v="3"/>
    <n v="9"/>
    <n v="8"/>
    <n v="3"/>
    <n v="7"/>
    <s v="Ok"/>
    <n v="27.942293090356873"/>
    <s v="No"/>
    <s v="Low Risk"/>
  </r>
  <r>
    <n v="29"/>
    <x v="1"/>
    <s v="No"/>
    <s v="Non-Travel"/>
    <n v="1496"/>
    <x v="1"/>
    <n v="1"/>
    <n v="1"/>
    <s v="Technical Degree"/>
    <n v="1"/>
    <n v="208"/>
    <n v="4"/>
    <s v="Male"/>
    <n v="41"/>
    <n v="3"/>
    <x v="0"/>
    <s v="Manufacturing Director"/>
    <n v="3"/>
    <s v="Married"/>
    <n v="4319"/>
    <n v="26283"/>
    <n v="1"/>
    <s v="Y"/>
    <s v="No"/>
    <s v="No"/>
    <n v="13"/>
    <n v="3"/>
    <n v="1"/>
    <n v="80"/>
    <n v="1"/>
    <n v="10"/>
    <s v="6-15"/>
    <n v="1"/>
    <n v="3"/>
    <n v="10"/>
    <n v="7"/>
    <n v="0"/>
    <n v="9"/>
    <s v="Below Avg"/>
    <n v="27.96352583586626"/>
    <s v="No"/>
    <s v="Low Risk"/>
  </r>
  <r>
    <n v="51"/>
    <x v="1"/>
    <s v="No"/>
    <s v="Travel_Rarely"/>
    <n v="1169"/>
    <x v="1"/>
    <n v="7"/>
    <n v="4"/>
    <s v="Medical"/>
    <n v="1"/>
    <n v="211"/>
    <n v="2"/>
    <s v="Male"/>
    <n v="34"/>
    <n v="2"/>
    <x v="0"/>
    <s v="Manufacturing Director"/>
    <n v="3"/>
    <s v="Married"/>
    <n v="6132"/>
    <n v="13983"/>
    <n v="2"/>
    <s v="Y"/>
    <s v="No"/>
    <s v="No"/>
    <n v="17"/>
    <n v="3"/>
    <n v="3"/>
    <n v="80"/>
    <n v="0"/>
    <n v="10"/>
    <s v="6-15"/>
    <n v="2"/>
    <n v="3"/>
    <n v="1"/>
    <n v="0"/>
    <n v="0"/>
    <n v="0"/>
    <s v="Below Avg"/>
    <n v="27.984790874524716"/>
    <s v="No"/>
    <s v="Low Risk"/>
  </r>
  <r>
    <n v="58"/>
    <x v="1"/>
    <s v="No"/>
    <s v="Travel_Rarely"/>
    <n v="1145"/>
    <x v="1"/>
    <n v="9"/>
    <n v="3"/>
    <s v="Medical"/>
    <n v="1"/>
    <n v="214"/>
    <n v="2"/>
    <s v="Female"/>
    <n v="75"/>
    <n v="2"/>
    <x v="1"/>
    <s v="Research Scientist"/>
    <n v="2"/>
    <s v="Married"/>
    <n v="3346"/>
    <n v="11873"/>
    <n v="4"/>
    <s v="Y"/>
    <s v="Yes"/>
    <s v="Yes"/>
    <n v="20"/>
    <n v="4"/>
    <n v="2"/>
    <n v="80"/>
    <n v="1"/>
    <n v="9"/>
    <s v="6-15"/>
    <n v="3"/>
    <n v="2"/>
    <n v="1"/>
    <n v="0"/>
    <n v="0"/>
    <n v="0"/>
    <s v="Below Avg"/>
    <n v="28.006088280060879"/>
    <s v="No"/>
    <s v="Low Risk"/>
  </r>
  <r>
    <n v="40"/>
    <x v="1"/>
    <s v="No"/>
    <s v="Travel_Rarely"/>
    <n v="630"/>
    <x v="0"/>
    <n v="4"/>
    <n v="4"/>
    <s v="Marketing"/>
    <n v="1"/>
    <n v="215"/>
    <n v="3"/>
    <s v="Male"/>
    <n v="67"/>
    <n v="2"/>
    <x v="2"/>
    <s v="Sales Executive"/>
    <n v="4"/>
    <s v="Married"/>
    <n v="10855"/>
    <n v="8552"/>
    <n v="7"/>
    <s v="Y"/>
    <s v="No"/>
    <s v="No"/>
    <n v="11"/>
    <n v="3"/>
    <n v="1"/>
    <n v="80"/>
    <n v="1"/>
    <n v="15"/>
    <s v="6-15"/>
    <n v="2"/>
    <n v="2"/>
    <n v="12"/>
    <n v="11"/>
    <n v="2"/>
    <n v="11"/>
    <s v="Ok"/>
    <n v="28.027418126428028"/>
    <s v="No"/>
    <s v="Low Risk"/>
  </r>
  <r>
    <n v="34"/>
    <x v="1"/>
    <s v="No"/>
    <s v="Travel_Frequently"/>
    <n v="303"/>
    <x v="0"/>
    <n v="2"/>
    <n v="4"/>
    <s v="Marketing"/>
    <n v="1"/>
    <n v="216"/>
    <n v="3"/>
    <s v="Female"/>
    <n v="75"/>
    <n v="3"/>
    <x v="1"/>
    <s v="Sales Representative"/>
    <n v="3"/>
    <s v="Married"/>
    <n v="2231"/>
    <n v="11314"/>
    <n v="6"/>
    <s v="Y"/>
    <s v="No"/>
    <s v="No"/>
    <n v="18"/>
    <n v="3"/>
    <n v="4"/>
    <n v="80"/>
    <n v="1"/>
    <n v="6"/>
    <s v="6-15"/>
    <n v="3"/>
    <n v="3"/>
    <n v="4"/>
    <n v="3"/>
    <n v="1"/>
    <n v="2"/>
    <s v="Below Avg"/>
    <n v="27.972560975609756"/>
    <s v="No"/>
    <s v="Low Risk"/>
  </r>
  <r>
    <n v="22"/>
    <x v="1"/>
    <s v="No"/>
    <s v="Travel_Rarely"/>
    <n v="1256"/>
    <x v="1"/>
    <n v="19"/>
    <n v="1"/>
    <s v="Medical"/>
    <n v="1"/>
    <n v="217"/>
    <n v="3"/>
    <s v="Male"/>
    <n v="80"/>
    <n v="3"/>
    <x v="1"/>
    <s v="Research Scientist"/>
    <n v="4"/>
    <s v="Married"/>
    <n v="2323"/>
    <n v="11992"/>
    <n v="1"/>
    <s v="Y"/>
    <s v="No"/>
    <s v="No"/>
    <n v="24"/>
    <n v="4"/>
    <n v="1"/>
    <n v="80"/>
    <n v="2"/>
    <n v="2"/>
    <s v="0-5"/>
    <n v="6"/>
    <n v="3"/>
    <n v="2"/>
    <n v="2"/>
    <n v="2"/>
    <n v="2"/>
    <s v="Below Avg"/>
    <n v="27.993897787948129"/>
    <s v="No"/>
    <s v="Low Risk"/>
  </r>
  <r>
    <n v="27"/>
    <x v="1"/>
    <s v="No"/>
    <s v="Non-Travel"/>
    <n v="691"/>
    <x v="1"/>
    <n v="9"/>
    <n v="3"/>
    <s v="Medical"/>
    <n v="1"/>
    <n v="218"/>
    <n v="4"/>
    <s v="Male"/>
    <n v="57"/>
    <n v="3"/>
    <x v="1"/>
    <s v="Research Scientist"/>
    <n v="2"/>
    <s v="Divorced"/>
    <n v="2024"/>
    <n v="5970"/>
    <n v="6"/>
    <s v="Y"/>
    <s v="No"/>
    <s v="No"/>
    <n v="18"/>
    <n v="3"/>
    <n v="4"/>
    <n v="80"/>
    <n v="1"/>
    <n v="6"/>
    <s v="6-15"/>
    <n v="1"/>
    <n v="1"/>
    <n v="2"/>
    <n v="2"/>
    <n v="2"/>
    <n v="2"/>
    <s v="Below Avg"/>
    <n v="28.015267175572518"/>
    <s v="No"/>
    <s v="Low Risk"/>
  </r>
  <r>
    <n v="28"/>
    <x v="1"/>
    <s v="No"/>
    <s v="Travel_Rarely"/>
    <n v="440"/>
    <x v="1"/>
    <n v="21"/>
    <n v="3"/>
    <s v="Medical"/>
    <n v="1"/>
    <n v="221"/>
    <n v="3"/>
    <s v="Male"/>
    <n v="42"/>
    <n v="3"/>
    <x v="1"/>
    <s v="Research Scientist"/>
    <n v="4"/>
    <s v="Married"/>
    <n v="2713"/>
    <n v="6672"/>
    <n v="1"/>
    <s v="Y"/>
    <s v="No"/>
    <s v="No"/>
    <n v="11"/>
    <n v="3"/>
    <n v="3"/>
    <n v="80"/>
    <n v="1"/>
    <n v="5"/>
    <s v="0-5"/>
    <n v="2"/>
    <n v="1"/>
    <n v="5"/>
    <n v="2"/>
    <n v="0"/>
    <n v="2"/>
    <s v="Below Avg"/>
    <n v="28.036669213139803"/>
    <s v="No"/>
    <s v="Low Risk"/>
  </r>
  <r>
    <n v="57"/>
    <x v="1"/>
    <s v="No"/>
    <s v="Travel_Rarely"/>
    <n v="334"/>
    <x v="1"/>
    <n v="24"/>
    <n v="2"/>
    <s v="Life Sciences"/>
    <n v="1"/>
    <n v="223"/>
    <n v="3"/>
    <s v="Male"/>
    <n v="83"/>
    <n v="4"/>
    <x v="2"/>
    <s v="Healthcare Representative"/>
    <n v="4"/>
    <s v="Divorced"/>
    <n v="9439"/>
    <n v="23402"/>
    <n v="3"/>
    <s v="Y"/>
    <s v="Yes"/>
    <s v="Yes"/>
    <n v="16"/>
    <n v="3"/>
    <n v="2"/>
    <n v="80"/>
    <n v="1"/>
    <n v="12"/>
    <s v="6-15"/>
    <n v="2"/>
    <n v="1"/>
    <n v="5"/>
    <n v="3"/>
    <n v="1"/>
    <n v="4"/>
    <s v="Ok"/>
    <n v="28.058103975535172"/>
    <s v="No"/>
    <s v="Low Risk"/>
  </r>
  <r>
    <n v="27"/>
    <x v="1"/>
    <s v="No"/>
    <s v="Non-Travel"/>
    <n v="1450"/>
    <x v="1"/>
    <n v="3"/>
    <n v="3"/>
    <s v="Medical"/>
    <n v="1"/>
    <n v="224"/>
    <n v="3"/>
    <s v="Male"/>
    <n v="79"/>
    <n v="2"/>
    <x v="1"/>
    <s v="Research Scientist"/>
    <n v="3"/>
    <s v="Divorced"/>
    <n v="2566"/>
    <n v="25326"/>
    <n v="1"/>
    <s v="Y"/>
    <s v="Yes"/>
    <s v="Yes"/>
    <n v="15"/>
    <n v="3"/>
    <n v="4"/>
    <n v="80"/>
    <n v="1"/>
    <n v="1"/>
    <s v="0-5"/>
    <n v="2"/>
    <n v="2"/>
    <n v="1"/>
    <n v="1"/>
    <n v="0"/>
    <n v="1"/>
    <s v="Below Avg"/>
    <n v="28.079571537872994"/>
    <s v="No"/>
    <s v="Low Risk"/>
  </r>
  <r>
    <n v="50"/>
    <x v="1"/>
    <s v="No"/>
    <s v="Travel_Rarely"/>
    <n v="1452"/>
    <x v="1"/>
    <n v="11"/>
    <n v="3"/>
    <s v="Life Sciences"/>
    <n v="1"/>
    <n v="226"/>
    <n v="3"/>
    <s v="Female"/>
    <n v="53"/>
    <n v="3"/>
    <x v="4"/>
    <s v="Manager"/>
    <n v="2"/>
    <s v="Single"/>
    <n v="19926"/>
    <n v="17053"/>
    <n v="3"/>
    <s v="Y"/>
    <s v="No"/>
    <s v="No"/>
    <n v="15"/>
    <n v="3"/>
    <n v="2"/>
    <n v="80"/>
    <n v="0"/>
    <n v="21"/>
    <s v="&gt;15"/>
    <n v="5"/>
    <n v="3"/>
    <n v="5"/>
    <n v="4"/>
    <n v="4"/>
    <n v="4"/>
    <s v="Ok"/>
    <n v="28.024502297090354"/>
    <s v="No"/>
    <s v="Low Risk"/>
  </r>
  <r>
    <n v="41"/>
    <x v="1"/>
    <s v="No"/>
    <s v="Travel_Rarely"/>
    <n v="465"/>
    <x v="1"/>
    <n v="14"/>
    <n v="3"/>
    <s v="Life Sciences"/>
    <n v="1"/>
    <n v="227"/>
    <n v="1"/>
    <s v="Male"/>
    <n v="56"/>
    <n v="3"/>
    <x v="1"/>
    <s v="Research Scientist"/>
    <n v="3"/>
    <s v="Divorced"/>
    <n v="2451"/>
    <n v="4609"/>
    <n v="4"/>
    <s v="Y"/>
    <s v="No"/>
    <s v="No"/>
    <n v="12"/>
    <n v="3"/>
    <n v="1"/>
    <n v="80"/>
    <n v="1"/>
    <n v="13"/>
    <s v="6-15"/>
    <n v="2"/>
    <n v="3"/>
    <n v="9"/>
    <n v="8"/>
    <n v="1"/>
    <n v="8"/>
    <s v="Below Avg"/>
    <n v="27.969348659003828"/>
    <s v="No"/>
    <s v="Low Risk"/>
  </r>
  <r>
    <n v="30"/>
    <x v="1"/>
    <s v="No"/>
    <s v="Travel_Rarely"/>
    <n v="1339"/>
    <x v="0"/>
    <n v="5"/>
    <n v="3"/>
    <s v="Life Sciences"/>
    <n v="1"/>
    <n v="228"/>
    <n v="2"/>
    <s v="Female"/>
    <n v="41"/>
    <n v="3"/>
    <x v="2"/>
    <s v="Sales Executive"/>
    <n v="4"/>
    <s v="Married"/>
    <n v="9419"/>
    <n v="8053"/>
    <n v="2"/>
    <s v="Y"/>
    <s v="No"/>
    <s v="No"/>
    <n v="12"/>
    <n v="3"/>
    <n v="3"/>
    <n v="80"/>
    <n v="1"/>
    <n v="12"/>
    <s v="6-15"/>
    <n v="2"/>
    <n v="3"/>
    <n v="10"/>
    <n v="9"/>
    <n v="7"/>
    <n v="4"/>
    <s v="Ok"/>
    <n v="27.990797546012271"/>
    <s v="No"/>
    <s v="Low Risk"/>
  </r>
  <r>
    <n v="38"/>
    <x v="1"/>
    <s v="No"/>
    <s v="Travel_Rarely"/>
    <n v="702"/>
    <x v="0"/>
    <n v="1"/>
    <n v="4"/>
    <s v="Life Sciences"/>
    <n v="1"/>
    <n v="230"/>
    <n v="1"/>
    <s v="Female"/>
    <n v="59"/>
    <n v="2"/>
    <x v="0"/>
    <s v="Sales Executive"/>
    <n v="4"/>
    <s v="Single"/>
    <n v="8686"/>
    <n v="12930"/>
    <n v="4"/>
    <s v="Y"/>
    <s v="No"/>
    <s v="No"/>
    <n v="22"/>
    <n v="4"/>
    <n v="3"/>
    <n v="80"/>
    <n v="0"/>
    <n v="12"/>
    <s v="6-15"/>
    <n v="2"/>
    <n v="4"/>
    <n v="8"/>
    <n v="3"/>
    <n v="0"/>
    <n v="7"/>
    <s v="Ok"/>
    <n v="28.012279355333845"/>
    <s v="No"/>
    <s v="Low Risk"/>
  </r>
  <r>
    <n v="32"/>
    <x v="1"/>
    <s v="No"/>
    <s v="Travel_Rarely"/>
    <n v="120"/>
    <x v="1"/>
    <n v="6"/>
    <n v="5"/>
    <s v="Life Sciences"/>
    <n v="1"/>
    <n v="231"/>
    <n v="3"/>
    <s v="Male"/>
    <n v="43"/>
    <n v="3"/>
    <x v="1"/>
    <s v="Research Scientist"/>
    <n v="3"/>
    <s v="Single"/>
    <n v="3038"/>
    <n v="12430"/>
    <n v="3"/>
    <s v="Y"/>
    <s v="No"/>
    <s v="No"/>
    <n v="20"/>
    <n v="4"/>
    <n v="1"/>
    <n v="80"/>
    <n v="0"/>
    <n v="8"/>
    <s v="6-15"/>
    <n v="2"/>
    <n v="3"/>
    <n v="5"/>
    <n v="4"/>
    <n v="1"/>
    <n v="4"/>
    <s v="Below Avg"/>
    <n v="28.033794162826421"/>
    <s v="No"/>
    <s v="Low Risk"/>
  </r>
  <r>
    <n v="27"/>
    <x v="1"/>
    <s v="No"/>
    <s v="Travel_Rarely"/>
    <n v="1157"/>
    <x v="1"/>
    <n v="17"/>
    <n v="3"/>
    <s v="Technical Degree"/>
    <n v="1"/>
    <n v="233"/>
    <n v="3"/>
    <s v="Male"/>
    <n v="51"/>
    <n v="3"/>
    <x v="1"/>
    <s v="Research Scientist"/>
    <n v="2"/>
    <s v="Married"/>
    <n v="3058"/>
    <n v="13364"/>
    <n v="0"/>
    <s v="Y"/>
    <s v="Yes"/>
    <s v="Yes"/>
    <n v="16"/>
    <n v="3"/>
    <n v="4"/>
    <n v="80"/>
    <n v="1"/>
    <n v="6"/>
    <s v="6-15"/>
    <n v="3"/>
    <n v="2"/>
    <n v="5"/>
    <n v="2"/>
    <n v="1"/>
    <n v="1"/>
    <s v="Below Avg"/>
    <n v="28.055342044581096"/>
    <s v="No"/>
    <s v="Low Risk"/>
  </r>
  <r>
    <n v="19"/>
    <x v="0"/>
    <s v="Yes"/>
    <s v="Travel_Frequently"/>
    <n v="602"/>
    <x v="0"/>
    <n v="1"/>
    <n v="1"/>
    <s v="Technical Degree"/>
    <n v="1"/>
    <n v="235"/>
    <n v="3"/>
    <s v="Female"/>
    <n v="100"/>
    <n v="1"/>
    <x v="1"/>
    <s v="Sales Representative"/>
    <n v="1"/>
    <s v="Single"/>
    <n v="2325"/>
    <n v="20989"/>
    <n v="0"/>
    <s v="Y"/>
    <s v="No"/>
    <s v="No"/>
    <n v="21"/>
    <n v="4"/>
    <n v="1"/>
    <n v="80"/>
    <n v="0"/>
    <n v="1"/>
    <s v="0-5"/>
    <n v="5"/>
    <n v="4"/>
    <n v="0"/>
    <n v="0"/>
    <n v="0"/>
    <n v="0"/>
    <s v="Below Avg"/>
    <n v="28.076923076923077"/>
    <s v="No"/>
    <s v="High Risk"/>
  </r>
  <r>
    <n v="36"/>
    <x v="1"/>
    <s v="No"/>
    <s v="Travel_Frequently"/>
    <n v="1480"/>
    <x v="1"/>
    <n v="3"/>
    <n v="2"/>
    <s v="Medical"/>
    <n v="1"/>
    <n v="238"/>
    <n v="4"/>
    <s v="Male"/>
    <n v="30"/>
    <n v="3"/>
    <x v="1"/>
    <s v="Laboratory Technician"/>
    <n v="2"/>
    <s v="Single"/>
    <n v="2088"/>
    <n v="15062"/>
    <n v="4"/>
    <s v="Y"/>
    <s v="No"/>
    <s v="No"/>
    <n v="12"/>
    <n v="3"/>
    <n v="3"/>
    <n v="80"/>
    <n v="0"/>
    <n v="13"/>
    <s v="6-15"/>
    <n v="3"/>
    <n v="2"/>
    <n v="8"/>
    <n v="7"/>
    <n v="7"/>
    <n v="2"/>
    <s v="Below Avg"/>
    <n v="28.021555042340264"/>
    <s v="No"/>
    <s v="Low Risk"/>
  </r>
  <r>
    <n v="30"/>
    <x v="1"/>
    <s v="No"/>
    <s v="Non-Travel"/>
    <n v="111"/>
    <x v="1"/>
    <n v="9"/>
    <n v="3"/>
    <s v="Medical"/>
    <n v="1"/>
    <n v="239"/>
    <n v="3"/>
    <s v="Male"/>
    <n v="66"/>
    <n v="3"/>
    <x v="0"/>
    <s v="Laboratory Technician"/>
    <n v="1"/>
    <s v="Divorced"/>
    <n v="3072"/>
    <n v="11012"/>
    <n v="1"/>
    <s v="Y"/>
    <s v="No"/>
    <s v="No"/>
    <n v="11"/>
    <n v="3"/>
    <n v="3"/>
    <n v="80"/>
    <n v="2"/>
    <n v="12"/>
    <s v="6-15"/>
    <n v="4"/>
    <n v="3"/>
    <n v="12"/>
    <n v="9"/>
    <n v="6"/>
    <n v="10"/>
    <s v="Below Avg"/>
    <n v="28.043143297380585"/>
    <s v="No"/>
    <s v="Low Risk"/>
  </r>
  <r>
    <n v="45"/>
    <x v="1"/>
    <s v="No"/>
    <s v="Travel_Rarely"/>
    <n v="1268"/>
    <x v="0"/>
    <n v="4"/>
    <n v="2"/>
    <s v="Life Sciences"/>
    <n v="1"/>
    <n v="240"/>
    <n v="3"/>
    <s v="Female"/>
    <n v="30"/>
    <n v="3"/>
    <x v="0"/>
    <s v="Sales Executive"/>
    <n v="1"/>
    <s v="Divorced"/>
    <n v="5006"/>
    <n v="6319"/>
    <n v="4"/>
    <s v="Y"/>
    <s v="Yes"/>
    <s v="Yes"/>
    <n v="11"/>
    <n v="3"/>
    <n v="1"/>
    <n v="80"/>
    <n v="1"/>
    <n v="9"/>
    <s v="6-15"/>
    <n v="3"/>
    <n v="4"/>
    <n v="5"/>
    <n v="4"/>
    <n v="0"/>
    <n v="3"/>
    <s v="Below Avg"/>
    <n v="28.064764841942946"/>
    <s v="No"/>
    <s v="Low Risk"/>
  </r>
  <r>
    <n v="56"/>
    <x v="1"/>
    <s v="No"/>
    <s v="Travel_Rarely"/>
    <n v="713"/>
    <x v="1"/>
    <n v="8"/>
    <n v="3"/>
    <s v="Life Sciences"/>
    <n v="1"/>
    <n v="241"/>
    <n v="3"/>
    <s v="Female"/>
    <n v="67"/>
    <n v="3"/>
    <x v="1"/>
    <s v="Research Scientist"/>
    <n v="1"/>
    <s v="Divorced"/>
    <n v="4257"/>
    <n v="13939"/>
    <n v="4"/>
    <s v="Y"/>
    <s v="Yes"/>
    <s v="Yes"/>
    <n v="18"/>
    <n v="3"/>
    <n v="3"/>
    <n v="80"/>
    <n v="1"/>
    <n v="19"/>
    <s v="&gt;15"/>
    <n v="3"/>
    <n v="3"/>
    <n v="2"/>
    <n v="2"/>
    <n v="2"/>
    <n v="2"/>
    <s v="Below Avg"/>
    <n v="28.086419753086421"/>
    <s v="No"/>
    <s v="Low Risk"/>
  </r>
  <r>
    <n v="33"/>
    <x v="1"/>
    <s v="No"/>
    <s v="Travel_Rarely"/>
    <n v="134"/>
    <x v="1"/>
    <n v="2"/>
    <n v="3"/>
    <s v="Life Sciences"/>
    <n v="1"/>
    <n v="242"/>
    <n v="3"/>
    <s v="Male"/>
    <n v="90"/>
    <n v="3"/>
    <x v="1"/>
    <s v="Research Scientist"/>
    <n v="4"/>
    <s v="Single"/>
    <n v="2500"/>
    <n v="10515"/>
    <n v="0"/>
    <s v="Y"/>
    <s v="No"/>
    <s v="No"/>
    <n v="14"/>
    <n v="3"/>
    <n v="1"/>
    <n v="80"/>
    <n v="0"/>
    <n v="4"/>
    <s v="0-5"/>
    <n v="2"/>
    <n v="4"/>
    <n v="3"/>
    <n v="1"/>
    <n v="0"/>
    <n v="2"/>
    <s v="Below Avg"/>
    <n v="28.030888030888029"/>
    <s v="No"/>
    <s v="Low Risk"/>
  </r>
  <r>
    <n v="19"/>
    <x v="0"/>
    <s v="Yes"/>
    <s v="Travel_Rarely"/>
    <n v="303"/>
    <x v="1"/>
    <n v="2"/>
    <n v="3"/>
    <s v="Life Sciences"/>
    <n v="1"/>
    <n v="243"/>
    <n v="2"/>
    <s v="Male"/>
    <n v="47"/>
    <n v="2"/>
    <x v="1"/>
    <s v="Laboratory Technician"/>
    <n v="4"/>
    <s v="Single"/>
    <n v="1102"/>
    <n v="9241"/>
    <n v="1"/>
    <s v="Y"/>
    <s v="No"/>
    <s v="No"/>
    <n v="22"/>
    <n v="4"/>
    <n v="3"/>
    <n v="80"/>
    <n v="0"/>
    <n v="1"/>
    <s v="0-5"/>
    <n v="3"/>
    <n v="2"/>
    <n v="1"/>
    <n v="0"/>
    <n v="1"/>
    <n v="0"/>
    <s v="Below Avg"/>
    <n v="27.975270479134469"/>
    <s v="No"/>
    <s v="High Risk"/>
  </r>
  <r>
    <n v="46"/>
    <x v="1"/>
    <s v="No"/>
    <s v="Travel_Rarely"/>
    <n v="526"/>
    <x v="0"/>
    <n v="1"/>
    <n v="2"/>
    <s v="Marketing"/>
    <n v="1"/>
    <n v="244"/>
    <n v="2"/>
    <s v="Female"/>
    <n v="92"/>
    <n v="3"/>
    <x v="2"/>
    <s v="Sales Executive"/>
    <n v="1"/>
    <s v="Divorced"/>
    <n v="10453"/>
    <n v="2137"/>
    <n v="1"/>
    <s v="Y"/>
    <s v="No"/>
    <s v="No"/>
    <n v="25"/>
    <n v="4"/>
    <n v="3"/>
    <n v="80"/>
    <n v="3"/>
    <n v="24"/>
    <s v="&gt;15"/>
    <n v="2"/>
    <n v="3"/>
    <n v="24"/>
    <n v="13"/>
    <n v="15"/>
    <n v="7"/>
    <s v="Ok"/>
    <n v="27.996906419180199"/>
    <s v="No"/>
    <s v="Low Risk"/>
  </r>
  <r>
    <n v="38"/>
    <x v="1"/>
    <s v="No"/>
    <s v="Travel_Rarely"/>
    <n v="1380"/>
    <x v="1"/>
    <n v="9"/>
    <n v="2"/>
    <s v="Life Sciences"/>
    <n v="1"/>
    <n v="245"/>
    <n v="3"/>
    <s v="Female"/>
    <n v="75"/>
    <n v="3"/>
    <x v="1"/>
    <s v="Laboratory Technician"/>
    <n v="4"/>
    <s v="Single"/>
    <n v="2288"/>
    <n v="6319"/>
    <n v="1"/>
    <s v="Y"/>
    <s v="No"/>
    <s v="No"/>
    <n v="12"/>
    <n v="3"/>
    <n v="3"/>
    <n v="80"/>
    <n v="0"/>
    <n v="2"/>
    <s v="0-5"/>
    <n v="3"/>
    <n v="3"/>
    <n v="2"/>
    <n v="2"/>
    <n v="2"/>
    <n v="1"/>
    <s v="Below Avg"/>
    <n v="28.018575851393191"/>
    <s v="No"/>
    <s v="Low Risk"/>
  </r>
  <r>
    <n v="31"/>
    <x v="1"/>
    <s v="No"/>
    <s v="Travel_Rarely"/>
    <n v="140"/>
    <x v="1"/>
    <n v="12"/>
    <n v="1"/>
    <s v="Medical"/>
    <n v="1"/>
    <n v="246"/>
    <n v="3"/>
    <s v="Female"/>
    <n v="95"/>
    <n v="3"/>
    <x v="1"/>
    <s v="Research Scientist"/>
    <n v="4"/>
    <s v="Married"/>
    <n v="3929"/>
    <n v="6984"/>
    <n v="8"/>
    <s v="Y"/>
    <s v="Yes"/>
    <s v="Yes"/>
    <n v="23"/>
    <n v="4"/>
    <n v="3"/>
    <n v="80"/>
    <n v="1"/>
    <n v="7"/>
    <s v="6-15"/>
    <n v="0"/>
    <n v="3"/>
    <n v="4"/>
    <n v="2"/>
    <n v="0"/>
    <n v="2"/>
    <s v="Below Avg"/>
    <n v="28.040278853601858"/>
    <s v="No"/>
    <s v="Low Risk"/>
  </r>
  <r>
    <n v="34"/>
    <x v="1"/>
    <s v="No"/>
    <s v="Travel_Rarely"/>
    <n v="629"/>
    <x v="1"/>
    <n v="27"/>
    <n v="2"/>
    <s v="Medical"/>
    <n v="1"/>
    <n v="247"/>
    <n v="4"/>
    <s v="Female"/>
    <n v="95"/>
    <n v="3"/>
    <x v="1"/>
    <s v="Research Scientist"/>
    <n v="2"/>
    <s v="Single"/>
    <n v="2311"/>
    <n v="5711"/>
    <n v="2"/>
    <s v="Y"/>
    <s v="No"/>
    <s v="No"/>
    <n v="15"/>
    <n v="3"/>
    <n v="4"/>
    <n v="80"/>
    <n v="0"/>
    <n v="9"/>
    <s v="6-15"/>
    <n v="3"/>
    <n v="3"/>
    <n v="3"/>
    <n v="2"/>
    <n v="1"/>
    <n v="2"/>
    <s v="Below Avg"/>
    <n v="28.062015503875969"/>
    <s v="No"/>
    <s v="Low Risk"/>
  </r>
  <r>
    <n v="41"/>
    <x v="0"/>
    <s v="Yes"/>
    <s v="Travel_Rarely"/>
    <n v="1356"/>
    <x v="0"/>
    <n v="20"/>
    <n v="2"/>
    <s v="Marketing"/>
    <n v="1"/>
    <n v="248"/>
    <n v="2"/>
    <s v="Female"/>
    <n v="70"/>
    <n v="3"/>
    <x v="1"/>
    <s v="Sales Representative"/>
    <n v="2"/>
    <s v="Single"/>
    <n v="3140"/>
    <n v="21728"/>
    <n v="1"/>
    <s v="Y"/>
    <s v="Yes"/>
    <s v="Yes"/>
    <n v="22"/>
    <n v="4"/>
    <n v="4"/>
    <n v="80"/>
    <n v="0"/>
    <n v="4"/>
    <s v="0-5"/>
    <n v="5"/>
    <n v="2"/>
    <n v="4"/>
    <n v="3"/>
    <n v="0"/>
    <n v="2"/>
    <s v="Below Avg"/>
    <n v="28.006206361520558"/>
    <s v="No"/>
    <s v="Low Risk"/>
  </r>
  <r>
    <n v="50"/>
    <x v="1"/>
    <s v="No"/>
    <s v="Travel_Rarely"/>
    <n v="328"/>
    <x v="1"/>
    <n v="1"/>
    <n v="3"/>
    <s v="Medical"/>
    <n v="1"/>
    <n v="249"/>
    <n v="3"/>
    <s v="Male"/>
    <n v="86"/>
    <n v="2"/>
    <x v="1"/>
    <s v="Laboratory Technician"/>
    <n v="3"/>
    <s v="Married"/>
    <n v="3690"/>
    <n v="3425"/>
    <n v="2"/>
    <s v="Y"/>
    <s v="No"/>
    <s v="No"/>
    <n v="15"/>
    <n v="3"/>
    <n v="4"/>
    <n v="80"/>
    <n v="1"/>
    <n v="5"/>
    <s v="0-5"/>
    <n v="2"/>
    <n v="2"/>
    <n v="3"/>
    <n v="2"/>
    <n v="0"/>
    <n v="2"/>
    <s v="Below Avg"/>
    <n v="28.027950310559007"/>
    <s v="No"/>
    <s v="Low Risk"/>
  </r>
  <r>
    <n v="53"/>
    <x v="1"/>
    <s v="No"/>
    <s v="Travel_Rarely"/>
    <n v="1084"/>
    <x v="1"/>
    <n v="13"/>
    <n v="2"/>
    <s v="Medical"/>
    <n v="1"/>
    <n v="250"/>
    <n v="4"/>
    <s v="Female"/>
    <n v="57"/>
    <n v="4"/>
    <x v="0"/>
    <s v="Manufacturing Director"/>
    <n v="1"/>
    <s v="Divorced"/>
    <n v="4450"/>
    <n v="26250"/>
    <n v="1"/>
    <s v="Y"/>
    <s v="No"/>
    <s v="No"/>
    <n v="11"/>
    <n v="3"/>
    <n v="3"/>
    <n v="80"/>
    <n v="2"/>
    <n v="5"/>
    <s v="0-5"/>
    <n v="3"/>
    <n v="3"/>
    <n v="4"/>
    <n v="2"/>
    <n v="1"/>
    <n v="3"/>
    <s v="Below Avg"/>
    <n v="27.972027972027973"/>
    <s v="No"/>
    <s v="Low Risk"/>
  </r>
  <r>
    <n v="33"/>
    <x v="1"/>
    <s v="No"/>
    <s v="Travel_Rarely"/>
    <n v="931"/>
    <x v="1"/>
    <n v="14"/>
    <n v="3"/>
    <s v="Medical"/>
    <n v="1"/>
    <n v="252"/>
    <n v="4"/>
    <s v="Female"/>
    <n v="72"/>
    <n v="3"/>
    <x v="1"/>
    <s v="Research Scientist"/>
    <n v="2"/>
    <s v="Married"/>
    <n v="2756"/>
    <n v="4673"/>
    <n v="1"/>
    <s v="Y"/>
    <s v="No"/>
    <s v="No"/>
    <n v="13"/>
    <n v="3"/>
    <n v="4"/>
    <n v="80"/>
    <n v="1"/>
    <n v="8"/>
    <s v="6-15"/>
    <n v="5"/>
    <n v="3"/>
    <n v="8"/>
    <n v="7"/>
    <n v="1"/>
    <n v="6"/>
    <s v="Below Avg"/>
    <n v="27.993779160186627"/>
    <s v="No"/>
    <s v="Low Risk"/>
  </r>
  <r>
    <n v="40"/>
    <x v="1"/>
    <s v="No"/>
    <s v="Travel_Rarely"/>
    <n v="989"/>
    <x v="1"/>
    <n v="4"/>
    <n v="1"/>
    <s v="Medical"/>
    <n v="1"/>
    <n v="253"/>
    <n v="4"/>
    <s v="Female"/>
    <n v="46"/>
    <n v="3"/>
    <x v="4"/>
    <s v="Manager"/>
    <n v="3"/>
    <s v="Married"/>
    <n v="19033"/>
    <n v="6499"/>
    <n v="1"/>
    <s v="Y"/>
    <s v="No"/>
    <s v="No"/>
    <n v="14"/>
    <n v="3"/>
    <n v="2"/>
    <n v="80"/>
    <n v="1"/>
    <n v="21"/>
    <s v="&gt;15"/>
    <n v="2"/>
    <n v="3"/>
    <n v="20"/>
    <n v="8"/>
    <n v="9"/>
    <n v="9"/>
    <s v="Ok"/>
    <n v="28.01556420233463"/>
    <s v="No"/>
    <s v="Low Risk"/>
  </r>
  <r>
    <n v="55"/>
    <x v="1"/>
    <s v="No"/>
    <s v="Travel_Rarely"/>
    <n v="692"/>
    <x v="1"/>
    <n v="14"/>
    <n v="4"/>
    <s v="Medical"/>
    <n v="1"/>
    <n v="254"/>
    <n v="3"/>
    <s v="Male"/>
    <n v="61"/>
    <n v="4"/>
    <x v="4"/>
    <s v="Research Director"/>
    <n v="2"/>
    <s v="Single"/>
    <n v="18722"/>
    <n v="13339"/>
    <n v="8"/>
    <s v="Y"/>
    <s v="No"/>
    <s v="No"/>
    <n v="11"/>
    <n v="3"/>
    <n v="4"/>
    <n v="80"/>
    <n v="0"/>
    <n v="36"/>
    <s v="&gt;15"/>
    <n v="3"/>
    <n v="3"/>
    <n v="24"/>
    <n v="15"/>
    <n v="2"/>
    <n v="15"/>
    <s v="Ok"/>
    <n v="28.037383177570092"/>
    <s v="No"/>
    <s v="Low Risk"/>
  </r>
  <r>
    <n v="34"/>
    <x v="1"/>
    <s v="No"/>
    <s v="Travel_Frequently"/>
    <n v="1069"/>
    <x v="1"/>
    <n v="2"/>
    <n v="1"/>
    <s v="Life Sciences"/>
    <n v="1"/>
    <n v="256"/>
    <n v="4"/>
    <s v="Male"/>
    <n v="45"/>
    <n v="2"/>
    <x v="0"/>
    <s v="Manufacturing Director"/>
    <n v="3"/>
    <s v="Married"/>
    <n v="9547"/>
    <n v="14074"/>
    <n v="1"/>
    <s v="Y"/>
    <s v="No"/>
    <s v="No"/>
    <n v="17"/>
    <n v="3"/>
    <n v="3"/>
    <n v="80"/>
    <n v="0"/>
    <n v="10"/>
    <s v="6-15"/>
    <n v="2"/>
    <n v="2"/>
    <n v="10"/>
    <n v="9"/>
    <n v="1"/>
    <n v="9"/>
    <s v="Ok"/>
    <n v="28.059236165237721"/>
    <s v="No"/>
    <s v="Low Risk"/>
  </r>
  <r>
    <n v="51"/>
    <x v="1"/>
    <s v="No"/>
    <s v="Travel_Rarely"/>
    <n v="313"/>
    <x v="1"/>
    <n v="3"/>
    <n v="3"/>
    <s v="Medical"/>
    <n v="1"/>
    <n v="258"/>
    <n v="4"/>
    <s v="Female"/>
    <n v="98"/>
    <n v="3"/>
    <x v="3"/>
    <s v="Healthcare Representative"/>
    <n v="2"/>
    <s v="Single"/>
    <n v="13734"/>
    <n v="7192"/>
    <n v="3"/>
    <s v="Y"/>
    <s v="No"/>
    <s v="No"/>
    <n v="18"/>
    <n v="3"/>
    <n v="3"/>
    <n v="80"/>
    <n v="0"/>
    <n v="21"/>
    <s v="&gt;15"/>
    <n v="6"/>
    <n v="3"/>
    <n v="7"/>
    <n v="7"/>
    <n v="1"/>
    <n v="0"/>
    <s v="Ok"/>
    <n v="28.081123244929795"/>
    <s v="No"/>
    <s v="Low Risk"/>
  </r>
  <r>
    <n v="52"/>
    <x v="1"/>
    <s v="No"/>
    <s v="Travel_Rarely"/>
    <n v="699"/>
    <x v="1"/>
    <n v="1"/>
    <n v="4"/>
    <s v="Life Sciences"/>
    <n v="1"/>
    <n v="259"/>
    <n v="3"/>
    <s v="Male"/>
    <n v="65"/>
    <n v="2"/>
    <x v="4"/>
    <s v="Manager"/>
    <n v="3"/>
    <s v="Married"/>
    <n v="19999"/>
    <n v="5678"/>
    <n v="0"/>
    <s v="Y"/>
    <s v="No"/>
    <s v="No"/>
    <n v="14"/>
    <n v="3"/>
    <n v="1"/>
    <n v="80"/>
    <n v="1"/>
    <n v="34"/>
    <s v="&gt;15"/>
    <n v="5"/>
    <n v="3"/>
    <n v="33"/>
    <n v="18"/>
    <n v="11"/>
    <n v="9"/>
    <s v="Ok"/>
    <n v="28.103044496487119"/>
    <s v="No"/>
    <s v="Low Risk"/>
  </r>
  <r>
    <n v="27"/>
    <x v="1"/>
    <s v="No"/>
    <s v="Travel_Rarely"/>
    <n v="894"/>
    <x v="1"/>
    <n v="9"/>
    <n v="3"/>
    <s v="Medical"/>
    <n v="1"/>
    <n v="260"/>
    <n v="4"/>
    <s v="Female"/>
    <n v="99"/>
    <n v="3"/>
    <x v="1"/>
    <s v="Research Scientist"/>
    <n v="2"/>
    <s v="Single"/>
    <n v="2279"/>
    <n v="11781"/>
    <n v="1"/>
    <s v="Y"/>
    <s v="No"/>
    <s v="No"/>
    <n v="16"/>
    <n v="3"/>
    <n v="4"/>
    <n v="80"/>
    <n v="0"/>
    <n v="7"/>
    <s v="6-15"/>
    <n v="2"/>
    <n v="2"/>
    <n v="7"/>
    <n v="7"/>
    <n v="0"/>
    <n v="3"/>
    <s v="Below Avg"/>
    <n v="28.125"/>
    <s v="No"/>
    <s v="Low Risk"/>
  </r>
  <r>
    <n v="35"/>
    <x v="0"/>
    <s v="Yes"/>
    <s v="Travel_Rarely"/>
    <n v="556"/>
    <x v="1"/>
    <n v="23"/>
    <n v="2"/>
    <s v="Life Sciences"/>
    <n v="1"/>
    <n v="261"/>
    <n v="2"/>
    <s v="Male"/>
    <n v="50"/>
    <n v="2"/>
    <x v="0"/>
    <s v="Manufacturing Director"/>
    <n v="3"/>
    <s v="Married"/>
    <n v="5916"/>
    <n v="15497"/>
    <n v="3"/>
    <s v="Y"/>
    <s v="Yes"/>
    <s v="Yes"/>
    <n v="13"/>
    <n v="3"/>
    <n v="1"/>
    <n v="80"/>
    <n v="0"/>
    <n v="8"/>
    <s v="6-15"/>
    <n v="1"/>
    <n v="3"/>
    <n v="1"/>
    <n v="0"/>
    <n v="0"/>
    <n v="1"/>
    <s v="Below Avg"/>
    <n v="28.146989835809226"/>
    <s v="No"/>
    <s v="High Risk"/>
  </r>
  <r>
    <n v="43"/>
    <x v="1"/>
    <s v="No"/>
    <s v="Non-Travel"/>
    <n v="1344"/>
    <x v="1"/>
    <n v="7"/>
    <n v="3"/>
    <s v="Medical"/>
    <n v="1"/>
    <n v="262"/>
    <n v="4"/>
    <s v="Male"/>
    <n v="37"/>
    <n v="4"/>
    <x v="1"/>
    <s v="Research Scientist"/>
    <n v="4"/>
    <s v="Divorced"/>
    <n v="2089"/>
    <n v="5228"/>
    <n v="4"/>
    <s v="Y"/>
    <s v="No"/>
    <s v="No"/>
    <n v="14"/>
    <n v="3"/>
    <n v="4"/>
    <n v="80"/>
    <n v="3"/>
    <n v="7"/>
    <s v="6-15"/>
    <n v="3"/>
    <n v="4"/>
    <n v="5"/>
    <n v="4"/>
    <n v="2"/>
    <n v="2"/>
    <s v="Below Avg"/>
    <n v="28.169014084507044"/>
    <s v="No"/>
    <s v="Low Risk"/>
  </r>
  <r>
    <n v="45"/>
    <x v="1"/>
    <s v="No"/>
    <s v="Non-Travel"/>
    <n v="1195"/>
    <x v="1"/>
    <n v="2"/>
    <n v="2"/>
    <s v="Medical"/>
    <n v="1"/>
    <n v="264"/>
    <n v="1"/>
    <s v="Male"/>
    <n v="65"/>
    <n v="2"/>
    <x v="3"/>
    <s v="Manager"/>
    <n v="4"/>
    <s v="Married"/>
    <n v="16792"/>
    <n v="20462"/>
    <n v="9"/>
    <s v="Y"/>
    <s v="No"/>
    <s v="No"/>
    <n v="23"/>
    <n v="4"/>
    <n v="4"/>
    <n v="80"/>
    <n v="1"/>
    <n v="22"/>
    <s v="&gt;15"/>
    <n v="1"/>
    <n v="3"/>
    <n v="20"/>
    <n v="8"/>
    <n v="11"/>
    <n v="8"/>
    <s v="Ok"/>
    <n v="28.112764291307752"/>
    <s v="No"/>
    <s v="Low Risk"/>
  </r>
  <r>
    <n v="37"/>
    <x v="1"/>
    <s v="No"/>
    <s v="Travel_Rarely"/>
    <n v="290"/>
    <x v="1"/>
    <n v="21"/>
    <n v="3"/>
    <s v="Life Sciences"/>
    <n v="1"/>
    <n v="267"/>
    <n v="2"/>
    <s v="Male"/>
    <n v="65"/>
    <n v="4"/>
    <x v="1"/>
    <s v="Research Scientist"/>
    <n v="1"/>
    <s v="Married"/>
    <n v="3564"/>
    <n v="22977"/>
    <n v="1"/>
    <s v="Y"/>
    <s v="Yes"/>
    <s v="Yes"/>
    <n v="12"/>
    <n v="3"/>
    <n v="1"/>
    <n v="80"/>
    <n v="1"/>
    <n v="8"/>
    <s v="6-15"/>
    <n v="3"/>
    <n v="2"/>
    <n v="8"/>
    <n v="7"/>
    <n v="1"/>
    <n v="7"/>
    <s v="Below Avg"/>
    <n v="28.134796238244515"/>
    <s v="No"/>
    <s v="Low Risk"/>
  </r>
  <r>
    <n v="35"/>
    <x v="1"/>
    <s v="No"/>
    <s v="Travel_Frequently"/>
    <n v="138"/>
    <x v="1"/>
    <n v="2"/>
    <n v="3"/>
    <s v="Medical"/>
    <n v="1"/>
    <n v="269"/>
    <n v="2"/>
    <s v="Female"/>
    <n v="37"/>
    <n v="3"/>
    <x v="0"/>
    <s v="Laboratory Technician"/>
    <n v="2"/>
    <s v="Single"/>
    <n v="4425"/>
    <n v="15986"/>
    <n v="5"/>
    <s v="Y"/>
    <s v="No"/>
    <s v="No"/>
    <n v="11"/>
    <n v="3"/>
    <n v="4"/>
    <n v="80"/>
    <n v="0"/>
    <n v="10"/>
    <s v="6-15"/>
    <n v="5"/>
    <n v="3"/>
    <n v="6"/>
    <n v="2"/>
    <n v="1"/>
    <n v="2"/>
    <s v="Below Avg"/>
    <n v="28.156862745098039"/>
    <s v="No"/>
    <s v="Low Risk"/>
  </r>
  <r>
    <n v="42"/>
    <x v="1"/>
    <s v="No"/>
    <s v="Non-Travel"/>
    <n v="926"/>
    <x v="1"/>
    <n v="21"/>
    <n v="2"/>
    <s v="Medical"/>
    <n v="1"/>
    <n v="270"/>
    <n v="3"/>
    <s v="Female"/>
    <n v="36"/>
    <n v="3"/>
    <x v="0"/>
    <s v="Manufacturing Director"/>
    <n v="3"/>
    <s v="Divorced"/>
    <n v="5265"/>
    <n v="16439"/>
    <n v="2"/>
    <s v="Y"/>
    <s v="No"/>
    <s v="No"/>
    <n v="16"/>
    <n v="3"/>
    <n v="2"/>
    <n v="80"/>
    <n v="1"/>
    <n v="11"/>
    <s v="6-15"/>
    <n v="5"/>
    <n v="3"/>
    <n v="5"/>
    <n v="3"/>
    <n v="0"/>
    <n v="2"/>
    <s v="Below Avg"/>
    <n v="28.100470957613815"/>
    <s v="No"/>
    <s v="Low Risk"/>
  </r>
  <r>
    <n v="38"/>
    <x v="1"/>
    <s v="No"/>
    <s v="Travel_Rarely"/>
    <n v="1261"/>
    <x v="1"/>
    <n v="2"/>
    <n v="4"/>
    <s v="Life Sciences"/>
    <n v="1"/>
    <n v="271"/>
    <n v="4"/>
    <s v="Male"/>
    <n v="88"/>
    <n v="3"/>
    <x v="0"/>
    <s v="Manufacturing Director"/>
    <n v="3"/>
    <s v="Married"/>
    <n v="6553"/>
    <n v="7259"/>
    <n v="9"/>
    <s v="Y"/>
    <s v="No"/>
    <s v="No"/>
    <n v="14"/>
    <n v="3"/>
    <n v="2"/>
    <n v="80"/>
    <n v="0"/>
    <n v="14"/>
    <s v="6-15"/>
    <n v="3"/>
    <n v="3"/>
    <n v="1"/>
    <n v="0"/>
    <n v="0"/>
    <n v="0"/>
    <s v="Ok"/>
    <n v="28.122545168892383"/>
    <s v="No"/>
    <s v="Low Risk"/>
  </r>
  <r>
    <n v="38"/>
    <x v="1"/>
    <s v="No"/>
    <s v="Travel_Rarely"/>
    <n v="1084"/>
    <x v="1"/>
    <n v="29"/>
    <n v="3"/>
    <s v="Technical Degree"/>
    <n v="1"/>
    <n v="273"/>
    <n v="4"/>
    <s v="Male"/>
    <n v="54"/>
    <n v="3"/>
    <x v="0"/>
    <s v="Manufacturing Director"/>
    <n v="4"/>
    <s v="Married"/>
    <n v="6261"/>
    <n v="4185"/>
    <n v="3"/>
    <s v="Y"/>
    <s v="No"/>
    <s v="No"/>
    <n v="18"/>
    <n v="3"/>
    <n v="1"/>
    <n v="80"/>
    <n v="1"/>
    <n v="9"/>
    <s v="6-15"/>
    <n v="3"/>
    <n v="1"/>
    <n v="7"/>
    <n v="7"/>
    <n v="1"/>
    <n v="7"/>
    <s v="Below Avg"/>
    <n v="28.144654088050313"/>
    <s v="No"/>
    <s v="Low Risk"/>
  </r>
  <r>
    <n v="27"/>
    <x v="1"/>
    <s v="No"/>
    <s v="Travel_Frequently"/>
    <n v="472"/>
    <x v="1"/>
    <n v="1"/>
    <n v="1"/>
    <s v="Technical Degree"/>
    <n v="1"/>
    <n v="274"/>
    <n v="3"/>
    <s v="Male"/>
    <n v="60"/>
    <n v="2"/>
    <x v="0"/>
    <s v="Manufacturing Director"/>
    <n v="1"/>
    <s v="Married"/>
    <n v="4298"/>
    <n v="9679"/>
    <n v="5"/>
    <s v="Y"/>
    <s v="No"/>
    <s v="No"/>
    <n v="19"/>
    <n v="3"/>
    <n v="3"/>
    <n v="80"/>
    <n v="1"/>
    <n v="6"/>
    <s v="6-15"/>
    <n v="1"/>
    <n v="3"/>
    <n v="2"/>
    <n v="2"/>
    <n v="2"/>
    <n v="0"/>
    <s v="Below Avg"/>
    <n v="28.166797797010229"/>
    <s v="No"/>
    <s v="Low Risk"/>
  </r>
  <r>
    <n v="49"/>
    <x v="1"/>
    <s v="No"/>
    <s v="Non-Travel"/>
    <n v="1002"/>
    <x v="1"/>
    <n v="18"/>
    <n v="4"/>
    <s v="Life Sciences"/>
    <n v="1"/>
    <n v="275"/>
    <n v="4"/>
    <s v="Male"/>
    <n v="92"/>
    <n v="3"/>
    <x v="0"/>
    <s v="Manufacturing Director"/>
    <n v="4"/>
    <s v="Divorced"/>
    <n v="6804"/>
    <n v="23793"/>
    <n v="1"/>
    <s v="Y"/>
    <s v="Yes"/>
    <s v="Yes"/>
    <n v="15"/>
    <n v="3"/>
    <n v="1"/>
    <n v="80"/>
    <n v="2"/>
    <n v="7"/>
    <s v="6-15"/>
    <n v="0"/>
    <n v="3"/>
    <n v="7"/>
    <n v="7"/>
    <n v="1"/>
    <n v="7"/>
    <s v="Ok"/>
    <n v="28.188976377952756"/>
    <s v="No"/>
    <s v="Low Risk"/>
  </r>
  <r>
    <n v="34"/>
    <x v="1"/>
    <s v="No"/>
    <s v="Travel_Frequently"/>
    <n v="878"/>
    <x v="1"/>
    <n v="10"/>
    <n v="4"/>
    <s v="Medical"/>
    <n v="1"/>
    <n v="277"/>
    <n v="4"/>
    <s v="Male"/>
    <n v="43"/>
    <n v="3"/>
    <x v="1"/>
    <s v="Research Scientist"/>
    <n v="3"/>
    <s v="Divorced"/>
    <n v="3815"/>
    <n v="5972"/>
    <n v="1"/>
    <s v="Y"/>
    <s v="Yes"/>
    <s v="Yes"/>
    <n v="17"/>
    <n v="3"/>
    <n v="4"/>
    <n v="80"/>
    <n v="1"/>
    <n v="5"/>
    <s v="0-5"/>
    <n v="4"/>
    <n v="4"/>
    <n v="5"/>
    <n v="3"/>
    <n v="2"/>
    <n v="0"/>
    <s v="Below Avg"/>
    <n v="28.211189913317575"/>
    <s v="No"/>
    <s v="Low Risk"/>
  </r>
  <r>
    <n v="40"/>
    <x v="1"/>
    <s v="No"/>
    <s v="Travel_Rarely"/>
    <n v="905"/>
    <x v="1"/>
    <n v="19"/>
    <n v="2"/>
    <s v="Medical"/>
    <n v="1"/>
    <n v="281"/>
    <n v="3"/>
    <s v="Male"/>
    <n v="99"/>
    <n v="3"/>
    <x v="0"/>
    <s v="Laboratory Technician"/>
    <n v="4"/>
    <s v="Married"/>
    <n v="2741"/>
    <n v="16523"/>
    <n v="8"/>
    <s v="Y"/>
    <s v="Yes"/>
    <s v="Yes"/>
    <n v="15"/>
    <n v="3"/>
    <n v="3"/>
    <n v="80"/>
    <n v="1"/>
    <n v="15"/>
    <s v="6-15"/>
    <n v="2"/>
    <n v="4"/>
    <n v="7"/>
    <n v="2"/>
    <n v="3"/>
    <n v="7"/>
    <s v="Below Avg"/>
    <n v="28.154574132492115"/>
    <s v="No"/>
    <s v="Low Risk"/>
  </r>
  <r>
    <n v="38"/>
    <x v="0"/>
    <s v="Yes"/>
    <s v="Travel_Rarely"/>
    <n v="1180"/>
    <x v="1"/>
    <n v="29"/>
    <n v="1"/>
    <s v="Medical"/>
    <n v="1"/>
    <n v="282"/>
    <n v="2"/>
    <s v="Male"/>
    <n v="70"/>
    <n v="3"/>
    <x v="0"/>
    <s v="Healthcare Representative"/>
    <n v="1"/>
    <s v="Married"/>
    <n v="6673"/>
    <n v="11354"/>
    <n v="7"/>
    <s v="Y"/>
    <s v="Yes"/>
    <s v="Yes"/>
    <n v="19"/>
    <n v="3"/>
    <n v="2"/>
    <n v="80"/>
    <n v="0"/>
    <n v="17"/>
    <s v="&gt;15"/>
    <n v="2"/>
    <n v="3"/>
    <n v="1"/>
    <n v="0"/>
    <n v="0"/>
    <n v="0"/>
    <s v="Ok"/>
    <n v="28.097868981846879"/>
    <s v="No"/>
    <s v="High Risk"/>
  </r>
  <r>
    <n v="29"/>
    <x v="0"/>
    <s v="Yes"/>
    <s v="Travel_Rarely"/>
    <n v="121"/>
    <x v="0"/>
    <n v="27"/>
    <n v="3"/>
    <s v="Marketing"/>
    <n v="1"/>
    <n v="283"/>
    <n v="2"/>
    <s v="Female"/>
    <n v="35"/>
    <n v="3"/>
    <x v="2"/>
    <s v="Sales Executive"/>
    <n v="4"/>
    <s v="Married"/>
    <n v="7639"/>
    <n v="24525"/>
    <n v="1"/>
    <s v="Y"/>
    <s v="No"/>
    <s v="No"/>
    <n v="22"/>
    <n v="4"/>
    <n v="4"/>
    <n v="80"/>
    <n v="3"/>
    <n v="10"/>
    <s v="6-15"/>
    <n v="3"/>
    <n v="2"/>
    <n v="10"/>
    <n v="4"/>
    <n v="1"/>
    <n v="9"/>
    <s v="Ok"/>
    <n v="28.041074249605057"/>
    <s v="No"/>
    <s v="Low Risk"/>
  </r>
  <r>
    <n v="22"/>
    <x v="1"/>
    <s v="No"/>
    <s v="Travel_Rarely"/>
    <n v="1136"/>
    <x v="1"/>
    <n v="5"/>
    <n v="3"/>
    <s v="Life Sciences"/>
    <n v="1"/>
    <n v="284"/>
    <n v="4"/>
    <s v="Male"/>
    <n v="60"/>
    <n v="4"/>
    <x v="1"/>
    <s v="Research Scientist"/>
    <n v="2"/>
    <s v="Divorced"/>
    <n v="2328"/>
    <n v="12392"/>
    <n v="1"/>
    <s v="Y"/>
    <s v="Yes"/>
    <s v="Yes"/>
    <n v="16"/>
    <n v="3"/>
    <n v="1"/>
    <n v="80"/>
    <n v="1"/>
    <n v="4"/>
    <s v="0-5"/>
    <n v="2"/>
    <n v="2"/>
    <n v="4"/>
    <n v="2"/>
    <n v="2"/>
    <n v="2"/>
    <s v="Below Avg"/>
    <n v="27.984189723320156"/>
    <s v="No"/>
    <s v="Low Risk"/>
  </r>
  <r>
    <n v="36"/>
    <x v="1"/>
    <s v="No"/>
    <s v="Travel_Frequently"/>
    <n v="635"/>
    <x v="1"/>
    <n v="18"/>
    <n v="1"/>
    <s v="Medical"/>
    <n v="1"/>
    <n v="286"/>
    <n v="2"/>
    <s v="Female"/>
    <n v="73"/>
    <n v="3"/>
    <x v="1"/>
    <s v="Laboratory Technician"/>
    <n v="4"/>
    <s v="Single"/>
    <n v="2153"/>
    <n v="7703"/>
    <n v="1"/>
    <s v="Y"/>
    <s v="No"/>
    <s v="No"/>
    <n v="13"/>
    <n v="3"/>
    <n v="1"/>
    <n v="80"/>
    <n v="0"/>
    <n v="8"/>
    <s v="6-15"/>
    <n v="2"/>
    <n v="3"/>
    <n v="8"/>
    <n v="1"/>
    <n v="1"/>
    <n v="7"/>
    <s v="Below Avg"/>
    <n v="28.00632911392405"/>
    <s v="No"/>
    <s v="Low Risk"/>
  </r>
  <r>
    <n v="40"/>
    <x v="1"/>
    <s v="No"/>
    <s v="Non-Travel"/>
    <n v="1151"/>
    <x v="1"/>
    <n v="9"/>
    <n v="5"/>
    <s v="Life Sciences"/>
    <n v="1"/>
    <n v="287"/>
    <n v="4"/>
    <s v="Male"/>
    <n v="63"/>
    <n v="2"/>
    <x v="0"/>
    <s v="Healthcare Representative"/>
    <n v="4"/>
    <s v="Married"/>
    <n v="4876"/>
    <n v="14242"/>
    <n v="9"/>
    <s v="Y"/>
    <s v="No"/>
    <s v="No"/>
    <n v="14"/>
    <n v="3"/>
    <n v="4"/>
    <n v="80"/>
    <n v="1"/>
    <n v="5"/>
    <s v="0-5"/>
    <n v="5"/>
    <n v="1"/>
    <n v="3"/>
    <n v="2"/>
    <n v="0"/>
    <n v="2"/>
    <s v="Below Avg"/>
    <n v="27.949326999208235"/>
    <s v="No"/>
    <s v="Low Risk"/>
  </r>
  <r>
    <n v="46"/>
    <x v="1"/>
    <s v="No"/>
    <s v="Travel_Rarely"/>
    <n v="644"/>
    <x v="1"/>
    <n v="1"/>
    <n v="4"/>
    <s v="Medical"/>
    <n v="1"/>
    <n v="288"/>
    <n v="4"/>
    <s v="Male"/>
    <n v="97"/>
    <n v="3"/>
    <x v="2"/>
    <s v="Healthcare Representative"/>
    <n v="1"/>
    <s v="Divorced"/>
    <n v="9396"/>
    <n v="12368"/>
    <n v="7"/>
    <s v="Y"/>
    <s v="No"/>
    <s v="No"/>
    <n v="16"/>
    <n v="3"/>
    <n v="3"/>
    <n v="80"/>
    <n v="1"/>
    <n v="17"/>
    <s v="&gt;15"/>
    <n v="3"/>
    <n v="3"/>
    <n v="4"/>
    <n v="2"/>
    <n v="0"/>
    <n v="3"/>
    <s v="Ok"/>
    <n v="27.971473851030108"/>
    <s v="No"/>
    <s v="Low Risk"/>
  </r>
  <r>
    <n v="32"/>
    <x v="0"/>
    <s v="Yes"/>
    <s v="Travel_Rarely"/>
    <n v="1045"/>
    <x v="0"/>
    <n v="4"/>
    <n v="4"/>
    <s v="Medical"/>
    <n v="1"/>
    <n v="291"/>
    <n v="4"/>
    <s v="Male"/>
    <n v="32"/>
    <n v="1"/>
    <x v="2"/>
    <s v="Sales Executive"/>
    <n v="4"/>
    <s v="Married"/>
    <n v="10400"/>
    <n v="25812"/>
    <n v="1"/>
    <s v="Y"/>
    <s v="No"/>
    <s v="No"/>
    <n v="11"/>
    <n v="3"/>
    <n v="3"/>
    <n v="80"/>
    <n v="0"/>
    <n v="14"/>
    <s v="6-15"/>
    <n v="2"/>
    <n v="2"/>
    <n v="14"/>
    <n v="8"/>
    <n v="9"/>
    <n v="8"/>
    <s v="Ok"/>
    <n v="27.993655828707375"/>
    <s v="No"/>
    <s v="Low Risk"/>
  </r>
  <r>
    <n v="30"/>
    <x v="1"/>
    <s v="No"/>
    <s v="Non-Travel"/>
    <n v="829"/>
    <x v="1"/>
    <n v="1"/>
    <n v="1"/>
    <s v="Life Sciences"/>
    <n v="1"/>
    <n v="292"/>
    <n v="3"/>
    <s v="Male"/>
    <n v="88"/>
    <n v="2"/>
    <x v="2"/>
    <s v="Manufacturing Director"/>
    <n v="3"/>
    <s v="Single"/>
    <n v="8474"/>
    <n v="20925"/>
    <n v="1"/>
    <s v="Y"/>
    <s v="No"/>
    <s v="No"/>
    <n v="22"/>
    <n v="4"/>
    <n v="3"/>
    <n v="80"/>
    <n v="0"/>
    <n v="12"/>
    <s v="6-15"/>
    <n v="2"/>
    <n v="3"/>
    <n v="11"/>
    <n v="8"/>
    <n v="5"/>
    <n v="8"/>
    <s v="Ok"/>
    <n v="28.015873015873016"/>
    <s v="No"/>
    <s v="Low Risk"/>
  </r>
  <r>
    <n v="27"/>
    <x v="1"/>
    <s v="No"/>
    <s v="Travel_Frequently"/>
    <n v="1242"/>
    <x v="0"/>
    <n v="20"/>
    <n v="3"/>
    <s v="Life Sciences"/>
    <n v="1"/>
    <n v="293"/>
    <n v="4"/>
    <s v="Female"/>
    <n v="90"/>
    <n v="3"/>
    <x v="0"/>
    <s v="Sales Executive"/>
    <n v="3"/>
    <s v="Single"/>
    <n v="9981"/>
    <n v="12916"/>
    <n v="1"/>
    <s v="Y"/>
    <s v="No"/>
    <s v="No"/>
    <n v="14"/>
    <n v="3"/>
    <n v="4"/>
    <n v="80"/>
    <n v="0"/>
    <n v="7"/>
    <s v="6-15"/>
    <n v="2"/>
    <n v="3"/>
    <n v="7"/>
    <n v="7"/>
    <n v="0"/>
    <n v="7"/>
    <s v="Ok"/>
    <n v="28.038125496425735"/>
    <s v="No"/>
    <s v="Low Risk"/>
  </r>
  <r>
    <n v="51"/>
    <x v="1"/>
    <s v="No"/>
    <s v="Travel_Rarely"/>
    <n v="1469"/>
    <x v="1"/>
    <n v="8"/>
    <n v="4"/>
    <s v="Life Sciences"/>
    <n v="1"/>
    <n v="296"/>
    <n v="2"/>
    <s v="Male"/>
    <n v="81"/>
    <n v="2"/>
    <x v="2"/>
    <s v="Research Director"/>
    <n v="2"/>
    <s v="Married"/>
    <n v="12490"/>
    <n v="15736"/>
    <n v="5"/>
    <s v="Y"/>
    <s v="No"/>
    <s v="No"/>
    <n v="16"/>
    <n v="3"/>
    <n v="4"/>
    <n v="80"/>
    <n v="2"/>
    <n v="16"/>
    <s v="&gt;15"/>
    <n v="5"/>
    <n v="1"/>
    <n v="10"/>
    <n v="9"/>
    <n v="4"/>
    <n v="7"/>
    <s v="Ok"/>
    <n v="28.060413354531001"/>
    <s v="No"/>
    <s v="Low Risk"/>
  </r>
  <r>
    <n v="30"/>
    <x v="0"/>
    <s v="Yes"/>
    <s v="Travel_Rarely"/>
    <n v="1005"/>
    <x v="1"/>
    <n v="3"/>
    <n v="3"/>
    <s v="Technical Degree"/>
    <n v="1"/>
    <n v="297"/>
    <n v="4"/>
    <s v="Female"/>
    <n v="88"/>
    <n v="3"/>
    <x v="1"/>
    <s v="Research Scientist"/>
    <n v="1"/>
    <s v="Single"/>
    <n v="2657"/>
    <n v="8556"/>
    <n v="5"/>
    <s v="Y"/>
    <s v="Yes"/>
    <s v="Yes"/>
    <n v="11"/>
    <n v="3"/>
    <n v="3"/>
    <n v="80"/>
    <n v="0"/>
    <n v="8"/>
    <s v="6-15"/>
    <n v="5"/>
    <n v="3"/>
    <n v="5"/>
    <n v="2"/>
    <n v="0"/>
    <n v="4"/>
    <s v="Below Avg"/>
    <n v="28.082736674622115"/>
    <s v="No"/>
    <s v="Low Risk"/>
  </r>
  <r>
    <n v="41"/>
    <x v="1"/>
    <s v="No"/>
    <s v="Travel_Rarely"/>
    <n v="896"/>
    <x v="0"/>
    <n v="6"/>
    <n v="3"/>
    <s v="Life Sciences"/>
    <n v="1"/>
    <n v="298"/>
    <n v="4"/>
    <s v="Female"/>
    <n v="75"/>
    <n v="3"/>
    <x v="2"/>
    <s v="Manager"/>
    <n v="4"/>
    <s v="Single"/>
    <n v="13591"/>
    <n v="14674"/>
    <n v="3"/>
    <s v="Y"/>
    <s v="Yes"/>
    <s v="Yes"/>
    <n v="18"/>
    <n v="3"/>
    <n v="3"/>
    <n v="80"/>
    <n v="0"/>
    <n v="16"/>
    <s v="&gt;15"/>
    <n v="3"/>
    <n v="3"/>
    <n v="1"/>
    <n v="0"/>
    <n v="0"/>
    <n v="0"/>
    <s v="Ok"/>
    <n v="28.105095541401276"/>
    <s v="No"/>
    <s v="Low Risk"/>
  </r>
  <r>
    <n v="30"/>
    <x v="0"/>
    <s v="Yes"/>
    <s v="Travel_Frequently"/>
    <n v="334"/>
    <x v="0"/>
    <n v="26"/>
    <n v="4"/>
    <s v="Marketing"/>
    <n v="1"/>
    <n v="299"/>
    <n v="3"/>
    <s v="Female"/>
    <n v="52"/>
    <n v="2"/>
    <x v="0"/>
    <s v="Sales Executive"/>
    <n v="1"/>
    <s v="Single"/>
    <n v="6696"/>
    <n v="22967"/>
    <n v="5"/>
    <s v="Y"/>
    <s v="No"/>
    <s v="No"/>
    <n v="15"/>
    <n v="3"/>
    <n v="3"/>
    <n v="80"/>
    <n v="0"/>
    <n v="9"/>
    <s v="6-15"/>
    <n v="5"/>
    <n v="2"/>
    <n v="6"/>
    <n v="3"/>
    <n v="0"/>
    <n v="1"/>
    <s v="Below Avg"/>
    <n v="28.047808764940243"/>
    <s v="No"/>
    <s v="Low Risk"/>
  </r>
  <r>
    <n v="29"/>
    <x v="0"/>
    <s v="Yes"/>
    <s v="Travel_Rarely"/>
    <n v="992"/>
    <x v="1"/>
    <n v="1"/>
    <n v="3"/>
    <s v="Technical Degree"/>
    <n v="1"/>
    <n v="300"/>
    <n v="3"/>
    <s v="Male"/>
    <n v="85"/>
    <n v="3"/>
    <x v="1"/>
    <s v="Research Scientist"/>
    <n v="3"/>
    <s v="Single"/>
    <n v="2058"/>
    <n v="19757"/>
    <n v="0"/>
    <s v="Y"/>
    <s v="No"/>
    <s v="No"/>
    <n v="14"/>
    <n v="3"/>
    <n v="4"/>
    <n v="80"/>
    <n v="0"/>
    <n v="7"/>
    <s v="6-15"/>
    <n v="1"/>
    <n v="2"/>
    <n v="6"/>
    <n v="2"/>
    <n v="1"/>
    <n v="5"/>
    <s v="Below Avg"/>
    <n v="27.990430622009573"/>
    <s v="No"/>
    <s v="Low Risk"/>
  </r>
  <r>
    <n v="45"/>
    <x v="1"/>
    <s v="No"/>
    <s v="Non-Travel"/>
    <n v="1052"/>
    <x v="0"/>
    <n v="6"/>
    <n v="3"/>
    <s v="Medical"/>
    <n v="1"/>
    <n v="302"/>
    <n v="4"/>
    <s v="Female"/>
    <n v="57"/>
    <n v="2"/>
    <x v="2"/>
    <s v="Sales Executive"/>
    <n v="4"/>
    <s v="Single"/>
    <n v="8865"/>
    <n v="16840"/>
    <n v="6"/>
    <s v="Y"/>
    <s v="No"/>
    <s v="No"/>
    <n v="12"/>
    <n v="3"/>
    <n v="4"/>
    <n v="80"/>
    <n v="0"/>
    <n v="23"/>
    <s v="&gt;15"/>
    <n v="2"/>
    <n v="3"/>
    <n v="19"/>
    <n v="7"/>
    <n v="12"/>
    <n v="8"/>
    <s v="Ok"/>
    <n v="28.012769353551477"/>
    <s v="No"/>
    <s v="Low Risk"/>
  </r>
  <r>
    <n v="54"/>
    <x v="1"/>
    <s v="No"/>
    <s v="Travel_Rarely"/>
    <n v="1147"/>
    <x v="0"/>
    <n v="3"/>
    <n v="3"/>
    <s v="Marketing"/>
    <n v="1"/>
    <n v="303"/>
    <n v="4"/>
    <s v="Female"/>
    <n v="52"/>
    <n v="3"/>
    <x v="0"/>
    <s v="Sales Executive"/>
    <n v="1"/>
    <s v="Married"/>
    <n v="5940"/>
    <n v="17011"/>
    <n v="2"/>
    <s v="Y"/>
    <s v="No"/>
    <s v="No"/>
    <n v="14"/>
    <n v="3"/>
    <n v="4"/>
    <n v="80"/>
    <n v="1"/>
    <n v="16"/>
    <s v="&gt;15"/>
    <n v="4"/>
    <n v="3"/>
    <n v="6"/>
    <n v="2"/>
    <n v="0"/>
    <n v="5"/>
    <s v="Below Avg"/>
    <n v="28.035143769968052"/>
    <s v="No"/>
    <s v="Low Risk"/>
  </r>
  <r>
    <n v="36"/>
    <x v="1"/>
    <s v="No"/>
    <s v="Travel_Rarely"/>
    <n v="1396"/>
    <x v="1"/>
    <n v="5"/>
    <n v="2"/>
    <s v="Life Sciences"/>
    <n v="1"/>
    <n v="304"/>
    <n v="4"/>
    <s v="Male"/>
    <n v="62"/>
    <n v="3"/>
    <x v="0"/>
    <s v="Laboratory Technician"/>
    <n v="2"/>
    <s v="Single"/>
    <n v="5914"/>
    <n v="9945"/>
    <n v="8"/>
    <s v="Y"/>
    <s v="No"/>
    <s v="No"/>
    <n v="16"/>
    <n v="3"/>
    <n v="4"/>
    <n v="80"/>
    <n v="0"/>
    <n v="16"/>
    <s v="&gt;15"/>
    <n v="3"/>
    <n v="4"/>
    <n v="13"/>
    <n v="11"/>
    <n v="3"/>
    <n v="7"/>
    <s v="Below Avg"/>
    <n v="28.057553956834528"/>
    <s v="No"/>
    <s v="Low Risk"/>
  </r>
  <r>
    <n v="33"/>
    <x v="1"/>
    <s v="No"/>
    <s v="Travel_Rarely"/>
    <n v="147"/>
    <x v="1"/>
    <n v="4"/>
    <n v="4"/>
    <s v="Medical"/>
    <n v="1"/>
    <n v="305"/>
    <n v="3"/>
    <s v="Female"/>
    <n v="47"/>
    <n v="2"/>
    <x v="1"/>
    <s v="Research Scientist"/>
    <n v="2"/>
    <s v="Married"/>
    <n v="2622"/>
    <n v="13248"/>
    <n v="6"/>
    <s v="Y"/>
    <s v="No"/>
    <s v="No"/>
    <n v="21"/>
    <n v="4"/>
    <n v="4"/>
    <n v="80"/>
    <n v="0"/>
    <n v="7"/>
    <s v="6-15"/>
    <n v="3"/>
    <n v="3"/>
    <n v="3"/>
    <n v="2"/>
    <n v="1"/>
    <n v="1"/>
    <s v="Below Avg"/>
    <n v="28.08"/>
    <s v="No"/>
    <s v="Low Risk"/>
  </r>
  <r>
    <n v="37"/>
    <x v="1"/>
    <s v="No"/>
    <s v="Travel_Frequently"/>
    <n v="663"/>
    <x v="1"/>
    <n v="11"/>
    <n v="3"/>
    <s v="Other"/>
    <n v="1"/>
    <n v="306"/>
    <n v="2"/>
    <s v="Male"/>
    <n v="47"/>
    <n v="3"/>
    <x v="2"/>
    <s v="Research Director"/>
    <n v="4"/>
    <s v="Divorced"/>
    <n v="12185"/>
    <n v="10056"/>
    <n v="1"/>
    <s v="Y"/>
    <s v="Yes"/>
    <s v="Yes"/>
    <n v="14"/>
    <n v="3"/>
    <n v="3"/>
    <n v="80"/>
    <n v="3"/>
    <n v="10"/>
    <s v="6-15"/>
    <n v="1"/>
    <n v="3"/>
    <n v="10"/>
    <n v="8"/>
    <n v="0"/>
    <n v="7"/>
    <s v="Ok"/>
    <n v="28.102481985588472"/>
    <s v="No"/>
    <s v="Low Risk"/>
  </r>
  <r>
    <n v="38"/>
    <x v="1"/>
    <s v="No"/>
    <s v="Travel_Rarely"/>
    <n v="119"/>
    <x v="0"/>
    <n v="3"/>
    <n v="3"/>
    <s v="Life Sciences"/>
    <n v="1"/>
    <n v="307"/>
    <n v="1"/>
    <s v="Male"/>
    <n v="76"/>
    <n v="3"/>
    <x v="2"/>
    <s v="Sales Executive"/>
    <n v="3"/>
    <s v="Divorced"/>
    <n v="10609"/>
    <n v="9647"/>
    <n v="0"/>
    <s v="Y"/>
    <s v="No"/>
    <s v="No"/>
    <n v="12"/>
    <n v="3"/>
    <n v="3"/>
    <n v="80"/>
    <n v="2"/>
    <n v="17"/>
    <s v="&gt;15"/>
    <n v="6"/>
    <n v="2"/>
    <n v="16"/>
    <n v="10"/>
    <n v="5"/>
    <n v="13"/>
    <s v="Ok"/>
    <n v="28.125"/>
    <s v="No"/>
    <s v="Low Risk"/>
  </r>
  <r>
    <n v="31"/>
    <x v="1"/>
    <s v="No"/>
    <s v="Non-Travel"/>
    <n v="979"/>
    <x v="1"/>
    <n v="1"/>
    <n v="4"/>
    <s v="Medical"/>
    <n v="1"/>
    <n v="308"/>
    <n v="3"/>
    <s v="Male"/>
    <n v="90"/>
    <n v="1"/>
    <x v="0"/>
    <s v="Manufacturing Director"/>
    <n v="3"/>
    <s v="Married"/>
    <n v="4345"/>
    <n v="4381"/>
    <n v="0"/>
    <s v="Y"/>
    <s v="No"/>
    <s v="No"/>
    <n v="12"/>
    <n v="3"/>
    <n v="4"/>
    <n v="80"/>
    <n v="1"/>
    <n v="6"/>
    <s v="6-15"/>
    <n v="2"/>
    <n v="3"/>
    <n v="5"/>
    <n v="4"/>
    <n v="1"/>
    <n v="4"/>
    <s v="Below Avg"/>
    <n v="28.067361668003208"/>
    <s v="No"/>
    <s v="Low Risk"/>
  </r>
  <r>
    <n v="59"/>
    <x v="1"/>
    <s v="No"/>
    <s v="Travel_Rarely"/>
    <n v="142"/>
    <x v="1"/>
    <n v="3"/>
    <n v="3"/>
    <s v="Life Sciences"/>
    <n v="1"/>
    <n v="309"/>
    <n v="3"/>
    <s v="Male"/>
    <n v="70"/>
    <n v="2"/>
    <x v="1"/>
    <s v="Research Scientist"/>
    <n v="4"/>
    <s v="Married"/>
    <n v="2177"/>
    <n v="8456"/>
    <n v="3"/>
    <s v="Y"/>
    <s v="No"/>
    <s v="No"/>
    <n v="17"/>
    <n v="3"/>
    <n v="1"/>
    <n v="80"/>
    <n v="1"/>
    <n v="7"/>
    <s v="6-15"/>
    <n v="6"/>
    <n v="3"/>
    <n v="1"/>
    <n v="0"/>
    <n v="0"/>
    <n v="0"/>
    <s v="Below Avg"/>
    <n v="28.08988764044944"/>
    <s v="No"/>
    <s v="Low Risk"/>
  </r>
  <r>
    <n v="37"/>
    <x v="1"/>
    <s v="No"/>
    <s v="Travel_Frequently"/>
    <n v="319"/>
    <x v="0"/>
    <n v="4"/>
    <n v="4"/>
    <s v="Marketing"/>
    <n v="1"/>
    <n v="311"/>
    <n v="1"/>
    <s v="Male"/>
    <n v="41"/>
    <n v="3"/>
    <x v="1"/>
    <s v="Sales Representative"/>
    <n v="4"/>
    <s v="Divorced"/>
    <n v="2793"/>
    <n v="2539"/>
    <n v="4"/>
    <s v="Y"/>
    <s v="No"/>
    <s v="No"/>
    <n v="17"/>
    <n v="3"/>
    <n v="3"/>
    <n v="80"/>
    <n v="1"/>
    <n v="13"/>
    <s v="6-15"/>
    <n v="2"/>
    <n v="3"/>
    <n v="9"/>
    <n v="8"/>
    <n v="5"/>
    <n v="8"/>
    <s v="Below Avg"/>
    <n v="28.112449799196789"/>
    <s v="No"/>
    <s v="Low Risk"/>
  </r>
  <r>
    <n v="29"/>
    <x v="1"/>
    <s v="No"/>
    <s v="Travel_Frequently"/>
    <n v="1413"/>
    <x v="0"/>
    <n v="1"/>
    <n v="1"/>
    <s v="Medical"/>
    <n v="1"/>
    <n v="312"/>
    <n v="2"/>
    <s v="Female"/>
    <n v="42"/>
    <n v="3"/>
    <x v="2"/>
    <s v="Sales Executive"/>
    <n v="4"/>
    <s v="Married"/>
    <n v="7918"/>
    <n v="6599"/>
    <n v="1"/>
    <s v="Y"/>
    <s v="No"/>
    <s v="No"/>
    <n v="14"/>
    <n v="3"/>
    <n v="4"/>
    <n v="80"/>
    <n v="1"/>
    <n v="11"/>
    <s v="6-15"/>
    <n v="5"/>
    <n v="3"/>
    <n v="11"/>
    <n v="10"/>
    <n v="4"/>
    <n v="1"/>
    <s v="Ok"/>
    <n v="28.135048231511256"/>
    <s v="No"/>
    <s v="Low Risk"/>
  </r>
  <r>
    <n v="35"/>
    <x v="1"/>
    <s v="No"/>
    <s v="Travel_Frequently"/>
    <n v="944"/>
    <x v="0"/>
    <n v="1"/>
    <n v="3"/>
    <s v="Marketing"/>
    <n v="1"/>
    <n v="314"/>
    <n v="3"/>
    <s v="Female"/>
    <n v="92"/>
    <n v="3"/>
    <x v="2"/>
    <s v="Sales Executive"/>
    <n v="3"/>
    <s v="Single"/>
    <n v="8789"/>
    <n v="9096"/>
    <n v="1"/>
    <s v="Y"/>
    <s v="No"/>
    <s v="No"/>
    <n v="14"/>
    <n v="3"/>
    <n v="1"/>
    <n v="80"/>
    <n v="0"/>
    <n v="10"/>
    <s v="6-15"/>
    <n v="3"/>
    <n v="4"/>
    <n v="10"/>
    <n v="7"/>
    <n v="0"/>
    <n v="8"/>
    <s v="Ok"/>
    <n v="28.157683024939661"/>
    <s v="No"/>
    <s v="Low Risk"/>
  </r>
  <r>
    <n v="29"/>
    <x v="0"/>
    <s v="Yes"/>
    <s v="Travel_Rarely"/>
    <n v="896"/>
    <x v="1"/>
    <n v="18"/>
    <n v="1"/>
    <s v="Medical"/>
    <n v="1"/>
    <n v="315"/>
    <n v="3"/>
    <s v="Male"/>
    <n v="86"/>
    <n v="2"/>
    <x v="1"/>
    <s v="Research Scientist"/>
    <n v="4"/>
    <s v="Single"/>
    <n v="2389"/>
    <n v="14961"/>
    <n v="1"/>
    <s v="Y"/>
    <s v="Yes"/>
    <s v="Yes"/>
    <n v="13"/>
    <n v="3"/>
    <n v="3"/>
    <n v="80"/>
    <n v="0"/>
    <n v="4"/>
    <s v="0-5"/>
    <n v="3"/>
    <n v="2"/>
    <n v="4"/>
    <n v="3"/>
    <n v="0"/>
    <n v="1"/>
    <s v="Below Avg"/>
    <n v="28.180354267310786"/>
    <s v="No"/>
    <s v="Low Risk"/>
  </r>
  <r>
    <n v="52"/>
    <x v="1"/>
    <s v="No"/>
    <s v="Travel_Rarely"/>
    <n v="1323"/>
    <x v="1"/>
    <n v="2"/>
    <n v="3"/>
    <s v="Life Sciences"/>
    <n v="1"/>
    <n v="316"/>
    <n v="3"/>
    <s v="Female"/>
    <n v="89"/>
    <n v="2"/>
    <x v="1"/>
    <s v="Laboratory Technician"/>
    <n v="4"/>
    <s v="Single"/>
    <n v="3212"/>
    <n v="3300"/>
    <n v="7"/>
    <s v="Y"/>
    <s v="No"/>
    <s v="No"/>
    <n v="15"/>
    <n v="3"/>
    <n v="2"/>
    <n v="80"/>
    <n v="0"/>
    <n v="6"/>
    <s v="6-15"/>
    <n v="3"/>
    <n v="2"/>
    <n v="2"/>
    <n v="2"/>
    <n v="2"/>
    <n v="2"/>
    <s v="Below Avg"/>
    <n v="28.203062046736505"/>
    <s v="No"/>
    <s v="Low Risk"/>
  </r>
  <r>
    <n v="42"/>
    <x v="1"/>
    <s v="No"/>
    <s v="Travel_Rarely"/>
    <n v="532"/>
    <x v="1"/>
    <n v="4"/>
    <n v="2"/>
    <s v="Technical Degree"/>
    <n v="1"/>
    <n v="319"/>
    <n v="3"/>
    <s v="Male"/>
    <n v="58"/>
    <n v="3"/>
    <x v="4"/>
    <s v="Manager"/>
    <n v="4"/>
    <s v="Married"/>
    <n v="19232"/>
    <n v="4933"/>
    <n v="1"/>
    <s v="Y"/>
    <s v="No"/>
    <s v="No"/>
    <n v="11"/>
    <n v="3"/>
    <n v="4"/>
    <n v="80"/>
    <n v="0"/>
    <n v="22"/>
    <s v="&gt;15"/>
    <n v="3"/>
    <n v="3"/>
    <n v="22"/>
    <n v="17"/>
    <n v="11"/>
    <n v="15"/>
    <s v="Ok"/>
    <n v="28.14516129032258"/>
    <s v="No"/>
    <s v="Low Risk"/>
  </r>
  <r>
    <n v="59"/>
    <x v="1"/>
    <s v="No"/>
    <s v="Travel_Rarely"/>
    <n v="818"/>
    <x v="2"/>
    <n v="6"/>
    <n v="2"/>
    <s v="Medical"/>
    <n v="1"/>
    <n v="321"/>
    <n v="2"/>
    <s v="Male"/>
    <n v="52"/>
    <n v="3"/>
    <x v="1"/>
    <s v="Human Resources"/>
    <n v="3"/>
    <s v="Married"/>
    <n v="2267"/>
    <n v="25657"/>
    <n v="8"/>
    <s v="Y"/>
    <s v="No"/>
    <s v="No"/>
    <n v="17"/>
    <n v="3"/>
    <n v="4"/>
    <n v="80"/>
    <n v="0"/>
    <n v="7"/>
    <s v="6-15"/>
    <n v="2"/>
    <n v="2"/>
    <n v="2"/>
    <n v="2"/>
    <n v="2"/>
    <n v="2"/>
    <s v="Below Avg"/>
    <n v="28.167877320419692"/>
    <s v="No"/>
    <s v="Low Risk"/>
  </r>
  <r>
    <n v="50"/>
    <x v="1"/>
    <s v="No"/>
    <s v="Travel_Rarely"/>
    <n v="854"/>
    <x v="0"/>
    <n v="1"/>
    <n v="4"/>
    <s v="Medical"/>
    <n v="1"/>
    <n v="323"/>
    <n v="4"/>
    <s v="Female"/>
    <n v="68"/>
    <n v="3"/>
    <x v="4"/>
    <s v="Manager"/>
    <n v="4"/>
    <s v="Divorced"/>
    <n v="19517"/>
    <n v="24118"/>
    <n v="3"/>
    <s v="Y"/>
    <s v="No"/>
    <s v="No"/>
    <n v="11"/>
    <n v="3"/>
    <n v="3"/>
    <n v="80"/>
    <n v="1"/>
    <n v="32"/>
    <s v="&gt;15"/>
    <n v="3"/>
    <n v="2"/>
    <n v="7"/>
    <n v="0"/>
    <n v="0"/>
    <n v="6"/>
    <s v="Ok"/>
    <n v="28.190630048465266"/>
    <s v="No"/>
    <s v="Low Risk"/>
  </r>
  <r>
    <n v="33"/>
    <x v="0"/>
    <s v="Yes"/>
    <s v="Travel_Rarely"/>
    <n v="813"/>
    <x v="1"/>
    <n v="14"/>
    <n v="3"/>
    <s v="Medical"/>
    <n v="1"/>
    <n v="325"/>
    <n v="3"/>
    <s v="Male"/>
    <n v="58"/>
    <n v="3"/>
    <x v="1"/>
    <s v="Laboratory Technician"/>
    <n v="4"/>
    <s v="Married"/>
    <n v="2436"/>
    <n v="22149"/>
    <n v="5"/>
    <s v="Y"/>
    <s v="Yes"/>
    <s v="Yes"/>
    <n v="13"/>
    <n v="3"/>
    <n v="3"/>
    <n v="80"/>
    <n v="1"/>
    <n v="8"/>
    <s v="6-15"/>
    <n v="2"/>
    <n v="1"/>
    <n v="5"/>
    <n v="4"/>
    <n v="0"/>
    <n v="4"/>
    <s v="Below Avg"/>
    <n v="28.213419563459986"/>
    <s v="No"/>
    <s v="Low Risk"/>
  </r>
  <r>
    <n v="43"/>
    <x v="1"/>
    <s v="No"/>
    <s v="Travel_Rarely"/>
    <n v="1034"/>
    <x v="0"/>
    <n v="16"/>
    <n v="3"/>
    <s v="Marketing"/>
    <n v="1"/>
    <n v="327"/>
    <n v="4"/>
    <s v="Female"/>
    <n v="80"/>
    <n v="3"/>
    <x v="3"/>
    <s v="Manager"/>
    <n v="4"/>
    <s v="Married"/>
    <n v="16064"/>
    <n v="7744"/>
    <n v="5"/>
    <s v="Y"/>
    <s v="Yes"/>
    <s v="Yes"/>
    <n v="22"/>
    <n v="4"/>
    <n v="3"/>
    <n v="80"/>
    <n v="1"/>
    <n v="22"/>
    <s v="&gt;15"/>
    <n v="3"/>
    <n v="3"/>
    <n v="17"/>
    <n v="13"/>
    <n v="1"/>
    <n v="9"/>
    <s v="Ok"/>
    <n v="28.236245954692556"/>
    <s v="No"/>
    <s v="Low Risk"/>
  </r>
  <r>
    <n v="33"/>
    <x v="0"/>
    <s v="Yes"/>
    <s v="Travel_Rarely"/>
    <n v="465"/>
    <x v="1"/>
    <n v="2"/>
    <n v="2"/>
    <s v="Life Sciences"/>
    <n v="1"/>
    <n v="328"/>
    <n v="1"/>
    <s v="Female"/>
    <n v="39"/>
    <n v="3"/>
    <x v="1"/>
    <s v="Laboratory Technician"/>
    <n v="1"/>
    <s v="Married"/>
    <n v="2707"/>
    <n v="21509"/>
    <n v="7"/>
    <s v="Y"/>
    <s v="No"/>
    <s v="No"/>
    <n v="20"/>
    <n v="4"/>
    <n v="1"/>
    <n v="80"/>
    <n v="0"/>
    <n v="13"/>
    <s v="6-15"/>
    <n v="3"/>
    <n v="4"/>
    <n v="9"/>
    <n v="7"/>
    <n v="1"/>
    <n v="7"/>
    <s v="Below Avg"/>
    <n v="28.17813765182186"/>
    <s v="No"/>
    <s v="Low Risk"/>
  </r>
  <r>
    <n v="52"/>
    <x v="1"/>
    <s v="No"/>
    <s v="Non-Travel"/>
    <n v="771"/>
    <x v="0"/>
    <n v="2"/>
    <n v="4"/>
    <s v="Life Sciences"/>
    <n v="1"/>
    <n v="329"/>
    <n v="1"/>
    <s v="Male"/>
    <n v="79"/>
    <n v="2"/>
    <x v="4"/>
    <s v="Manager"/>
    <n v="3"/>
    <s v="Single"/>
    <n v="19068"/>
    <n v="21030"/>
    <n v="1"/>
    <s v="Y"/>
    <s v="Yes"/>
    <s v="Yes"/>
    <n v="18"/>
    <n v="3"/>
    <n v="4"/>
    <n v="80"/>
    <n v="0"/>
    <n v="33"/>
    <s v="&gt;15"/>
    <n v="2"/>
    <n v="4"/>
    <n v="33"/>
    <n v="7"/>
    <n v="15"/>
    <n v="12"/>
    <s v="Ok"/>
    <n v="28.119935170178284"/>
    <s v="No"/>
    <s v="Low Risk"/>
  </r>
  <r>
    <n v="32"/>
    <x v="1"/>
    <s v="No"/>
    <s v="Travel_Rarely"/>
    <n v="1401"/>
    <x v="0"/>
    <n v="4"/>
    <n v="2"/>
    <s v="Life Sciences"/>
    <n v="1"/>
    <n v="330"/>
    <n v="3"/>
    <s v="Female"/>
    <n v="56"/>
    <n v="3"/>
    <x v="1"/>
    <s v="Sales Representative"/>
    <n v="2"/>
    <s v="Married"/>
    <n v="3931"/>
    <n v="20990"/>
    <n v="2"/>
    <s v="Y"/>
    <s v="No"/>
    <s v="No"/>
    <n v="11"/>
    <n v="3"/>
    <n v="1"/>
    <n v="80"/>
    <n v="1"/>
    <n v="6"/>
    <s v="6-15"/>
    <n v="5"/>
    <n v="3"/>
    <n v="4"/>
    <n v="3"/>
    <n v="1"/>
    <n v="2"/>
    <s v="Below Avg"/>
    <n v="28.142741281427412"/>
    <s v="No"/>
    <s v="Low Risk"/>
  </r>
  <r>
    <n v="32"/>
    <x v="0"/>
    <s v="Yes"/>
    <s v="Travel_Rarely"/>
    <n v="515"/>
    <x v="1"/>
    <n v="1"/>
    <n v="3"/>
    <s v="Life Sciences"/>
    <n v="1"/>
    <n v="331"/>
    <n v="4"/>
    <s v="Male"/>
    <n v="62"/>
    <n v="2"/>
    <x v="1"/>
    <s v="Laboratory Technician"/>
    <n v="3"/>
    <s v="Single"/>
    <n v="3730"/>
    <n v="9571"/>
    <n v="0"/>
    <s v="Y"/>
    <s v="Yes"/>
    <s v="Yes"/>
    <n v="14"/>
    <n v="3"/>
    <n v="4"/>
    <n v="80"/>
    <n v="0"/>
    <n v="4"/>
    <s v="0-5"/>
    <n v="2"/>
    <n v="1"/>
    <n v="3"/>
    <n v="2"/>
    <n v="1"/>
    <n v="2"/>
    <s v="Below Avg"/>
    <n v="28.084415584415584"/>
    <s v="No"/>
    <s v="Low Risk"/>
  </r>
  <r>
    <n v="39"/>
    <x v="1"/>
    <s v="No"/>
    <s v="Travel_Rarely"/>
    <n v="1431"/>
    <x v="1"/>
    <n v="1"/>
    <n v="4"/>
    <s v="Medical"/>
    <n v="1"/>
    <n v="332"/>
    <n v="3"/>
    <s v="Female"/>
    <n v="96"/>
    <n v="3"/>
    <x v="1"/>
    <s v="Laboratory Technician"/>
    <n v="3"/>
    <s v="Divorced"/>
    <n v="2232"/>
    <n v="15417"/>
    <n v="7"/>
    <s v="Y"/>
    <s v="No"/>
    <s v="No"/>
    <n v="14"/>
    <n v="3"/>
    <n v="3"/>
    <n v="80"/>
    <n v="3"/>
    <n v="7"/>
    <s v="6-15"/>
    <n v="1"/>
    <n v="3"/>
    <n v="3"/>
    <n v="2"/>
    <n v="1"/>
    <n v="2"/>
    <s v="Below Avg"/>
    <n v="28.107229894394802"/>
    <s v="No"/>
    <s v="Low Risk"/>
  </r>
  <r>
    <n v="32"/>
    <x v="1"/>
    <s v="No"/>
    <s v="Non-Travel"/>
    <n v="976"/>
    <x v="0"/>
    <n v="26"/>
    <n v="4"/>
    <s v="Marketing"/>
    <n v="1"/>
    <n v="333"/>
    <n v="3"/>
    <s v="Male"/>
    <n v="100"/>
    <n v="3"/>
    <x v="0"/>
    <s v="Sales Executive"/>
    <n v="4"/>
    <s v="Married"/>
    <n v="4465"/>
    <n v="12069"/>
    <n v="0"/>
    <s v="Y"/>
    <s v="No"/>
    <s v="No"/>
    <n v="18"/>
    <n v="3"/>
    <n v="1"/>
    <n v="80"/>
    <n v="0"/>
    <n v="4"/>
    <s v="0-5"/>
    <n v="2"/>
    <n v="3"/>
    <n v="3"/>
    <n v="2"/>
    <n v="2"/>
    <n v="2"/>
    <s v="Below Avg"/>
    <n v="28.04878048780488"/>
    <s v="No"/>
    <s v="Low Risk"/>
  </r>
  <r>
    <n v="41"/>
    <x v="1"/>
    <s v="No"/>
    <s v="Travel_Rarely"/>
    <n v="1411"/>
    <x v="1"/>
    <n v="19"/>
    <n v="2"/>
    <s v="Life Sciences"/>
    <n v="1"/>
    <n v="334"/>
    <n v="3"/>
    <s v="Male"/>
    <n v="36"/>
    <n v="3"/>
    <x v="0"/>
    <s v="Research Scientist"/>
    <n v="1"/>
    <s v="Divorced"/>
    <n v="3072"/>
    <n v="19877"/>
    <n v="2"/>
    <s v="Y"/>
    <s v="No"/>
    <s v="No"/>
    <n v="16"/>
    <n v="3"/>
    <n v="1"/>
    <n v="80"/>
    <n v="2"/>
    <n v="17"/>
    <s v="&gt;15"/>
    <n v="2"/>
    <n v="2"/>
    <n v="1"/>
    <n v="0"/>
    <n v="0"/>
    <n v="0"/>
    <s v="Below Avg"/>
    <n v="28.071602929210744"/>
    <s v="No"/>
    <s v="Low Risk"/>
  </r>
  <r>
    <n v="40"/>
    <x v="1"/>
    <s v="No"/>
    <s v="Travel_Rarely"/>
    <n v="1300"/>
    <x v="1"/>
    <n v="24"/>
    <n v="2"/>
    <s v="Technical Degree"/>
    <n v="1"/>
    <n v="335"/>
    <n v="1"/>
    <s v="Male"/>
    <n v="62"/>
    <n v="3"/>
    <x v="0"/>
    <s v="Research Scientist"/>
    <n v="4"/>
    <s v="Divorced"/>
    <n v="3319"/>
    <n v="24447"/>
    <n v="1"/>
    <s v="Y"/>
    <s v="No"/>
    <s v="No"/>
    <n v="17"/>
    <n v="3"/>
    <n v="1"/>
    <n v="80"/>
    <n v="2"/>
    <n v="9"/>
    <s v="6-15"/>
    <n v="3"/>
    <n v="3"/>
    <n v="9"/>
    <n v="8"/>
    <n v="4"/>
    <n v="7"/>
    <s v="Below Avg"/>
    <n v="28.094462540716613"/>
    <s v="No"/>
    <s v="Low Risk"/>
  </r>
  <r>
    <n v="45"/>
    <x v="1"/>
    <s v="No"/>
    <s v="Travel_Rarely"/>
    <n v="252"/>
    <x v="1"/>
    <n v="1"/>
    <n v="3"/>
    <s v="Other"/>
    <n v="1"/>
    <n v="336"/>
    <n v="3"/>
    <s v="Male"/>
    <n v="70"/>
    <n v="4"/>
    <x v="4"/>
    <s v="Manager"/>
    <n v="4"/>
    <s v="Married"/>
    <n v="19202"/>
    <n v="15970"/>
    <n v="0"/>
    <s v="Y"/>
    <s v="No"/>
    <s v="No"/>
    <n v="11"/>
    <n v="3"/>
    <n v="3"/>
    <n v="80"/>
    <n v="1"/>
    <n v="25"/>
    <s v="&gt;15"/>
    <n v="2"/>
    <n v="3"/>
    <n v="24"/>
    <n v="0"/>
    <n v="1"/>
    <n v="7"/>
    <s v="Ok"/>
    <n v="28.117359413202937"/>
    <s v="No"/>
    <s v="Low Risk"/>
  </r>
  <r>
    <n v="31"/>
    <x v="1"/>
    <s v="No"/>
    <s v="Travel_Frequently"/>
    <n v="1327"/>
    <x v="1"/>
    <n v="3"/>
    <n v="4"/>
    <s v="Medical"/>
    <n v="1"/>
    <n v="337"/>
    <n v="2"/>
    <s v="Male"/>
    <n v="73"/>
    <n v="3"/>
    <x v="2"/>
    <s v="Research Director"/>
    <n v="3"/>
    <s v="Divorced"/>
    <n v="13675"/>
    <n v="13523"/>
    <n v="9"/>
    <s v="Y"/>
    <s v="No"/>
    <s v="No"/>
    <n v="12"/>
    <n v="3"/>
    <n v="1"/>
    <n v="80"/>
    <n v="1"/>
    <n v="9"/>
    <s v="6-15"/>
    <n v="3"/>
    <n v="3"/>
    <n v="2"/>
    <n v="2"/>
    <n v="2"/>
    <n v="2"/>
    <s v="Ok"/>
    <n v="28.140293637846657"/>
    <s v="No"/>
    <s v="Low Risk"/>
  </r>
  <r>
    <n v="33"/>
    <x v="1"/>
    <s v="No"/>
    <s v="Travel_Rarely"/>
    <n v="832"/>
    <x v="1"/>
    <n v="5"/>
    <n v="4"/>
    <s v="Life Sciences"/>
    <n v="1"/>
    <n v="338"/>
    <n v="3"/>
    <s v="Female"/>
    <n v="63"/>
    <n v="2"/>
    <x v="1"/>
    <s v="Research Scientist"/>
    <n v="4"/>
    <s v="Married"/>
    <n v="2911"/>
    <n v="14776"/>
    <n v="1"/>
    <s v="Y"/>
    <s v="No"/>
    <s v="No"/>
    <n v="13"/>
    <n v="3"/>
    <n v="3"/>
    <n v="80"/>
    <n v="1"/>
    <n v="2"/>
    <s v="0-5"/>
    <n v="2"/>
    <n v="2"/>
    <n v="2"/>
    <n v="2"/>
    <n v="0"/>
    <n v="2"/>
    <s v="Below Avg"/>
    <n v="28.163265306122447"/>
    <s v="No"/>
    <s v="Low Risk"/>
  </r>
  <r>
    <n v="34"/>
    <x v="1"/>
    <s v="No"/>
    <s v="Travel_Rarely"/>
    <n v="470"/>
    <x v="1"/>
    <n v="2"/>
    <n v="4"/>
    <s v="Life Sciences"/>
    <n v="1"/>
    <n v="339"/>
    <n v="4"/>
    <s v="Male"/>
    <n v="84"/>
    <n v="2"/>
    <x v="0"/>
    <s v="Manufacturing Director"/>
    <n v="1"/>
    <s v="Married"/>
    <n v="5957"/>
    <n v="23687"/>
    <n v="6"/>
    <s v="Y"/>
    <s v="No"/>
    <s v="No"/>
    <n v="13"/>
    <n v="3"/>
    <n v="2"/>
    <n v="80"/>
    <n v="1"/>
    <n v="13"/>
    <s v="6-15"/>
    <n v="3"/>
    <n v="3"/>
    <n v="11"/>
    <n v="9"/>
    <n v="5"/>
    <n v="9"/>
    <s v="Below Avg"/>
    <n v="28.186274509803923"/>
    <s v="No"/>
    <s v="Low Risk"/>
  </r>
  <r>
    <n v="37"/>
    <x v="1"/>
    <s v="No"/>
    <s v="Travel_Rarely"/>
    <n v="1017"/>
    <x v="1"/>
    <n v="1"/>
    <n v="2"/>
    <s v="Medical"/>
    <n v="1"/>
    <n v="340"/>
    <n v="3"/>
    <s v="Female"/>
    <n v="83"/>
    <n v="2"/>
    <x v="1"/>
    <s v="Research Scientist"/>
    <n v="1"/>
    <s v="Married"/>
    <n v="3920"/>
    <n v="18697"/>
    <n v="2"/>
    <s v="Y"/>
    <s v="No"/>
    <s v="No"/>
    <n v="14"/>
    <n v="3"/>
    <n v="1"/>
    <n v="80"/>
    <n v="1"/>
    <n v="17"/>
    <s v="&gt;15"/>
    <n v="2"/>
    <n v="2"/>
    <n v="3"/>
    <n v="1"/>
    <n v="0"/>
    <n v="2"/>
    <s v="Below Avg"/>
    <n v="28.209321340964838"/>
    <s v="No"/>
    <s v="Low Risk"/>
  </r>
  <r>
    <n v="45"/>
    <x v="1"/>
    <s v="No"/>
    <s v="Travel_Frequently"/>
    <n v="1199"/>
    <x v="1"/>
    <n v="7"/>
    <n v="4"/>
    <s v="Life Sciences"/>
    <n v="1"/>
    <n v="341"/>
    <n v="1"/>
    <s v="Male"/>
    <n v="77"/>
    <n v="4"/>
    <x v="0"/>
    <s v="Manufacturing Director"/>
    <n v="3"/>
    <s v="Married"/>
    <n v="6434"/>
    <n v="5118"/>
    <n v="4"/>
    <s v="Y"/>
    <s v="No"/>
    <s v="No"/>
    <n v="17"/>
    <n v="3"/>
    <n v="4"/>
    <n v="80"/>
    <n v="1"/>
    <n v="9"/>
    <s v="6-15"/>
    <n v="1"/>
    <n v="3"/>
    <n v="3"/>
    <n v="2"/>
    <n v="0"/>
    <n v="2"/>
    <s v="Ok"/>
    <n v="28.23240589198036"/>
    <s v="No"/>
    <s v="Low Risk"/>
  </r>
  <r>
    <n v="37"/>
    <x v="0"/>
    <s v="Yes"/>
    <s v="Travel_Frequently"/>
    <n v="504"/>
    <x v="1"/>
    <n v="10"/>
    <n v="3"/>
    <s v="Medical"/>
    <n v="1"/>
    <n v="342"/>
    <n v="1"/>
    <s v="Male"/>
    <n v="61"/>
    <n v="3"/>
    <x v="2"/>
    <s v="Manufacturing Director"/>
    <n v="3"/>
    <s v="Divorced"/>
    <n v="10048"/>
    <n v="22573"/>
    <n v="6"/>
    <s v="Y"/>
    <s v="No"/>
    <s v="No"/>
    <n v="11"/>
    <n v="3"/>
    <n v="2"/>
    <n v="80"/>
    <n v="2"/>
    <n v="17"/>
    <s v="&gt;15"/>
    <n v="5"/>
    <n v="3"/>
    <n v="1"/>
    <n v="0"/>
    <n v="0"/>
    <n v="0"/>
    <s v="Ok"/>
    <n v="28.255528255528255"/>
    <s v="No"/>
    <s v="High Risk"/>
  </r>
  <r>
    <n v="39"/>
    <x v="1"/>
    <s v="No"/>
    <s v="Travel_Frequently"/>
    <n v="505"/>
    <x v="1"/>
    <n v="2"/>
    <n v="4"/>
    <s v="Technical Degree"/>
    <n v="1"/>
    <n v="343"/>
    <n v="3"/>
    <s v="Female"/>
    <n v="64"/>
    <n v="3"/>
    <x v="2"/>
    <s v="Healthcare Representative"/>
    <n v="3"/>
    <s v="Single"/>
    <n v="10938"/>
    <n v="6420"/>
    <n v="0"/>
    <s v="Y"/>
    <s v="No"/>
    <s v="No"/>
    <n v="25"/>
    <n v="4"/>
    <n v="4"/>
    <n v="80"/>
    <n v="0"/>
    <n v="20"/>
    <s v="&gt;15"/>
    <n v="1"/>
    <n v="3"/>
    <n v="19"/>
    <n v="6"/>
    <n v="11"/>
    <n v="8"/>
    <s v="Ok"/>
    <n v="28.278688524590162"/>
    <s v="No"/>
    <s v="Low Risk"/>
  </r>
  <r>
    <n v="29"/>
    <x v="1"/>
    <s v="No"/>
    <s v="Travel_Rarely"/>
    <n v="665"/>
    <x v="1"/>
    <n v="15"/>
    <n v="3"/>
    <s v="Life Sciences"/>
    <n v="1"/>
    <n v="346"/>
    <n v="3"/>
    <s v="Male"/>
    <n v="60"/>
    <n v="3"/>
    <x v="1"/>
    <s v="Research Scientist"/>
    <n v="4"/>
    <s v="Single"/>
    <n v="2340"/>
    <n v="22673"/>
    <n v="1"/>
    <s v="Y"/>
    <s v="No"/>
    <s v="No"/>
    <n v="19"/>
    <n v="3"/>
    <n v="1"/>
    <n v="80"/>
    <n v="0"/>
    <n v="6"/>
    <s v="6-15"/>
    <n v="1"/>
    <n v="3"/>
    <n v="6"/>
    <n v="5"/>
    <n v="1"/>
    <n v="5"/>
    <s v="Below Avg"/>
    <n v="28.30188679245283"/>
    <s v="No"/>
    <s v="Low Risk"/>
  </r>
  <r>
    <n v="42"/>
    <x v="1"/>
    <s v="No"/>
    <s v="Travel_Rarely"/>
    <n v="916"/>
    <x v="1"/>
    <n v="17"/>
    <n v="2"/>
    <s v="Life Sciences"/>
    <n v="1"/>
    <n v="347"/>
    <n v="4"/>
    <s v="Female"/>
    <n v="82"/>
    <n v="4"/>
    <x v="0"/>
    <s v="Research Scientist"/>
    <n v="1"/>
    <s v="Single"/>
    <n v="6545"/>
    <n v="23016"/>
    <n v="3"/>
    <s v="Y"/>
    <s v="Yes"/>
    <s v="Yes"/>
    <n v="13"/>
    <n v="3"/>
    <n v="3"/>
    <n v="80"/>
    <n v="0"/>
    <n v="10"/>
    <s v="6-15"/>
    <n v="1"/>
    <n v="3"/>
    <n v="3"/>
    <n v="2"/>
    <n v="0"/>
    <n v="2"/>
    <s v="Ok"/>
    <n v="28.325123152709359"/>
    <s v="No"/>
    <s v="Low Risk"/>
  </r>
  <r>
    <n v="29"/>
    <x v="1"/>
    <s v="No"/>
    <s v="Travel_Rarely"/>
    <n v="1247"/>
    <x v="0"/>
    <n v="20"/>
    <n v="2"/>
    <s v="Marketing"/>
    <n v="1"/>
    <n v="349"/>
    <n v="4"/>
    <s v="Male"/>
    <n v="45"/>
    <n v="3"/>
    <x v="0"/>
    <s v="Sales Executive"/>
    <n v="4"/>
    <s v="Divorced"/>
    <n v="6931"/>
    <n v="10732"/>
    <n v="2"/>
    <s v="Y"/>
    <s v="No"/>
    <s v="No"/>
    <n v="14"/>
    <n v="3"/>
    <n v="4"/>
    <n v="80"/>
    <n v="1"/>
    <n v="10"/>
    <s v="6-15"/>
    <n v="2"/>
    <n v="3"/>
    <n v="3"/>
    <n v="2"/>
    <n v="0"/>
    <n v="2"/>
    <s v="Ok"/>
    <n v="28.348397699260474"/>
    <s v="No"/>
    <s v="Low Risk"/>
  </r>
  <r>
    <n v="25"/>
    <x v="1"/>
    <s v="No"/>
    <s v="Travel_Rarely"/>
    <n v="685"/>
    <x v="1"/>
    <n v="1"/>
    <n v="3"/>
    <s v="Life Sciences"/>
    <n v="1"/>
    <n v="350"/>
    <n v="1"/>
    <s v="Female"/>
    <n v="62"/>
    <n v="3"/>
    <x v="0"/>
    <s v="Manufacturing Director"/>
    <n v="3"/>
    <s v="Married"/>
    <n v="4898"/>
    <n v="7505"/>
    <n v="0"/>
    <s v="Y"/>
    <s v="No"/>
    <s v="No"/>
    <n v="12"/>
    <n v="3"/>
    <n v="4"/>
    <n v="80"/>
    <n v="2"/>
    <n v="5"/>
    <s v="0-5"/>
    <n v="3"/>
    <n v="3"/>
    <n v="4"/>
    <n v="2"/>
    <n v="1"/>
    <n v="2"/>
    <s v="Below Avg"/>
    <n v="28.289473684210524"/>
    <s v="No"/>
    <s v="Low Risk"/>
  </r>
  <r>
    <n v="42"/>
    <x v="1"/>
    <s v="No"/>
    <s v="Travel_Rarely"/>
    <n v="269"/>
    <x v="1"/>
    <n v="2"/>
    <n v="3"/>
    <s v="Medical"/>
    <n v="1"/>
    <n v="351"/>
    <n v="4"/>
    <s v="Female"/>
    <n v="56"/>
    <n v="2"/>
    <x v="1"/>
    <s v="Laboratory Technician"/>
    <n v="1"/>
    <s v="Divorced"/>
    <n v="2593"/>
    <n v="8007"/>
    <n v="0"/>
    <s v="Y"/>
    <s v="Yes"/>
    <s v="Yes"/>
    <n v="11"/>
    <n v="3"/>
    <n v="3"/>
    <n v="80"/>
    <n v="1"/>
    <n v="10"/>
    <s v="6-15"/>
    <n v="4"/>
    <n v="3"/>
    <n v="9"/>
    <n v="6"/>
    <n v="7"/>
    <n v="8"/>
    <s v="Below Avg"/>
    <n v="28.31275720164609"/>
    <s v="No"/>
    <s v="Low Risk"/>
  </r>
  <r>
    <n v="40"/>
    <x v="1"/>
    <s v="No"/>
    <s v="Travel_Rarely"/>
    <n v="1416"/>
    <x v="1"/>
    <n v="2"/>
    <n v="2"/>
    <s v="Medical"/>
    <n v="1"/>
    <n v="352"/>
    <n v="1"/>
    <s v="Male"/>
    <n v="49"/>
    <n v="3"/>
    <x v="4"/>
    <s v="Research Director"/>
    <n v="3"/>
    <s v="Divorced"/>
    <n v="19436"/>
    <n v="5949"/>
    <n v="0"/>
    <s v="Y"/>
    <s v="No"/>
    <s v="No"/>
    <n v="19"/>
    <n v="3"/>
    <n v="4"/>
    <n v="80"/>
    <n v="1"/>
    <n v="22"/>
    <s v="&gt;15"/>
    <n v="5"/>
    <n v="3"/>
    <n v="21"/>
    <n v="7"/>
    <n v="3"/>
    <n v="9"/>
    <s v="Ok"/>
    <n v="28.336079077429982"/>
    <s v="No"/>
    <s v="Low Risk"/>
  </r>
  <r>
    <n v="51"/>
    <x v="1"/>
    <s v="No"/>
    <s v="Travel_Rarely"/>
    <n v="833"/>
    <x v="1"/>
    <n v="1"/>
    <n v="3"/>
    <s v="Life Sciences"/>
    <n v="1"/>
    <n v="353"/>
    <n v="3"/>
    <s v="Male"/>
    <n v="96"/>
    <n v="3"/>
    <x v="1"/>
    <s v="Research Scientist"/>
    <n v="4"/>
    <s v="Married"/>
    <n v="2723"/>
    <n v="23231"/>
    <n v="1"/>
    <s v="Y"/>
    <s v="No"/>
    <s v="No"/>
    <n v="11"/>
    <n v="3"/>
    <n v="2"/>
    <n v="80"/>
    <n v="0"/>
    <n v="1"/>
    <s v="0-5"/>
    <n v="0"/>
    <n v="2"/>
    <n v="1"/>
    <n v="0"/>
    <n v="0"/>
    <n v="0"/>
    <s v="Below Avg"/>
    <n v="28.276999175597687"/>
    <s v="No"/>
    <s v="Low Risk"/>
  </r>
  <r>
    <n v="31"/>
    <x v="0"/>
    <s v="Yes"/>
    <s v="Travel_Frequently"/>
    <n v="307"/>
    <x v="1"/>
    <n v="29"/>
    <n v="2"/>
    <s v="Medical"/>
    <n v="1"/>
    <n v="355"/>
    <n v="3"/>
    <s v="Male"/>
    <n v="71"/>
    <n v="2"/>
    <x v="1"/>
    <s v="Laboratory Technician"/>
    <n v="2"/>
    <s v="Single"/>
    <n v="3479"/>
    <n v="11652"/>
    <n v="0"/>
    <s v="Y"/>
    <s v="No"/>
    <s v="No"/>
    <n v="11"/>
    <n v="3"/>
    <n v="2"/>
    <n v="80"/>
    <n v="0"/>
    <n v="6"/>
    <s v="6-15"/>
    <n v="2"/>
    <n v="4"/>
    <n v="5"/>
    <n v="4"/>
    <n v="1"/>
    <n v="4"/>
    <s v="Below Avg"/>
    <n v="28.300330033003302"/>
    <s v="No"/>
    <s v="Low Risk"/>
  </r>
  <r>
    <n v="32"/>
    <x v="1"/>
    <s v="No"/>
    <s v="Travel_Frequently"/>
    <n v="1311"/>
    <x v="1"/>
    <n v="7"/>
    <n v="3"/>
    <s v="Life Sciences"/>
    <n v="1"/>
    <n v="359"/>
    <n v="2"/>
    <s v="Male"/>
    <n v="100"/>
    <n v="4"/>
    <x v="1"/>
    <s v="Laboratory Technician"/>
    <n v="2"/>
    <s v="Married"/>
    <n v="2794"/>
    <n v="26062"/>
    <n v="1"/>
    <s v="Y"/>
    <s v="No"/>
    <s v="No"/>
    <n v="20"/>
    <n v="4"/>
    <n v="3"/>
    <n v="80"/>
    <n v="0"/>
    <n v="5"/>
    <s v="0-5"/>
    <n v="3"/>
    <n v="1"/>
    <n v="5"/>
    <n v="1"/>
    <n v="0"/>
    <n v="3"/>
    <s v="Below Avg"/>
    <n v="28.323699421965319"/>
    <s v="No"/>
    <s v="Low Risk"/>
  </r>
  <r>
    <n v="38"/>
    <x v="1"/>
    <s v="No"/>
    <s v="Non-Travel"/>
    <n v="1327"/>
    <x v="0"/>
    <n v="2"/>
    <n v="2"/>
    <s v="Life Sciences"/>
    <n v="1"/>
    <n v="361"/>
    <n v="4"/>
    <s v="Male"/>
    <n v="39"/>
    <n v="2"/>
    <x v="0"/>
    <s v="Sales Executive"/>
    <n v="4"/>
    <s v="Married"/>
    <n v="5249"/>
    <n v="19682"/>
    <n v="3"/>
    <s v="Y"/>
    <s v="No"/>
    <s v="No"/>
    <n v="18"/>
    <n v="3"/>
    <n v="4"/>
    <n v="80"/>
    <n v="1"/>
    <n v="13"/>
    <s v="6-15"/>
    <n v="0"/>
    <n v="3"/>
    <n v="8"/>
    <n v="7"/>
    <n v="7"/>
    <n v="5"/>
    <s v="Below Avg"/>
    <n v="28.347107438016529"/>
    <s v="No"/>
    <s v="Low Risk"/>
  </r>
  <r>
    <n v="32"/>
    <x v="1"/>
    <s v="No"/>
    <s v="Travel_Rarely"/>
    <n v="128"/>
    <x v="1"/>
    <n v="2"/>
    <n v="1"/>
    <s v="Technical Degree"/>
    <n v="1"/>
    <n v="362"/>
    <n v="4"/>
    <s v="Male"/>
    <n v="84"/>
    <n v="2"/>
    <x v="0"/>
    <s v="Laboratory Technician"/>
    <n v="1"/>
    <s v="Single"/>
    <n v="2176"/>
    <n v="19737"/>
    <n v="4"/>
    <s v="Y"/>
    <s v="No"/>
    <s v="No"/>
    <n v="13"/>
    <n v="3"/>
    <n v="4"/>
    <n v="80"/>
    <n v="0"/>
    <n v="9"/>
    <s v="6-15"/>
    <n v="5"/>
    <n v="3"/>
    <n v="6"/>
    <n v="2"/>
    <n v="0"/>
    <n v="4"/>
    <s v="Below Avg"/>
    <n v="28.37055417700579"/>
    <s v="No"/>
    <s v="Low Risk"/>
  </r>
  <r>
    <n v="46"/>
    <x v="1"/>
    <s v="No"/>
    <s v="Travel_Rarely"/>
    <n v="488"/>
    <x v="0"/>
    <n v="2"/>
    <n v="3"/>
    <s v="Technical Degree"/>
    <n v="1"/>
    <n v="363"/>
    <n v="3"/>
    <s v="Female"/>
    <n v="75"/>
    <n v="1"/>
    <x v="3"/>
    <s v="Manager"/>
    <n v="2"/>
    <s v="Married"/>
    <n v="16872"/>
    <n v="14977"/>
    <n v="3"/>
    <s v="Y"/>
    <s v="Yes"/>
    <s v="Yes"/>
    <n v="12"/>
    <n v="3"/>
    <n v="2"/>
    <n v="80"/>
    <n v="1"/>
    <n v="28"/>
    <s v="&gt;15"/>
    <n v="2"/>
    <n v="2"/>
    <n v="7"/>
    <n v="7"/>
    <n v="7"/>
    <n v="7"/>
    <s v="Ok"/>
    <n v="28.394039735099337"/>
    <s v="No"/>
    <s v="Low Risk"/>
  </r>
  <r>
    <n v="28"/>
    <x v="0"/>
    <s v="Yes"/>
    <s v="Travel_Rarely"/>
    <n v="529"/>
    <x v="1"/>
    <n v="2"/>
    <n v="4"/>
    <s v="Life Sciences"/>
    <n v="1"/>
    <n v="364"/>
    <n v="1"/>
    <s v="Male"/>
    <n v="79"/>
    <n v="3"/>
    <x v="1"/>
    <s v="Laboratory Technician"/>
    <n v="3"/>
    <s v="Single"/>
    <n v="3485"/>
    <n v="14935"/>
    <n v="2"/>
    <s v="Y"/>
    <s v="No"/>
    <s v="No"/>
    <n v="11"/>
    <n v="3"/>
    <n v="3"/>
    <n v="80"/>
    <n v="0"/>
    <n v="5"/>
    <s v="0-5"/>
    <n v="5"/>
    <n v="1"/>
    <n v="0"/>
    <n v="0"/>
    <n v="0"/>
    <n v="0"/>
    <s v="Below Avg"/>
    <n v="28.417564208782103"/>
    <s v="No"/>
    <s v="High Risk"/>
  </r>
  <r>
    <n v="29"/>
    <x v="1"/>
    <s v="No"/>
    <s v="Travel_Rarely"/>
    <n v="1210"/>
    <x v="0"/>
    <n v="2"/>
    <n v="3"/>
    <s v="Medical"/>
    <n v="1"/>
    <n v="366"/>
    <n v="1"/>
    <s v="Male"/>
    <n v="78"/>
    <n v="2"/>
    <x v="0"/>
    <s v="Sales Executive"/>
    <n v="2"/>
    <s v="Married"/>
    <n v="6644"/>
    <n v="3687"/>
    <n v="2"/>
    <s v="Y"/>
    <s v="No"/>
    <s v="No"/>
    <n v="19"/>
    <n v="3"/>
    <n v="2"/>
    <n v="80"/>
    <n v="2"/>
    <n v="10"/>
    <s v="6-15"/>
    <n v="2"/>
    <n v="3"/>
    <n v="0"/>
    <n v="0"/>
    <n v="0"/>
    <n v="0"/>
    <s v="Below Avg"/>
    <n v="28.35820895522388"/>
    <s v="No"/>
    <s v="Low Risk"/>
  </r>
  <r>
    <n v="31"/>
    <x v="1"/>
    <s v="No"/>
    <s v="Travel_Rarely"/>
    <n v="1463"/>
    <x v="1"/>
    <n v="23"/>
    <n v="3"/>
    <s v="Medical"/>
    <n v="1"/>
    <n v="367"/>
    <n v="2"/>
    <s v="Male"/>
    <n v="64"/>
    <n v="2"/>
    <x v="0"/>
    <s v="Healthcare Representative"/>
    <n v="4"/>
    <s v="Married"/>
    <n v="5582"/>
    <n v="14408"/>
    <n v="0"/>
    <s v="Y"/>
    <s v="No"/>
    <s v="No"/>
    <n v="21"/>
    <n v="4"/>
    <n v="2"/>
    <n v="80"/>
    <n v="1"/>
    <n v="10"/>
    <s v="6-15"/>
    <n v="2"/>
    <n v="3"/>
    <n v="9"/>
    <n v="0"/>
    <n v="7"/>
    <n v="8"/>
    <s v="Below Avg"/>
    <n v="28.38174273858921"/>
    <s v="No"/>
    <s v="Low Risk"/>
  </r>
  <r>
    <n v="25"/>
    <x v="1"/>
    <s v="No"/>
    <s v="Non-Travel"/>
    <n v="675"/>
    <x v="1"/>
    <n v="5"/>
    <n v="2"/>
    <s v="Life Sciences"/>
    <n v="1"/>
    <n v="369"/>
    <n v="2"/>
    <s v="Male"/>
    <n v="85"/>
    <n v="4"/>
    <x v="0"/>
    <s v="Healthcare Representative"/>
    <n v="1"/>
    <s v="Divorced"/>
    <n v="4000"/>
    <n v="18384"/>
    <n v="1"/>
    <s v="Y"/>
    <s v="No"/>
    <s v="No"/>
    <n v="12"/>
    <n v="3"/>
    <n v="4"/>
    <n v="80"/>
    <n v="2"/>
    <n v="6"/>
    <s v="6-15"/>
    <n v="2"/>
    <n v="3"/>
    <n v="6"/>
    <n v="3"/>
    <n v="1"/>
    <n v="5"/>
    <s v="Below Avg"/>
    <n v="28.405315614617937"/>
    <s v="No"/>
    <s v="Low Risk"/>
  </r>
  <r>
    <n v="45"/>
    <x v="1"/>
    <s v="No"/>
    <s v="Travel_Rarely"/>
    <n v="1385"/>
    <x v="1"/>
    <n v="20"/>
    <n v="2"/>
    <s v="Medical"/>
    <n v="1"/>
    <n v="372"/>
    <n v="3"/>
    <s v="Male"/>
    <n v="79"/>
    <n v="3"/>
    <x v="3"/>
    <s v="Healthcare Representative"/>
    <n v="4"/>
    <s v="Married"/>
    <n v="13496"/>
    <n v="7501"/>
    <n v="0"/>
    <s v="Y"/>
    <s v="Yes"/>
    <s v="Yes"/>
    <n v="14"/>
    <n v="3"/>
    <n v="2"/>
    <n v="80"/>
    <n v="0"/>
    <n v="21"/>
    <s v="&gt;15"/>
    <n v="2"/>
    <n v="3"/>
    <n v="20"/>
    <n v="7"/>
    <n v="4"/>
    <n v="10"/>
    <s v="Ok"/>
    <n v="28.428927680798004"/>
    <s v="No"/>
    <s v="Low Risk"/>
  </r>
  <r>
    <n v="36"/>
    <x v="1"/>
    <s v="No"/>
    <s v="Travel_Rarely"/>
    <n v="1403"/>
    <x v="1"/>
    <n v="6"/>
    <n v="3"/>
    <s v="Life Sciences"/>
    <n v="1"/>
    <n v="373"/>
    <n v="4"/>
    <s v="Male"/>
    <n v="47"/>
    <n v="3"/>
    <x v="1"/>
    <s v="Laboratory Technician"/>
    <n v="4"/>
    <s v="Married"/>
    <n v="3210"/>
    <n v="20251"/>
    <n v="0"/>
    <s v="Y"/>
    <s v="No"/>
    <s v="No"/>
    <n v="11"/>
    <n v="3"/>
    <n v="3"/>
    <n v="80"/>
    <n v="1"/>
    <n v="16"/>
    <s v="&gt;15"/>
    <n v="4"/>
    <n v="3"/>
    <n v="15"/>
    <n v="13"/>
    <n v="10"/>
    <n v="11"/>
    <s v="Below Avg"/>
    <n v="28.452579034941767"/>
    <s v="No"/>
    <s v="Low Risk"/>
  </r>
  <r>
    <n v="55"/>
    <x v="1"/>
    <s v="No"/>
    <s v="Travel_Rarely"/>
    <n v="452"/>
    <x v="1"/>
    <n v="1"/>
    <n v="3"/>
    <s v="Medical"/>
    <n v="1"/>
    <n v="374"/>
    <n v="4"/>
    <s v="Male"/>
    <n v="81"/>
    <n v="3"/>
    <x v="4"/>
    <s v="Manager"/>
    <n v="1"/>
    <s v="Single"/>
    <n v="19045"/>
    <n v="18938"/>
    <n v="0"/>
    <s v="Y"/>
    <s v="Yes"/>
    <s v="Yes"/>
    <n v="14"/>
    <n v="3"/>
    <n v="3"/>
    <n v="80"/>
    <n v="0"/>
    <n v="37"/>
    <s v="&gt;15"/>
    <n v="2"/>
    <n v="3"/>
    <n v="36"/>
    <n v="10"/>
    <n v="4"/>
    <n v="13"/>
    <s v="Ok"/>
    <n v="28.393005828476269"/>
    <s v="No"/>
    <s v="Low Risk"/>
  </r>
  <r>
    <n v="47"/>
    <x v="0"/>
    <s v="Yes"/>
    <s v="Non-Travel"/>
    <n v="666"/>
    <x v="1"/>
    <n v="29"/>
    <n v="4"/>
    <s v="Life Sciences"/>
    <n v="1"/>
    <n v="376"/>
    <n v="1"/>
    <s v="Male"/>
    <n v="88"/>
    <n v="3"/>
    <x v="2"/>
    <s v="Manager"/>
    <n v="2"/>
    <s v="Married"/>
    <n v="11849"/>
    <n v="10268"/>
    <n v="1"/>
    <s v="Y"/>
    <s v="Yes"/>
    <s v="Yes"/>
    <n v="12"/>
    <n v="3"/>
    <n v="4"/>
    <n v="80"/>
    <n v="1"/>
    <n v="10"/>
    <s v="6-15"/>
    <n v="2"/>
    <n v="2"/>
    <n v="10"/>
    <n v="7"/>
    <n v="9"/>
    <n v="9"/>
    <s v="Ok"/>
    <n v="28.416666666666668"/>
    <s v="No"/>
    <s v="Low Risk"/>
  </r>
  <r>
    <n v="28"/>
    <x v="1"/>
    <s v="No"/>
    <s v="Travel_Rarely"/>
    <n v="1158"/>
    <x v="1"/>
    <n v="9"/>
    <n v="3"/>
    <s v="Medical"/>
    <n v="1"/>
    <n v="377"/>
    <n v="4"/>
    <s v="Male"/>
    <n v="94"/>
    <n v="3"/>
    <x v="1"/>
    <s v="Research Scientist"/>
    <n v="4"/>
    <s v="Married"/>
    <n v="2070"/>
    <n v="2613"/>
    <n v="1"/>
    <s v="Y"/>
    <s v="No"/>
    <s v="No"/>
    <n v="23"/>
    <n v="4"/>
    <n v="4"/>
    <n v="80"/>
    <n v="1"/>
    <n v="5"/>
    <s v="0-5"/>
    <n v="3"/>
    <n v="2"/>
    <n v="5"/>
    <n v="2"/>
    <n v="0"/>
    <n v="4"/>
    <s v="Below Avg"/>
    <n v="28.35696413678065"/>
    <s v="No"/>
    <s v="Low Risk"/>
  </r>
  <r>
    <n v="37"/>
    <x v="1"/>
    <s v="No"/>
    <s v="Travel_Rarely"/>
    <n v="228"/>
    <x v="0"/>
    <n v="6"/>
    <n v="4"/>
    <s v="Medical"/>
    <n v="1"/>
    <n v="378"/>
    <n v="3"/>
    <s v="Male"/>
    <n v="98"/>
    <n v="3"/>
    <x v="0"/>
    <s v="Sales Executive"/>
    <n v="4"/>
    <s v="Married"/>
    <n v="6502"/>
    <n v="22825"/>
    <n v="4"/>
    <s v="Y"/>
    <s v="No"/>
    <s v="No"/>
    <n v="14"/>
    <n v="3"/>
    <n v="2"/>
    <n v="80"/>
    <n v="1"/>
    <n v="7"/>
    <s v="6-15"/>
    <n v="5"/>
    <n v="4"/>
    <n v="5"/>
    <n v="4"/>
    <n v="0"/>
    <n v="1"/>
    <s v="Below Avg"/>
    <n v="28.297161936560933"/>
    <s v="No"/>
    <s v="Low Risk"/>
  </r>
  <r>
    <n v="21"/>
    <x v="1"/>
    <s v="No"/>
    <s v="Travel_Rarely"/>
    <n v="996"/>
    <x v="1"/>
    <n v="3"/>
    <n v="2"/>
    <s v="Medical"/>
    <n v="1"/>
    <n v="379"/>
    <n v="4"/>
    <s v="Male"/>
    <n v="100"/>
    <n v="2"/>
    <x v="1"/>
    <s v="Research Scientist"/>
    <n v="3"/>
    <s v="Single"/>
    <n v="3230"/>
    <n v="10531"/>
    <n v="1"/>
    <s v="Y"/>
    <s v="No"/>
    <s v="No"/>
    <n v="17"/>
    <n v="3"/>
    <n v="1"/>
    <n v="80"/>
    <n v="0"/>
    <n v="3"/>
    <s v="0-5"/>
    <n v="4"/>
    <n v="4"/>
    <n v="3"/>
    <n v="2"/>
    <n v="1"/>
    <n v="0"/>
    <s v="Below Avg"/>
    <n v="28.320802005012531"/>
    <s v="No"/>
    <s v="Low Risk"/>
  </r>
  <r>
    <n v="37"/>
    <x v="1"/>
    <s v="No"/>
    <s v="Non-Travel"/>
    <n v="728"/>
    <x v="1"/>
    <n v="1"/>
    <n v="4"/>
    <s v="Medical"/>
    <n v="1"/>
    <n v="380"/>
    <n v="1"/>
    <s v="Female"/>
    <n v="80"/>
    <n v="3"/>
    <x v="2"/>
    <s v="Research Director"/>
    <n v="4"/>
    <s v="Divorced"/>
    <n v="13603"/>
    <n v="11677"/>
    <n v="2"/>
    <s v="Y"/>
    <s v="Yes"/>
    <s v="Yes"/>
    <n v="18"/>
    <n v="3"/>
    <n v="1"/>
    <n v="80"/>
    <n v="2"/>
    <n v="15"/>
    <s v="6-15"/>
    <n v="2"/>
    <n v="3"/>
    <n v="5"/>
    <n v="2"/>
    <n v="0"/>
    <n v="2"/>
    <s v="Ok"/>
    <n v="28.34448160535117"/>
    <s v="No"/>
    <s v="Low Risk"/>
  </r>
  <r>
    <n v="35"/>
    <x v="1"/>
    <s v="No"/>
    <s v="Travel_Rarely"/>
    <n v="1315"/>
    <x v="1"/>
    <n v="22"/>
    <n v="3"/>
    <s v="Life Sciences"/>
    <n v="1"/>
    <n v="381"/>
    <n v="2"/>
    <s v="Female"/>
    <n v="71"/>
    <n v="4"/>
    <x v="2"/>
    <s v="Manager"/>
    <n v="2"/>
    <s v="Divorced"/>
    <n v="11996"/>
    <n v="19100"/>
    <n v="7"/>
    <s v="Y"/>
    <s v="No"/>
    <s v="No"/>
    <n v="18"/>
    <n v="3"/>
    <n v="2"/>
    <n v="80"/>
    <n v="1"/>
    <n v="10"/>
    <s v="6-15"/>
    <n v="6"/>
    <n v="2"/>
    <n v="7"/>
    <n v="7"/>
    <n v="6"/>
    <n v="2"/>
    <s v="Ok"/>
    <n v="28.368200836820083"/>
    <s v="No"/>
    <s v="Low Risk"/>
  </r>
  <r>
    <n v="38"/>
    <x v="1"/>
    <s v="No"/>
    <s v="Travel_Rarely"/>
    <n v="322"/>
    <x v="0"/>
    <n v="7"/>
    <n v="2"/>
    <s v="Medical"/>
    <n v="1"/>
    <n v="382"/>
    <n v="1"/>
    <s v="Female"/>
    <n v="44"/>
    <n v="4"/>
    <x v="0"/>
    <s v="Sales Executive"/>
    <n v="1"/>
    <s v="Divorced"/>
    <n v="5605"/>
    <n v="19191"/>
    <n v="1"/>
    <s v="Y"/>
    <s v="Yes"/>
    <s v="Yes"/>
    <n v="24"/>
    <n v="4"/>
    <n v="3"/>
    <n v="80"/>
    <n v="1"/>
    <n v="8"/>
    <s v="6-15"/>
    <n v="3"/>
    <n v="3"/>
    <n v="8"/>
    <n v="0"/>
    <n v="7"/>
    <n v="7"/>
    <s v="Below Avg"/>
    <n v="28.308207705192629"/>
    <s v="No"/>
    <s v="Low Risk"/>
  </r>
  <r>
    <n v="26"/>
    <x v="1"/>
    <s v="No"/>
    <s v="Travel_Frequently"/>
    <n v="1479"/>
    <x v="1"/>
    <n v="1"/>
    <n v="3"/>
    <s v="Life Sciences"/>
    <n v="1"/>
    <n v="384"/>
    <n v="3"/>
    <s v="Female"/>
    <n v="84"/>
    <n v="3"/>
    <x v="0"/>
    <s v="Manufacturing Director"/>
    <n v="2"/>
    <s v="Divorced"/>
    <n v="6397"/>
    <n v="26767"/>
    <n v="1"/>
    <s v="Y"/>
    <s v="No"/>
    <s v="No"/>
    <n v="20"/>
    <n v="4"/>
    <n v="1"/>
    <n v="80"/>
    <n v="1"/>
    <n v="6"/>
    <s v="6-15"/>
    <n v="6"/>
    <n v="1"/>
    <n v="6"/>
    <n v="5"/>
    <n v="1"/>
    <n v="4"/>
    <s v="Ok"/>
    <n v="28.331936295054483"/>
    <s v="No"/>
    <s v="Low Risk"/>
  </r>
  <r>
    <n v="50"/>
    <x v="1"/>
    <s v="No"/>
    <s v="Travel_Rarely"/>
    <n v="797"/>
    <x v="1"/>
    <n v="4"/>
    <n v="1"/>
    <s v="Life Sciences"/>
    <n v="1"/>
    <n v="385"/>
    <n v="1"/>
    <s v="Male"/>
    <n v="96"/>
    <n v="3"/>
    <x v="4"/>
    <s v="Research Director"/>
    <n v="2"/>
    <s v="Divorced"/>
    <n v="19144"/>
    <n v="15815"/>
    <n v="3"/>
    <s v="Y"/>
    <s v="No"/>
    <s v="No"/>
    <n v="14"/>
    <n v="3"/>
    <n v="1"/>
    <n v="80"/>
    <n v="2"/>
    <n v="28"/>
    <s v="&gt;15"/>
    <n v="4"/>
    <n v="2"/>
    <n v="10"/>
    <n v="4"/>
    <n v="1"/>
    <n v="6"/>
    <s v="Ok"/>
    <n v="28.271812080536911"/>
    <s v="No"/>
    <s v="Low Risk"/>
  </r>
  <r>
    <n v="53"/>
    <x v="1"/>
    <s v="No"/>
    <s v="Travel_Rarely"/>
    <n v="1070"/>
    <x v="1"/>
    <n v="3"/>
    <n v="4"/>
    <s v="Medical"/>
    <n v="1"/>
    <n v="386"/>
    <n v="3"/>
    <s v="Male"/>
    <n v="45"/>
    <n v="3"/>
    <x v="3"/>
    <s v="Research Director"/>
    <n v="3"/>
    <s v="Married"/>
    <n v="17584"/>
    <n v="21016"/>
    <n v="3"/>
    <s v="Y"/>
    <s v="Yes"/>
    <s v="Yes"/>
    <n v="16"/>
    <n v="3"/>
    <n v="4"/>
    <n v="80"/>
    <n v="3"/>
    <n v="21"/>
    <s v="&gt;15"/>
    <n v="5"/>
    <n v="2"/>
    <n v="5"/>
    <n v="3"/>
    <n v="1"/>
    <n v="3"/>
    <s v="Ok"/>
    <n v="28.295549958018473"/>
    <s v="No"/>
    <s v="Low Risk"/>
  </r>
  <r>
    <n v="42"/>
    <x v="1"/>
    <s v="No"/>
    <s v="Travel_Rarely"/>
    <n v="635"/>
    <x v="0"/>
    <n v="1"/>
    <n v="1"/>
    <s v="Life Sciences"/>
    <n v="1"/>
    <n v="387"/>
    <n v="2"/>
    <s v="Male"/>
    <n v="99"/>
    <n v="3"/>
    <x v="0"/>
    <s v="Sales Executive"/>
    <n v="3"/>
    <s v="Married"/>
    <n v="4907"/>
    <n v="24532"/>
    <n v="1"/>
    <s v="Y"/>
    <s v="No"/>
    <s v="No"/>
    <n v="25"/>
    <n v="4"/>
    <n v="3"/>
    <n v="80"/>
    <n v="0"/>
    <n v="20"/>
    <s v="&gt;15"/>
    <n v="3"/>
    <n v="3"/>
    <n v="20"/>
    <n v="16"/>
    <n v="11"/>
    <n v="6"/>
    <s v="Below Avg"/>
    <n v="28.319327731092436"/>
    <s v="No"/>
    <s v="Low Risk"/>
  </r>
  <r>
    <n v="29"/>
    <x v="1"/>
    <s v="No"/>
    <s v="Travel_Frequently"/>
    <n v="442"/>
    <x v="0"/>
    <n v="2"/>
    <n v="2"/>
    <s v="Life Sciences"/>
    <n v="1"/>
    <n v="388"/>
    <n v="2"/>
    <s v="Male"/>
    <n v="44"/>
    <n v="3"/>
    <x v="0"/>
    <s v="Sales Executive"/>
    <n v="4"/>
    <s v="Single"/>
    <n v="4554"/>
    <n v="20260"/>
    <n v="1"/>
    <s v="Y"/>
    <s v="No"/>
    <s v="No"/>
    <n v="18"/>
    <n v="3"/>
    <n v="1"/>
    <n v="80"/>
    <n v="0"/>
    <n v="10"/>
    <s v="6-15"/>
    <n v="3"/>
    <n v="2"/>
    <n v="10"/>
    <n v="7"/>
    <n v="0"/>
    <n v="9"/>
    <s v="Below Avg"/>
    <n v="28.259041211101767"/>
    <s v="No"/>
    <s v="Low Risk"/>
  </r>
  <r>
    <n v="55"/>
    <x v="1"/>
    <s v="No"/>
    <s v="Travel_Rarely"/>
    <n v="147"/>
    <x v="1"/>
    <n v="20"/>
    <n v="2"/>
    <s v="Technical Degree"/>
    <n v="1"/>
    <n v="389"/>
    <n v="2"/>
    <s v="Male"/>
    <n v="37"/>
    <n v="3"/>
    <x v="0"/>
    <s v="Laboratory Technician"/>
    <n v="4"/>
    <s v="Married"/>
    <n v="5415"/>
    <n v="15972"/>
    <n v="3"/>
    <s v="Y"/>
    <s v="Yes"/>
    <s v="Yes"/>
    <n v="19"/>
    <n v="3"/>
    <n v="4"/>
    <n v="80"/>
    <n v="1"/>
    <n v="12"/>
    <s v="6-15"/>
    <n v="4"/>
    <n v="3"/>
    <n v="10"/>
    <n v="7"/>
    <n v="0"/>
    <n v="8"/>
    <s v="Below Avg"/>
    <n v="28.28282828282828"/>
    <s v="No"/>
    <s v="Low Risk"/>
  </r>
  <r>
    <n v="26"/>
    <x v="1"/>
    <s v="No"/>
    <s v="Travel_Frequently"/>
    <n v="496"/>
    <x v="1"/>
    <n v="11"/>
    <n v="2"/>
    <s v="Medical"/>
    <n v="1"/>
    <n v="390"/>
    <n v="1"/>
    <s v="Male"/>
    <n v="60"/>
    <n v="3"/>
    <x v="0"/>
    <s v="Healthcare Representative"/>
    <n v="1"/>
    <s v="Married"/>
    <n v="4741"/>
    <n v="22722"/>
    <n v="1"/>
    <s v="Y"/>
    <s v="Yes"/>
    <s v="Yes"/>
    <n v="13"/>
    <n v="3"/>
    <n v="3"/>
    <n v="80"/>
    <n v="1"/>
    <n v="5"/>
    <s v="0-5"/>
    <n v="3"/>
    <n v="3"/>
    <n v="5"/>
    <n v="3"/>
    <n v="3"/>
    <n v="3"/>
    <s v="Below Avg"/>
    <n v="28.30665543386689"/>
    <s v="No"/>
    <s v="Low Risk"/>
  </r>
  <r>
    <n v="37"/>
    <x v="1"/>
    <s v="No"/>
    <s v="Travel_Rarely"/>
    <n v="1372"/>
    <x v="1"/>
    <n v="1"/>
    <n v="3"/>
    <s v="Life Sciences"/>
    <n v="1"/>
    <n v="391"/>
    <n v="4"/>
    <s v="Female"/>
    <n v="42"/>
    <n v="3"/>
    <x v="1"/>
    <s v="Research Scientist"/>
    <n v="4"/>
    <s v="Single"/>
    <n v="2115"/>
    <n v="15881"/>
    <n v="1"/>
    <s v="Y"/>
    <s v="No"/>
    <s v="No"/>
    <n v="12"/>
    <n v="3"/>
    <n v="2"/>
    <n v="80"/>
    <n v="0"/>
    <n v="17"/>
    <s v="&gt;15"/>
    <n v="3"/>
    <n v="3"/>
    <n v="17"/>
    <n v="12"/>
    <n v="5"/>
    <n v="7"/>
    <s v="Below Avg"/>
    <n v="28.246205733558178"/>
    <s v="No"/>
    <s v="Low Risk"/>
  </r>
  <r>
    <n v="44"/>
    <x v="0"/>
    <s v="Yes"/>
    <s v="Travel_Frequently"/>
    <n v="920"/>
    <x v="1"/>
    <n v="24"/>
    <n v="3"/>
    <s v="Life Sciences"/>
    <n v="1"/>
    <n v="392"/>
    <n v="4"/>
    <s v="Male"/>
    <n v="43"/>
    <n v="3"/>
    <x v="1"/>
    <s v="Laboratory Technician"/>
    <n v="3"/>
    <s v="Divorced"/>
    <n v="3161"/>
    <n v="19920"/>
    <n v="3"/>
    <s v="Y"/>
    <s v="Yes"/>
    <s v="Yes"/>
    <n v="22"/>
    <n v="4"/>
    <n v="4"/>
    <n v="80"/>
    <n v="1"/>
    <n v="19"/>
    <s v="&gt;15"/>
    <n v="0"/>
    <n v="1"/>
    <n v="1"/>
    <n v="0"/>
    <n v="0"/>
    <n v="0"/>
    <s v="Below Avg"/>
    <n v="28.185654008438821"/>
    <s v="No"/>
    <s v="High Risk"/>
  </r>
  <r>
    <n v="38"/>
    <x v="1"/>
    <s v="No"/>
    <s v="Travel_Rarely"/>
    <n v="688"/>
    <x v="1"/>
    <n v="23"/>
    <n v="4"/>
    <s v="Life Sciences"/>
    <n v="1"/>
    <n v="393"/>
    <n v="4"/>
    <s v="Male"/>
    <n v="82"/>
    <n v="3"/>
    <x v="0"/>
    <s v="Healthcare Representative"/>
    <n v="4"/>
    <s v="Divorced"/>
    <n v="5745"/>
    <n v="18899"/>
    <n v="9"/>
    <s v="Y"/>
    <s v="No"/>
    <s v="No"/>
    <n v="14"/>
    <n v="3"/>
    <n v="2"/>
    <n v="80"/>
    <n v="1"/>
    <n v="10"/>
    <s v="6-15"/>
    <n v="2"/>
    <n v="3"/>
    <n v="2"/>
    <n v="2"/>
    <n v="1"/>
    <n v="2"/>
    <s v="Below Avg"/>
    <n v="28.209459459459456"/>
    <s v="No"/>
    <s v="Low Risk"/>
  </r>
  <r>
    <n v="26"/>
    <x v="0"/>
    <s v="Yes"/>
    <s v="Travel_Rarely"/>
    <n v="1449"/>
    <x v="1"/>
    <n v="16"/>
    <n v="4"/>
    <s v="Medical"/>
    <n v="1"/>
    <n v="394"/>
    <n v="1"/>
    <s v="Male"/>
    <n v="45"/>
    <n v="3"/>
    <x v="1"/>
    <s v="Laboratory Technician"/>
    <n v="2"/>
    <s v="Divorced"/>
    <n v="2373"/>
    <n v="14180"/>
    <n v="2"/>
    <s v="Y"/>
    <s v="Yes"/>
    <s v="Yes"/>
    <n v="13"/>
    <n v="3"/>
    <n v="4"/>
    <n v="80"/>
    <n v="1"/>
    <n v="5"/>
    <s v="0-5"/>
    <n v="2"/>
    <n v="3"/>
    <n v="3"/>
    <n v="2"/>
    <n v="0"/>
    <n v="2"/>
    <s v="Below Avg"/>
    <n v="28.148774302620456"/>
    <s v="No"/>
    <s v="Low Risk"/>
  </r>
  <r>
    <n v="28"/>
    <x v="1"/>
    <s v="No"/>
    <s v="Travel_Rarely"/>
    <n v="1117"/>
    <x v="1"/>
    <n v="8"/>
    <n v="2"/>
    <s v="Life Sciences"/>
    <n v="1"/>
    <n v="395"/>
    <n v="4"/>
    <s v="Female"/>
    <n v="66"/>
    <n v="3"/>
    <x v="1"/>
    <s v="Research Scientist"/>
    <n v="4"/>
    <s v="Single"/>
    <n v="3310"/>
    <n v="4488"/>
    <n v="1"/>
    <s v="Y"/>
    <s v="No"/>
    <s v="No"/>
    <n v="21"/>
    <n v="4"/>
    <n v="4"/>
    <n v="80"/>
    <n v="0"/>
    <n v="5"/>
    <s v="0-5"/>
    <n v="3"/>
    <n v="3"/>
    <n v="5"/>
    <n v="3"/>
    <n v="0"/>
    <n v="2"/>
    <s v="Below Avg"/>
    <n v="28.17258883248731"/>
    <s v="No"/>
    <s v="Low Risk"/>
  </r>
  <r>
    <n v="49"/>
    <x v="1"/>
    <s v="No"/>
    <s v="Travel_Frequently"/>
    <n v="636"/>
    <x v="1"/>
    <n v="10"/>
    <n v="4"/>
    <s v="Life Sciences"/>
    <n v="1"/>
    <n v="396"/>
    <n v="3"/>
    <s v="Female"/>
    <n v="35"/>
    <n v="3"/>
    <x v="4"/>
    <s v="Research Director"/>
    <n v="1"/>
    <s v="Single"/>
    <n v="18665"/>
    <n v="25594"/>
    <n v="9"/>
    <s v="Y"/>
    <s v="Yes"/>
    <s v="Yes"/>
    <n v="11"/>
    <n v="3"/>
    <n v="4"/>
    <n v="80"/>
    <n v="0"/>
    <n v="22"/>
    <s v="&gt;15"/>
    <n v="4"/>
    <n v="3"/>
    <n v="3"/>
    <n v="2"/>
    <n v="1"/>
    <n v="2"/>
    <s v="Ok"/>
    <n v="28.111769686706182"/>
    <s v="No"/>
    <s v="Low Risk"/>
  </r>
  <r>
    <n v="36"/>
    <x v="1"/>
    <s v="No"/>
    <s v="Travel_Rarely"/>
    <n v="506"/>
    <x v="1"/>
    <n v="3"/>
    <n v="3"/>
    <s v="Technical Degree"/>
    <n v="1"/>
    <n v="397"/>
    <n v="3"/>
    <s v="Male"/>
    <n v="30"/>
    <n v="3"/>
    <x v="0"/>
    <s v="Research Scientist"/>
    <n v="2"/>
    <s v="Single"/>
    <n v="4485"/>
    <n v="26285"/>
    <n v="4"/>
    <s v="Y"/>
    <s v="No"/>
    <s v="No"/>
    <n v="12"/>
    <n v="3"/>
    <n v="4"/>
    <n v="80"/>
    <n v="0"/>
    <n v="10"/>
    <s v="6-15"/>
    <n v="2"/>
    <n v="3"/>
    <n v="8"/>
    <n v="0"/>
    <n v="7"/>
    <n v="7"/>
    <s v="Below Avg"/>
    <n v="28.135593220338983"/>
    <s v="No"/>
    <s v="Low Risk"/>
  </r>
  <r>
    <n v="31"/>
    <x v="1"/>
    <s v="No"/>
    <s v="Travel_Frequently"/>
    <n v="444"/>
    <x v="0"/>
    <n v="5"/>
    <n v="3"/>
    <s v="Marketing"/>
    <n v="1"/>
    <n v="399"/>
    <n v="4"/>
    <s v="Female"/>
    <n v="84"/>
    <n v="3"/>
    <x v="1"/>
    <s v="Sales Representative"/>
    <n v="2"/>
    <s v="Divorced"/>
    <n v="2789"/>
    <n v="3909"/>
    <n v="1"/>
    <s v="Y"/>
    <s v="No"/>
    <s v="No"/>
    <n v="11"/>
    <n v="3"/>
    <n v="3"/>
    <n v="80"/>
    <n v="1"/>
    <n v="2"/>
    <s v="0-5"/>
    <n v="5"/>
    <n v="2"/>
    <n v="2"/>
    <n v="2"/>
    <n v="2"/>
    <n v="2"/>
    <s v="Below Avg"/>
    <n v="28.074639525021205"/>
    <s v="No"/>
    <s v="Low Risk"/>
  </r>
  <r>
    <n v="26"/>
    <x v="0"/>
    <s v="Yes"/>
    <s v="Travel_Rarely"/>
    <n v="950"/>
    <x v="0"/>
    <n v="4"/>
    <n v="4"/>
    <s v="Marketing"/>
    <n v="1"/>
    <n v="401"/>
    <n v="4"/>
    <s v="Male"/>
    <n v="48"/>
    <n v="2"/>
    <x v="0"/>
    <s v="Sales Executive"/>
    <n v="4"/>
    <s v="Single"/>
    <n v="5828"/>
    <n v="8450"/>
    <n v="1"/>
    <s v="Y"/>
    <s v="Yes"/>
    <s v="Yes"/>
    <n v="12"/>
    <n v="3"/>
    <n v="2"/>
    <n v="80"/>
    <n v="0"/>
    <n v="8"/>
    <s v="6-15"/>
    <n v="0"/>
    <n v="3"/>
    <n v="8"/>
    <n v="7"/>
    <n v="7"/>
    <n v="4"/>
    <s v="Below Avg"/>
    <n v="28.098471986417657"/>
    <s v="No"/>
    <s v="Low Risk"/>
  </r>
  <r>
    <n v="37"/>
    <x v="1"/>
    <s v="No"/>
    <s v="Travel_Frequently"/>
    <n v="889"/>
    <x v="1"/>
    <n v="9"/>
    <n v="3"/>
    <s v="Medical"/>
    <n v="1"/>
    <n v="403"/>
    <n v="2"/>
    <s v="Male"/>
    <n v="53"/>
    <n v="3"/>
    <x v="1"/>
    <s v="Research Scientist"/>
    <n v="4"/>
    <s v="Married"/>
    <n v="2326"/>
    <n v="11411"/>
    <n v="1"/>
    <s v="Y"/>
    <s v="Yes"/>
    <s v="Yes"/>
    <n v="12"/>
    <n v="3"/>
    <n v="3"/>
    <n v="80"/>
    <n v="3"/>
    <n v="4"/>
    <s v="0-5"/>
    <n v="3"/>
    <n v="2"/>
    <n v="4"/>
    <n v="2"/>
    <n v="1"/>
    <n v="2"/>
    <s v="Below Avg"/>
    <n v="28.122344944774852"/>
    <s v="No"/>
    <s v="Low Risk"/>
  </r>
  <r>
    <n v="42"/>
    <x v="1"/>
    <s v="No"/>
    <s v="Travel_Frequently"/>
    <n v="555"/>
    <x v="0"/>
    <n v="26"/>
    <n v="3"/>
    <s v="Marketing"/>
    <n v="1"/>
    <n v="404"/>
    <n v="3"/>
    <s v="Female"/>
    <n v="77"/>
    <n v="3"/>
    <x v="3"/>
    <s v="Sales Executive"/>
    <n v="2"/>
    <s v="Married"/>
    <n v="13525"/>
    <n v="14864"/>
    <n v="5"/>
    <s v="Y"/>
    <s v="No"/>
    <s v="No"/>
    <n v="14"/>
    <n v="3"/>
    <n v="4"/>
    <n v="80"/>
    <n v="1"/>
    <n v="23"/>
    <s v="&gt;15"/>
    <n v="2"/>
    <n v="4"/>
    <n v="20"/>
    <n v="4"/>
    <n v="4"/>
    <n v="8"/>
    <s v="Ok"/>
    <n v="28.061224489795915"/>
    <s v="No"/>
    <s v="Low Risk"/>
  </r>
  <r>
    <n v="18"/>
    <x v="0"/>
    <s v="Yes"/>
    <s v="Travel_Rarely"/>
    <n v="230"/>
    <x v="1"/>
    <n v="3"/>
    <n v="3"/>
    <s v="Life Sciences"/>
    <n v="1"/>
    <n v="405"/>
    <n v="3"/>
    <s v="Male"/>
    <n v="54"/>
    <n v="3"/>
    <x v="1"/>
    <s v="Laboratory Technician"/>
    <n v="3"/>
    <s v="Single"/>
    <n v="1420"/>
    <n v="25233"/>
    <n v="1"/>
    <s v="Y"/>
    <s v="No"/>
    <s v="No"/>
    <n v="13"/>
    <n v="3"/>
    <n v="3"/>
    <n v="80"/>
    <n v="0"/>
    <n v="0"/>
    <s v="0-5"/>
    <n v="2"/>
    <n v="3"/>
    <n v="0"/>
    <n v="0"/>
    <n v="0"/>
    <n v="0"/>
    <s v="Below Avg"/>
    <n v="28.000000000000004"/>
    <s v="No"/>
    <s v="High Risk"/>
  </r>
  <r>
    <n v="35"/>
    <x v="1"/>
    <s v="No"/>
    <s v="Travel_Rarely"/>
    <n v="1232"/>
    <x v="0"/>
    <n v="16"/>
    <n v="3"/>
    <s v="Marketing"/>
    <n v="1"/>
    <n v="406"/>
    <n v="3"/>
    <s v="Male"/>
    <n v="96"/>
    <n v="3"/>
    <x v="2"/>
    <s v="Sales Executive"/>
    <n v="2"/>
    <s v="Married"/>
    <n v="8020"/>
    <n v="5100"/>
    <n v="0"/>
    <s v="Y"/>
    <s v="No"/>
    <s v="No"/>
    <n v="15"/>
    <n v="3"/>
    <n v="3"/>
    <n v="80"/>
    <n v="2"/>
    <n v="12"/>
    <s v="6-15"/>
    <n v="3"/>
    <n v="2"/>
    <n v="11"/>
    <n v="9"/>
    <n v="6"/>
    <n v="9"/>
    <s v="Ok"/>
    <n v="28.023850085178875"/>
    <s v="No"/>
    <s v="Low Risk"/>
  </r>
  <r>
    <n v="36"/>
    <x v="1"/>
    <s v="No"/>
    <s v="Travel_Frequently"/>
    <n v="566"/>
    <x v="1"/>
    <n v="18"/>
    <n v="4"/>
    <s v="Life Sciences"/>
    <n v="1"/>
    <n v="407"/>
    <n v="3"/>
    <s v="Male"/>
    <n v="81"/>
    <n v="4"/>
    <x v="1"/>
    <s v="Laboratory Technician"/>
    <n v="4"/>
    <s v="Married"/>
    <n v="3688"/>
    <n v="7122"/>
    <n v="4"/>
    <s v="Y"/>
    <s v="No"/>
    <s v="No"/>
    <n v="18"/>
    <n v="3"/>
    <n v="4"/>
    <n v="80"/>
    <n v="2"/>
    <n v="4"/>
    <s v="0-5"/>
    <n v="2"/>
    <n v="3"/>
    <n v="1"/>
    <n v="0"/>
    <n v="0"/>
    <n v="0"/>
    <s v="Below Avg"/>
    <n v="28.047740835464619"/>
    <s v="No"/>
    <s v="Low Risk"/>
  </r>
  <r>
    <n v="51"/>
    <x v="1"/>
    <s v="No"/>
    <s v="Travel_Rarely"/>
    <n v="1302"/>
    <x v="1"/>
    <n v="2"/>
    <n v="3"/>
    <s v="Medical"/>
    <n v="1"/>
    <n v="408"/>
    <n v="4"/>
    <s v="Male"/>
    <n v="84"/>
    <n v="1"/>
    <x v="0"/>
    <s v="Manufacturing Director"/>
    <n v="2"/>
    <s v="Divorced"/>
    <n v="5482"/>
    <n v="16321"/>
    <n v="5"/>
    <s v="Y"/>
    <s v="No"/>
    <s v="No"/>
    <n v="18"/>
    <n v="3"/>
    <n v="4"/>
    <n v="80"/>
    <n v="1"/>
    <n v="13"/>
    <s v="6-15"/>
    <n v="3"/>
    <n v="3"/>
    <n v="4"/>
    <n v="1"/>
    <n v="1"/>
    <n v="2"/>
    <s v="Below Avg"/>
    <n v="28.071672354948806"/>
    <s v="No"/>
    <s v="Low Risk"/>
  </r>
  <r>
    <n v="41"/>
    <x v="1"/>
    <s v="No"/>
    <s v="Travel_Rarely"/>
    <n v="334"/>
    <x v="0"/>
    <n v="2"/>
    <n v="4"/>
    <s v="Life Sciences"/>
    <n v="1"/>
    <n v="410"/>
    <n v="4"/>
    <s v="Male"/>
    <n v="88"/>
    <n v="3"/>
    <x v="3"/>
    <s v="Manager"/>
    <n v="2"/>
    <s v="Single"/>
    <n v="16015"/>
    <n v="15896"/>
    <n v="1"/>
    <s v="Y"/>
    <s v="No"/>
    <s v="No"/>
    <n v="19"/>
    <n v="3"/>
    <n v="2"/>
    <n v="80"/>
    <n v="0"/>
    <n v="22"/>
    <s v="&gt;15"/>
    <n v="2"/>
    <n v="3"/>
    <n v="22"/>
    <n v="10"/>
    <n v="0"/>
    <n v="4"/>
    <s v="Ok"/>
    <n v="28.095644748078563"/>
    <s v="No"/>
    <s v="Low Risk"/>
  </r>
  <r>
    <n v="18"/>
    <x v="1"/>
    <s v="No"/>
    <s v="Travel_Rarely"/>
    <n v="812"/>
    <x v="0"/>
    <n v="10"/>
    <n v="3"/>
    <s v="Medical"/>
    <n v="1"/>
    <n v="411"/>
    <n v="4"/>
    <s v="Female"/>
    <n v="69"/>
    <n v="2"/>
    <x v="1"/>
    <s v="Sales Representative"/>
    <n v="3"/>
    <s v="Single"/>
    <n v="1200"/>
    <n v="9724"/>
    <n v="1"/>
    <s v="Y"/>
    <s v="No"/>
    <s v="No"/>
    <n v="12"/>
    <n v="3"/>
    <n v="1"/>
    <n v="80"/>
    <n v="0"/>
    <n v="0"/>
    <s v="0-5"/>
    <n v="2"/>
    <n v="3"/>
    <n v="0"/>
    <n v="0"/>
    <n v="0"/>
    <n v="0"/>
    <s v="Below Avg"/>
    <n v="28.119658119658119"/>
    <s v="No"/>
    <s v="Low Risk"/>
  </r>
  <r>
    <n v="28"/>
    <x v="1"/>
    <s v="No"/>
    <s v="Travel_Rarely"/>
    <n v="1476"/>
    <x v="1"/>
    <n v="16"/>
    <n v="2"/>
    <s v="Medical"/>
    <n v="1"/>
    <n v="412"/>
    <n v="2"/>
    <s v="Male"/>
    <n v="68"/>
    <n v="4"/>
    <x v="0"/>
    <s v="Healthcare Representative"/>
    <n v="1"/>
    <s v="Single"/>
    <n v="5661"/>
    <n v="4824"/>
    <n v="0"/>
    <s v="Y"/>
    <s v="No"/>
    <s v="No"/>
    <n v="19"/>
    <n v="3"/>
    <n v="3"/>
    <n v="80"/>
    <n v="0"/>
    <n v="9"/>
    <s v="6-15"/>
    <n v="2"/>
    <n v="3"/>
    <n v="8"/>
    <n v="3"/>
    <n v="0"/>
    <n v="7"/>
    <s v="Below Avg"/>
    <n v="28.143712574850298"/>
    <s v="No"/>
    <s v="Low Risk"/>
  </r>
  <r>
    <n v="31"/>
    <x v="1"/>
    <s v="No"/>
    <s v="Travel_Rarely"/>
    <n v="218"/>
    <x v="0"/>
    <n v="7"/>
    <n v="3"/>
    <s v="Technical Degree"/>
    <n v="1"/>
    <n v="416"/>
    <n v="2"/>
    <s v="Male"/>
    <n v="100"/>
    <n v="4"/>
    <x v="0"/>
    <s v="Sales Executive"/>
    <n v="4"/>
    <s v="Married"/>
    <n v="6929"/>
    <n v="12241"/>
    <n v="4"/>
    <s v="Y"/>
    <s v="No"/>
    <s v="No"/>
    <n v="11"/>
    <n v="3"/>
    <n v="2"/>
    <n v="80"/>
    <n v="1"/>
    <n v="10"/>
    <s v="6-15"/>
    <n v="3"/>
    <n v="2"/>
    <n v="8"/>
    <n v="7"/>
    <n v="7"/>
    <n v="7"/>
    <s v="Ok"/>
    <n v="28.167808219178081"/>
    <s v="No"/>
    <s v="Low Risk"/>
  </r>
  <r>
    <n v="39"/>
    <x v="1"/>
    <s v="No"/>
    <s v="Travel_Rarely"/>
    <n v="1132"/>
    <x v="1"/>
    <n v="1"/>
    <n v="3"/>
    <s v="Medical"/>
    <n v="1"/>
    <n v="417"/>
    <n v="3"/>
    <s v="Male"/>
    <n v="48"/>
    <n v="4"/>
    <x v="2"/>
    <s v="Healthcare Representative"/>
    <n v="4"/>
    <s v="Divorced"/>
    <n v="9613"/>
    <n v="10942"/>
    <n v="0"/>
    <s v="Y"/>
    <s v="No"/>
    <s v="No"/>
    <n v="17"/>
    <n v="3"/>
    <n v="1"/>
    <n v="80"/>
    <n v="3"/>
    <n v="19"/>
    <s v="&gt;15"/>
    <n v="5"/>
    <n v="2"/>
    <n v="18"/>
    <n v="10"/>
    <n v="3"/>
    <n v="7"/>
    <s v="Ok"/>
    <n v="28.191945158526131"/>
    <s v="No"/>
    <s v="Low Risk"/>
  </r>
  <r>
    <n v="36"/>
    <x v="1"/>
    <s v="No"/>
    <s v="Non-Travel"/>
    <n v="1105"/>
    <x v="1"/>
    <n v="24"/>
    <n v="4"/>
    <s v="Life Sciences"/>
    <n v="1"/>
    <n v="419"/>
    <n v="2"/>
    <s v="Female"/>
    <n v="47"/>
    <n v="3"/>
    <x v="0"/>
    <s v="Laboratory Technician"/>
    <n v="2"/>
    <s v="Married"/>
    <n v="5674"/>
    <n v="6927"/>
    <n v="7"/>
    <s v="Y"/>
    <s v="No"/>
    <s v="No"/>
    <n v="15"/>
    <n v="3"/>
    <n v="3"/>
    <n v="80"/>
    <n v="1"/>
    <n v="11"/>
    <s v="6-15"/>
    <n v="3"/>
    <n v="3"/>
    <n v="9"/>
    <n v="8"/>
    <n v="0"/>
    <n v="8"/>
    <s v="Below Avg"/>
    <n v="28.216123499142366"/>
    <s v="No"/>
    <s v="Low Risk"/>
  </r>
  <r>
    <n v="32"/>
    <x v="1"/>
    <s v="No"/>
    <s v="Travel_Rarely"/>
    <n v="906"/>
    <x v="0"/>
    <n v="7"/>
    <n v="3"/>
    <s v="Life Sciences"/>
    <n v="1"/>
    <n v="420"/>
    <n v="4"/>
    <s v="Male"/>
    <n v="91"/>
    <n v="2"/>
    <x v="0"/>
    <s v="Sales Executive"/>
    <n v="3"/>
    <s v="Married"/>
    <n v="5484"/>
    <n v="16985"/>
    <n v="1"/>
    <s v="Y"/>
    <s v="No"/>
    <s v="No"/>
    <n v="14"/>
    <n v="3"/>
    <n v="3"/>
    <n v="80"/>
    <n v="1"/>
    <n v="13"/>
    <s v="6-15"/>
    <n v="3"/>
    <n v="2"/>
    <n v="13"/>
    <n v="8"/>
    <n v="4"/>
    <n v="8"/>
    <s v="Below Avg"/>
    <n v="28.240343347639485"/>
    <s v="No"/>
    <s v="Low Risk"/>
  </r>
  <r>
    <n v="38"/>
    <x v="1"/>
    <s v="No"/>
    <s v="Travel_Rarely"/>
    <n v="849"/>
    <x v="1"/>
    <n v="25"/>
    <n v="2"/>
    <s v="Life Sciences"/>
    <n v="1"/>
    <n v="421"/>
    <n v="1"/>
    <s v="Female"/>
    <n v="81"/>
    <n v="2"/>
    <x v="2"/>
    <s v="Research Director"/>
    <n v="2"/>
    <s v="Married"/>
    <n v="12061"/>
    <n v="26707"/>
    <n v="3"/>
    <s v="Y"/>
    <s v="No"/>
    <s v="No"/>
    <n v="17"/>
    <n v="3"/>
    <n v="3"/>
    <n v="80"/>
    <n v="1"/>
    <n v="19"/>
    <s v="&gt;15"/>
    <n v="2"/>
    <n v="3"/>
    <n v="10"/>
    <n v="8"/>
    <n v="0"/>
    <n v="1"/>
    <s v="Ok"/>
    <n v="28.264604810996563"/>
    <s v="No"/>
    <s v="Low Risk"/>
  </r>
  <r>
    <n v="58"/>
    <x v="1"/>
    <s v="No"/>
    <s v="Non-Travel"/>
    <n v="390"/>
    <x v="1"/>
    <n v="1"/>
    <n v="4"/>
    <s v="Life Sciences"/>
    <n v="1"/>
    <n v="422"/>
    <n v="4"/>
    <s v="Male"/>
    <n v="32"/>
    <n v="1"/>
    <x v="0"/>
    <s v="Healthcare Representative"/>
    <n v="3"/>
    <s v="Divorced"/>
    <n v="5660"/>
    <n v="17056"/>
    <n v="2"/>
    <s v="Y"/>
    <s v="Yes"/>
    <s v="Yes"/>
    <n v="13"/>
    <n v="3"/>
    <n v="4"/>
    <n v="80"/>
    <n v="1"/>
    <n v="12"/>
    <s v="6-15"/>
    <n v="2"/>
    <n v="3"/>
    <n v="5"/>
    <n v="3"/>
    <n v="1"/>
    <n v="2"/>
    <s v="Below Avg"/>
    <n v="28.288907996560621"/>
    <s v="No"/>
    <s v="Low Risk"/>
  </r>
  <r>
    <n v="31"/>
    <x v="1"/>
    <s v="No"/>
    <s v="Travel_Rarely"/>
    <n v="691"/>
    <x v="1"/>
    <n v="5"/>
    <n v="4"/>
    <s v="Technical Degree"/>
    <n v="1"/>
    <n v="423"/>
    <n v="3"/>
    <s v="Male"/>
    <n v="86"/>
    <n v="3"/>
    <x v="1"/>
    <s v="Research Scientist"/>
    <n v="4"/>
    <s v="Married"/>
    <n v="4821"/>
    <n v="10077"/>
    <n v="0"/>
    <s v="Y"/>
    <s v="Yes"/>
    <s v="Yes"/>
    <n v="12"/>
    <n v="3"/>
    <n v="3"/>
    <n v="80"/>
    <n v="1"/>
    <n v="6"/>
    <s v="6-15"/>
    <n v="4"/>
    <n v="3"/>
    <n v="5"/>
    <n v="2"/>
    <n v="0"/>
    <n v="3"/>
    <s v="Below Avg"/>
    <n v="28.313253012048197"/>
    <s v="No"/>
    <s v="Low Risk"/>
  </r>
  <r>
    <n v="31"/>
    <x v="1"/>
    <s v="No"/>
    <s v="Travel_Rarely"/>
    <n v="106"/>
    <x v="2"/>
    <n v="2"/>
    <n v="3"/>
    <s v="Human Resources"/>
    <n v="1"/>
    <n v="424"/>
    <n v="1"/>
    <s v="Male"/>
    <n v="62"/>
    <n v="2"/>
    <x v="0"/>
    <s v="Human Resources"/>
    <n v="1"/>
    <s v="Married"/>
    <n v="6410"/>
    <n v="17822"/>
    <n v="3"/>
    <s v="Y"/>
    <s v="No"/>
    <s v="No"/>
    <n v="12"/>
    <n v="3"/>
    <n v="4"/>
    <n v="80"/>
    <n v="0"/>
    <n v="9"/>
    <s v="6-15"/>
    <n v="1"/>
    <n v="3"/>
    <n v="2"/>
    <n v="2"/>
    <n v="1"/>
    <n v="0"/>
    <s v="Below Avg"/>
    <n v="28.251507321274765"/>
    <s v="No"/>
    <s v="Low Risk"/>
  </r>
  <r>
    <n v="45"/>
    <x v="1"/>
    <s v="No"/>
    <s v="Travel_Frequently"/>
    <n v="1249"/>
    <x v="1"/>
    <n v="7"/>
    <n v="3"/>
    <s v="Life Sciences"/>
    <n v="1"/>
    <n v="425"/>
    <n v="1"/>
    <s v="Male"/>
    <n v="97"/>
    <n v="3"/>
    <x v="2"/>
    <s v="Laboratory Technician"/>
    <n v="1"/>
    <s v="Divorced"/>
    <n v="5210"/>
    <n v="20308"/>
    <n v="1"/>
    <s v="Y"/>
    <s v="No"/>
    <s v="No"/>
    <n v="18"/>
    <n v="3"/>
    <n v="1"/>
    <n v="80"/>
    <n v="1"/>
    <n v="24"/>
    <s v="&gt;15"/>
    <n v="2"/>
    <n v="3"/>
    <n v="24"/>
    <n v="9"/>
    <n v="9"/>
    <n v="11"/>
    <s v="Below Avg"/>
    <n v="28.18965517241379"/>
    <s v="No"/>
    <s v="Low Risk"/>
  </r>
  <r>
    <n v="31"/>
    <x v="1"/>
    <s v="No"/>
    <s v="Travel_Rarely"/>
    <n v="192"/>
    <x v="1"/>
    <n v="2"/>
    <n v="4"/>
    <s v="Life Sciences"/>
    <n v="1"/>
    <n v="426"/>
    <n v="3"/>
    <s v="Male"/>
    <n v="32"/>
    <n v="3"/>
    <x v="1"/>
    <s v="Research Scientist"/>
    <n v="4"/>
    <s v="Divorced"/>
    <n v="2695"/>
    <n v="7747"/>
    <n v="0"/>
    <s v="Y"/>
    <s v="Yes"/>
    <s v="Yes"/>
    <n v="18"/>
    <n v="3"/>
    <n v="2"/>
    <n v="80"/>
    <n v="1"/>
    <n v="3"/>
    <s v="0-5"/>
    <n v="2"/>
    <n v="1"/>
    <n v="2"/>
    <n v="2"/>
    <n v="2"/>
    <n v="2"/>
    <s v="Below Avg"/>
    <n v="28.213977566867989"/>
    <s v="No"/>
    <s v="Low Risk"/>
  </r>
  <r>
    <n v="33"/>
    <x v="1"/>
    <s v="No"/>
    <s v="Travel_Frequently"/>
    <n v="553"/>
    <x v="1"/>
    <n v="5"/>
    <n v="4"/>
    <s v="Life Sciences"/>
    <n v="1"/>
    <n v="428"/>
    <n v="4"/>
    <s v="Female"/>
    <n v="74"/>
    <n v="3"/>
    <x v="2"/>
    <s v="Manager"/>
    <n v="2"/>
    <s v="Married"/>
    <n v="11878"/>
    <n v="23364"/>
    <n v="6"/>
    <s v="Y"/>
    <s v="No"/>
    <s v="No"/>
    <n v="11"/>
    <n v="3"/>
    <n v="2"/>
    <n v="80"/>
    <n v="2"/>
    <n v="12"/>
    <s v="6-15"/>
    <n v="2"/>
    <n v="3"/>
    <n v="10"/>
    <n v="6"/>
    <n v="8"/>
    <n v="8"/>
    <s v="Ok"/>
    <n v="28.238341968911918"/>
    <s v="No"/>
    <s v="Low Risk"/>
  </r>
  <r>
    <n v="39"/>
    <x v="1"/>
    <s v="No"/>
    <s v="Travel_Rarely"/>
    <n v="117"/>
    <x v="1"/>
    <n v="10"/>
    <n v="1"/>
    <s v="Medical"/>
    <n v="1"/>
    <n v="429"/>
    <n v="3"/>
    <s v="Male"/>
    <n v="99"/>
    <n v="3"/>
    <x v="3"/>
    <s v="Manager"/>
    <n v="1"/>
    <s v="Married"/>
    <n v="17068"/>
    <n v="5355"/>
    <n v="1"/>
    <s v="Y"/>
    <s v="Yes"/>
    <s v="Yes"/>
    <n v="14"/>
    <n v="3"/>
    <n v="4"/>
    <n v="80"/>
    <n v="0"/>
    <n v="21"/>
    <s v="&gt;15"/>
    <n v="3"/>
    <n v="3"/>
    <n v="21"/>
    <n v="9"/>
    <n v="11"/>
    <n v="10"/>
    <s v="Ok"/>
    <n v="28.176318063958512"/>
    <s v="No"/>
    <s v="Low Risk"/>
  </r>
  <r>
    <n v="43"/>
    <x v="1"/>
    <s v="No"/>
    <s v="Travel_Frequently"/>
    <n v="185"/>
    <x v="1"/>
    <n v="10"/>
    <n v="4"/>
    <s v="Life Sciences"/>
    <n v="1"/>
    <n v="430"/>
    <n v="3"/>
    <s v="Female"/>
    <n v="33"/>
    <n v="3"/>
    <x v="1"/>
    <s v="Laboratory Technician"/>
    <n v="4"/>
    <s v="Single"/>
    <n v="2455"/>
    <n v="10675"/>
    <n v="0"/>
    <s v="Y"/>
    <s v="No"/>
    <s v="No"/>
    <n v="19"/>
    <n v="3"/>
    <n v="1"/>
    <n v="80"/>
    <n v="0"/>
    <n v="9"/>
    <s v="6-15"/>
    <n v="5"/>
    <n v="3"/>
    <n v="8"/>
    <n v="7"/>
    <n v="1"/>
    <n v="7"/>
    <s v="Below Avg"/>
    <n v="28.20069204152249"/>
    <s v="No"/>
    <s v="Low Risk"/>
  </r>
  <r>
    <n v="49"/>
    <x v="1"/>
    <s v="No"/>
    <s v="Travel_Rarely"/>
    <n v="1091"/>
    <x v="1"/>
    <n v="1"/>
    <n v="2"/>
    <s v="Technical Degree"/>
    <n v="1"/>
    <n v="431"/>
    <n v="3"/>
    <s v="Female"/>
    <n v="90"/>
    <n v="2"/>
    <x v="3"/>
    <s v="Healthcare Representative"/>
    <n v="3"/>
    <s v="Single"/>
    <n v="13964"/>
    <n v="17810"/>
    <n v="7"/>
    <s v="Y"/>
    <s v="Yes"/>
    <s v="Yes"/>
    <n v="12"/>
    <n v="3"/>
    <n v="4"/>
    <n v="80"/>
    <n v="0"/>
    <n v="25"/>
    <s v="&gt;15"/>
    <n v="2"/>
    <n v="3"/>
    <n v="7"/>
    <n v="1"/>
    <n v="0"/>
    <n v="7"/>
    <s v="Ok"/>
    <n v="28.138528138528141"/>
    <s v="No"/>
    <s v="Low Risk"/>
  </r>
  <r>
    <n v="52"/>
    <x v="0"/>
    <s v="Yes"/>
    <s v="Travel_Rarely"/>
    <n v="723"/>
    <x v="1"/>
    <n v="8"/>
    <n v="4"/>
    <s v="Medical"/>
    <n v="1"/>
    <n v="433"/>
    <n v="3"/>
    <s v="Male"/>
    <n v="85"/>
    <n v="2"/>
    <x v="0"/>
    <s v="Research Scientist"/>
    <n v="2"/>
    <s v="Married"/>
    <n v="4941"/>
    <n v="17747"/>
    <n v="2"/>
    <s v="Y"/>
    <s v="No"/>
    <s v="No"/>
    <n v="15"/>
    <n v="3"/>
    <n v="1"/>
    <n v="80"/>
    <n v="0"/>
    <n v="11"/>
    <s v="6-15"/>
    <n v="3"/>
    <n v="2"/>
    <n v="8"/>
    <n v="2"/>
    <n v="7"/>
    <n v="7"/>
    <s v="Below Avg"/>
    <n v="28.162911611785095"/>
    <s v="No"/>
    <s v="Low Risk"/>
  </r>
  <r>
    <n v="27"/>
    <x v="1"/>
    <s v="No"/>
    <s v="Travel_Rarely"/>
    <n v="1220"/>
    <x v="1"/>
    <n v="5"/>
    <n v="3"/>
    <s v="Life Sciences"/>
    <n v="1"/>
    <n v="434"/>
    <n v="3"/>
    <s v="Female"/>
    <n v="85"/>
    <n v="3"/>
    <x v="1"/>
    <s v="Research Scientist"/>
    <n v="2"/>
    <s v="Single"/>
    <n v="2478"/>
    <n v="20938"/>
    <n v="1"/>
    <s v="Y"/>
    <s v="Yes"/>
    <s v="Yes"/>
    <n v="12"/>
    <n v="3"/>
    <n v="2"/>
    <n v="80"/>
    <n v="0"/>
    <n v="4"/>
    <s v="0-5"/>
    <n v="2"/>
    <n v="2"/>
    <n v="4"/>
    <n v="3"/>
    <n v="1"/>
    <n v="2"/>
    <s v="Below Avg"/>
    <n v="28.100607111882049"/>
    <s v="No"/>
    <s v="Low Risk"/>
  </r>
  <r>
    <n v="32"/>
    <x v="1"/>
    <s v="No"/>
    <s v="Travel_Rarely"/>
    <n v="588"/>
    <x v="0"/>
    <n v="8"/>
    <n v="2"/>
    <s v="Technical Degree"/>
    <n v="1"/>
    <n v="436"/>
    <n v="3"/>
    <s v="Female"/>
    <n v="65"/>
    <n v="2"/>
    <x v="0"/>
    <s v="Sales Executive"/>
    <n v="2"/>
    <s v="Married"/>
    <n v="5228"/>
    <n v="24624"/>
    <n v="1"/>
    <s v="Y"/>
    <s v="Yes"/>
    <s v="Yes"/>
    <n v="11"/>
    <n v="3"/>
    <n v="4"/>
    <n v="80"/>
    <n v="0"/>
    <n v="13"/>
    <s v="6-15"/>
    <n v="2"/>
    <n v="3"/>
    <n v="13"/>
    <n v="12"/>
    <n v="11"/>
    <n v="9"/>
    <s v="Below Avg"/>
    <n v="28.125"/>
    <s v="No"/>
    <s v="Low Risk"/>
  </r>
  <r>
    <n v="27"/>
    <x v="1"/>
    <s v="No"/>
    <s v="Travel_Rarely"/>
    <n v="1377"/>
    <x v="0"/>
    <n v="2"/>
    <n v="3"/>
    <s v="Life Sciences"/>
    <n v="1"/>
    <n v="437"/>
    <n v="4"/>
    <s v="Male"/>
    <n v="74"/>
    <n v="3"/>
    <x v="0"/>
    <s v="Sales Executive"/>
    <n v="3"/>
    <s v="Single"/>
    <n v="4478"/>
    <n v="5242"/>
    <n v="1"/>
    <s v="Y"/>
    <s v="Yes"/>
    <s v="Yes"/>
    <n v="11"/>
    <n v="3"/>
    <n v="1"/>
    <n v="80"/>
    <n v="0"/>
    <n v="5"/>
    <s v="0-5"/>
    <n v="3"/>
    <n v="3"/>
    <n v="5"/>
    <n v="4"/>
    <n v="0"/>
    <n v="4"/>
    <s v="Below Avg"/>
    <n v="28.062554300608166"/>
    <s v="No"/>
    <s v="Low Risk"/>
  </r>
  <r>
    <n v="31"/>
    <x v="1"/>
    <s v="No"/>
    <s v="Travel_Rarely"/>
    <n v="691"/>
    <x v="0"/>
    <n v="7"/>
    <n v="3"/>
    <s v="Marketing"/>
    <n v="1"/>
    <n v="438"/>
    <n v="4"/>
    <s v="Male"/>
    <n v="73"/>
    <n v="3"/>
    <x v="0"/>
    <s v="Sales Executive"/>
    <n v="4"/>
    <s v="Divorced"/>
    <n v="7547"/>
    <n v="7143"/>
    <n v="4"/>
    <s v="Y"/>
    <s v="No"/>
    <s v="No"/>
    <n v="12"/>
    <n v="3"/>
    <n v="4"/>
    <n v="80"/>
    <n v="3"/>
    <n v="13"/>
    <s v="6-15"/>
    <n v="3"/>
    <n v="3"/>
    <n v="7"/>
    <n v="7"/>
    <n v="1"/>
    <n v="7"/>
    <s v="Ok"/>
    <n v="28.000000000000004"/>
    <s v="No"/>
    <s v="Low Risk"/>
  </r>
  <r>
    <n v="32"/>
    <x v="1"/>
    <s v="No"/>
    <s v="Travel_Rarely"/>
    <n v="1018"/>
    <x v="1"/>
    <n v="2"/>
    <n v="4"/>
    <s v="Medical"/>
    <n v="1"/>
    <n v="439"/>
    <n v="1"/>
    <s v="Female"/>
    <n v="74"/>
    <n v="4"/>
    <x v="0"/>
    <s v="Research Scientist"/>
    <n v="4"/>
    <s v="Single"/>
    <n v="5055"/>
    <n v="10557"/>
    <n v="7"/>
    <s v="Y"/>
    <s v="No"/>
    <s v="No"/>
    <n v="16"/>
    <n v="3"/>
    <n v="3"/>
    <n v="80"/>
    <n v="0"/>
    <n v="10"/>
    <s v="6-15"/>
    <n v="0"/>
    <n v="2"/>
    <n v="7"/>
    <n v="7"/>
    <n v="0"/>
    <n v="7"/>
    <s v="Below Avg"/>
    <n v="27.93733681462141"/>
    <s v="No"/>
    <s v="Low Risk"/>
  </r>
  <r>
    <n v="28"/>
    <x v="0"/>
    <s v="Yes"/>
    <s v="Travel_Rarely"/>
    <n v="1157"/>
    <x v="1"/>
    <n v="2"/>
    <n v="4"/>
    <s v="Medical"/>
    <n v="1"/>
    <n v="440"/>
    <n v="1"/>
    <s v="Male"/>
    <n v="84"/>
    <n v="1"/>
    <x v="1"/>
    <s v="Research Scientist"/>
    <n v="4"/>
    <s v="Married"/>
    <n v="3464"/>
    <n v="24737"/>
    <n v="5"/>
    <s v="Y"/>
    <s v="Yes"/>
    <s v="Yes"/>
    <n v="13"/>
    <n v="3"/>
    <n v="4"/>
    <n v="80"/>
    <n v="0"/>
    <n v="5"/>
    <s v="0-5"/>
    <n v="4"/>
    <n v="2"/>
    <n v="3"/>
    <n v="2"/>
    <n v="2"/>
    <n v="2"/>
    <s v="Below Avg"/>
    <n v="27.961672473867594"/>
    <s v="No"/>
    <s v="Low Risk"/>
  </r>
  <r>
    <n v="30"/>
    <x v="1"/>
    <s v="No"/>
    <s v="Travel_Rarely"/>
    <n v="1275"/>
    <x v="1"/>
    <n v="28"/>
    <n v="2"/>
    <s v="Medical"/>
    <n v="1"/>
    <n v="441"/>
    <n v="4"/>
    <s v="Female"/>
    <n v="64"/>
    <n v="3"/>
    <x v="0"/>
    <s v="Research Scientist"/>
    <n v="4"/>
    <s v="Married"/>
    <n v="5775"/>
    <n v="11934"/>
    <n v="1"/>
    <s v="Y"/>
    <s v="No"/>
    <s v="No"/>
    <n v="13"/>
    <n v="3"/>
    <n v="4"/>
    <n v="80"/>
    <n v="2"/>
    <n v="11"/>
    <s v="6-15"/>
    <n v="2"/>
    <n v="3"/>
    <n v="10"/>
    <n v="8"/>
    <n v="1"/>
    <n v="9"/>
    <s v="Below Avg"/>
    <n v="27.986050566695731"/>
    <s v="No"/>
    <s v="Low Risk"/>
  </r>
  <r>
    <n v="31"/>
    <x v="1"/>
    <s v="No"/>
    <s v="Travel_Frequently"/>
    <n v="798"/>
    <x v="1"/>
    <n v="7"/>
    <n v="2"/>
    <s v="Life Sciences"/>
    <n v="1"/>
    <n v="442"/>
    <n v="3"/>
    <s v="Female"/>
    <n v="48"/>
    <n v="2"/>
    <x v="2"/>
    <s v="Manufacturing Director"/>
    <n v="3"/>
    <s v="Married"/>
    <n v="8943"/>
    <n v="14034"/>
    <n v="1"/>
    <s v="Y"/>
    <s v="No"/>
    <s v="No"/>
    <n v="24"/>
    <n v="4"/>
    <n v="1"/>
    <n v="80"/>
    <n v="1"/>
    <n v="10"/>
    <s v="6-15"/>
    <n v="2"/>
    <n v="3"/>
    <n v="10"/>
    <n v="9"/>
    <n v="8"/>
    <n v="9"/>
    <s v="Ok"/>
    <n v="27.923211169284468"/>
    <s v="No"/>
    <s v="Low Risk"/>
  </r>
  <r>
    <n v="39"/>
    <x v="1"/>
    <s v="No"/>
    <s v="Travel_Frequently"/>
    <n v="672"/>
    <x v="1"/>
    <n v="7"/>
    <n v="2"/>
    <s v="Medical"/>
    <n v="1"/>
    <n v="444"/>
    <n v="3"/>
    <s v="Male"/>
    <n v="54"/>
    <n v="2"/>
    <x v="4"/>
    <s v="Manager"/>
    <n v="4"/>
    <s v="Married"/>
    <n v="19272"/>
    <n v="21141"/>
    <n v="1"/>
    <s v="Y"/>
    <s v="No"/>
    <s v="No"/>
    <n v="15"/>
    <n v="3"/>
    <n v="1"/>
    <n v="80"/>
    <n v="1"/>
    <n v="21"/>
    <s v="&gt;15"/>
    <n v="2"/>
    <n v="3"/>
    <n v="21"/>
    <n v="9"/>
    <n v="13"/>
    <n v="3"/>
    <s v="Ok"/>
    <n v="27.947598253275107"/>
    <s v="No"/>
    <s v="Low Risk"/>
  </r>
  <r>
    <n v="39"/>
    <x v="0"/>
    <s v="Yes"/>
    <s v="Travel_Rarely"/>
    <n v="1162"/>
    <x v="0"/>
    <n v="3"/>
    <n v="2"/>
    <s v="Medical"/>
    <n v="1"/>
    <n v="445"/>
    <n v="4"/>
    <s v="Female"/>
    <n v="41"/>
    <n v="3"/>
    <x v="0"/>
    <s v="Sales Executive"/>
    <n v="3"/>
    <s v="Married"/>
    <n v="5238"/>
    <n v="17778"/>
    <n v="4"/>
    <s v="Y"/>
    <s v="Yes"/>
    <s v="Yes"/>
    <n v="18"/>
    <n v="3"/>
    <n v="1"/>
    <n v="80"/>
    <n v="0"/>
    <n v="12"/>
    <s v="6-15"/>
    <n v="3"/>
    <n v="2"/>
    <n v="1"/>
    <n v="0"/>
    <n v="0"/>
    <n v="0"/>
    <s v="Below Avg"/>
    <n v="27.972027972027973"/>
    <s v="No"/>
    <s v="High Risk"/>
  </r>
  <r>
    <n v="33"/>
    <x v="1"/>
    <s v="No"/>
    <s v="Travel_Frequently"/>
    <n v="508"/>
    <x v="0"/>
    <n v="10"/>
    <n v="3"/>
    <s v="Marketing"/>
    <n v="1"/>
    <n v="446"/>
    <n v="2"/>
    <s v="Male"/>
    <n v="46"/>
    <n v="2"/>
    <x v="0"/>
    <s v="Sales Executive"/>
    <n v="4"/>
    <s v="Single"/>
    <n v="4682"/>
    <n v="4317"/>
    <n v="3"/>
    <s v="Y"/>
    <s v="No"/>
    <s v="No"/>
    <n v="14"/>
    <n v="3"/>
    <n v="3"/>
    <n v="80"/>
    <n v="0"/>
    <n v="9"/>
    <s v="6-15"/>
    <n v="6"/>
    <n v="2"/>
    <n v="7"/>
    <n v="7"/>
    <n v="0"/>
    <n v="1"/>
    <s v="Below Avg"/>
    <n v="27.99650043744532"/>
    <s v="No"/>
    <s v="Low Risk"/>
  </r>
  <r>
    <n v="47"/>
    <x v="1"/>
    <s v="No"/>
    <s v="Travel_Rarely"/>
    <n v="1482"/>
    <x v="1"/>
    <n v="5"/>
    <n v="5"/>
    <s v="Life Sciences"/>
    <n v="1"/>
    <n v="447"/>
    <n v="4"/>
    <s v="Male"/>
    <n v="42"/>
    <n v="3"/>
    <x v="4"/>
    <s v="Research Director"/>
    <n v="3"/>
    <s v="Married"/>
    <n v="18300"/>
    <n v="16375"/>
    <n v="4"/>
    <s v="Y"/>
    <s v="No"/>
    <s v="No"/>
    <n v="11"/>
    <n v="3"/>
    <n v="2"/>
    <n v="80"/>
    <n v="1"/>
    <n v="21"/>
    <s v="&gt;15"/>
    <n v="2"/>
    <n v="3"/>
    <n v="3"/>
    <n v="2"/>
    <n v="1"/>
    <n v="1"/>
    <s v="Ok"/>
    <n v="27.933450087565674"/>
    <s v="No"/>
    <s v="Low Risk"/>
  </r>
  <r>
    <n v="43"/>
    <x v="1"/>
    <s v="No"/>
    <s v="Travel_Frequently"/>
    <n v="559"/>
    <x v="1"/>
    <n v="10"/>
    <n v="4"/>
    <s v="Life Sciences"/>
    <n v="1"/>
    <n v="448"/>
    <n v="3"/>
    <s v="Female"/>
    <n v="82"/>
    <n v="2"/>
    <x v="0"/>
    <s v="Laboratory Technician"/>
    <n v="3"/>
    <s v="Divorced"/>
    <n v="5257"/>
    <n v="6227"/>
    <n v="1"/>
    <s v="Y"/>
    <s v="No"/>
    <s v="No"/>
    <n v="11"/>
    <n v="3"/>
    <n v="2"/>
    <n v="80"/>
    <n v="1"/>
    <n v="9"/>
    <s v="6-15"/>
    <n v="3"/>
    <n v="4"/>
    <n v="9"/>
    <n v="7"/>
    <n v="0"/>
    <n v="0"/>
    <s v="Below Avg"/>
    <n v="27.957931638913237"/>
    <s v="No"/>
    <s v="Low Risk"/>
  </r>
  <r>
    <n v="27"/>
    <x v="1"/>
    <s v="No"/>
    <s v="Non-Travel"/>
    <n v="210"/>
    <x v="0"/>
    <n v="1"/>
    <n v="1"/>
    <s v="Marketing"/>
    <n v="1"/>
    <n v="449"/>
    <n v="3"/>
    <s v="Male"/>
    <n v="73"/>
    <n v="3"/>
    <x v="0"/>
    <s v="Sales Executive"/>
    <n v="2"/>
    <s v="Married"/>
    <n v="6349"/>
    <n v="22107"/>
    <n v="0"/>
    <s v="Y"/>
    <s v="Yes"/>
    <s v="Yes"/>
    <n v="13"/>
    <n v="3"/>
    <n v="4"/>
    <n v="80"/>
    <n v="1"/>
    <n v="6"/>
    <s v="6-15"/>
    <n v="0"/>
    <n v="3"/>
    <n v="5"/>
    <n v="4"/>
    <n v="1"/>
    <n v="4"/>
    <s v="Below Avg"/>
    <n v="27.982456140350877"/>
    <s v="No"/>
    <s v="Low Risk"/>
  </r>
  <r>
    <n v="54"/>
    <x v="1"/>
    <s v="No"/>
    <s v="Travel_Frequently"/>
    <n v="928"/>
    <x v="1"/>
    <n v="20"/>
    <n v="4"/>
    <s v="Life Sciences"/>
    <n v="1"/>
    <n v="450"/>
    <n v="4"/>
    <s v="Female"/>
    <n v="31"/>
    <n v="3"/>
    <x v="0"/>
    <s v="Research Scientist"/>
    <n v="3"/>
    <s v="Single"/>
    <n v="4869"/>
    <n v="16885"/>
    <n v="3"/>
    <s v="Y"/>
    <s v="No"/>
    <s v="No"/>
    <n v="12"/>
    <n v="3"/>
    <n v="4"/>
    <n v="80"/>
    <n v="0"/>
    <n v="20"/>
    <s v="&gt;15"/>
    <n v="4"/>
    <n v="2"/>
    <n v="4"/>
    <n v="3"/>
    <n v="0"/>
    <n v="3"/>
    <s v="Below Avg"/>
    <n v="28.007023705004393"/>
    <s v="No"/>
    <s v="Low Risk"/>
  </r>
  <r>
    <n v="43"/>
    <x v="1"/>
    <s v="No"/>
    <s v="Travel_Rarely"/>
    <n v="1001"/>
    <x v="1"/>
    <n v="7"/>
    <n v="3"/>
    <s v="Life Sciences"/>
    <n v="1"/>
    <n v="451"/>
    <n v="3"/>
    <s v="Female"/>
    <n v="43"/>
    <n v="3"/>
    <x v="2"/>
    <s v="Healthcare Representative"/>
    <n v="1"/>
    <s v="Married"/>
    <n v="9985"/>
    <n v="9262"/>
    <n v="8"/>
    <s v="Y"/>
    <s v="No"/>
    <s v="No"/>
    <n v="16"/>
    <n v="3"/>
    <n v="1"/>
    <n v="80"/>
    <n v="1"/>
    <n v="10"/>
    <s v="6-15"/>
    <n v="1"/>
    <n v="2"/>
    <n v="1"/>
    <n v="0"/>
    <n v="0"/>
    <n v="0"/>
    <s v="Ok"/>
    <n v="27.943760984182774"/>
    <s v="No"/>
    <s v="Low Risk"/>
  </r>
  <r>
    <n v="45"/>
    <x v="1"/>
    <s v="No"/>
    <s v="Travel_Rarely"/>
    <n v="549"/>
    <x v="1"/>
    <n v="8"/>
    <n v="4"/>
    <s v="Other"/>
    <n v="1"/>
    <n v="452"/>
    <n v="4"/>
    <s v="Male"/>
    <n v="75"/>
    <n v="3"/>
    <x v="0"/>
    <s v="Research Scientist"/>
    <n v="4"/>
    <s v="Married"/>
    <n v="3697"/>
    <n v="9278"/>
    <n v="9"/>
    <s v="Y"/>
    <s v="No"/>
    <s v="No"/>
    <n v="14"/>
    <n v="3"/>
    <n v="1"/>
    <n v="80"/>
    <n v="2"/>
    <n v="12"/>
    <s v="6-15"/>
    <n v="3"/>
    <n v="3"/>
    <n v="10"/>
    <n v="9"/>
    <n v="9"/>
    <n v="8"/>
    <s v="Below Avg"/>
    <n v="27.968337730870712"/>
    <s v="No"/>
    <s v="Low Risk"/>
  </r>
  <r>
    <n v="40"/>
    <x v="1"/>
    <s v="No"/>
    <s v="Travel_Rarely"/>
    <n v="1124"/>
    <x v="0"/>
    <n v="1"/>
    <n v="2"/>
    <s v="Medical"/>
    <n v="1"/>
    <n v="453"/>
    <n v="2"/>
    <s v="Male"/>
    <n v="57"/>
    <n v="1"/>
    <x v="0"/>
    <s v="Sales Executive"/>
    <n v="4"/>
    <s v="Married"/>
    <n v="7457"/>
    <n v="13273"/>
    <n v="2"/>
    <s v="Y"/>
    <s v="Yes"/>
    <s v="Yes"/>
    <n v="22"/>
    <n v="4"/>
    <n v="3"/>
    <n v="80"/>
    <n v="3"/>
    <n v="6"/>
    <s v="6-15"/>
    <n v="2"/>
    <n v="2"/>
    <n v="4"/>
    <n v="3"/>
    <n v="0"/>
    <n v="2"/>
    <s v="Ok"/>
    <n v="27.992957746478876"/>
    <s v="No"/>
    <s v="Low Risk"/>
  </r>
  <r>
    <n v="29"/>
    <x v="0"/>
    <s v="Yes"/>
    <s v="Travel_Rarely"/>
    <n v="318"/>
    <x v="1"/>
    <n v="8"/>
    <n v="4"/>
    <s v="Other"/>
    <n v="1"/>
    <n v="454"/>
    <n v="2"/>
    <s v="Male"/>
    <n v="77"/>
    <n v="1"/>
    <x v="1"/>
    <s v="Laboratory Technician"/>
    <n v="1"/>
    <s v="Married"/>
    <n v="2119"/>
    <n v="4759"/>
    <n v="1"/>
    <s v="Y"/>
    <s v="Yes"/>
    <s v="Yes"/>
    <n v="11"/>
    <n v="3"/>
    <n v="4"/>
    <n v="80"/>
    <n v="0"/>
    <n v="7"/>
    <s v="6-15"/>
    <n v="4"/>
    <n v="2"/>
    <n v="7"/>
    <n v="7"/>
    <n v="0"/>
    <n v="7"/>
    <s v="Below Avg"/>
    <n v="28.017621145374449"/>
    <s v="No"/>
    <s v="Low Risk"/>
  </r>
  <r>
    <n v="29"/>
    <x v="1"/>
    <s v="No"/>
    <s v="Travel_Rarely"/>
    <n v="738"/>
    <x v="1"/>
    <n v="9"/>
    <n v="5"/>
    <s v="Other"/>
    <n v="1"/>
    <n v="455"/>
    <n v="2"/>
    <s v="Male"/>
    <n v="30"/>
    <n v="2"/>
    <x v="1"/>
    <s v="Laboratory Technician"/>
    <n v="4"/>
    <s v="Single"/>
    <n v="3983"/>
    <n v="7621"/>
    <n v="0"/>
    <s v="Y"/>
    <s v="No"/>
    <s v="No"/>
    <n v="17"/>
    <n v="3"/>
    <n v="3"/>
    <n v="80"/>
    <n v="0"/>
    <n v="4"/>
    <s v="0-5"/>
    <n v="2"/>
    <n v="3"/>
    <n v="3"/>
    <n v="2"/>
    <n v="2"/>
    <n v="2"/>
    <s v="Below Avg"/>
    <n v="27.954144620811288"/>
    <s v="No"/>
    <s v="Low Risk"/>
  </r>
  <r>
    <n v="30"/>
    <x v="1"/>
    <s v="No"/>
    <s v="Travel_Rarely"/>
    <n v="570"/>
    <x v="0"/>
    <n v="5"/>
    <n v="3"/>
    <s v="Marketing"/>
    <n v="1"/>
    <n v="456"/>
    <n v="4"/>
    <s v="Female"/>
    <n v="30"/>
    <n v="2"/>
    <x v="0"/>
    <s v="Sales Executive"/>
    <n v="3"/>
    <s v="Divorced"/>
    <n v="6118"/>
    <n v="5431"/>
    <n v="1"/>
    <s v="Y"/>
    <s v="No"/>
    <s v="No"/>
    <n v="13"/>
    <n v="3"/>
    <n v="3"/>
    <n v="80"/>
    <n v="3"/>
    <n v="10"/>
    <s v="6-15"/>
    <n v="2"/>
    <n v="3"/>
    <n v="10"/>
    <n v="9"/>
    <n v="1"/>
    <n v="2"/>
    <s v="Below Avg"/>
    <n v="27.890556045895853"/>
    <s v="No"/>
    <s v="Low Risk"/>
  </r>
  <r>
    <n v="27"/>
    <x v="1"/>
    <s v="No"/>
    <s v="Travel_Rarely"/>
    <n v="1130"/>
    <x v="0"/>
    <n v="8"/>
    <n v="4"/>
    <s v="Marketing"/>
    <n v="1"/>
    <n v="458"/>
    <n v="2"/>
    <s v="Female"/>
    <n v="56"/>
    <n v="3"/>
    <x v="0"/>
    <s v="Sales Executive"/>
    <n v="2"/>
    <s v="Married"/>
    <n v="6214"/>
    <n v="3415"/>
    <n v="1"/>
    <s v="Y"/>
    <s v="No"/>
    <s v="No"/>
    <n v="18"/>
    <n v="3"/>
    <n v="1"/>
    <n v="80"/>
    <n v="1"/>
    <n v="8"/>
    <s v="6-15"/>
    <n v="3"/>
    <n v="3"/>
    <n v="8"/>
    <n v="7"/>
    <n v="0"/>
    <n v="7"/>
    <s v="Below Avg"/>
    <n v="27.915194346289752"/>
    <s v="No"/>
    <s v="Low Risk"/>
  </r>
  <r>
    <n v="37"/>
    <x v="1"/>
    <s v="No"/>
    <s v="Travel_Rarely"/>
    <n v="1192"/>
    <x v="1"/>
    <n v="5"/>
    <n v="2"/>
    <s v="Medical"/>
    <n v="1"/>
    <n v="460"/>
    <n v="4"/>
    <s v="Male"/>
    <n v="61"/>
    <n v="3"/>
    <x v="0"/>
    <s v="Manufacturing Director"/>
    <n v="4"/>
    <s v="Divorced"/>
    <n v="6347"/>
    <n v="23177"/>
    <n v="7"/>
    <s v="Y"/>
    <s v="No"/>
    <s v="No"/>
    <n v="16"/>
    <n v="3"/>
    <n v="3"/>
    <n v="80"/>
    <n v="2"/>
    <n v="8"/>
    <s v="6-15"/>
    <n v="2"/>
    <n v="2"/>
    <n v="6"/>
    <n v="2"/>
    <n v="0"/>
    <n v="4"/>
    <s v="Ok"/>
    <n v="27.939876215738284"/>
    <s v="No"/>
    <s v="Low Risk"/>
  </r>
  <r>
    <n v="38"/>
    <x v="1"/>
    <s v="No"/>
    <s v="Travel_Rarely"/>
    <n v="343"/>
    <x v="1"/>
    <n v="15"/>
    <n v="2"/>
    <s v="Life Sciences"/>
    <n v="1"/>
    <n v="461"/>
    <n v="3"/>
    <s v="Male"/>
    <n v="92"/>
    <n v="2"/>
    <x v="2"/>
    <s v="Research Director"/>
    <n v="4"/>
    <s v="Divorced"/>
    <n v="11510"/>
    <n v="15682"/>
    <n v="0"/>
    <s v="Y"/>
    <s v="Yes"/>
    <s v="Yes"/>
    <n v="14"/>
    <n v="3"/>
    <n v="2"/>
    <n v="80"/>
    <n v="1"/>
    <n v="12"/>
    <s v="6-15"/>
    <n v="3"/>
    <n v="3"/>
    <n v="11"/>
    <n v="10"/>
    <n v="2"/>
    <n v="9"/>
    <s v="Ok"/>
    <n v="27.964601769911507"/>
    <s v="No"/>
    <s v="Low Risk"/>
  </r>
  <r>
    <n v="31"/>
    <x v="1"/>
    <s v="No"/>
    <s v="Travel_Rarely"/>
    <n v="1232"/>
    <x v="1"/>
    <n v="7"/>
    <n v="4"/>
    <s v="Medical"/>
    <n v="1"/>
    <n v="462"/>
    <n v="3"/>
    <s v="Female"/>
    <n v="39"/>
    <n v="3"/>
    <x v="2"/>
    <s v="Manufacturing Director"/>
    <n v="4"/>
    <s v="Single"/>
    <n v="7143"/>
    <n v="25713"/>
    <n v="1"/>
    <s v="Y"/>
    <s v="Yes"/>
    <s v="Yes"/>
    <n v="14"/>
    <n v="3"/>
    <n v="3"/>
    <n v="80"/>
    <n v="0"/>
    <n v="11"/>
    <s v="6-15"/>
    <n v="2"/>
    <n v="2"/>
    <n v="11"/>
    <n v="9"/>
    <n v="4"/>
    <n v="10"/>
    <s v="Ok"/>
    <n v="27.989371124889285"/>
    <s v="No"/>
    <s v="Low Risk"/>
  </r>
  <r>
    <n v="29"/>
    <x v="1"/>
    <s v="No"/>
    <s v="Travel_Rarely"/>
    <n v="144"/>
    <x v="0"/>
    <n v="10"/>
    <n v="1"/>
    <s v="Marketing"/>
    <n v="1"/>
    <n v="463"/>
    <n v="4"/>
    <s v="Female"/>
    <n v="39"/>
    <n v="2"/>
    <x v="0"/>
    <s v="Sales Executive"/>
    <n v="2"/>
    <s v="Divorced"/>
    <n v="8268"/>
    <n v="11866"/>
    <n v="1"/>
    <s v="Y"/>
    <s v="Yes"/>
    <s v="Yes"/>
    <n v="14"/>
    <n v="3"/>
    <n v="1"/>
    <n v="80"/>
    <n v="2"/>
    <n v="7"/>
    <s v="6-15"/>
    <n v="2"/>
    <n v="3"/>
    <n v="7"/>
    <n v="7"/>
    <n v="1"/>
    <n v="7"/>
    <s v="Ok"/>
    <n v="27.925531914893615"/>
    <s v="No"/>
    <s v="Low Risk"/>
  </r>
  <r>
    <n v="35"/>
    <x v="1"/>
    <s v="No"/>
    <s v="Travel_Rarely"/>
    <n v="1296"/>
    <x v="1"/>
    <n v="5"/>
    <n v="4"/>
    <s v="Technical Degree"/>
    <n v="1"/>
    <n v="464"/>
    <n v="3"/>
    <s v="Male"/>
    <n v="62"/>
    <n v="3"/>
    <x v="2"/>
    <s v="Manufacturing Director"/>
    <n v="2"/>
    <s v="Single"/>
    <n v="8095"/>
    <n v="18264"/>
    <n v="0"/>
    <s v="Y"/>
    <s v="No"/>
    <s v="No"/>
    <n v="13"/>
    <n v="3"/>
    <n v="4"/>
    <n v="80"/>
    <n v="0"/>
    <n v="17"/>
    <s v="&gt;15"/>
    <n v="5"/>
    <n v="3"/>
    <n v="16"/>
    <n v="6"/>
    <n v="0"/>
    <n v="13"/>
    <s v="Ok"/>
    <n v="27.861579414374443"/>
    <s v="No"/>
    <s v="Low Risk"/>
  </r>
  <r>
    <n v="23"/>
    <x v="1"/>
    <s v="No"/>
    <s v="Travel_Rarely"/>
    <n v="1309"/>
    <x v="1"/>
    <n v="26"/>
    <n v="1"/>
    <s v="Life Sciences"/>
    <n v="1"/>
    <n v="465"/>
    <n v="3"/>
    <s v="Male"/>
    <n v="83"/>
    <n v="3"/>
    <x v="1"/>
    <s v="Research Scientist"/>
    <n v="4"/>
    <s v="Divorced"/>
    <n v="2904"/>
    <n v="16092"/>
    <n v="1"/>
    <s v="Y"/>
    <s v="No"/>
    <s v="No"/>
    <n v="12"/>
    <n v="3"/>
    <n v="3"/>
    <n v="80"/>
    <n v="2"/>
    <n v="4"/>
    <s v="0-5"/>
    <n v="2"/>
    <n v="2"/>
    <n v="4"/>
    <n v="2"/>
    <n v="0"/>
    <n v="2"/>
    <s v="Below Avg"/>
    <n v="27.797513321492005"/>
    <s v="No"/>
    <s v="Low Risk"/>
  </r>
  <r>
    <n v="41"/>
    <x v="1"/>
    <s v="No"/>
    <s v="Travel_Rarely"/>
    <n v="483"/>
    <x v="1"/>
    <n v="6"/>
    <n v="3"/>
    <s v="Medical"/>
    <n v="1"/>
    <n v="466"/>
    <n v="4"/>
    <s v="Male"/>
    <n v="95"/>
    <n v="2"/>
    <x v="0"/>
    <s v="Manufacturing Director"/>
    <n v="2"/>
    <s v="Single"/>
    <n v="6032"/>
    <n v="10110"/>
    <n v="6"/>
    <s v="Y"/>
    <s v="Yes"/>
    <s v="Yes"/>
    <n v="15"/>
    <n v="3"/>
    <n v="4"/>
    <n v="80"/>
    <n v="0"/>
    <n v="8"/>
    <s v="6-15"/>
    <n v="3"/>
    <n v="3"/>
    <n v="5"/>
    <n v="4"/>
    <n v="1"/>
    <n v="2"/>
    <s v="Below Avg"/>
    <n v="27.822222222222219"/>
    <s v="No"/>
    <s v="Low Risk"/>
  </r>
  <r>
    <n v="47"/>
    <x v="1"/>
    <s v="No"/>
    <s v="Travel_Frequently"/>
    <n v="1309"/>
    <x v="0"/>
    <n v="4"/>
    <n v="1"/>
    <s v="Medical"/>
    <n v="1"/>
    <n v="467"/>
    <n v="2"/>
    <s v="Male"/>
    <n v="99"/>
    <n v="3"/>
    <x v="0"/>
    <s v="Sales Representative"/>
    <n v="3"/>
    <s v="Single"/>
    <n v="2976"/>
    <n v="25751"/>
    <n v="3"/>
    <s v="Y"/>
    <s v="No"/>
    <s v="No"/>
    <n v="19"/>
    <n v="3"/>
    <n v="1"/>
    <n v="80"/>
    <n v="0"/>
    <n v="5"/>
    <s v="0-5"/>
    <n v="3"/>
    <n v="3"/>
    <n v="0"/>
    <n v="0"/>
    <n v="0"/>
    <n v="0"/>
    <s v="Below Avg"/>
    <n v="27.846975088967973"/>
    <s v="No"/>
    <s v="Low Risk"/>
  </r>
  <r>
    <n v="42"/>
    <x v="1"/>
    <s v="No"/>
    <s v="Travel_Rarely"/>
    <n v="810"/>
    <x v="1"/>
    <n v="23"/>
    <n v="5"/>
    <s v="Life Sciences"/>
    <n v="1"/>
    <n v="468"/>
    <n v="1"/>
    <s v="Female"/>
    <n v="44"/>
    <n v="3"/>
    <x v="3"/>
    <s v="Research Director"/>
    <n v="4"/>
    <s v="Single"/>
    <n v="15992"/>
    <n v="15901"/>
    <n v="2"/>
    <s v="Y"/>
    <s v="No"/>
    <s v="No"/>
    <n v="14"/>
    <n v="3"/>
    <n v="2"/>
    <n v="80"/>
    <n v="0"/>
    <n v="16"/>
    <s v="&gt;15"/>
    <n v="2"/>
    <n v="3"/>
    <n v="1"/>
    <n v="0"/>
    <n v="0"/>
    <n v="0"/>
    <s v="Ok"/>
    <n v="27.782724844167412"/>
    <s v="No"/>
    <s v="Low Risk"/>
  </r>
  <r>
    <n v="29"/>
    <x v="1"/>
    <s v="No"/>
    <s v="Non-Travel"/>
    <n v="746"/>
    <x v="0"/>
    <n v="2"/>
    <n v="3"/>
    <s v="Life Sciences"/>
    <n v="1"/>
    <n v="469"/>
    <n v="4"/>
    <s v="Male"/>
    <n v="61"/>
    <n v="3"/>
    <x v="0"/>
    <s v="Sales Executive"/>
    <n v="3"/>
    <s v="Married"/>
    <n v="4649"/>
    <n v="16928"/>
    <n v="1"/>
    <s v="Y"/>
    <s v="No"/>
    <s v="No"/>
    <n v="14"/>
    <n v="3"/>
    <n v="1"/>
    <n v="80"/>
    <n v="1"/>
    <n v="4"/>
    <s v="0-5"/>
    <n v="3"/>
    <n v="2"/>
    <n v="4"/>
    <n v="3"/>
    <n v="0"/>
    <n v="2"/>
    <s v="Below Avg"/>
    <n v="27.807486631016044"/>
    <s v="No"/>
    <s v="Low Risk"/>
  </r>
  <r>
    <n v="42"/>
    <x v="1"/>
    <s v="No"/>
    <s v="Travel_Rarely"/>
    <n v="544"/>
    <x v="2"/>
    <n v="2"/>
    <n v="1"/>
    <s v="Technical Degree"/>
    <n v="1"/>
    <n v="470"/>
    <n v="3"/>
    <s v="Male"/>
    <n v="52"/>
    <n v="3"/>
    <x v="1"/>
    <s v="Human Resources"/>
    <n v="3"/>
    <s v="Divorced"/>
    <n v="2696"/>
    <n v="24017"/>
    <n v="0"/>
    <s v="Y"/>
    <s v="Yes"/>
    <s v="Yes"/>
    <n v="11"/>
    <n v="3"/>
    <n v="3"/>
    <n v="80"/>
    <n v="1"/>
    <n v="4"/>
    <s v="0-5"/>
    <n v="5"/>
    <n v="3"/>
    <n v="3"/>
    <n v="2"/>
    <n v="1"/>
    <n v="0"/>
    <s v="Below Avg"/>
    <n v="27.832292595896519"/>
    <s v="No"/>
    <s v="Low Risk"/>
  </r>
  <r>
    <n v="32"/>
    <x v="1"/>
    <s v="No"/>
    <s v="Travel_Rarely"/>
    <n v="1062"/>
    <x v="1"/>
    <n v="2"/>
    <n v="3"/>
    <s v="Medical"/>
    <n v="1"/>
    <n v="471"/>
    <n v="3"/>
    <s v="Female"/>
    <n v="75"/>
    <n v="3"/>
    <x v="1"/>
    <s v="Laboratory Technician"/>
    <n v="2"/>
    <s v="Married"/>
    <n v="2370"/>
    <n v="3956"/>
    <n v="1"/>
    <s v="Y"/>
    <s v="No"/>
    <s v="No"/>
    <n v="13"/>
    <n v="3"/>
    <n v="3"/>
    <n v="80"/>
    <n v="1"/>
    <n v="8"/>
    <s v="6-15"/>
    <n v="4"/>
    <n v="3"/>
    <n v="8"/>
    <n v="0"/>
    <n v="0"/>
    <n v="7"/>
    <s v="Below Avg"/>
    <n v="27.857142857142858"/>
    <s v="No"/>
    <s v="Low Risk"/>
  </r>
  <r>
    <n v="48"/>
    <x v="1"/>
    <s v="No"/>
    <s v="Travel_Rarely"/>
    <n v="530"/>
    <x v="0"/>
    <n v="29"/>
    <n v="1"/>
    <s v="Medical"/>
    <n v="1"/>
    <n v="473"/>
    <n v="1"/>
    <s v="Female"/>
    <n v="91"/>
    <n v="3"/>
    <x v="2"/>
    <s v="Manager"/>
    <n v="3"/>
    <s v="Married"/>
    <n v="12504"/>
    <n v="23978"/>
    <n v="3"/>
    <s v="Y"/>
    <s v="No"/>
    <s v="No"/>
    <n v="21"/>
    <n v="4"/>
    <n v="2"/>
    <n v="80"/>
    <n v="1"/>
    <n v="15"/>
    <s v="6-15"/>
    <n v="3"/>
    <n v="1"/>
    <n v="0"/>
    <n v="0"/>
    <n v="0"/>
    <n v="0"/>
    <s v="Ok"/>
    <n v="27.792672028596961"/>
    <s v="No"/>
    <s v="Low Risk"/>
  </r>
  <r>
    <n v="37"/>
    <x v="1"/>
    <s v="No"/>
    <s v="Travel_Rarely"/>
    <n v="1319"/>
    <x v="1"/>
    <n v="6"/>
    <n v="3"/>
    <s v="Medical"/>
    <n v="1"/>
    <n v="474"/>
    <n v="3"/>
    <s v="Male"/>
    <n v="51"/>
    <n v="4"/>
    <x v="0"/>
    <s v="Research Scientist"/>
    <n v="1"/>
    <s v="Divorced"/>
    <n v="5974"/>
    <n v="17001"/>
    <n v="4"/>
    <s v="Y"/>
    <s v="Yes"/>
    <s v="Yes"/>
    <n v="13"/>
    <n v="3"/>
    <n v="1"/>
    <n v="80"/>
    <n v="2"/>
    <n v="13"/>
    <s v="6-15"/>
    <n v="2"/>
    <n v="3"/>
    <n v="7"/>
    <n v="7"/>
    <n v="6"/>
    <n v="7"/>
    <s v="Below Avg"/>
    <n v="27.817531305903398"/>
    <s v="No"/>
    <s v="Low Risk"/>
  </r>
  <r>
    <n v="30"/>
    <x v="1"/>
    <s v="No"/>
    <s v="Non-Travel"/>
    <n v="641"/>
    <x v="0"/>
    <n v="25"/>
    <n v="2"/>
    <s v="Technical Degree"/>
    <n v="1"/>
    <n v="475"/>
    <n v="4"/>
    <s v="Female"/>
    <n v="85"/>
    <n v="3"/>
    <x v="0"/>
    <s v="Sales Executive"/>
    <n v="3"/>
    <s v="Married"/>
    <n v="4736"/>
    <n v="6069"/>
    <n v="7"/>
    <s v="Y"/>
    <s v="Yes"/>
    <s v="Yes"/>
    <n v="12"/>
    <n v="3"/>
    <n v="2"/>
    <n v="80"/>
    <n v="1"/>
    <n v="4"/>
    <s v="0-5"/>
    <n v="2"/>
    <n v="4"/>
    <n v="2"/>
    <n v="2"/>
    <n v="2"/>
    <n v="2"/>
    <s v="Below Avg"/>
    <n v="27.84243509400179"/>
    <s v="No"/>
    <s v="Low Risk"/>
  </r>
  <r>
    <n v="26"/>
    <x v="1"/>
    <s v="No"/>
    <s v="Travel_Rarely"/>
    <n v="933"/>
    <x v="0"/>
    <n v="1"/>
    <n v="3"/>
    <s v="Life Sciences"/>
    <n v="1"/>
    <n v="476"/>
    <n v="3"/>
    <s v="Male"/>
    <n v="57"/>
    <n v="3"/>
    <x v="0"/>
    <s v="Sales Executive"/>
    <n v="3"/>
    <s v="Married"/>
    <n v="5296"/>
    <n v="20156"/>
    <n v="1"/>
    <s v="Y"/>
    <s v="No"/>
    <s v="No"/>
    <n v="17"/>
    <n v="3"/>
    <n v="2"/>
    <n v="80"/>
    <n v="1"/>
    <n v="8"/>
    <s v="6-15"/>
    <n v="3"/>
    <n v="3"/>
    <n v="8"/>
    <n v="7"/>
    <n v="7"/>
    <n v="7"/>
    <s v="Below Avg"/>
    <n v="27.777777777777779"/>
    <s v="No"/>
    <s v="Low Risk"/>
  </r>
  <r>
    <n v="42"/>
    <x v="1"/>
    <s v="No"/>
    <s v="Travel_Rarely"/>
    <n v="1332"/>
    <x v="1"/>
    <n v="2"/>
    <n v="4"/>
    <s v="Other"/>
    <n v="1"/>
    <n v="477"/>
    <n v="1"/>
    <s v="Male"/>
    <n v="98"/>
    <n v="2"/>
    <x v="0"/>
    <s v="Healthcare Representative"/>
    <n v="4"/>
    <s v="Single"/>
    <n v="6781"/>
    <n v="17078"/>
    <n v="3"/>
    <s v="Y"/>
    <s v="No"/>
    <s v="No"/>
    <n v="23"/>
    <n v="4"/>
    <n v="2"/>
    <n v="80"/>
    <n v="0"/>
    <n v="14"/>
    <s v="6-15"/>
    <n v="6"/>
    <n v="3"/>
    <n v="1"/>
    <n v="0"/>
    <n v="0"/>
    <n v="0"/>
    <s v="Ok"/>
    <n v="27.713004484304932"/>
    <s v="No"/>
    <s v="Low Risk"/>
  </r>
  <r>
    <n v="21"/>
    <x v="0"/>
    <s v="Yes"/>
    <s v="Travel_Frequently"/>
    <n v="756"/>
    <x v="0"/>
    <n v="1"/>
    <n v="1"/>
    <s v="Technical Degree"/>
    <n v="1"/>
    <n v="478"/>
    <n v="1"/>
    <s v="Female"/>
    <n v="99"/>
    <n v="2"/>
    <x v="1"/>
    <s v="Sales Representative"/>
    <n v="2"/>
    <s v="Single"/>
    <n v="2174"/>
    <n v="9150"/>
    <n v="1"/>
    <s v="Y"/>
    <s v="Yes"/>
    <s v="Yes"/>
    <n v="11"/>
    <n v="3"/>
    <n v="3"/>
    <n v="80"/>
    <n v="0"/>
    <n v="3"/>
    <s v="0-5"/>
    <n v="3"/>
    <n v="3"/>
    <n v="3"/>
    <n v="2"/>
    <n v="1"/>
    <n v="2"/>
    <s v="Below Avg"/>
    <n v="27.737881508078992"/>
    <s v="No"/>
    <s v="Low Risk"/>
  </r>
  <r>
    <n v="36"/>
    <x v="1"/>
    <s v="No"/>
    <s v="Non-Travel"/>
    <n v="845"/>
    <x v="0"/>
    <n v="1"/>
    <n v="5"/>
    <s v="Medical"/>
    <n v="1"/>
    <n v="479"/>
    <n v="4"/>
    <s v="Female"/>
    <n v="45"/>
    <n v="3"/>
    <x v="0"/>
    <s v="Sales Executive"/>
    <n v="4"/>
    <s v="Single"/>
    <n v="6653"/>
    <n v="15276"/>
    <n v="4"/>
    <s v="Y"/>
    <s v="No"/>
    <s v="No"/>
    <n v="15"/>
    <n v="3"/>
    <n v="2"/>
    <n v="80"/>
    <n v="0"/>
    <n v="7"/>
    <s v="6-15"/>
    <n v="6"/>
    <n v="3"/>
    <n v="1"/>
    <n v="0"/>
    <n v="0"/>
    <n v="0"/>
    <s v="Below Avg"/>
    <n v="27.762803234501348"/>
    <s v="No"/>
    <s v="Low Risk"/>
  </r>
  <r>
    <n v="36"/>
    <x v="1"/>
    <s v="No"/>
    <s v="Travel_Frequently"/>
    <n v="541"/>
    <x v="0"/>
    <n v="3"/>
    <n v="4"/>
    <s v="Medical"/>
    <n v="1"/>
    <n v="481"/>
    <n v="1"/>
    <s v="Male"/>
    <n v="48"/>
    <n v="2"/>
    <x v="2"/>
    <s v="Sales Executive"/>
    <n v="4"/>
    <s v="Married"/>
    <n v="9699"/>
    <n v="7246"/>
    <n v="4"/>
    <s v="Y"/>
    <s v="No"/>
    <s v="No"/>
    <n v="11"/>
    <n v="3"/>
    <n v="1"/>
    <n v="80"/>
    <n v="1"/>
    <n v="16"/>
    <s v="&gt;15"/>
    <n v="2"/>
    <n v="3"/>
    <n v="13"/>
    <n v="9"/>
    <n v="1"/>
    <n v="12"/>
    <s v="Ok"/>
    <n v="27.697841726618705"/>
    <s v="No"/>
    <s v="Low Risk"/>
  </r>
  <r>
    <n v="57"/>
    <x v="1"/>
    <s v="No"/>
    <s v="Travel_Rarely"/>
    <n v="593"/>
    <x v="1"/>
    <n v="1"/>
    <n v="4"/>
    <s v="Medical"/>
    <n v="1"/>
    <n v="482"/>
    <n v="4"/>
    <s v="Male"/>
    <n v="88"/>
    <n v="3"/>
    <x v="0"/>
    <s v="Healthcare Representative"/>
    <n v="3"/>
    <s v="Married"/>
    <n v="6755"/>
    <n v="2967"/>
    <n v="2"/>
    <s v="Y"/>
    <s v="No"/>
    <s v="No"/>
    <n v="11"/>
    <n v="3"/>
    <n v="3"/>
    <n v="80"/>
    <n v="0"/>
    <n v="15"/>
    <s v="6-15"/>
    <n v="2"/>
    <n v="3"/>
    <n v="3"/>
    <n v="2"/>
    <n v="1"/>
    <n v="2"/>
    <s v="Ok"/>
    <n v="27.722772277227726"/>
    <s v="No"/>
    <s v="Low Risk"/>
  </r>
  <r>
    <n v="40"/>
    <x v="1"/>
    <s v="No"/>
    <s v="Travel_Rarely"/>
    <n v="1171"/>
    <x v="1"/>
    <n v="10"/>
    <n v="4"/>
    <s v="Life Sciences"/>
    <n v="1"/>
    <n v="483"/>
    <n v="4"/>
    <s v="Female"/>
    <n v="46"/>
    <n v="4"/>
    <x v="1"/>
    <s v="Laboratory Technician"/>
    <n v="3"/>
    <s v="Married"/>
    <n v="2213"/>
    <n v="22495"/>
    <n v="3"/>
    <s v="Y"/>
    <s v="Yes"/>
    <s v="Yes"/>
    <n v="13"/>
    <n v="3"/>
    <n v="3"/>
    <n v="80"/>
    <n v="1"/>
    <n v="10"/>
    <s v="6-15"/>
    <n v="3"/>
    <n v="3"/>
    <n v="7"/>
    <n v="7"/>
    <n v="1"/>
    <n v="7"/>
    <s v="Below Avg"/>
    <n v="27.747747747747749"/>
    <s v="No"/>
    <s v="Low Risk"/>
  </r>
  <r>
    <n v="21"/>
    <x v="1"/>
    <s v="No"/>
    <s v="Non-Travel"/>
    <n v="895"/>
    <x v="0"/>
    <n v="9"/>
    <n v="2"/>
    <s v="Medical"/>
    <n v="1"/>
    <n v="484"/>
    <n v="1"/>
    <s v="Male"/>
    <n v="39"/>
    <n v="3"/>
    <x v="1"/>
    <s v="Sales Representative"/>
    <n v="4"/>
    <s v="Single"/>
    <n v="2610"/>
    <n v="2851"/>
    <n v="1"/>
    <s v="Y"/>
    <s v="No"/>
    <s v="No"/>
    <n v="24"/>
    <n v="4"/>
    <n v="3"/>
    <n v="80"/>
    <n v="0"/>
    <n v="3"/>
    <s v="0-5"/>
    <n v="3"/>
    <n v="2"/>
    <n v="3"/>
    <n v="2"/>
    <n v="2"/>
    <n v="2"/>
    <s v="Below Avg"/>
    <n v="27.772768259693422"/>
    <s v="No"/>
    <s v="Low Risk"/>
  </r>
  <r>
    <n v="33"/>
    <x v="0"/>
    <s v="Yes"/>
    <s v="Travel_Rarely"/>
    <n v="350"/>
    <x v="0"/>
    <n v="5"/>
    <n v="3"/>
    <s v="Marketing"/>
    <n v="1"/>
    <n v="485"/>
    <n v="4"/>
    <s v="Female"/>
    <n v="34"/>
    <n v="3"/>
    <x v="1"/>
    <s v="Sales Representative"/>
    <n v="3"/>
    <s v="Single"/>
    <n v="2851"/>
    <n v="9150"/>
    <n v="1"/>
    <s v="Y"/>
    <s v="Yes"/>
    <s v="Yes"/>
    <n v="13"/>
    <n v="3"/>
    <n v="2"/>
    <n v="80"/>
    <n v="0"/>
    <n v="1"/>
    <s v="0-5"/>
    <n v="2"/>
    <n v="3"/>
    <n v="1"/>
    <n v="0"/>
    <n v="0"/>
    <n v="0"/>
    <s v="Below Avg"/>
    <n v="27.707581227436823"/>
    <s v="No"/>
    <s v="High Risk"/>
  </r>
  <r>
    <n v="37"/>
    <x v="1"/>
    <s v="No"/>
    <s v="Travel_Rarely"/>
    <n v="921"/>
    <x v="1"/>
    <n v="10"/>
    <n v="3"/>
    <s v="Medical"/>
    <n v="1"/>
    <n v="486"/>
    <n v="3"/>
    <s v="Female"/>
    <n v="98"/>
    <n v="3"/>
    <x v="1"/>
    <s v="Laboratory Technician"/>
    <n v="1"/>
    <s v="Married"/>
    <n v="3452"/>
    <n v="17663"/>
    <n v="6"/>
    <s v="Y"/>
    <s v="No"/>
    <s v="No"/>
    <n v="20"/>
    <n v="4"/>
    <n v="2"/>
    <n v="80"/>
    <n v="1"/>
    <n v="17"/>
    <s v="&gt;15"/>
    <n v="3"/>
    <n v="3"/>
    <n v="5"/>
    <n v="4"/>
    <n v="0"/>
    <n v="3"/>
    <s v="Below Avg"/>
    <n v="27.732610659439928"/>
    <s v="No"/>
    <s v="Low Risk"/>
  </r>
  <r>
    <n v="46"/>
    <x v="1"/>
    <s v="No"/>
    <s v="Non-Travel"/>
    <n v="1144"/>
    <x v="1"/>
    <n v="7"/>
    <n v="4"/>
    <s v="Medical"/>
    <n v="1"/>
    <n v="487"/>
    <n v="3"/>
    <s v="Female"/>
    <n v="30"/>
    <n v="3"/>
    <x v="0"/>
    <s v="Manufacturing Director"/>
    <n v="3"/>
    <s v="Married"/>
    <n v="5258"/>
    <n v="16044"/>
    <n v="2"/>
    <s v="Y"/>
    <s v="No"/>
    <s v="No"/>
    <n v="14"/>
    <n v="3"/>
    <n v="3"/>
    <n v="80"/>
    <n v="0"/>
    <n v="7"/>
    <s v="6-15"/>
    <n v="2"/>
    <n v="4"/>
    <n v="1"/>
    <n v="0"/>
    <n v="0"/>
    <n v="0"/>
    <s v="Below Avg"/>
    <n v="27.667269439421339"/>
    <s v="No"/>
    <s v="Low Risk"/>
  </r>
  <r>
    <n v="41"/>
    <x v="0"/>
    <s v="Yes"/>
    <s v="Travel_Frequently"/>
    <n v="143"/>
    <x v="0"/>
    <n v="4"/>
    <n v="3"/>
    <s v="Marketing"/>
    <n v="1"/>
    <n v="488"/>
    <n v="1"/>
    <s v="Male"/>
    <n v="56"/>
    <n v="3"/>
    <x v="0"/>
    <s v="Sales Executive"/>
    <n v="2"/>
    <s v="Single"/>
    <n v="9355"/>
    <n v="9558"/>
    <n v="1"/>
    <s v="Y"/>
    <s v="No"/>
    <s v="No"/>
    <n v="18"/>
    <n v="3"/>
    <n v="3"/>
    <n v="80"/>
    <n v="0"/>
    <n v="8"/>
    <s v="6-15"/>
    <n v="5"/>
    <n v="3"/>
    <n v="8"/>
    <n v="7"/>
    <n v="7"/>
    <n v="7"/>
    <s v="Ok"/>
    <n v="27.692307692307693"/>
    <s v="No"/>
    <s v="Low Risk"/>
  </r>
  <r>
    <n v="50"/>
    <x v="1"/>
    <s v="No"/>
    <s v="Travel_Rarely"/>
    <n v="1046"/>
    <x v="1"/>
    <n v="10"/>
    <n v="3"/>
    <s v="Technical Degree"/>
    <n v="1"/>
    <n v="491"/>
    <n v="4"/>
    <s v="Male"/>
    <n v="100"/>
    <n v="2"/>
    <x v="2"/>
    <s v="Healthcare Representative"/>
    <n v="4"/>
    <s v="Single"/>
    <n v="10496"/>
    <n v="2755"/>
    <n v="6"/>
    <s v="Y"/>
    <s v="No"/>
    <s v="No"/>
    <n v="15"/>
    <n v="3"/>
    <n v="4"/>
    <n v="80"/>
    <n v="0"/>
    <n v="20"/>
    <s v="&gt;15"/>
    <n v="2"/>
    <n v="3"/>
    <n v="4"/>
    <n v="3"/>
    <n v="1"/>
    <n v="3"/>
    <s v="Ok"/>
    <n v="27.717391304347828"/>
    <s v="No"/>
    <s v="Low Risk"/>
  </r>
  <r>
    <n v="40"/>
    <x v="0"/>
    <s v="Yes"/>
    <s v="Travel_Rarely"/>
    <n v="575"/>
    <x v="0"/>
    <n v="22"/>
    <n v="2"/>
    <s v="Marketing"/>
    <n v="1"/>
    <n v="492"/>
    <n v="3"/>
    <s v="Male"/>
    <n v="68"/>
    <n v="2"/>
    <x v="0"/>
    <s v="Sales Executive"/>
    <n v="3"/>
    <s v="Married"/>
    <n v="6380"/>
    <n v="6110"/>
    <n v="2"/>
    <s v="Y"/>
    <s v="Yes"/>
    <s v="Yes"/>
    <n v="12"/>
    <n v="3"/>
    <n v="1"/>
    <n v="80"/>
    <n v="2"/>
    <n v="8"/>
    <s v="6-15"/>
    <n v="6"/>
    <n v="3"/>
    <n v="6"/>
    <n v="4"/>
    <n v="1"/>
    <n v="0"/>
    <s v="Below Avg"/>
    <n v="27.742520398912056"/>
    <s v="No"/>
    <s v="Low Risk"/>
  </r>
  <r>
    <n v="31"/>
    <x v="1"/>
    <s v="No"/>
    <s v="Travel_Rarely"/>
    <n v="408"/>
    <x v="1"/>
    <n v="9"/>
    <n v="4"/>
    <s v="Life Sciences"/>
    <n v="1"/>
    <n v="493"/>
    <n v="3"/>
    <s v="Male"/>
    <n v="42"/>
    <n v="2"/>
    <x v="1"/>
    <s v="Research Scientist"/>
    <n v="2"/>
    <s v="Single"/>
    <n v="2657"/>
    <n v="7551"/>
    <n v="0"/>
    <s v="Y"/>
    <s v="Yes"/>
    <s v="Yes"/>
    <n v="16"/>
    <n v="3"/>
    <n v="4"/>
    <n v="80"/>
    <n v="0"/>
    <n v="3"/>
    <s v="0-5"/>
    <n v="5"/>
    <n v="3"/>
    <n v="2"/>
    <n v="2"/>
    <n v="2"/>
    <n v="2"/>
    <s v="Below Avg"/>
    <n v="27.767695099818511"/>
    <s v="No"/>
    <s v="Low Risk"/>
  </r>
  <r>
    <n v="21"/>
    <x v="0"/>
    <s v="Yes"/>
    <s v="Travel_Rarely"/>
    <n v="156"/>
    <x v="0"/>
    <n v="12"/>
    <n v="3"/>
    <s v="Life Sciences"/>
    <n v="1"/>
    <n v="494"/>
    <n v="3"/>
    <s v="Female"/>
    <n v="90"/>
    <n v="4"/>
    <x v="1"/>
    <s v="Sales Representative"/>
    <n v="2"/>
    <s v="Single"/>
    <n v="2716"/>
    <n v="25422"/>
    <n v="1"/>
    <s v="Y"/>
    <s v="No"/>
    <s v="No"/>
    <n v="15"/>
    <n v="3"/>
    <n v="4"/>
    <n v="80"/>
    <n v="0"/>
    <n v="1"/>
    <s v="0-5"/>
    <n v="0"/>
    <n v="3"/>
    <n v="1"/>
    <n v="0"/>
    <n v="0"/>
    <n v="0"/>
    <s v="Below Avg"/>
    <n v="27.702089009990914"/>
    <s v="No"/>
    <s v="High Risk"/>
  </r>
  <r>
    <n v="29"/>
    <x v="1"/>
    <s v="No"/>
    <s v="Travel_Rarely"/>
    <n v="1283"/>
    <x v="1"/>
    <n v="23"/>
    <n v="3"/>
    <s v="Life Sciences"/>
    <n v="1"/>
    <n v="495"/>
    <n v="4"/>
    <s v="Male"/>
    <n v="54"/>
    <n v="3"/>
    <x v="1"/>
    <s v="Research Scientist"/>
    <n v="4"/>
    <s v="Single"/>
    <n v="2201"/>
    <n v="18168"/>
    <n v="9"/>
    <s v="Y"/>
    <s v="No"/>
    <s v="No"/>
    <n v="16"/>
    <n v="3"/>
    <n v="4"/>
    <n v="80"/>
    <n v="0"/>
    <n v="6"/>
    <s v="6-15"/>
    <n v="4"/>
    <n v="3"/>
    <n v="3"/>
    <n v="2"/>
    <n v="1"/>
    <n v="2"/>
    <s v="Below Avg"/>
    <n v="27.636363636363637"/>
    <s v="No"/>
    <s v="Low Risk"/>
  </r>
  <r>
    <n v="35"/>
    <x v="1"/>
    <s v="No"/>
    <s v="Travel_Rarely"/>
    <n v="755"/>
    <x v="1"/>
    <n v="9"/>
    <n v="4"/>
    <s v="Life Sciences"/>
    <n v="1"/>
    <n v="496"/>
    <n v="3"/>
    <s v="Male"/>
    <n v="97"/>
    <n v="2"/>
    <x v="0"/>
    <s v="Healthcare Representative"/>
    <n v="2"/>
    <s v="Single"/>
    <n v="6540"/>
    <n v="19394"/>
    <n v="9"/>
    <s v="Y"/>
    <s v="No"/>
    <s v="No"/>
    <n v="19"/>
    <n v="3"/>
    <n v="3"/>
    <n v="80"/>
    <n v="0"/>
    <n v="10"/>
    <s v="6-15"/>
    <n v="5"/>
    <n v="3"/>
    <n v="1"/>
    <n v="1"/>
    <n v="0"/>
    <n v="0"/>
    <s v="Ok"/>
    <n v="27.661510464058235"/>
    <s v="No"/>
    <s v="Low Risk"/>
  </r>
  <r>
    <n v="27"/>
    <x v="1"/>
    <s v="No"/>
    <s v="Travel_Rarely"/>
    <n v="1469"/>
    <x v="1"/>
    <n v="1"/>
    <n v="2"/>
    <s v="Medical"/>
    <n v="1"/>
    <n v="497"/>
    <n v="4"/>
    <s v="Male"/>
    <n v="82"/>
    <n v="3"/>
    <x v="1"/>
    <s v="Laboratory Technician"/>
    <n v="2"/>
    <s v="Divorced"/>
    <n v="3816"/>
    <n v="17881"/>
    <n v="1"/>
    <s v="Y"/>
    <s v="No"/>
    <s v="No"/>
    <n v="11"/>
    <n v="3"/>
    <n v="2"/>
    <n v="80"/>
    <n v="1"/>
    <n v="5"/>
    <s v="0-5"/>
    <n v="2"/>
    <n v="3"/>
    <n v="5"/>
    <n v="2"/>
    <n v="0"/>
    <n v="4"/>
    <s v="Below Avg"/>
    <n v="27.686703096539162"/>
    <s v="No"/>
    <s v="Low Risk"/>
  </r>
  <r>
    <n v="28"/>
    <x v="1"/>
    <s v="No"/>
    <s v="Travel_Rarely"/>
    <n v="304"/>
    <x v="0"/>
    <n v="9"/>
    <n v="4"/>
    <s v="Life Sciences"/>
    <n v="1"/>
    <n v="498"/>
    <n v="2"/>
    <s v="Male"/>
    <n v="92"/>
    <n v="3"/>
    <x v="0"/>
    <s v="Sales Executive"/>
    <n v="4"/>
    <s v="Single"/>
    <n v="5253"/>
    <n v="20750"/>
    <n v="1"/>
    <s v="Y"/>
    <s v="No"/>
    <s v="No"/>
    <n v="16"/>
    <n v="3"/>
    <n v="4"/>
    <n v="80"/>
    <n v="0"/>
    <n v="7"/>
    <s v="6-15"/>
    <n v="1"/>
    <n v="3"/>
    <n v="7"/>
    <n v="5"/>
    <n v="0"/>
    <n v="7"/>
    <s v="Below Avg"/>
    <n v="27.711941659070195"/>
    <s v="No"/>
    <s v="Low Risk"/>
  </r>
  <r>
    <n v="49"/>
    <x v="1"/>
    <s v="No"/>
    <s v="Travel_Rarely"/>
    <n v="1261"/>
    <x v="1"/>
    <n v="7"/>
    <n v="3"/>
    <s v="Other"/>
    <n v="1"/>
    <n v="499"/>
    <n v="2"/>
    <s v="Male"/>
    <n v="31"/>
    <n v="2"/>
    <x v="2"/>
    <s v="Healthcare Representative"/>
    <n v="3"/>
    <s v="Single"/>
    <n v="10965"/>
    <n v="12066"/>
    <n v="8"/>
    <s v="Y"/>
    <s v="No"/>
    <s v="No"/>
    <n v="24"/>
    <n v="4"/>
    <n v="3"/>
    <n v="80"/>
    <n v="0"/>
    <n v="26"/>
    <s v="&gt;15"/>
    <n v="2"/>
    <n v="3"/>
    <n v="5"/>
    <n v="2"/>
    <n v="0"/>
    <n v="0"/>
    <s v="Ok"/>
    <n v="27.737226277372262"/>
    <s v="No"/>
    <s v="Low Risk"/>
  </r>
  <r>
    <n v="51"/>
    <x v="1"/>
    <s v="No"/>
    <s v="Travel_Rarely"/>
    <n v="1178"/>
    <x v="0"/>
    <n v="14"/>
    <n v="2"/>
    <s v="Life Sciences"/>
    <n v="1"/>
    <n v="500"/>
    <n v="3"/>
    <s v="Female"/>
    <n v="87"/>
    <n v="3"/>
    <x v="0"/>
    <s v="Sales Executive"/>
    <n v="4"/>
    <s v="Married"/>
    <n v="4936"/>
    <n v="14862"/>
    <n v="4"/>
    <s v="Y"/>
    <s v="No"/>
    <s v="No"/>
    <n v="11"/>
    <n v="3"/>
    <n v="3"/>
    <n v="80"/>
    <n v="1"/>
    <n v="18"/>
    <s v="&gt;15"/>
    <n v="2"/>
    <n v="2"/>
    <n v="7"/>
    <n v="7"/>
    <n v="0"/>
    <n v="7"/>
    <s v="Below Avg"/>
    <n v="27.762557077625573"/>
    <s v="No"/>
    <s v="Low Risk"/>
  </r>
  <r>
    <n v="36"/>
    <x v="1"/>
    <s v="No"/>
    <s v="Travel_Rarely"/>
    <n v="329"/>
    <x v="1"/>
    <n v="2"/>
    <n v="3"/>
    <s v="Life Sciences"/>
    <n v="1"/>
    <n v="501"/>
    <n v="4"/>
    <s v="Female"/>
    <n v="96"/>
    <n v="3"/>
    <x v="1"/>
    <s v="Research Scientist"/>
    <n v="3"/>
    <s v="Married"/>
    <n v="2543"/>
    <n v="11868"/>
    <n v="4"/>
    <s v="Y"/>
    <s v="No"/>
    <s v="No"/>
    <n v="13"/>
    <n v="3"/>
    <n v="2"/>
    <n v="80"/>
    <n v="1"/>
    <n v="6"/>
    <s v="6-15"/>
    <n v="3"/>
    <n v="3"/>
    <n v="2"/>
    <n v="2"/>
    <n v="2"/>
    <n v="2"/>
    <s v="Below Avg"/>
    <n v="27.787934186471663"/>
    <s v="No"/>
    <s v="Low Risk"/>
  </r>
  <r>
    <n v="34"/>
    <x v="0"/>
    <s v="Yes"/>
    <s v="Non-Travel"/>
    <n v="1362"/>
    <x v="0"/>
    <n v="19"/>
    <n v="3"/>
    <s v="Marketing"/>
    <n v="1"/>
    <n v="502"/>
    <n v="1"/>
    <s v="Male"/>
    <n v="67"/>
    <n v="4"/>
    <x v="0"/>
    <s v="Sales Executive"/>
    <n v="4"/>
    <s v="Single"/>
    <n v="5304"/>
    <n v="4652"/>
    <n v="8"/>
    <s v="Y"/>
    <s v="Yes"/>
    <s v="Yes"/>
    <n v="13"/>
    <n v="3"/>
    <n v="2"/>
    <n v="80"/>
    <n v="0"/>
    <n v="9"/>
    <s v="6-15"/>
    <n v="3"/>
    <n v="2"/>
    <n v="5"/>
    <n v="2"/>
    <n v="0"/>
    <n v="4"/>
    <s v="Below Avg"/>
    <n v="27.813357731015554"/>
    <s v="No"/>
    <s v="Low Risk"/>
  </r>
  <r>
    <n v="55"/>
    <x v="1"/>
    <s v="No"/>
    <s v="Travel_Rarely"/>
    <n v="1311"/>
    <x v="1"/>
    <n v="2"/>
    <n v="3"/>
    <s v="Life Sciences"/>
    <n v="1"/>
    <n v="505"/>
    <n v="3"/>
    <s v="Female"/>
    <n v="97"/>
    <n v="3"/>
    <x v="3"/>
    <s v="Manager"/>
    <n v="4"/>
    <s v="Single"/>
    <n v="16659"/>
    <n v="23258"/>
    <n v="2"/>
    <s v="Y"/>
    <s v="Yes"/>
    <s v="Yes"/>
    <n v="13"/>
    <n v="3"/>
    <n v="3"/>
    <n v="80"/>
    <n v="0"/>
    <n v="30"/>
    <s v="&gt;15"/>
    <n v="2"/>
    <n v="3"/>
    <n v="5"/>
    <n v="4"/>
    <n v="1"/>
    <n v="2"/>
    <s v="Ok"/>
    <n v="27.838827838827839"/>
    <s v="No"/>
    <s v="Low Risk"/>
  </r>
  <r>
    <n v="24"/>
    <x v="1"/>
    <s v="No"/>
    <s v="Travel_Rarely"/>
    <n v="1371"/>
    <x v="0"/>
    <n v="10"/>
    <n v="4"/>
    <s v="Marketing"/>
    <n v="1"/>
    <n v="507"/>
    <n v="4"/>
    <s v="Female"/>
    <n v="77"/>
    <n v="3"/>
    <x v="0"/>
    <s v="Sales Executive"/>
    <n v="3"/>
    <s v="Divorced"/>
    <n v="4260"/>
    <n v="5915"/>
    <n v="1"/>
    <s v="Y"/>
    <s v="Yes"/>
    <s v="Yes"/>
    <n v="12"/>
    <n v="3"/>
    <n v="4"/>
    <n v="80"/>
    <n v="1"/>
    <n v="5"/>
    <s v="0-5"/>
    <n v="2"/>
    <n v="4"/>
    <n v="5"/>
    <n v="2"/>
    <n v="0"/>
    <n v="3"/>
    <s v="Below Avg"/>
    <n v="27.772685609532537"/>
    <s v="No"/>
    <s v="Low Risk"/>
  </r>
  <r>
    <n v="30"/>
    <x v="1"/>
    <s v="No"/>
    <s v="Travel_Rarely"/>
    <n v="202"/>
    <x v="0"/>
    <n v="2"/>
    <n v="1"/>
    <s v="Technical Degree"/>
    <n v="1"/>
    <n v="508"/>
    <n v="3"/>
    <s v="Male"/>
    <n v="72"/>
    <n v="3"/>
    <x v="1"/>
    <s v="Sales Representative"/>
    <n v="2"/>
    <s v="Married"/>
    <n v="2476"/>
    <n v="17434"/>
    <n v="1"/>
    <s v="Y"/>
    <s v="No"/>
    <s v="No"/>
    <n v="18"/>
    <n v="3"/>
    <n v="1"/>
    <n v="80"/>
    <n v="1"/>
    <n v="1"/>
    <s v="0-5"/>
    <n v="3"/>
    <n v="3"/>
    <n v="1"/>
    <n v="0"/>
    <n v="0"/>
    <n v="0"/>
    <s v="Below Avg"/>
    <n v="27.706422018348626"/>
    <s v="No"/>
    <s v="Low Risk"/>
  </r>
  <r>
    <n v="26"/>
    <x v="0"/>
    <s v="Yes"/>
    <s v="Travel_Frequently"/>
    <n v="575"/>
    <x v="1"/>
    <n v="3"/>
    <n v="1"/>
    <s v="Technical Degree"/>
    <n v="1"/>
    <n v="510"/>
    <n v="3"/>
    <s v="Male"/>
    <n v="73"/>
    <n v="3"/>
    <x v="1"/>
    <s v="Research Scientist"/>
    <n v="1"/>
    <s v="Single"/>
    <n v="3102"/>
    <n v="6582"/>
    <n v="0"/>
    <s v="Y"/>
    <s v="No"/>
    <s v="No"/>
    <n v="22"/>
    <n v="4"/>
    <n v="3"/>
    <n v="80"/>
    <n v="0"/>
    <n v="7"/>
    <s v="6-15"/>
    <n v="2"/>
    <n v="3"/>
    <n v="6"/>
    <n v="4"/>
    <n v="0"/>
    <n v="4"/>
    <s v="Below Avg"/>
    <n v="27.640036730945823"/>
    <s v="No"/>
    <s v="Low Risk"/>
  </r>
  <r>
    <n v="22"/>
    <x v="1"/>
    <s v="No"/>
    <s v="Travel_Rarely"/>
    <n v="253"/>
    <x v="1"/>
    <n v="11"/>
    <n v="3"/>
    <s v="Medical"/>
    <n v="1"/>
    <n v="511"/>
    <n v="1"/>
    <s v="Female"/>
    <n v="43"/>
    <n v="3"/>
    <x v="1"/>
    <s v="Research Scientist"/>
    <n v="2"/>
    <s v="Married"/>
    <n v="2244"/>
    <n v="24440"/>
    <n v="1"/>
    <s v="Y"/>
    <s v="No"/>
    <s v="No"/>
    <n v="13"/>
    <n v="3"/>
    <n v="4"/>
    <n v="80"/>
    <n v="1"/>
    <n v="2"/>
    <s v="0-5"/>
    <n v="1"/>
    <n v="3"/>
    <n v="2"/>
    <n v="1"/>
    <n v="1"/>
    <n v="2"/>
    <s v="Below Avg"/>
    <n v="27.665441176470591"/>
    <s v="No"/>
    <s v="Low Risk"/>
  </r>
  <r>
    <n v="36"/>
    <x v="1"/>
    <s v="No"/>
    <s v="Travel_Rarely"/>
    <n v="164"/>
    <x v="0"/>
    <n v="2"/>
    <n v="2"/>
    <s v="Medical"/>
    <n v="1"/>
    <n v="513"/>
    <n v="2"/>
    <s v="Male"/>
    <n v="61"/>
    <n v="2"/>
    <x v="2"/>
    <s v="Sales Executive"/>
    <n v="3"/>
    <s v="Married"/>
    <n v="7596"/>
    <n v="3809"/>
    <n v="1"/>
    <s v="Y"/>
    <s v="No"/>
    <s v="No"/>
    <n v="13"/>
    <n v="3"/>
    <n v="2"/>
    <n v="80"/>
    <n v="2"/>
    <n v="10"/>
    <s v="6-15"/>
    <n v="2"/>
    <n v="3"/>
    <n v="10"/>
    <n v="9"/>
    <n v="9"/>
    <n v="0"/>
    <s v="Ok"/>
    <n v="27.69089236430543"/>
    <s v="No"/>
    <s v="Low Risk"/>
  </r>
  <r>
    <n v="30"/>
    <x v="0"/>
    <s v="Yes"/>
    <s v="Travel_Frequently"/>
    <n v="464"/>
    <x v="1"/>
    <n v="4"/>
    <n v="3"/>
    <s v="Technical Degree"/>
    <n v="1"/>
    <n v="514"/>
    <n v="3"/>
    <s v="Male"/>
    <n v="40"/>
    <n v="3"/>
    <x v="1"/>
    <s v="Research Scientist"/>
    <n v="4"/>
    <s v="Single"/>
    <n v="2285"/>
    <n v="3427"/>
    <n v="9"/>
    <s v="Y"/>
    <s v="Yes"/>
    <s v="Yes"/>
    <n v="23"/>
    <n v="4"/>
    <n v="3"/>
    <n v="80"/>
    <n v="0"/>
    <n v="3"/>
    <s v="0-5"/>
    <n v="4"/>
    <n v="3"/>
    <n v="1"/>
    <n v="0"/>
    <n v="0"/>
    <n v="0"/>
    <s v="Below Avg"/>
    <n v="27.716390423572747"/>
    <s v="No"/>
    <s v="High Risk"/>
  </r>
  <r>
    <n v="37"/>
    <x v="1"/>
    <s v="No"/>
    <s v="Travel_Rarely"/>
    <n v="1107"/>
    <x v="1"/>
    <n v="14"/>
    <n v="3"/>
    <s v="Life Sciences"/>
    <n v="1"/>
    <n v="515"/>
    <n v="4"/>
    <s v="Female"/>
    <n v="95"/>
    <n v="3"/>
    <x v="1"/>
    <s v="Laboratory Technician"/>
    <n v="1"/>
    <s v="Divorced"/>
    <n v="3034"/>
    <n v="26914"/>
    <n v="1"/>
    <s v="Y"/>
    <s v="No"/>
    <s v="No"/>
    <n v="12"/>
    <n v="3"/>
    <n v="3"/>
    <n v="80"/>
    <n v="1"/>
    <n v="18"/>
    <s v="&gt;15"/>
    <n v="2"/>
    <n v="2"/>
    <n v="18"/>
    <n v="7"/>
    <n v="12"/>
    <n v="17"/>
    <s v="Below Avg"/>
    <n v="27.741935483870968"/>
    <s v="No"/>
    <s v="Low Risk"/>
  </r>
  <r>
    <n v="40"/>
    <x v="1"/>
    <s v="No"/>
    <s v="Travel_Rarely"/>
    <n v="759"/>
    <x v="0"/>
    <n v="2"/>
    <n v="2"/>
    <s v="Marketing"/>
    <n v="1"/>
    <n v="516"/>
    <n v="4"/>
    <s v="Female"/>
    <n v="46"/>
    <n v="3"/>
    <x v="0"/>
    <s v="Sales Executive"/>
    <n v="2"/>
    <s v="Divorced"/>
    <n v="5715"/>
    <n v="22553"/>
    <n v="7"/>
    <s v="Y"/>
    <s v="No"/>
    <s v="No"/>
    <n v="12"/>
    <n v="3"/>
    <n v="3"/>
    <n v="80"/>
    <n v="2"/>
    <n v="8"/>
    <s v="6-15"/>
    <n v="5"/>
    <n v="3"/>
    <n v="5"/>
    <n v="4"/>
    <n v="1"/>
    <n v="3"/>
    <s v="Below Avg"/>
    <n v="27.67527675276753"/>
    <s v="No"/>
    <s v="Low Risk"/>
  </r>
  <r>
    <n v="42"/>
    <x v="1"/>
    <s v="No"/>
    <s v="Travel_Rarely"/>
    <n v="201"/>
    <x v="1"/>
    <n v="1"/>
    <n v="4"/>
    <s v="Life Sciences"/>
    <n v="1"/>
    <n v="517"/>
    <n v="2"/>
    <s v="Female"/>
    <n v="95"/>
    <n v="3"/>
    <x v="1"/>
    <s v="Laboratory Technician"/>
    <n v="1"/>
    <s v="Divorced"/>
    <n v="2576"/>
    <n v="20490"/>
    <n v="3"/>
    <s v="Y"/>
    <s v="No"/>
    <s v="No"/>
    <n v="16"/>
    <n v="3"/>
    <n v="2"/>
    <n v="80"/>
    <n v="1"/>
    <n v="8"/>
    <s v="6-15"/>
    <n v="5"/>
    <n v="3"/>
    <n v="5"/>
    <n v="2"/>
    <n v="1"/>
    <n v="2"/>
    <s v="Below Avg"/>
    <n v="27.70083102493075"/>
    <s v="No"/>
    <s v="Low Risk"/>
  </r>
  <r>
    <n v="37"/>
    <x v="1"/>
    <s v="No"/>
    <s v="Travel_Rarely"/>
    <n v="1305"/>
    <x v="1"/>
    <n v="10"/>
    <n v="4"/>
    <s v="Life Sciences"/>
    <n v="1"/>
    <n v="518"/>
    <n v="3"/>
    <s v="Male"/>
    <n v="49"/>
    <n v="3"/>
    <x v="0"/>
    <s v="Manufacturing Director"/>
    <n v="2"/>
    <s v="Single"/>
    <n v="4197"/>
    <n v="21123"/>
    <n v="2"/>
    <s v="Y"/>
    <s v="Yes"/>
    <s v="Yes"/>
    <n v="12"/>
    <n v="3"/>
    <n v="4"/>
    <n v="80"/>
    <n v="0"/>
    <n v="18"/>
    <s v="&gt;15"/>
    <n v="2"/>
    <n v="2"/>
    <n v="1"/>
    <n v="0"/>
    <n v="0"/>
    <n v="1"/>
    <s v="Below Avg"/>
    <n v="27.726432532347506"/>
    <s v="No"/>
    <s v="Low Risk"/>
  </r>
  <r>
    <n v="43"/>
    <x v="1"/>
    <s v="No"/>
    <s v="Travel_Rarely"/>
    <n v="982"/>
    <x v="1"/>
    <n v="12"/>
    <n v="3"/>
    <s v="Life Sciences"/>
    <n v="1"/>
    <n v="520"/>
    <n v="1"/>
    <s v="Male"/>
    <n v="59"/>
    <n v="2"/>
    <x v="3"/>
    <s v="Research Director"/>
    <n v="2"/>
    <s v="Divorced"/>
    <n v="14336"/>
    <n v="4345"/>
    <n v="1"/>
    <s v="Y"/>
    <s v="No"/>
    <s v="No"/>
    <n v="11"/>
    <n v="3"/>
    <n v="3"/>
    <n v="80"/>
    <n v="1"/>
    <n v="25"/>
    <s v="&gt;15"/>
    <n v="3"/>
    <n v="3"/>
    <n v="25"/>
    <n v="10"/>
    <n v="3"/>
    <n v="9"/>
    <s v="Ok"/>
    <n v="27.752081406105454"/>
    <s v="No"/>
    <s v="Low Risk"/>
  </r>
  <r>
    <n v="40"/>
    <x v="1"/>
    <s v="No"/>
    <s v="Travel_Rarely"/>
    <n v="555"/>
    <x v="1"/>
    <n v="2"/>
    <n v="3"/>
    <s v="Medical"/>
    <n v="1"/>
    <n v="521"/>
    <n v="2"/>
    <s v="Female"/>
    <n v="78"/>
    <n v="2"/>
    <x v="0"/>
    <s v="Laboratory Technician"/>
    <n v="3"/>
    <s v="Married"/>
    <n v="3448"/>
    <n v="13436"/>
    <n v="6"/>
    <s v="Y"/>
    <s v="No"/>
    <s v="No"/>
    <n v="22"/>
    <n v="4"/>
    <n v="2"/>
    <n v="80"/>
    <n v="1"/>
    <n v="20"/>
    <s v="&gt;15"/>
    <n v="3"/>
    <n v="3"/>
    <n v="1"/>
    <n v="0"/>
    <n v="0"/>
    <n v="0"/>
    <s v="Below Avg"/>
    <n v="27.685185185185183"/>
    <s v="No"/>
    <s v="Low Risk"/>
  </r>
  <r>
    <n v="54"/>
    <x v="1"/>
    <s v="No"/>
    <s v="Travel_Rarely"/>
    <n v="821"/>
    <x v="1"/>
    <n v="5"/>
    <n v="2"/>
    <s v="Medical"/>
    <n v="1"/>
    <n v="522"/>
    <n v="1"/>
    <s v="Male"/>
    <n v="86"/>
    <n v="3"/>
    <x v="4"/>
    <s v="Research Director"/>
    <n v="1"/>
    <s v="Married"/>
    <n v="19406"/>
    <n v="8509"/>
    <n v="4"/>
    <s v="Y"/>
    <s v="No"/>
    <s v="No"/>
    <n v="11"/>
    <n v="3"/>
    <n v="3"/>
    <n v="80"/>
    <n v="1"/>
    <n v="24"/>
    <s v="&gt;15"/>
    <n v="4"/>
    <n v="2"/>
    <n v="4"/>
    <n v="2"/>
    <n v="1"/>
    <n v="2"/>
    <s v="Ok"/>
    <n v="27.710843373493976"/>
    <s v="No"/>
    <s v="Low Risk"/>
  </r>
  <r>
    <n v="34"/>
    <x v="1"/>
    <s v="No"/>
    <s v="Non-Travel"/>
    <n v="1381"/>
    <x v="0"/>
    <n v="4"/>
    <n v="4"/>
    <s v="Marketing"/>
    <n v="1"/>
    <n v="523"/>
    <n v="3"/>
    <s v="Female"/>
    <n v="72"/>
    <n v="3"/>
    <x v="0"/>
    <s v="Sales Executive"/>
    <n v="3"/>
    <s v="Married"/>
    <n v="6538"/>
    <n v="12740"/>
    <n v="9"/>
    <s v="Y"/>
    <s v="No"/>
    <s v="No"/>
    <n v="15"/>
    <n v="3"/>
    <n v="1"/>
    <n v="80"/>
    <n v="1"/>
    <n v="6"/>
    <s v="6-15"/>
    <n v="3"/>
    <n v="3"/>
    <n v="3"/>
    <n v="2"/>
    <n v="1"/>
    <n v="2"/>
    <s v="Below Avg"/>
    <n v="27.736549165120593"/>
    <s v="No"/>
    <s v="Low Risk"/>
  </r>
  <r>
    <n v="31"/>
    <x v="1"/>
    <s v="No"/>
    <s v="Travel_Rarely"/>
    <n v="480"/>
    <x v="1"/>
    <n v="7"/>
    <n v="2"/>
    <s v="Medical"/>
    <n v="1"/>
    <n v="524"/>
    <n v="2"/>
    <s v="Female"/>
    <n v="31"/>
    <n v="3"/>
    <x v="0"/>
    <s v="Manufacturing Director"/>
    <n v="1"/>
    <s v="Married"/>
    <n v="4306"/>
    <n v="4156"/>
    <n v="1"/>
    <s v="Y"/>
    <s v="No"/>
    <s v="No"/>
    <n v="12"/>
    <n v="3"/>
    <n v="2"/>
    <n v="80"/>
    <n v="1"/>
    <n v="13"/>
    <s v="6-15"/>
    <n v="5"/>
    <n v="1"/>
    <n v="13"/>
    <n v="10"/>
    <n v="3"/>
    <n v="12"/>
    <s v="Below Avg"/>
    <n v="27.762302692664807"/>
    <s v="No"/>
    <s v="Low Risk"/>
  </r>
  <r>
    <n v="43"/>
    <x v="1"/>
    <s v="No"/>
    <s v="Travel_Frequently"/>
    <n v="313"/>
    <x v="1"/>
    <n v="21"/>
    <n v="3"/>
    <s v="Medical"/>
    <n v="1"/>
    <n v="525"/>
    <n v="4"/>
    <s v="Male"/>
    <n v="61"/>
    <n v="3"/>
    <x v="1"/>
    <s v="Laboratory Technician"/>
    <n v="4"/>
    <s v="Married"/>
    <n v="2258"/>
    <n v="15238"/>
    <n v="7"/>
    <s v="Y"/>
    <s v="No"/>
    <s v="No"/>
    <n v="20"/>
    <n v="4"/>
    <n v="1"/>
    <n v="80"/>
    <n v="1"/>
    <n v="8"/>
    <s v="6-15"/>
    <n v="1"/>
    <n v="3"/>
    <n v="3"/>
    <n v="2"/>
    <n v="1"/>
    <n v="2"/>
    <s v="Below Avg"/>
    <n v="27.788104089219328"/>
    <s v="No"/>
    <s v="Low Risk"/>
  </r>
  <r>
    <n v="43"/>
    <x v="1"/>
    <s v="No"/>
    <s v="Travel_Rarely"/>
    <n v="1473"/>
    <x v="1"/>
    <n v="8"/>
    <n v="4"/>
    <s v="Other"/>
    <n v="1"/>
    <n v="526"/>
    <n v="3"/>
    <s v="Female"/>
    <n v="74"/>
    <n v="3"/>
    <x v="0"/>
    <s v="Healthcare Representative"/>
    <n v="3"/>
    <s v="Divorced"/>
    <n v="4522"/>
    <n v="2227"/>
    <n v="4"/>
    <s v="Y"/>
    <s v="Yes"/>
    <s v="Yes"/>
    <n v="14"/>
    <n v="3"/>
    <n v="4"/>
    <n v="80"/>
    <n v="0"/>
    <n v="8"/>
    <s v="6-15"/>
    <n v="3"/>
    <n v="3"/>
    <n v="5"/>
    <n v="2"/>
    <n v="0"/>
    <n v="2"/>
    <s v="Below Avg"/>
    <n v="27.813953488372096"/>
    <s v="No"/>
    <s v="Low Risk"/>
  </r>
  <r>
    <n v="25"/>
    <x v="1"/>
    <s v="No"/>
    <s v="Travel_Rarely"/>
    <n v="891"/>
    <x v="0"/>
    <n v="4"/>
    <n v="2"/>
    <s v="Life Sciences"/>
    <n v="1"/>
    <n v="527"/>
    <n v="2"/>
    <s v="Female"/>
    <n v="99"/>
    <n v="2"/>
    <x v="0"/>
    <s v="Sales Executive"/>
    <n v="4"/>
    <s v="Single"/>
    <n v="4487"/>
    <n v="12090"/>
    <n v="1"/>
    <s v="Y"/>
    <s v="Yes"/>
    <s v="Yes"/>
    <n v="11"/>
    <n v="3"/>
    <n v="2"/>
    <n v="80"/>
    <n v="0"/>
    <n v="5"/>
    <s v="0-5"/>
    <n v="3"/>
    <n v="3"/>
    <n v="5"/>
    <n v="4"/>
    <n v="1"/>
    <n v="3"/>
    <s v="Below Avg"/>
    <n v="27.839851024208567"/>
    <s v="No"/>
    <s v="Low Risk"/>
  </r>
  <r>
    <n v="37"/>
    <x v="1"/>
    <s v="No"/>
    <s v="Non-Travel"/>
    <n v="1063"/>
    <x v="1"/>
    <n v="25"/>
    <n v="5"/>
    <s v="Medical"/>
    <n v="1"/>
    <n v="529"/>
    <n v="2"/>
    <s v="Female"/>
    <n v="72"/>
    <n v="3"/>
    <x v="0"/>
    <s v="Research Scientist"/>
    <n v="3"/>
    <s v="Married"/>
    <n v="4449"/>
    <n v="23866"/>
    <n v="3"/>
    <s v="Y"/>
    <s v="Yes"/>
    <s v="Yes"/>
    <n v="15"/>
    <n v="3"/>
    <n v="1"/>
    <n v="80"/>
    <n v="2"/>
    <n v="15"/>
    <s v="6-15"/>
    <n v="2"/>
    <n v="3"/>
    <n v="13"/>
    <n v="11"/>
    <n v="10"/>
    <n v="7"/>
    <s v="Below Avg"/>
    <n v="27.772600186393291"/>
    <s v="No"/>
    <s v="Low Risk"/>
  </r>
  <r>
    <n v="31"/>
    <x v="1"/>
    <s v="No"/>
    <s v="Travel_Rarely"/>
    <n v="329"/>
    <x v="1"/>
    <n v="1"/>
    <n v="2"/>
    <s v="Life Sciences"/>
    <n v="1"/>
    <n v="530"/>
    <n v="4"/>
    <s v="Male"/>
    <n v="98"/>
    <n v="2"/>
    <x v="1"/>
    <s v="Laboratory Technician"/>
    <n v="1"/>
    <s v="Married"/>
    <n v="2218"/>
    <n v="16193"/>
    <n v="1"/>
    <s v="Y"/>
    <s v="No"/>
    <s v="No"/>
    <n v="12"/>
    <n v="3"/>
    <n v="3"/>
    <n v="80"/>
    <n v="1"/>
    <n v="4"/>
    <s v="0-5"/>
    <n v="3"/>
    <n v="3"/>
    <n v="4"/>
    <n v="2"/>
    <n v="3"/>
    <n v="2"/>
    <s v="Below Avg"/>
    <n v="27.705223880597014"/>
    <s v="No"/>
    <s v="Low Risk"/>
  </r>
  <r>
    <n v="39"/>
    <x v="1"/>
    <s v="No"/>
    <s v="Travel_Frequently"/>
    <n v="1218"/>
    <x v="1"/>
    <n v="1"/>
    <n v="1"/>
    <s v="Life Sciences"/>
    <n v="1"/>
    <n v="531"/>
    <n v="2"/>
    <s v="Male"/>
    <n v="52"/>
    <n v="3"/>
    <x v="4"/>
    <s v="Manager"/>
    <n v="3"/>
    <s v="Divorced"/>
    <n v="19197"/>
    <n v="8213"/>
    <n v="1"/>
    <s v="Y"/>
    <s v="Yes"/>
    <s v="Yes"/>
    <n v="14"/>
    <n v="3"/>
    <n v="3"/>
    <n v="80"/>
    <n v="1"/>
    <n v="21"/>
    <s v="&gt;15"/>
    <n v="3"/>
    <n v="3"/>
    <n v="21"/>
    <n v="8"/>
    <n v="1"/>
    <n v="6"/>
    <s v="Ok"/>
    <n v="27.637721755368815"/>
    <s v="No"/>
    <s v="Low Risk"/>
  </r>
  <r>
    <n v="56"/>
    <x v="1"/>
    <s v="No"/>
    <s v="Travel_Frequently"/>
    <n v="906"/>
    <x v="0"/>
    <n v="6"/>
    <n v="3"/>
    <s v="Life Sciences"/>
    <n v="1"/>
    <n v="532"/>
    <n v="3"/>
    <s v="Female"/>
    <n v="86"/>
    <n v="4"/>
    <x v="3"/>
    <s v="Sales Executive"/>
    <n v="1"/>
    <s v="Married"/>
    <n v="13212"/>
    <n v="18256"/>
    <n v="9"/>
    <s v="Y"/>
    <s v="No"/>
    <s v="No"/>
    <n v="11"/>
    <n v="3"/>
    <n v="4"/>
    <n v="80"/>
    <n v="3"/>
    <n v="36"/>
    <s v="&gt;15"/>
    <n v="0"/>
    <n v="2"/>
    <n v="7"/>
    <n v="7"/>
    <n v="7"/>
    <n v="7"/>
    <s v="Ok"/>
    <n v="27.663551401869157"/>
    <s v="No"/>
    <s v="Low Risk"/>
  </r>
  <r>
    <n v="30"/>
    <x v="1"/>
    <s v="No"/>
    <s v="Travel_Rarely"/>
    <n v="1082"/>
    <x v="0"/>
    <n v="12"/>
    <n v="3"/>
    <s v="Technical Degree"/>
    <n v="1"/>
    <n v="533"/>
    <n v="2"/>
    <s v="Female"/>
    <n v="83"/>
    <n v="3"/>
    <x v="0"/>
    <s v="Sales Executive"/>
    <n v="3"/>
    <s v="Single"/>
    <n v="6577"/>
    <n v="19558"/>
    <n v="0"/>
    <s v="Y"/>
    <s v="No"/>
    <s v="No"/>
    <n v="11"/>
    <n v="3"/>
    <n v="2"/>
    <n v="80"/>
    <n v="0"/>
    <n v="6"/>
    <s v="6-15"/>
    <n v="6"/>
    <n v="3"/>
    <n v="5"/>
    <n v="4"/>
    <n v="4"/>
    <n v="4"/>
    <s v="Below Avg"/>
    <n v="27.595884003741816"/>
    <s v="No"/>
    <s v="Low Risk"/>
  </r>
  <r>
    <n v="41"/>
    <x v="1"/>
    <s v="No"/>
    <s v="Travel_Rarely"/>
    <n v="645"/>
    <x v="0"/>
    <n v="1"/>
    <n v="3"/>
    <s v="Marketing"/>
    <n v="1"/>
    <n v="534"/>
    <n v="2"/>
    <s v="Male"/>
    <n v="49"/>
    <n v="4"/>
    <x v="2"/>
    <s v="Sales Executive"/>
    <n v="1"/>
    <s v="Married"/>
    <n v="8392"/>
    <n v="19566"/>
    <n v="1"/>
    <s v="Y"/>
    <s v="No"/>
    <s v="No"/>
    <n v="16"/>
    <n v="3"/>
    <n v="3"/>
    <n v="80"/>
    <n v="1"/>
    <n v="10"/>
    <s v="6-15"/>
    <n v="2"/>
    <n v="3"/>
    <n v="10"/>
    <n v="7"/>
    <n v="0"/>
    <n v="7"/>
    <s v="Ok"/>
    <n v="27.621722846441948"/>
    <s v="No"/>
    <s v="Low Risk"/>
  </r>
  <r>
    <n v="28"/>
    <x v="1"/>
    <s v="No"/>
    <s v="Travel_Rarely"/>
    <n v="1300"/>
    <x v="1"/>
    <n v="17"/>
    <n v="2"/>
    <s v="Medical"/>
    <n v="1"/>
    <n v="536"/>
    <n v="3"/>
    <s v="Male"/>
    <n v="79"/>
    <n v="3"/>
    <x v="0"/>
    <s v="Laboratory Technician"/>
    <n v="1"/>
    <s v="Divorced"/>
    <n v="4558"/>
    <n v="13535"/>
    <n v="1"/>
    <s v="Y"/>
    <s v="No"/>
    <s v="No"/>
    <n v="12"/>
    <n v="3"/>
    <n v="4"/>
    <n v="80"/>
    <n v="1"/>
    <n v="10"/>
    <s v="6-15"/>
    <n v="2"/>
    <n v="3"/>
    <n v="10"/>
    <n v="0"/>
    <n v="1"/>
    <n v="8"/>
    <s v="Below Avg"/>
    <n v="27.647610121836923"/>
    <s v="No"/>
    <s v="Low Risk"/>
  </r>
  <r>
    <n v="25"/>
    <x v="0"/>
    <s v="Yes"/>
    <s v="Travel_Rarely"/>
    <n v="688"/>
    <x v="1"/>
    <n v="3"/>
    <n v="3"/>
    <s v="Medical"/>
    <n v="1"/>
    <n v="538"/>
    <n v="1"/>
    <s v="Male"/>
    <n v="91"/>
    <n v="3"/>
    <x v="1"/>
    <s v="Laboratory Technician"/>
    <n v="1"/>
    <s v="Married"/>
    <n v="4031"/>
    <n v="9396"/>
    <n v="5"/>
    <s v="Y"/>
    <s v="No"/>
    <s v="No"/>
    <n v="13"/>
    <n v="3"/>
    <n v="3"/>
    <n v="80"/>
    <n v="1"/>
    <n v="6"/>
    <s v="6-15"/>
    <n v="5"/>
    <n v="3"/>
    <n v="2"/>
    <n v="2"/>
    <n v="0"/>
    <n v="2"/>
    <s v="Below Avg"/>
    <n v="27.67354596622889"/>
    <s v="No"/>
    <s v="Low Risk"/>
  </r>
  <r>
    <n v="52"/>
    <x v="1"/>
    <s v="No"/>
    <s v="Travel_Rarely"/>
    <n v="319"/>
    <x v="1"/>
    <n v="3"/>
    <n v="3"/>
    <s v="Medical"/>
    <n v="1"/>
    <n v="543"/>
    <n v="4"/>
    <s v="Male"/>
    <n v="39"/>
    <n v="2"/>
    <x v="2"/>
    <s v="Manufacturing Director"/>
    <n v="3"/>
    <s v="Married"/>
    <n v="7969"/>
    <n v="19609"/>
    <n v="2"/>
    <s v="Y"/>
    <s v="Yes"/>
    <s v="Yes"/>
    <n v="14"/>
    <n v="3"/>
    <n v="3"/>
    <n v="80"/>
    <n v="0"/>
    <n v="28"/>
    <s v="&gt;15"/>
    <n v="4"/>
    <n v="3"/>
    <n v="5"/>
    <n v="4"/>
    <n v="0"/>
    <n v="4"/>
    <s v="Ok"/>
    <n v="27.699530516431924"/>
    <s v="No"/>
    <s v="Low Risk"/>
  </r>
  <r>
    <n v="45"/>
    <x v="1"/>
    <s v="No"/>
    <s v="Travel_Rarely"/>
    <n v="192"/>
    <x v="1"/>
    <n v="10"/>
    <n v="2"/>
    <s v="Life Sciences"/>
    <n v="1"/>
    <n v="544"/>
    <n v="1"/>
    <s v="Male"/>
    <n v="69"/>
    <n v="3"/>
    <x v="1"/>
    <s v="Research Scientist"/>
    <n v="4"/>
    <s v="Married"/>
    <n v="2654"/>
    <n v="9655"/>
    <n v="3"/>
    <s v="Y"/>
    <s v="No"/>
    <s v="No"/>
    <n v="21"/>
    <n v="4"/>
    <n v="4"/>
    <n v="80"/>
    <n v="2"/>
    <n v="8"/>
    <s v="6-15"/>
    <n v="3"/>
    <n v="2"/>
    <n v="2"/>
    <n v="2"/>
    <n v="0"/>
    <n v="2"/>
    <s v="Below Avg"/>
    <n v="27.725563909774436"/>
    <s v="No"/>
    <s v="Low Risk"/>
  </r>
  <r>
    <n v="52"/>
    <x v="1"/>
    <s v="No"/>
    <s v="Travel_Rarely"/>
    <n v="1490"/>
    <x v="1"/>
    <n v="4"/>
    <n v="2"/>
    <s v="Life Sciences"/>
    <n v="1"/>
    <n v="546"/>
    <n v="4"/>
    <s v="Female"/>
    <n v="30"/>
    <n v="3"/>
    <x v="3"/>
    <s v="Manager"/>
    <n v="4"/>
    <s v="Married"/>
    <n v="16555"/>
    <n v="10310"/>
    <n v="2"/>
    <s v="Y"/>
    <s v="No"/>
    <s v="No"/>
    <n v="13"/>
    <n v="3"/>
    <n v="4"/>
    <n v="80"/>
    <n v="0"/>
    <n v="31"/>
    <s v="&gt;15"/>
    <n v="2"/>
    <n v="1"/>
    <n v="5"/>
    <n v="2"/>
    <n v="1"/>
    <n v="4"/>
    <s v="Ok"/>
    <n v="27.657572906867355"/>
    <s v="No"/>
    <s v="Low Risk"/>
  </r>
  <r>
    <n v="42"/>
    <x v="1"/>
    <s v="No"/>
    <s v="Travel_Frequently"/>
    <n v="532"/>
    <x v="1"/>
    <n v="29"/>
    <n v="2"/>
    <s v="Life Sciences"/>
    <n v="1"/>
    <n v="547"/>
    <n v="1"/>
    <s v="Female"/>
    <n v="92"/>
    <n v="3"/>
    <x v="0"/>
    <s v="Research Scientist"/>
    <n v="3"/>
    <s v="Divorced"/>
    <n v="4556"/>
    <n v="12932"/>
    <n v="2"/>
    <s v="Y"/>
    <s v="No"/>
    <s v="No"/>
    <n v="11"/>
    <n v="3"/>
    <n v="2"/>
    <n v="80"/>
    <n v="1"/>
    <n v="19"/>
    <s v="&gt;15"/>
    <n v="3"/>
    <n v="3"/>
    <n v="5"/>
    <n v="4"/>
    <n v="0"/>
    <n v="2"/>
    <s v="Below Avg"/>
    <n v="27.683615819209038"/>
    <s v="No"/>
    <s v="Low Risk"/>
  </r>
  <r>
    <n v="30"/>
    <x v="1"/>
    <s v="No"/>
    <s v="Travel_Rarely"/>
    <n v="317"/>
    <x v="1"/>
    <n v="2"/>
    <n v="3"/>
    <s v="Life Sciences"/>
    <n v="1"/>
    <n v="548"/>
    <n v="3"/>
    <s v="Female"/>
    <n v="43"/>
    <n v="1"/>
    <x v="0"/>
    <s v="Manufacturing Director"/>
    <n v="4"/>
    <s v="Single"/>
    <n v="6091"/>
    <n v="24793"/>
    <n v="2"/>
    <s v="Y"/>
    <s v="No"/>
    <s v="No"/>
    <n v="20"/>
    <n v="4"/>
    <n v="3"/>
    <n v="80"/>
    <n v="0"/>
    <n v="11"/>
    <s v="6-15"/>
    <n v="2"/>
    <n v="3"/>
    <n v="5"/>
    <n v="4"/>
    <n v="0"/>
    <n v="2"/>
    <s v="Below Avg"/>
    <n v="27.709707822808671"/>
    <s v="No"/>
    <s v="Low Risk"/>
  </r>
  <r>
    <n v="60"/>
    <x v="1"/>
    <s v="No"/>
    <s v="Travel_Rarely"/>
    <n v="422"/>
    <x v="1"/>
    <n v="7"/>
    <n v="3"/>
    <s v="Life Sciences"/>
    <n v="1"/>
    <n v="549"/>
    <n v="1"/>
    <s v="Female"/>
    <n v="41"/>
    <n v="3"/>
    <x v="4"/>
    <s v="Manager"/>
    <n v="1"/>
    <s v="Married"/>
    <n v="19566"/>
    <n v="3854"/>
    <n v="5"/>
    <s v="Y"/>
    <s v="No"/>
    <s v="No"/>
    <n v="11"/>
    <n v="3"/>
    <n v="4"/>
    <n v="80"/>
    <n v="0"/>
    <n v="33"/>
    <s v="&gt;15"/>
    <n v="5"/>
    <n v="1"/>
    <n v="29"/>
    <n v="8"/>
    <n v="11"/>
    <n v="10"/>
    <s v="Ok"/>
    <n v="27.735849056603772"/>
    <s v="No"/>
    <s v="Low Risk"/>
  </r>
  <r>
    <n v="46"/>
    <x v="1"/>
    <s v="No"/>
    <s v="Travel_Rarely"/>
    <n v="1485"/>
    <x v="1"/>
    <n v="18"/>
    <n v="3"/>
    <s v="Medical"/>
    <n v="1"/>
    <n v="550"/>
    <n v="3"/>
    <s v="Female"/>
    <n v="87"/>
    <n v="3"/>
    <x v="0"/>
    <s v="Manufacturing Director"/>
    <n v="3"/>
    <s v="Divorced"/>
    <n v="4810"/>
    <n v="26314"/>
    <n v="2"/>
    <s v="Y"/>
    <s v="No"/>
    <s v="No"/>
    <n v="14"/>
    <n v="3"/>
    <n v="3"/>
    <n v="80"/>
    <n v="1"/>
    <n v="19"/>
    <s v="&gt;15"/>
    <n v="5"/>
    <n v="2"/>
    <n v="10"/>
    <n v="7"/>
    <n v="0"/>
    <n v="8"/>
    <s v="Below Avg"/>
    <n v="27.762039660056658"/>
    <s v="No"/>
    <s v="Low Risk"/>
  </r>
  <r>
    <n v="42"/>
    <x v="1"/>
    <s v="No"/>
    <s v="Travel_Frequently"/>
    <n v="1368"/>
    <x v="1"/>
    <n v="28"/>
    <n v="4"/>
    <s v="Technical Degree"/>
    <n v="1"/>
    <n v="551"/>
    <n v="4"/>
    <s v="Female"/>
    <n v="88"/>
    <n v="2"/>
    <x v="0"/>
    <s v="Healthcare Representative"/>
    <n v="4"/>
    <s v="Married"/>
    <n v="4523"/>
    <n v="4386"/>
    <n v="0"/>
    <s v="Y"/>
    <s v="No"/>
    <s v="No"/>
    <n v="11"/>
    <n v="3"/>
    <n v="4"/>
    <n v="80"/>
    <n v="3"/>
    <n v="7"/>
    <s v="6-15"/>
    <n v="4"/>
    <n v="4"/>
    <n v="6"/>
    <n v="5"/>
    <n v="0"/>
    <n v="4"/>
    <s v="Below Avg"/>
    <n v="27.788279773156898"/>
    <s v="No"/>
    <s v="Low Risk"/>
  </r>
  <r>
    <n v="24"/>
    <x v="0"/>
    <s v="Yes"/>
    <s v="Travel_Rarely"/>
    <n v="1448"/>
    <x v="0"/>
    <n v="1"/>
    <n v="1"/>
    <s v="Technical Degree"/>
    <n v="1"/>
    <n v="554"/>
    <n v="1"/>
    <s v="Female"/>
    <n v="62"/>
    <n v="3"/>
    <x v="1"/>
    <s v="Sales Representative"/>
    <n v="2"/>
    <s v="Single"/>
    <n v="3202"/>
    <n v="21972"/>
    <n v="1"/>
    <s v="Y"/>
    <s v="Yes"/>
    <s v="Yes"/>
    <n v="16"/>
    <n v="3"/>
    <n v="2"/>
    <n v="80"/>
    <n v="0"/>
    <n v="6"/>
    <s v="6-15"/>
    <n v="4"/>
    <n v="3"/>
    <n v="5"/>
    <n v="3"/>
    <n v="1"/>
    <n v="4"/>
    <s v="Below Avg"/>
    <n v="27.814569536423839"/>
    <s v="No"/>
    <s v="Low Risk"/>
  </r>
  <r>
    <n v="34"/>
    <x v="0"/>
    <s v="Yes"/>
    <s v="Travel_Frequently"/>
    <n v="296"/>
    <x v="0"/>
    <n v="6"/>
    <n v="2"/>
    <s v="Marketing"/>
    <n v="1"/>
    <n v="555"/>
    <n v="4"/>
    <s v="Female"/>
    <n v="33"/>
    <n v="1"/>
    <x v="1"/>
    <s v="Sales Representative"/>
    <n v="3"/>
    <s v="Divorced"/>
    <n v="2351"/>
    <n v="12253"/>
    <n v="0"/>
    <s v="Y"/>
    <s v="No"/>
    <s v="No"/>
    <n v="16"/>
    <n v="3"/>
    <n v="4"/>
    <n v="80"/>
    <n v="1"/>
    <n v="3"/>
    <s v="0-5"/>
    <n v="3"/>
    <n v="2"/>
    <n v="2"/>
    <n v="2"/>
    <n v="1"/>
    <n v="0"/>
    <s v="Below Avg"/>
    <n v="27.84090909090909"/>
    <s v="No"/>
    <s v="Low Risk"/>
  </r>
  <r>
    <n v="38"/>
    <x v="1"/>
    <s v="No"/>
    <s v="Travel_Frequently"/>
    <n v="1490"/>
    <x v="1"/>
    <n v="2"/>
    <n v="2"/>
    <s v="Life Sciences"/>
    <n v="1"/>
    <n v="556"/>
    <n v="4"/>
    <s v="Male"/>
    <n v="42"/>
    <n v="3"/>
    <x v="1"/>
    <s v="Laboratory Technician"/>
    <n v="4"/>
    <s v="Married"/>
    <n v="1702"/>
    <n v="12106"/>
    <n v="1"/>
    <s v="Y"/>
    <s v="Yes"/>
    <s v="Yes"/>
    <n v="23"/>
    <n v="4"/>
    <n v="3"/>
    <n v="80"/>
    <n v="1"/>
    <n v="1"/>
    <s v="0-5"/>
    <n v="3"/>
    <n v="3"/>
    <n v="1"/>
    <n v="0"/>
    <n v="0"/>
    <n v="0"/>
    <s v="Below Avg"/>
    <n v="27.772511848341232"/>
    <s v="No"/>
    <s v="Low Risk"/>
  </r>
  <r>
    <n v="40"/>
    <x v="1"/>
    <s v="No"/>
    <s v="Travel_Rarely"/>
    <n v="1398"/>
    <x v="0"/>
    <n v="2"/>
    <n v="4"/>
    <s v="Life Sciences"/>
    <n v="1"/>
    <n v="558"/>
    <n v="3"/>
    <s v="Female"/>
    <n v="79"/>
    <n v="3"/>
    <x v="4"/>
    <s v="Manager"/>
    <n v="3"/>
    <s v="Married"/>
    <n v="18041"/>
    <n v="13022"/>
    <n v="0"/>
    <s v="Y"/>
    <s v="No"/>
    <s v="No"/>
    <n v="14"/>
    <n v="3"/>
    <n v="4"/>
    <n v="80"/>
    <n v="0"/>
    <n v="21"/>
    <s v="&gt;15"/>
    <n v="2"/>
    <n v="3"/>
    <n v="20"/>
    <n v="15"/>
    <n v="1"/>
    <n v="12"/>
    <s v="Ok"/>
    <n v="27.798861480075903"/>
    <s v="No"/>
    <s v="Low Risk"/>
  </r>
  <r>
    <n v="26"/>
    <x v="1"/>
    <s v="No"/>
    <s v="Travel_Rarely"/>
    <n v="1349"/>
    <x v="1"/>
    <n v="23"/>
    <n v="3"/>
    <s v="Life Sciences"/>
    <n v="1"/>
    <n v="560"/>
    <n v="1"/>
    <s v="Female"/>
    <n v="90"/>
    <n v="3"/>
    <x v="1"/>
    <s v="Research Scientist"/>
    <n v="4"/>
    <s v="Divorced"/>
    <n v="2886"/>
    <n v="3032"/>
    <n v="1"/>
    <s v="Y"/>
    <s v="No"/>
    <s v="No"/>
    <n v="22"/>
    <n v="4"/>
    <n v="2"/>
    <n v="80"/>
    <n v="2"/>
    <n v="3"/>
    <s v="0-5"/>
    <n v="3"/>
    <n v="1"/>
    <n v="3"/>
    <n v="2"/>
    <n v="0"/>
    <n v="2"/>
    <s v="Below Avg"/>
    <n v="27.730294396961064"/>
    <s v="No"/>
    <s v="Low Risk"/>
  </r>
  <r>
    <n v="30"/>
    <x v="1"/>
    <s v="No"/>
    <s v="Non-Travel"/>
    <n v="1400"/>
    <x v="1"/>
    <n v="3"/>
    <n v="3"/>
    <s v="Life Sciences"/>
    <n v="1"/>
    <n v="562"/>
    <n v="3"/>
    <s v="Male"/>
    <n v="53"/>
    <n v="3"/>
    <x v="1"/>
    <s v="Laboratory Technician"/>
    <n v="4"/>
    <s v="Married"/>
    <n v="2097"/>
    <n v="16734"/>
    <n v="4"/>
    <s v="Y"/>
    <s v="No"/>
    <s v="No"/>
    <n v="15"/>
    <n v="3"/>
    <n v="3"/>
    <n v="80"/>
    <n v="1"/>
    <n v="9"/>
    <s v="6-15"/>
    <n v="3"/>
    <n v="1"/>
    <n v="5"/>
    <n v="3"/>
    <n v="1"/>
    <n v="4"/>
    <s v="Below Avg"/>
    <n v="27.756653992395435"/>
    <s v="No"/>
    <s v="Low Risk"/>
  </r>
  <r>
    <n v="29"/>
    <x v="1"/>
    <s v="No"/>
    <s v="Travel_Rarely"/>
    <n v="986"/>
    <x v="1"/>
    <n v="3"/>
    <n v="4"/>
    <s v="Medical"/>
    <n v="1"/>
    <n v="564"/>
    <n v="2"/>
    <s v="Male"/>
    <n v="93"/>
    <n v="2"/>
    <x v="2"/>
    <s v="Research Director"/>
    <n v="3"/>
    <s v="Married"/>
    <n v="11935"/>
    <n v="21526"/>
    <n v="1"/>
    <s v="Y"/>
    <s v="No"/>
    <s v="No"/>
    <n v="18"/>
    <n v="3"/>
    <n v="3"/>
    <n v="80"/>
    <n v="0"/>
    <n v="10"/>
    <s v="6-15"/>
    <n v="2"/>
    <n v="3"/>
    <n v="10"/>
    <n v="2"/>
    <n v="0"/>
    <n v="7"/>
    <s v="Ok"/>
    <n v="27.783063748810655"/>
    <s v="No"/>
    <s v="Low Risk"/>
  </r>
  <r>
    <n v="29"/>
    <x v="0"/>
    <s v="Yes"/>
    <s v="Travel_Rarely"/>
    <n v="408"/>
    <x v="1"/>
    <n v="25"/>
    <n v="5"/>
    <s v="Technical Degree"/>
    <n v="1"/>
    <n v="565"/>
    <n v="3"/>
    <s v="Female"/>
    <n v="71"/>
    <n v="2"/>
    <x v="1"/>
    <s v="Research Scientist"/>
    <n v="2"/>
    <s v="Married"/>
    <n v="2546"/>
    <n v="18300"/>
    <n v="5"/>
    <s v="Y"/>
    <s v="No"/>
    <s v="No"/>
    <n v="16"/>
    <n v="3"/>
    <n v="2"/>
    <n v="80"/>
    <n v="0"/>
    <n v="6"/>
    <s v="6-15"/>
    <n v="2"/>
    <n v="4"/>
    <n v="2"/>
    <n v="2"/>
    <n v="1"/>
    <n v="1"/>
    <s v="Below Avg"/>
    <n v="27.80952380952381"/>
    <s v="No"/>
    <s v="Low Risk"/>
  </r>
  <r>
    <n v="19"/>
    <x v="0"/>
    <s v="Yes"/>
    <s v="Travel_Rarely"/>
    <n v="489"/>
    <x v="2"/>
    <n v="2"/>
    <n v="2"/>
    <s v="Technical Degree"/>
    <n v="1"/>
    <n v="566"/>
    <n v="1"/>
    <s v="Male"/>
    <n v="52"/>
    <n v="2"/>
    <x v="1"/>
    <s v="Human Resources"/>
    <n v="4"/>
    <s v="Single"/>
    <n v="2564"/>
    <n v="18437"/>
    <n v="1"/>
    <s v="Y"/>
    <s v="No"/>
    <s v="No"/>
    <n v="12"/>
    <n v="3"/>
    <n v="3"/>
    <n v="80"/>
    <n v="0"/>
    <n v="1"/>
    <s v="0-5"/>
    <n v="3"/>
    <n v="4"/>
    <n v="1"/>
    <n v="0"/>
    <n v="0"/>
    <n v="0"/>
    <s v="Below Avg"/>
    <n v="27.836034318398472"/>
    <s v="No"/>
    <s v="High Risk"/>
  </r>
  <r>
    <n v="30"/>
    <x v="1"/>
    <s v="No"/>
    <s v="Non-Travel"/>
    <n v="1398"/>
    <x v="0"/>
    <n v="22"/>
    <n v="4"/>
    <s v="Other"/>
    <n v="1"/>
    <n v="567"/>
    <n v="3"/>
    <s v="Female"/>
    <n v="69"/>
    <n v="3"/>
    <x v="2"/>
    <s v="Sales Executive"/>
    <n v="1"/>
    <s v="Married"/>
    <n v="8412"/>
    <n v="2890"/>
    <n v="0"/>
    <s v="Y"/>
    <s v="No"/>
    <s v="No"/>
    <n v="11"/>
    <n v="3"/>
    <n v="3"/>
    <n v="80"/>
    <n v="0"/>
    <n v="10"/>
    <s v="6-15"/>
    <n v="3"/>
    <n v="3"/>
    <n v="9"/>
    <n v="8"/>
    <n v="7"/>
    <n v="8"/>
    <s v="Ok"/>
    <n v="27.862595419847331"/>
    <s v="No"/>
    <s v="Low Risk"/>
  </r>
  <r>
    <n v="57"/>
    <x v="1"/>
    <s v="No"/>
    <s v="Travel_Rarely"/>
    <n v="210"/>
    <x v="0"/>
    <n v="29"/>
    <n v="3"/>
    <s v="Marketing"/>
    <n v="1"/>
    <n v="568"/>
    <n v="1"/>
    <s v="Male"/>
    <n v="56"/>
    <n v="2"/>
    <x v="3"/>
    <s v="Manager"/>
    <n v="4"/>
    <s v="Divorced"/>
    <n v="14118"/>
    <n v="22102"/>
    <n v="3"/>
    <s v="Y"/>
    <s v="No"/>
    <s v="No"/>
    <n v="12"/>
    <n v="3"/>
    <n v="3"/>
    <n v="80"/>
    <n v="1"/>
    <n v="32"/>
    <s v="&gt;15"/>
    <n v="3"/>
    <n v="2"/>
    <n v="1"/>
    <n v="0"/>
    <n v="0"/>
    <n v="0"/>
    <s v="Ok"/>
    <n v="27.889207258834762"/>
    <s v="No"/>
    <s v="Low Risk"/>
  </r>
  <r>
    <n v="50"/>
    <x v="1"/>
    <s v="No"/>
    <s v="Travel_Rarely"/>
    <n v="1099"/>
    <x v="1"/>
    <n v="29"/>
    <n v="4"/>
    <s v="Life Sciences"/>
    <n v="1"/>
    <n v="569"/>
    <n v="2"/>
    <s v="Male"/>
    <n v="88"/>
    <n v="2"/>
    <x v="3"/>
    <s v="Manager"/>
    <n v="3"/>
    <s v="Married"/>
    <n v="17046"/>
    <n v="9314"/>
    <n v="0"/>
    <s v="Y"/>
    <s v="No"/>
    <s v="No"/>
    <n v="15"/>
    <n v="3"/>
    <n v="2"/>
    <n v="80"/>
    <n v="1"/>
    <n v="28"/>
    <s v="&gt;15"/>
    <n v="2"/>
    <n v="3"/>
    <n v="27"/>
    <n v="10"/>
    <n v="15"/>
    <n v="7"/>
    <s v="Ok"/>
    <n v="27.915869980879542"/>
    <s v="No"/>
    <s v="Low Risk"/>
  </r>
  <r>
    <n v="30"/>
    <x v="1"/>
    <s v="No"/>
    <s v="Non-Travel"/>
    <n v="1116"/>
    <x v="1"/>
    <n v="2"/>
    <n v="3"/>
    <s v="Medical"/>
    <n v="1"/>
    <n v="571"/>
    <n v="3"/>
    <s v="Female"/>
    <n v="49"/>
    <n v="3"/>
    <x v="1"/>
    <s v="Laboratory Technician"/>
    <n v="4"/>
    <s v="Single"/>
    <n v="2564"/>
    <n v="7181"/>
    <n v="0"/>
    <s v="Y"/>
    <s v="No"/>
    <s v="No"/>
    <n v="14"/>
    <n v="3"/>
    <n v="3"/>
    <n v="80"/>
    <n v="0"/>
    <n v="12"/>
    <s v="6-15"/>
    <n v="2"/>
    <n v="2"/>
    <n v="11"/>
    <n v="7"/>
    <n v="6"/>
    <n v="7"/>
    <s v="Below Avg"/>
    <n v="27.942583732057418"/>
    <s v="No"/>
    <s v="Low Risk"/>
  </r>
  <r>
    <n v="60"/>
    <x v="1"/>
    <s v="No"/>
    <s v="Travel_Frequently"/>
    <n v="1499"/>
    <x v="0"/>
    <n v="28"/>
    <n v="3"/>
    <s v="Marketing"/>
    <n v="1"/>
    <n v="573"/>
    <n v="3"/>
    <s v="Female"/>
    <n v="80"/>
    <n v="2"/>
    <x v="2"/>
    <s v="Sales Executive"/>
    <n v="1"/>
    <s v="Married"/>
    <n v="10266"/>
    <n v="2845"/>
    <n v="4"/>
    <s v="Y"/>
    <s v="No"/>
    <s v="No"/>
    <n v="19"/>
    <n v="3"/>
    <n v="4"/>
    <n v="80"/>
    <n v="0"/>
    <n v="22"/>
    <s v="&gt;15"/>
    <n v="5"/>
    <n v="4"/>
    <n v="18"/>
    <n v="13"/>
    <n v="13"/>
    <n v="11"/>
    <s v="Ok"/>
    <n v="27.969348659003828"/>
    <s v="No"/>
    <s v="Low Risk"/>
  </r>
  <r>
    <n v="47"/>
    <x v="1"/>
    <s v="No"/>
    <s v="Travel_Rarely"/>
    <n v="983"/>
    <x v="1"/>
    <n v="2"/>
    <n v="2"/>
    <s v="Medical"/>
    <n v="1"/>
    <n v="574"/>
    <n v="1"/>
    <s v="Female"/>
    <n v="65"/>
    <n v="3"/>
    <x v="0"/>
    <s v="Manufacturing Director"/>
    <n v="4"/>
    <s v="Divorced"/>
    <n v="5070"/>
    <n v="7389"/>
    <n v="5"/>
    <s v="Y"/>
    <s v="No"/>
    <s v="No"/>
    <n v="13"/>
    <n v="3"/>
    <n v="3"/>
    <n v="80"/>
    <n v="3"/>
    <n v="20"/>
    <s v="&gt;15"/>
    <n v="2"/>
    <n v="3"/>
    <n v="5"/>
    <n v="0"/>
    <n v="0"/>
    <n v="4"/>
    <s v="Below Avg"/>
    <n v="27.996164908916587"/>
    <s v="No"/>
    <s v="Low Risk"/>
  </r>
  <r>
    <n v="46"/>
    <x v="1"/>
    <s v="No"/>
    <s v="Travel_Rarely"/>
    <n v="1009"/>
    <x v="1"/>
    <n v="2"/>
    <n v="3"/>
    <s v="Life Sciences"/>
    <n v="1"/>
    <n v="575"/>
    <n v="1"/>
    <s v="Male"/>
    <n v="51"/>
    <n v="3"/>
    <x v="3"/>
    <s v="Research Director"/>
    <n v="3"/>
    <s v="Married"/>
    <n v="17861"/>
    <n v="2288"/>
    <n v="6"/>
    <s v="Y"/>
    <s v="No"/>
    <s v="No"/>
    <n v="13"/>
    <n v="3"/>
    <n v="3"/>
    <n v="80"/>
    <n v="0"/>
    <n v="26"/>
    <s v="&gt;15"/>
    <n v="2"/>
    <n v="1"/>
    <n v="3"/>
    <n v="2"/>
    <n v="0"/>
    <n v="1"/>
    <s v="Ok"/>
    <n v="28.023032629558543"/>
    <s v="No"/>
    <s v="Low Risk"/>
  </r>
  <r>
    <n v="35"/>
    <x v="1"/>
    <s v="No"/>
    <s v="Travel_Rarely"/>
    <n v="144"/>
    <x v="1"/>
    <n v="22"/>
    <n v="3"/>
    <s v="Life Sciences"/>
    <n v="1"/>
    <n v="577"/>
    <n v="4"/>
    <s v="Male"/>
    <n v="46"/>
    <n v="1"/>
    <x v="1"/>
    <s v="Laboratory Technician"/>
    <n v="3"/>
    <s v="Single"/>
    <n v="4230"/>
    <n v="19225"/>
    <n v="0"/>
    <s v="Y"/>
    <s v="No"/>
    <s v="No"/>
    <n v="15"/>
    <n v="3"/>
    <n v="3"/>
    <n v="80"/>
    <n v="0"/>
    <n v="6"/>
    <s v="6-15"/>
    <n v="2"/>
    <n v="3"/>
    <n v="5"/>
    <n v="4"/>
    <n v="4"/>
    <n v="3"/>
    <s v="Below Avg"/>
    <n v="28.049951969260327"/>
    <s v="No"/>
    <s v="Low Risk"/>
  </r>
  <r>
    <n v="54"/>
    <x v="1"/>
    <s v="No"/>
    <s v="Travel_Rarely"/>
    <n v="548"/>
    <x v="1"/>
    <n v="8"/>
    <n v="4"/>
    <s v="Life Sciences"/>
    <n v="1"/>
    <n v="578"/>
    <n v="3"/>
    <s v="Female"/>
    <n v="42"/>
    <n v="3"/>
    <x v="0"/>
    <s v="Laboratory Technician"/>
    <n v="3"/>
    <s v="Single"/>
    <n v="3780"/>
    <n v="23428"/>
    <n v="7"/>
    <s v="Y"/>
    <s v="No"/>
    <s v="No"/>
    <n v="11"/>
    <n v="3"/>
    <n v="3"/>
    <n v="80"/>
    <n v="0"/>
    <n v="19"/>
    <s v="&gt;15"/>
    <n v="3"/>
    <n v="3"/>
    <n v="1"/>
    <n v="0"/>
    <n v="0"/>
    <n v="0"/>
    <s v="Below Avg"/>
    <n v="28.076923076923077"/>
    <s v="No"/>
    <s v="Low Risk"/>
  </r>
  <r>
    <n v="34"/>
    <x v="1"/>
    <s v="No"/>
    <s v="Travel_Rarely"/>
    <n v="1303"/>
    <x v="1"/>
    <n v="2"/>
    <n v="4"/>
    <s v="Life Sciences"/>
    <n v="1"/>
    <n v="579"/>
    <n v="4"/>
    <s v="Male"/>
    <n v="62"/>
    <n v="2"/>
    <x v="1"/>
    <s v="Research Scientist"/>
    <n v="3"/>
    <s v="Divorced"/>
    <n v="2768"/>
    <n v="8416"/>
    <n v="3"/>
    <s v="Y"/>
    <s v="No"/>
    <s v="No"/>
    <n v="12"/>
    <n v="3"/>
    <n v="3"/>
    <n v="80"/>
    <n v="1"/>
    <n v="14"/>
    <s v="6-15"/>
    <n v="3"/>
    <n v="3"/>
    <n v="7"/>
    <n v="3"/>
    <n v="5"/>
    <n v="7"/>
    <s v="Below Avg"/>
    <n v="28.103946102021176"/>
    <s v="No"/>
    <s v="Low Risk"/>
  </r>
  <r>
    <n v="46"/>
    <x v="1"/>
    <s v="No"/>
    <s v="Travel_Rarely"/>
    <n v="1125"/>
    <x v="0"/>
    <n v="10"/>
    <n v="3"/>
    <s v="Marketing"/>
    <n v="1"/>
    <n v="580"/>
    <n v="3"/>
    <s v="Female"/>
    <n v="94"/>
    <n v="2"/>
    <x v="2"/>
    <s v="Sales Executive"/>
    <n v="4"/>
    <s v="Married"/>
    <n v="9071"/>
    <n v="11563"/>
    <n v="2"/>
    <s v="Y"/>
    <s v="Yes"/>
    <s v="Yes"/>
    <n v="19"/>
    <n v="3"/>
    <n v="3"/>
    <n v="80"/>
    <n v="1"/>
    <n v="15"/>
    <s v="6-15"/>
    <n v="3"/>
    <n v="3"/>
    <n v="3"/>
    <n v="2"/>
    <n v="1"/>
    <n v="2"/>
    <s v="Ok"/>
    <n v="28.131021194605012"/>
    <s v="No"/>
    <s v="Low Risk"/>
  </r>
  <r>
    <n v="31"/>
    <x v="1"/>
    <s v="No"/>
    <s v="Travel_Rarely"/>
    <n v="1274"/>
    <x v="1"/>
    <n v="9"/>
    <n v="1"/>
    <s v="Life Sciences"/>
    <n v="1"/>
    <n v="581"/>
    <n v="3"/>
    <s v="Male"/>
    <n v="33"/>
    <n v="3"/>
    <x v="2"/>
    <s v="Manufacturing Director"/>
    <n v="2"/>
    <s v="Divorced"/>
    <n v="10648"/>
    <n v="14394"/>
    <n v="1"/>
    <s v="Y"/>
    <s v="No"/>
    <s v="No"/>
    <n v="25"/>
    <n v="4"/>
    <n v="4"/>
    <n v="80"/>
    <n v="1"/>
    <n v="13"/>
    <s v="6-15"/>
    <n v="6"/>
    <n v="4"/>
    <n v="13"/>
    <n v="8"/>
    <n v="0"/>
    <n v="8"/>
    <s v="Ok"/>
    <n v="28.15814850530376"/>
    <s v="No"/>
    <s v="Low Risk"/>
  </r>
  <r>
    <n v="33"/>
    <x v="0"/>
    <s v="Yes"/>
    <s v="Travel_Rarely"/>
    <n v="1277"/>
    <x v="1"/>
    <n v="15"/>
    <n v="1"/>
    <s v="Medical"/>
    <n v="1"/>
    <n v="582"/>
    <n v="2"/>
    <s v="Male"/>
    <n v="56"/>
    <n v="3"/>
    <x v="2"/>
    <s v="Manager"/>
    <n v="3"/>
    <s v="Married"/>
    <n v="13610"/>
    <n v="24619"/>
    <n v="7"/>
    <s v="Y"/>
    <s v="Yes"/>
    <s v="Yes"/>
    <n v="12"/>
    <n v="3"/>
    <n v="4"/>
    <n v="80"/>
    <n v="0"/>
    <n v="15"/>
    <s v="6-15"/>
    <n v="2"/>
    <n v="4"/>
    <n v="7"/>
    <n v="6"/>
    <n v="7"/>
    <n v="7"/>
    <s v="Ok"/>
    <n v="28.08880308880309"/>
    <s v="No"/>
    <s v="Low Risk"/>
  </r>
  <r>
    <n v="33"/>
    <x v="0"/>
    <s v="Yes"/>
    <s v="Travel_Rarely"/>
    <n v="587"/>
    <x v="1"/>
    <n v="10"/>
    <n v="1"/>
    <s v="Medical"/>
    <n v="1"/>
    <n v="584"/>
    <n v="1"/>
    <s v="Male"/>
    <n v="38"/>
    <n v="1"/>
    <x v="1"/>
    <s v="Laboratory Technician"/>
    <n v="4"/>
    <s v="Divorced"/>
    <n v="3408"/>
    <n v="6705"/>
    <n v="7"/>
    <s v="Y"/>
    <s v="No"/>
    <s v="No"/>
    <n v="13"/>
    <n v="3"/>
    <n v="1"/>
    <n v="80"/>
    <n v="3"/>
    <n v="8"/>
    <s v="6-15"/>
    <n v="2"/>
    <n v="3"/>
    <n v="4"/>
    <n v="3"/>
    <n v="1"/>
    <n v="3"/>
    <s v="Below Avg"/>
    <n v="28.115942028985508"/>
    <s v="No"/>
    <s v="Low Risk"/>
  </r>
  <r>
    <n v="30"/>
    <x v="1"/>
    <s v="No"/>
    <s v="Travel_Rarely"/>
    <n v="413"/>
    <x v="0"/>
    <n v="7"/>
    <n v="1"/>
    <s v="Marketing"/>
    <n v="1"/>
    <n v="585"/>
    <n v="4"/>
    <s v="Male"/>
    <n v="57"/>
    <n v="3"/>
    <x v="1"/>
    <s v="Sales Representative"/>
    <n v="2"/>
    <s v="Single"/>
    <n v="2983"/>
    <n v="18398"/>
    <n v="0"/>
    <s v="Y"/>
    <s v="No"/>
    <s v="No"/>
    <n v="14"/>
    <n v="3"/>
    <n v="1"/>
    <n v="80"/>
    <n v="0"/>
    <n v="4"/>
    <s v="0-5"/>
    <n v="3"/>
    <n v="3"/>
    <n v="3"/>
    <n v="2"/>
    <n v="1"/>
    <n v="2"/>
    <s v="Below Avg"/>
    <n v="28.046421663442938"/>
    <s v="No"/>
    <s v="Low Risk"/>
  </r>
  <r>
    <n v="35"/>
    <x v="1"/>
    <s v="No"/>
    <s v="Travel_Rarely"/>
    <n v="1276"/>
    <x v="1"/>
    <n v="16"/>
    <n v="3"/>
    <s v="Life Sciences"/>
    <n v="1"/>
    <n v="586"/>
    <n v="4"/>
    <s v="Male"/>
    <n v="72"/>
    <n v="3"/>
    <x v="2"/>
    <s v="Healthcare Representative"/>
    <n v="3"/>
    <s v="Married"/>
    <n v="7632"/>
    <n v="14295"/>
    <n v="4"/>
    <s v="Y"/>
    <s v="Yes"/>
    <s v="Yes"/>
    <n v="12"/>
    <n v="3"/>
    <n v="3"/>
    <n v="80"/>
    <n v="0"/>
    <n v="10"/>
    <s v="6-15"/>
    <n v="2"/>
    <n v="3"/>
    <n v="8"/>
    <n v="7"/>
    <n v="0"/>
    <n v="0"/>
    <s v="Ok"/>
    <n v="28.073572120038719"/>
    <s v="No"/>
    <s v="Low Risk"/>
  </r>
  <r>
    <n v="31"/>
    <x v="0"/>
    <s v="Yes"/>
    <s v="Travel_Frequently"/>
    <n v="534"/>
    <x v="1"/>
    <n v="20"/>
    <n v="3"/>
    <s v="Life Sciences"/>
    <n v="1"/>
    <n v="587"/>
    <n v="1"/>
    <s v="Male"/>
    <n v="66"/>
    <n v="3"/>
    <x v="2"/>
    <s v="Healthcare Representative"/>
    <n v="3"/>
    <s v="Married"/>
    <n v="9824"/>
    <n v="22908"/>
    <n v="3"/>
    <s v="Y"/>
    <s v="No"/>
    <s v="No"/>
    <n v="12"/>
    <n v="3"/>
    <n v="1"/>
    <n v="80"/>
    <n v="0"/>
    <n v="12"/>
    <s v="6-15"/>
    <n v="2"/>
    <n v="3"/>
    <n v="1"/>
    <n v="0"/>
    <n v="0"/>
    <n v="0"/>
    <s v="Ok"/>
    <n v="28.100775193798448"/>
    <s v="No"/>
    <s v="High Risk"/>
  </r>
  <r>
    <n v="34"/>
    <x v="0"/>
    <s v="Yes"/>
    <s v="Travel_Frequently"/>
    <n v="988"/>
    <x v="2"/>
    <n v="23"/>
    <n v="3"/>
    <s v="Human Resources"/>
    <n v="1"/>
    <n v="590"/>
    <n v="2"/>
    <s v="Female"/>
    <n v="43"/>
    <n v="3"/>
    <x v="2"/>
    <s v="Human Resources"/>
    <n v="1"/>
    <s v="Divorced"/>
    <n v="9950"/>
    <n v="11533"/>
    <n v="9"/>
    <s v="Y"/>
    <s v="Yes"/>
    <s v="Yes"/>
    <n v="15"/>
    <n v="3"/>
    <n v="3"/>
    <n v="80"/>
    <n v="3"/>
    <n v="11"/>
    <s v="6-15"/>
    <n v="2"/>
    <n v="3"/>
    <n v="3"/>
    <n v="2"/>
    <n v="0"/>
    <n v="2"/>
    <s v="Ok"/>
    <n v="28.031037827352083"/>
    <s v="No"/>
    <s v="Low Risk"/>
  </r>
  <r>
    <n v="42"/>
    <x v="1"/>
    <s v="No"/>
    <s v="Travel_Frequently"/>
    <n v="1474"/>
    <x v="1"/>
    <n v="5"/>
    <n v="2"/>
    <s v="Other"/>
    <n v="1"/>
    <n v="591"/>
    <n v="2"/>
    <s v="Male"/>
    <n v="97"/>
    <n v="3"/>
    <x v="1"/>
    <s v="Laboratory Technician"/>
    <n v="3"/>
    <s v="Married"/>
    <n v="2093"/>
    <n v="9260"/>
    <n v="4"/>
    <s v="Y"/>
    <s v="No"/>
    <s v="No"/>
    <n v="17"/>
    <n v="3"/>
    <n v="4"/>
    <n v="80"/>
    <n v="1"/>
    <n v="8"/>
    <s v="6-15"/>
    <n v="4"/>
    <n v="3"/>
    <n v="2"/>
    <n v="2"/>
    <n v="2"/>
    <n v="0"/>
    <s v="Below Avg"/>
    <n v="28.058252427184467"/>
    <s v="No"/>
    <s v="Low Risk"/>
  </r>
  <r>
    <n v="36"/>
    <x v="1"/>
    <s v="No"/>
    <s v="Non-Travel"/>
    <n v="635"/>
    <x v="0"/>
    <n v="10"/>
    <n v="4"/>
    <s v="Medical"/>
    <n v="1"/>
    <n v="592"/>
    <n v="2"/>
    <s v="Male"/>
    <n v="32"/>
    <n v="3"/>
    <x v="2"/>
    <s v="Sales Executive"/>
    <n v="4"/>
    <s v="Single"/>
    <n v="9980"/>
    <n v="15318"/>
    <n v="1"/>
    <s v="Y"/>
    <s v="No"/>
    <s v="No"/>
    <n v="14"/>
    <n v="3"/>
    <n v="4"/>
    <n v="80"/>
    <n v="0"/>
    <n v="10"/>
    <s v="6-15"/>
    <n v="3"/>
    <n v="2"/>
    <n v="10"/>
    <n v="3"/>
    <n v="9"/>
    <n v="7"/>
    <s v="Ok"/>
    <n v="27.988338192419825"/>
    <s v="No"/>
    <s v="Low Risk"/>
  </r>
  <r>
    <n v="22"/>
    <x v="0"/>
    <s v="Yes"/>
    <s v="Travel_Frequently"/>
    <n v="1368"/>
    <x v="1"/>
    <n v="4"/>
    <n v="1"/>
    <s v="Technical Degree"/>
    <n v="1"/>
    <n v="593"/>
    <n v="3"/>
    <s v="Male"/>
    <n v="99"/>
    <n v="2"/>
    <x v="1"/>
    <s v="Laboratory Technician"/>
    <n v="3"/>
    <s v="Single"/>
    <n v="3894"/>
    <n v="9129"/>
    <n v="5"/>
    <s v="Y"/>
    <s v="No"/>
    <s v="No"/>
    <n v="16"/>
    <n v="3"/>
    <n v="3"/>
    <n v="80"/>
    <n v="0"/>
    <n v="4"/>
    <s v="0-5"/>
    <n v="3"/>
    <n v="3"/>
    <n v="2"/>
    <n v="2"/>
    <n v="1"/>
    <n v="2"/>
    <s v="Below Avg"/>
    <n v="28.01556420233463"/>
    <s v="No"/>
    <s v="Low Risk"/>
  </r>
  <r>
    <n v="48"/>
    <x v="1"/>
    <s v="No"/>
    <s v="Travel_Rarely"/>
    <n v="163"/>
    <x v="0"/>
    <n v="2"/>
    <n v="5"/>
    <s v="Marketing"/>
    <n v="1"/>
    <n v="595"/>
    <n v="2"/>
    <s v="Female"/>
    <n v="37"/>
    <n v="3"/>
    <x v="0"/>
    <s v="Sales Executive"/>
    <n v="4"/>
    <s v="Married"/>
    <n v="4051"/>
    <n v="19658"/>
    <n v="2"/>
    <s v="Y"/>
    <s v="No"/>
    <s v="No"/>
    <n v="14"/>
    <n v="3"/>
    <n v="1"/>
    <n v="80"/>
    <n v="1"/>
    <n v="14"/>
    <s v="6-15"/>
    <n v="2"/>
    <n v="3"/>
    <n v="9"/>
    <n v="7"/>
    <n v="6"/>
    <n v="7"/>
    <s v="Below Avg"/>
    <n v="28.042843232716653"/>
    <s v="No"/>
    <s v="Low Risk"/>
  </r>
  <r>
    <n v="55"/>
    <x v="1"/>
    <s v="No"/>
    <s v="Travel_Rarely"/>
    <n v="1117"/>
    <x v="0"/>
    <n v="18"/>
    <n v="5"/>
    <s v="Life Sciences"/>
    <n v="1"/>
    <n v="597"/>
    <n v="1"/>
    <s v="Female"/>
    <n v="83"/>
    <n v="3"/>
    <x v="3"/>
    <s v="Manager"/>
    <n v="2"/>
    <s v="Single"/>
    <n v="16835"/>
    <n v="9873"/>
    <n v="3"/>
    <s v="Y"/>
    <s v="No"/>
    <s v="No"/>
    <n v="23"/>
    <n v="4"/>
    <n v="4"/>
    <n v="80"/>
    <n v="0"/>
    <n v="37"/>
    <s v="&gt;15"/>
    <n v="2"/>
    <n v="3"/>
    <n v="10"/>
    <n v="9"/>
    <n v="7"/>
    <n v="7"/>
    <s v="Ok"/>
    <n v="28.07017543859649"/>
    <s v="No"/>
    <s v="Low Risk"/>
  </r>
  <r>
    <n v="41"/>
    <x v="1"/>
    <s v="No"/>
    <s v="Non-Travel"/>
    <n v="267"/>
    <x v="0"/>
    <n v="10"/>
    <n v="2"/>
    <s v="Life Sciences"/>
    <n v="1"/>
    <n v="599"/>
    <n v="4"/>
    <s v="Male"/>
    <n v="56"/>
    <n v="3"/>
    <x v="0"/>
    <s v="Sales Executive"/>
    <n v="4"/>
    <s v="Single"/>
    <n v="6230"/>
    <n v="13430"/>
    <n v="7"/>
    <s v="Y"/>
    <s v="No"/>
    <s v="No"/>
    <n v="14"/>
    <n v="3"/>
    <n v="4"/>
    <n v="80"/>
    <n v="0"/>
    <n v="16"/>
    <s v="&gt;15"/>
    <n v="3"/>
    <n v="3"/>
    <n v="14"/>
    <n v="3"/>
    <n v="1"/>
    <n v="10"/>
    <s v="Below Avg"/>
    <n v="28.09756097560976"/>
    <s v="No"/>
    <s v="Low Risk"/>
  </r>
  <r>
    <n v="35"/>
    <x v="1"/>
    <s v="No"/>
    <s v="Travel_Rarely"/>
    <n v="619"/>
    <x v="0"/>
    <n v="1"/>
    <n v="3"/>
    <s v="Marketing"/>
    <n v="1"/>
    <n v="600"/>
    <n v="2"/>
    <s v="Male"/>
    <n v="85"/>
    <n v="3"/>
    <x v="0"/>
    <s v="Sales Executive"/>
    <n v="3"/>
    <s v="Married"/>
    <n v="4717"/>
    <n v="18659"/>
    <n v="9"/>
    <s v="Y"/>
    <s v="No"/>
    <s v="No"/>
    <n v="11"/>
    <n v="3"/>
    <n v="3"/>
    <n v="80"/>
    <n v="0"/>
    <n v="15"/>
    <s v="6-15"/>
    <n v="2"/>
    <n v="3"/>
    <n v="11"/>
    <n v="9"/>
    <n v="6"/>
    <n v="9"/>
    <s v="Below Avg"/>
    <n v="28.125"/>
    <s v="No"/>
    <s v="Low Risk"/>
  </r>
  <r>
    <n v="40"/>
    <x v="1"/>
    <s v="No"/>
    <s v="Travel_Rarely"/>
    <n v="302"/>
    <x v="1"/>
    <n v="6"/>
    <n v="3"/>
    <s v="Life Sciences"/>
    <n v="1"/>
    <n v="601"/>
    <n v="2"/>
    <s v="Female"/>
    <n v="75"/>
    <n v="3"/>
    <x v="3"/>
    <s v="Manufacturing Director"/>
    <n v="3"/>
    <s v="Single"/>
    <n v="13237"/>
    <n v="20364"/>
    <n v="7"/>
    <s v="Y"/>
    <s v="No"/>
    <s v="No"/>
    <n v="15"/>
    <n v="3"/>
    <n v="3"/>
    <n v="80"/>
    <n v="0"/>
    <n v="22"/>
    <s v="&gt;15"/>
    <n v="3"/>
    <n v="3"/>
    <n v="20"/>
    <n v="6"/>
    <n v="5"/>
    <n v="13"/>
    <s v="Ok"/>
    <n v="28.152492668621704"/>
    <s v="No"/>
    <s v="Low Risk"/>
  </r>
  <r>
    <n v="39"/>
    <x v="1"/>
    <s v="No"/>
    <s v="Travel_Frequently"/>
    <n v="443"/>
    <x v="1"/>
    <n v="8"/>
    <n v="1"/>
    <s v="Life Sciences"/>
    <n v="1"/>
    <n v="602"/>
    <n v="3"/>
    <s v="Female"/>
    <n v="48"/>
    <n v="3"/>
    <x v="1"/>
    <s v="Laboratory Technician"/>
    <n v="3"/>
    <s v="Married"/>
    <n v="3755"/>
    <n v="17872"/>
    <n v="1"/>
    <s v="Y"/>
    <s v="No"/>
    <s v="No"/>
    <n v="11"/>
    <n v="3"/>
    <n v="1"/>
    <n v="80"/>
    <n v="1"/>
    <n v="8"/>
    <s v="6-15"/>
    <n v="3"/>
    <n v="3"/>
    <n v="8"/>
    <n v="3"/>
    <n v="0"/>
    <n v="7"/>
    <s v="Below Avg"/>
    <n v="28.180039138943247"/>
    <s v="No"/>
    <s v="Low Risk"/>
  </r>
  <r>
    <n v="31"/>
    <x v="1"/>
    <s v="No"/>
    <s v="Travel_Rarely"/>
    <n v="828"/>
    <x v="0"/>
    <n v="2"/>
    <n v="1"/>
    <s v="Life Sciences"/>
    <n v="1"/>
    <n v="604"/>
    <n v="2"/>
    <s v="Male"/>
    <n v="77"/>
    <n v="3"/>
    <x v="0"/>
    <s v="Sales Executive"/>
    <n v="4"/>
    <s v="Single"/>
    <n v="6582"/>
    <n v="8346"/>
    <n v="4"/>
    <s v="Y"/>
    <s v="Yes"/>
    <s v="Yes"/>
    <n v="13"/>
    <n v="3"/>
    <n v="3"/>
    <n v="80"/>
    <n v="0"/>
    <n v="10"/>
    <s v="6-15"/>
    <n v="2"/>
    <n v="4"/>
    <n v="6"/>
    <n v="5"/>
    <n v="0"/>
    <n v="5"/>
    <s v="Below Avg"/>
    <n v="28.207639569049952"/>
    <s v="No"/>
    <s v="Low Risk"/>
  </r>
  <r>
    <n v="42"/>
    <x v="1"/>
    <s v="No"/>
    <s v="Travel_Rarely"/>
    <n v="319"/>
    <x v="1"/>
    <n v="24"/>
    <n v="3"/>
    <s v="Medical"/>
    <n v="1"/>
    <n v="605"/>
    <n v="4"/>
    <s v="Male"/>
    <n v="56"/>
    <n v="3"/>
    <x v="2"/>
    <s v="Manufacturing Director"/>
    <n v="1"/>
    <s v="Married"/>
    <n v="7406"/>
    <n v="6950"/>
    <n v="1"/>
    <s v="Y"/>
    <s v="Yes"/>
    <s v="Yes"/>
    <n v="21"/>
    <n v="4"/>
    <n v="4"/>
    <n v="80"/>
    <n v="1"/>
    <n v="10"/>
    <s v="6-15"/>
    <n v="5"/>
    <n v="2"/>
    <n v="10"/>
    <n v="9"/>
    <n v="5"/>
    <n v="8"/>
    <s v="Ok"/>
    <n v="28.235294117647058"/>
    <s v="No"/>
    <s v="Low Risk"/>
  </r>
  <r>
    <n v="45"/>
    <x v="1"/>
    <s v="No"/>
    <s v="Travel_Rarely"/>
    <n v="561"/>
    <x v="0"/>
    <n v="2"/>
    <n v="3"/>
    <s v="Other"/>
    <n v="1"/>
    <n v="606"/>
    <n v="4"/>
    <s v="Male"/>
    <n v="61"/>
    <n v="3"/>
    <x v="0"/>
    <s v="Sales Executive"/>
    <n v="2"/>
    <s v="Married"/>
    <n v="4805"/>
    <n v="16177"/>
    <n v="0"/>
    <s v="Y"/>
    <s v="No"/>
    <s v="No"/>
    <n v="19"/>
    <n v="3"/>
    <n v="2"/>
    <n v="80"/>
    <n v="1"/>
    <n v="9"/>
    <s v="6-15"/>
    <n v="3"/>
    <n v="4"/>
    <n v="8"/>
    <n v="7"/>
    <n v="3"/>
    <n v="7"/>
    <s v="Below Avg"/>
    <n v="28.164867517173697"/>
    <s v="No"/>
    <s v="Low Risk"/>
  </r>
  <r>
    <n v="26"/>
    <x v="0"/>
    <s v="Yes"/>
    <s v="Travel_Frequently"/>
    <n v="426"/>
    <x v="2"/>
    <n v="17"/>
    <n v="4"/>
    <s v="Life Sciences"/>
    <n v="1"/>
    <n v="608"/>
    <n v="2"/>
    <s v="Female"/>
    <n v="58"/>
    <n v="3"/>
    <x v="1"/>
    <s v="Human Resources"/>
    <n v="3"/>
    <s v="Divorced"/>
    <n v="2741"/>
    <n v="22808"/>
    <n v="0"/>
    <s v="Y"/>
    <s v="Yes"/>
    <s v="Yes"/>
    <n v="11"/>
    <n v="3"/>
    <n v="2"/>
    <n v="80"/>
    <n v="1"/>
    <n v="8"/>
    <s v="6-15"/>
    <n v="2"/>
    <n v="2"/>
    <n v="7"/>
    <n v="7"/>
    <n v="1"/>
    <n v="0"/>
    <s v="Below Avg"/>
    <n v="28.094302554027507"/>
    <s v="No"/>
    <s v="Low Risk"/>
  </r>
  <r>
    <n v="29"/>
    <x v="1"/>
    <s v="No"/>
    <s v="Travel_Rarely"/>
    <n v="232"/>
    <x v="1"/>
    <n v="19"/>
    <n v="3"/>
    <s v="Technical Degree"/>
    <n v="1"/>
    <n v="611"/>
    <n v="4"/>
    <s v="Male"/>
    <n v="34"/>
    <n v="3"/>
    <x v="0"/>
    <s v="Manufacturing Director"/>
    <n v="4"/>
    <s v="Divorced"/>
    <n v="4262"/>
    <n v="22645"/>
    <n v="4"/>
    <s v="Y"/>
    <s v="No"/>
    <s v="No"/>
    <n v="12"/>
    <n v="3"/>
    <n v="2"/>
    <n v="80"/>
    <n v="2"/>
    <n v="8"/>
    <s v="6-15"/>
    <n v="2"/>
    <n v="4"/>
    <n v="3"/>
    <n v="2"/>
    <n v="1"/>
    <n v="2"/>
    <s v="Below Avg"/>
    <n v="28.121927236971484"/>
    <s v="No"/>
    <s v="Low Risk"/>
  </r>
  <r>
    <n v="33"/>
    <x v="1"/>
    <s v="No"/>
    <s v="Travel_Rarely"/>
    <n v="922"/>
    <x v="1"/>
    <n v="1"/>
    <n v="5"/>
    <s v="Medical"/>
    <n v="1"/>
    <n v="612"/>
    <n v="1"/>
    <s v="Female"/>
    <n v="95"/>
    <n v="4"/>
    <x v="3"/>
    <s v="Research Director"/>
    <n v="3"/>
    <s v="Divorced"/>
    <n v="16184"/>
    <n v="22578"/>
    <n v="4"/>
    <s v="Y"/>
    <s v="No"/>
    <s v="No"/>
    <n v="19"/>
    <n v="3"/>
    <n v="3"/>
    <n v="80"/>
    <n v="1"/>
    <n v="10"/>
    <s v="6-15"/>
    <n v="2"/>
    <n v="3"/>
    <n v="6"/>
    <n v="1"/>
    <n v="0"/>
    <n v="5"/>
    <s v="Ok"/>
    <n v="28.051181102362204"/>
    <s v="No"/>
    <s v="Low Risk"/>
  </r>
  <r>
    <n v="31"/>
    <x v="1"/>
    <s v="No"/>
    <s v="Travel_Rarely"/>
    <n v="688"/>
    <x v="0"/>
    <n v="7"/>
    <n v="3"/>
    <s v="Life Sciences"/>
    <n v="1"/>
    <n v="613"/>
    <n v="3"/>
    <s v="Male"/>
    <n v="44"/>
    <n v="2"/>
    <x v="2"/>
    <s v="Manager"/>
    <n v="4"/>
    <s v="Divorced"/>
    <n v="11557"/>
    <n v="25291"/>
    <n v="9"/>
    <s v="Y"/>
    <s v="No"/>
    <s v="No"/>
    <n v="21"/>
    <n v="4"/>
    <n v="3"/>
    <n v="80"/>
    <n v="1"/>
    <n v="10"/>
    <s v="6-15"/>
    <n v="3"/>
    <n v="2"/>
    <n v="5"/>
    <n v="4"/>
    <n v="0"/>
    <n v="1"/>
    <s v="Ok"/>
    <n v="28.078817733990146"/>
    <s v="No"/>
    <s v="Low Risk"/>
  </r>
  <r>
    <n v="18"/>
    <x v="0"/>
    <s v="Yes"/>
    <s v="Travel_Frequently"/>
    <n v="1306"/>
    <x v="0"/>
    <n v="5"/>
    <n v="3"/>
    <s v="Marketing"/>
    <n v="1"/>
    <n v="614"/>
    <n v="2"/>
    <s v="Male"/>
    <n v="69"/>
    <n v="3"/>
    <x v="1"/>
    <s v="Sales Representative"/>
    <n v="2"/>
    <s v="Single"/>
    <n v="1878"/>
    <n v="8059"/>
    <n v="1"/>
    <s v="Y"/>
    <s v="Yes"/>
    <s v="Yes"/>
    <n v="14"/>
    <n v="3"/>
    <n v="4"/>
    <n v="80"/>
    <n v="0"/>
    <n v="0"/>
    <s v="0-5"/>
    <n v="3"/>
    <n v="3"/>
    <n v="0"/>
    <n v="0"/>
    <n v="0"/>
    <n v="0"/>
    <s v="Below Avg"/>
    <n v="28.106508875739642"/>
    <s v="No"/>
    <s v="High Risk"/>
  </r>
  <r>
    <n v="40"/>
    <x v="1"/>
    <s v="No"/>
    <s v="Non-Travel"/>
    <n v="1094"/>
    <x v="0"/>
    <n v="28"/>
    <n v="3"/>
    <s v="Other"/>
    <n v="1"/>
    <n v="615"/>
    <n v="3"/>
    <s v="Male"/>
    <n v="58"/>
    <n v="1"/>
    <x v="2"/>
    <s v="Sales Executive"/>
    <n v="1"/>
    <s v="Divorced"/>
    <n v="10932"/>
    <n v="11373"/>
    <n v="3"/>
    <s v="Y"/>
    <s v="No"/>
    <s v="No"/>
    <n v="15"/>
    <n v="3"/>
    <n v="3"/>
    <n v="80"/>
    <n v="1"/>
    <n v="20"/>
    <s v="&gt;15"/>
    <n v="2"/>
    <n v="3"/>
    <n v="1"/>
    <n v="0"/>
    <n v="0"/>
    <n v="1"/>
    <s v="Ok"/>
    <n v="28.13425468904245"/>
    <s v="No"/>
    <s v="Low Risk"/>
  </r>
  <r>
    <n v="41"/>
    <x v="1"/>
    <s v="No"/>
    <s v="Non-Travel"/>
    <n v="509"/>
    <x v="1"/>
    <n v="2"/>
    <n v="4"/>
    <s v="Other"/>
    <n v="1"/>
    <n v="616"/>
    <n v="1"/>
    <s v="Female"/>
    <n v="62"/>
    <n v="2"/>
    <x v="0"/>
    <s v="Healthcare Representative"/>
    <n v="3"/>
    <s v="Single"/>
    <n v="6811"/>
    <n v="2112"/>
    <n v="2"/>
    <s v="Y"/>
    <s v="Yes"/>
    <s v="Yes"/>
    <n v="17"/>
    <n v="3"/>
    <n v="1"/>
    <n v="80"/>
    <n v="0"/>
    <n v="10"/>
    <s v="6-15"/>
    <n v="3"/>
    <n v="3"/>
    <n v="8"/>
    <n v="7"/>
    <n v="0"/>
    <n v="7"/>
    <s v="Ok"/>
    <n v="28.063241106719367"/>
    <s v="No"/>
    <s v="Low Risk"/>
  </r>
  <r>
    <n v="26"/>
    <x v="1"/>
    <s v="No"/>
    <s v="Travel_Rarely"/>
    <n v="775"/>
    <x v="0"/>
    <n v="29"/>
    <n v="2"/>
    <s v="Medical"/>
    <n v="1"/>
    <n v="618"/>
    <n v="1"/>
    <s v="Male"/>
    <n v="45"/>
    <n v="3"/>
    <x v="0"/>
    <s v="Sales Executive"/>
    <n v="3"/>
    <s v="Divorced"/>
    <n v="4306"/>
    <n v="4267"/>
    <n v="5"/>
    <s v="Y"/>
    <s v="No"/>
    <s v="No"/>
    <n v="12"/>
    <n v="3"/>
    <n v="1"/>
    <n v="80"/>
    <n v="2"/>
    <n v="8"/>
    <s v="6-15"/>
    <n v="5"/>
    <n v="3"/>
    <n v="0"/>
    <n v="0"/>
    <n v="0"/>
    <n v="0"/>
    <s v="Below Avg"/>
    <n v="28.090999010880317"/>
    <s v="No"/>
    <s v="Low Risk"/>
  </r>
  <r>
    <n v="35"/>
    <x v="1"/>
    <s v="No"/>
    <s v="Travel_Rarely"/>
    <n v="195"/>
    <x v="0"/>
    <n v="1"/>
    <n v="3"/>
    <s v="Medical"/>
    <n v="1"/>
    <n v="620"/>
    <n v="1"/>
    <s v="Female"/>
    <n v="80"/>
    <n v="3"/>
    <x v="0"/>
    <s v="Sales Executive"/>
    <n v="3"/>
    <s v="Single"/>
    <n v="4859"/>
    <n v="6698"/>
    <n v="1"/>
    <s v="Y"/>
    <s v="No"/>
    <s v="No"/>
    <n v="16"/>
    <n v="3"/>
    <n v="4"/>
    <n v="80"/>
    <n v="0"/>
    <n v="5"/>
    <s v="0-5"/>
    <n v="3"/>
    <n v="3"/>
    <n v="5"/>
    <n v="4"/>
    <n v="0"/>
    <n v="3"/>
    <s v="Below Avg"/>
    <n v="28.019801980198022"/>
    <s v="No"/>
    <s v="Low Risk"/>
  </r>
  <r>
    <n v="34"/>
    <x v="1"/>
    <s v="No"/>
    <s v="Travel_Rarely"/>
    <n v="258"/>
    <x v="0"/>
    <n v="21"/>
    <n v="4"/>
    <s v="Life Sciences"/>
    <n v="1"/>
    <n v="621"/>
    <n v="4"/>
    <s v="Male"/>
    <n v="74"/>
    <n v="4"/>
    <x v="0"/>
    <s v="Sales Executive"/>
    <n v="4"/>
    <s v="Single"/>
    <n v="5337"/>
    <n v="19921"/>
    <n v="1"/>
    <s v="Y"/>
    <s v="No"/>
    <s v="No"/>
    <n v="12"/>
    <n v="3"/>
    <n v="4"/>
    <n v="80"/>
    <n v="0"/>
    <n v="10"/>
    <s v="6-15"/>
    <n v="3"/>
    <n v="3"/>
    <n v="10"/>
    <n v="7"/>
    <n v="5"/>
    <n v="7"/>
    <s v="Below Avg"/>
    <n v="28.047571853320118"/>
    <s v="No"/>
    <s v="Low Risk"/>
  </r>
  <r>
    <n v="26"/>
    <x v="0"/>
    <s v="Yes"/>
    <s v="Travel_Rarely"/>
    <n v="471"/>
    <x v="1"/>
    <n v="24"/>
    <n v="3"/>
    <s v="Technical Degree"/>
    <n v="1"/>
    <n v="622"/>
    <n v="3"/>
    <s v="Male"/>
    <n v="66"/>
    <n v="1"/>
    <x v="1"/>
    <s v="Laboratory Technician"/>
    <n v="4"/>
    <s v="Single"/>
    <n v="2340"/>
    <n v="23213"/>
    <n v="1"/>
    <s v="Y"/>
    <s v="Yes"/>
    <s v="Yes"/>
    <n v="18"/>
    <n v="3"/>
    <n v="2"/>
    <n v="80"/>
    <n v="0"/>
    <n v="1"/>
    <s v="0-5"/>
    <n v="3"/>
    <n v="1"/>
    <n v="1"/>
    <n v="0"/>
    <n v="0"/>
    <n v="0"/>
    <s v="Below Avg"/>
    <n v="28.075396825396826"/>
    <s v="No"/>
    <s v="High Risk"/>
  </r>
  <r>
    <n v="37"/>
    <x v="1"/>
    <s v="No"/>
    <s v="Travel_Rarely"/>
    <n v="799"/>
    <x v="1"/>
    <n v="1"/>
    <n v="3"/>
    <s v="Technical Degree"/>
    <n v="1"/>
    <n v="623"/>
    <n v="2"/>
    <s v="Female"/>
    <n v="59"/>
    <n v="3"/>
    <x v="2"/>
    <s v="Manufacturing Director"/>
    <n v="4"/>
    <s v="Single"/>
    <n v="7491"/>
    <n v="23848"/>
    <n v="4"/>
    <s v="Y"/>
    <s v="No"/>
    <s v="No"/>
    <n v="17"/>
    <n v="3"/>
    <n v="4"/>
    <n v="80"/>
    <n v="0"/>
    <n v="12"/>
    <s v="6-15"/>
    <n v="3"/>
    <n v="4"/>
    <n v="6"/>
    <n v="5"/>
    <n v="1"/>
    <n v="2"/>
    <s v="Ok"/>
    <n v="28.103277060575969"/>
    <s v="No"/>
    <s v="Low Risk"/>
  </r>
  <r>
    <n v="46"/>
    <x v="1"/>
    <s v="No"/>
    <s v="Travel_Frequently"/>
    <n v="1034"/>
    <x v="1"/>
    <n v="18"/>
    <n v="1"/>
    <s v="Medical"/>
    <n v="1"/>
    <n v="624"/>
    <n v="1"/>
    <s v="Female"/>
    <n v="86"/>
    <n v="3"/>
    <x v="2"/>
    <s v="Healthcare Representative"/>
    <n v="3"/>
    <s v="Married"/>
    <n v="10527"/>
    <n v="8984"/>
    <n v="5"/>
    <s v="Y"/>
    <s v="No"/>
    <s v="No"/>
    <n v="11"/>
    <n v="3"/>
    <n v="4"/>
    <n v="80"/>
    <n v="0"/>
    <n v="28"/>
    <s v="&gt;15"/>
    <n v="3"/>
    <n v="2"/>
    <n v="2"/>
    <n v="2"/>
    <n v="1"/>
    <n v="2"/>
    <s v="Ok"/>
    <n v="28.031809145129227"/>
    <s v="No"/>
    <s v="Low Risk"/>
  </r>
  <r>
    <n v="41"/>
    <x v="1"/>
    <s v="No"/>
    <s v="Travel_Rarely"/>
    <n v="1276"/>
    <x v="0"/>
    <n v="2"/>
    <n v="5"/>
    <s v="Life Sciences"/>
    <n v="1"/>
    <n v="625"/>
    <n v="2"/>
    <s v="Female"/>
    <n v="91"/>
    <n v="3"/>
    <x v="3"/>
    <s v="Manager"/>
    <n v="1"/>
    <s v="Married"/>
    <n v="16595"/>
    <n v="5626"/>
    <n v="7"/>
    <s v="Y"/>
    <s v="No"/>
    <s v="No"/>
    <n v="16"/>
    <n v="3"/>
    <n v="2"/>
    <n v="80"/>
    <n v="1"/>
    <n v="22"/>
    <s v="&gt;15"/>
    <n v="2"/>
    <n v="3"/>
    <n v="18"/>
    <n v="16"/>
    <n v="11"/>
    <n v="8"/>
    <s v="Ok"/>
    <n v="28.059701492537314"/>
    <s v="No"/>
    <s v="Low Risk"/>
  </r>
  <r>
    <n v="37"/>
    <x v="1"/>
    <s v="No"/>
    <s v="Non-Travel"/>
    <n v="142"/>
    <x v="0"/>
    <n v="9"/>
    <n v="4"/>
    <s v="Medical"/>
    <n v="1"/>
    <n v="626"/>
    <n v="1"/>
    <s v="Male"/>
    <n v="69"/>
    <n v="3"/>
    <x v="2"/>
    <s v="Sales Executive"/>
    <n v="2"/>
    <s v="Divorced"/>
    <n v="8834"/>
    <n v="24666"/>
    <n v="1"/>
    <s v="Y"/>
    <s v="No"/>
    <s v="No"/>
    <n v="13"/>
    <n v="3"/>
    <n v="4"/>
    <n v="80"/>
    <n v="1"/>
    <n v="9"/>
    <s v="6-15"/>
    <n v="6"/>
    <n v="3"/>
    <n v="9"/>
    <n v="5"/>
    <n v="7"/>
    <n v="7"/>
    <s v="Ok"/>
    <n v="28.087649402390436"/>
    <s v="No"/>
    <s v="Low Risk"/>
  </r>
  <r>
    <n v="52"/>
    <x v="1"/>
    <s v="No"/>
    <s v="Travel_Rarely"/>
    <n v="956"/>
    <x v="1"/>
    <n v="6"/>
    <n v="2"/>
    <s v="Technical Degree"/>
    <n v="1"/>
    <n v="630"/>
    <n v="4"/>
    <s v="Male"/>
    <n v="78"/>
    <n v="3"/>
    <x v="0"/>
    <s v="Research Scientist"/>
    <n v="1"/>
    <s v="Divorced"/>
    <n v="5577"/>
    <n v="22087"/>
    <n v="3"/>
    <s v="Y"/>
    <s v="Yes"/>
    <s v="Yes"/>
    <n v="12"/>
    <n v="3"/>
    <n v="2"/>
    <n v="80"/>
    <n v="2"/>
    <n v="18"/>
    <s v="&gt;15"/>
    <n v="3"/>
    <n v="3"/>
    <n v="10"/>
    <n v="9"/>
    <n v="6"/>
    <n v="9"/>
    <s v="Below Avg"/>
    <n v="28.115653040877369"/>
    <s v="No"/>
    <s v="Low Risk"/>
  </r>
  <r>
    <n v="32"/>
    <x v="0"/>
    <s v="Yes"/>
    <s v="Non-Travel"/>
    <n v="1474"/>
    <x v="0"/>
    <n v="11"/>
    <n v="4"/>
    <s v="Other"/>
    <n v="1"/>
    <n v="631"/>
    <n v="4"/>
    <s v="Male"/>
    <n v="60"/>
    <n v="4"/>
    <x v="0"/>
    <s v="Sales Executive"/>
    <n v="3"/>
    <s v="Married"/>
    <n v="4707"/>
    <n v="23914"/>
    <n v="8"/>
    <s v="Y"/>
    <s v="No"/>
    <s v="No"/>
    <n v="12"/>
    <n v="3"/>
    <n v="4"/>
    <n v="80"/>
    <n v="0"/>
    <n v="6"/>
    <s v="6-15"/>
    <n v="2"/>
    <n v="3"/>
    <n v="4"/>
    <n v="2"/>
    <n v="1"/>
    <n v="2"/>
    <s v="Below Avg"/>
    <n v="28.143712574850298"/>
    <s v="No"/>
    <s v="Low Risk"/>
  </r>
  <r>
    <n v="24"/>
    <x v="1"/>
    <s v="No"/>
    <s v="Travel_Frequently"/>
    <n v="535"/>
    <x v="0"/>
    <n v="24"/>
    <n v="3"/>
    <s v="Medical"/>
    <n v="1"/>
    <n v="632"/>
    <n v="4"/>
    <s v="Male"/>
    <n v="38"/>
    <n v="3"/>
    <x v="1"/>
    <s v="Sales Representative"/>
    <n v="4"/>
    <s v="Married"/>
    <n v="2400"/>
    <n v="5530"/>
    <n v="0"/>
    <s v="Y"/>
    <s v="No"/>
    <s v="No"/>
    <n v="13"/>
    <n v="3"/>
    <n v="3"/>
    <n v="80"/>
    <n v="2"/>
    <n v="3"/>
    <s v="0-5"/>
    <n v="3"/>
    <n v="3"/>
    <n v="2"/>
    <n v="2"/>
    <n v="2"/>
    <n v="1"/>
    <s v="Below Avg"/>
    <n v="28.07192807192807"/>
    <s v="No"/>
    <s v="Low Risk"/>
  </r>
  <r>
    <n v="38"/>
    <x v="1"/>
    <s v="No"/>
    <s v="Travel_Rarely"/>
    <n v="1495"/>
    <x v="1"/>
    <n v="10"/>
    <n v="3"/>
    <s v="Medical"/>
    <n v="1"/>
    <n v="634"/>
    <n v="3"/>
    <s v="Female"/>
    <n v="76"/>
    <n v="3"/>
    <x v="0"/>
    <s v="Healthcare Representative"/>
    <n v="3"/>
    <s v="Married"/>
    <n v="9824"/>
    <n v="22174"/>
    <n v="3"/>
    <s v="Y"/>
    <s v="No"/>
    <s v="No"/>
    <n v="19"/>
    <n v="3"/>
    <n v="3"/>
    <n v="80"/>
    <n v="1"/>
    <n v="18"/>
    <s v="&gt;15"/>
    <n v="4"/>
    <n v="3"/>
    <n v="1"/>
    <n v="0"/>
    <n v="0"/>
    <n v="0"/>
    <s v="Ok"/>
    <n v="28.1"/>
    <s v="No"/>
    <s v="Low Risk"/>
  </r>
  <r>
    <n v="37"/>
    <x v="1"/>
    <s v="No"/>
    <s v="Travel_Rarely"/>
    <n v="446"/>
    <x v="1"/>
    <n v="1"/>
    <n v="4"/>
    <s v="Life Sciences"/>
    <n v="1"/>
    <n v="635"/>
    <n v="2"/>
    <s v="Female"/>
    <n v="65"/>
    <n v="3"/>
    <x v="0"/>
    <s v="Manufacturing Director"/>
    <n v="2"/>
    <s v="Married"/>
    <n v="6447"/>
    <n v="15701"/>
    <n v="6"/>
    <s v="Y"/>
    <s v="No"/>
    <s v="No"/>
    <n v="12"/>
    <n v="3"/>
    <n v="2"/>
    <n v="80"/>
    <n v="1"/>
    <n v="8"/>
    <s v="6-15"/>
    <n v="2"/>
    <n v="2"/>
    <n v="6"/>
    <n v="5"/>
    <n v="4"/>
    <n v="3"/>
    <s v="Ok"/>
    <n v="28.128128128128125"/>
    <s v="No"/>
    <s v="Low Risk"/>
  </r>
  <r>
    <n v="49"/>
    <x v="1"/>
    <s v="No"/>
    <s v="Travel_Rarely"/>
    <n v="1245"/>
    <x v="1"/>
    <n v="18"/>
    <n v="4"/>
    <s v="Life Sciences"/>
    <n v="1"/>
    <n v="638"/>
    <n v="4"/>
    <s v="Male"/>
    <n v="58"/>
    <n v="2"/>
    <x v="4"/>
    <s v="Research Director"/>
    <n v="3"/>
    <s v="Divorced"/>
    <n v="19502"/>
    <n v="2125"/>
    <n v="1"/>
    <s v="Y"/>
    <s v="Yes"/>
    <s v="Yes"/>
    <n v="17"/>
    <n v="3"/>
    <n v="3"/>
    <n v="80"/>
    <n v="1"/>
    <n v="31"/>
    <s v="&gt;15"/>
    <n v="5"/>
    <n v="3"/>
    <n v="31"/>
    <n v="9"/>
    <n v="0"/>
    <n v="9"/>
    <s v="Ok"/>
    <n v="28.1563126252505"/>
    <s v="No"/>
    <s v="Low Risk"/>
  </r>
  <r>
    <n v="24"/>
    <x v="1"/>
    <s v="No"/>
    <s v="Travel_Rarely"/>
    <n v="691"/>
    <x v="1"/>
    <n v="23"/>
    <n v="3"/>
    <s v="Medical"/>
    <n v="1"/>
    <n v="639"/>
    <n v="2"/>
    <s v="Male"/>
    <n v="89"/>
    <n v="4"/>
    <x v="1"/>
    <s v="Research Scientist"/>
    <n v="4"/>
    <s v="Married"/>
    <n v="2725"/>
    <n v="21630"/>
    <n v="1"/>
    <s v="Y"/>
    <s v="Yes"/>
    <s v="Yes"/>
    <n v="11"/>
    <n v="3"/>
    <n v="2"/>
    <n v="80"/>
    <n v="2"/>
    <n v="6"/>
    <s v="6-15"/>
    <n v="3"/>
    <n v="3"/>
    <n v="6"/>
    <n v="5"/>
    <n v="1"/>
    <n v="4"/>
    <s v="Below Avg"/>
    <n v="28.184553660982946"/>
    <s v="No"/>
    <s v="Low Risk"/>
  </r>
  <r>
    <n v="26"/>
    <x v="1"/>
    <s v="No"/>
    <s v="Travel_Rarely"/>
    <n v="703"/>
    <x v="0"/>
    <n v="28"/>
    <n v="2"/>
    <s v="Marketing"/>
    <n v="1"/>
    <n v="641"/>
    <n v="1"/>
    <s v="Male"/>
    <n v="66"/>
    <n v="3"/>
    <x v="0"/>
    <s v="Sales Executive"/>
    <n v="2"/>
    <s v="Married"/>
    <n v="6272"/>
    <n v="7428"/>
    <n v="1"/>
    <s v="Y"/>
    <s v="No"/>
    <s v="No"/>
    <n v="20"/>
    <n v="4"/>
    <n v="4"/>
    <n v="80"/>
    <n v="2"/>
    <n v="6"/>
    <s v="6-15"/>
    <n v="5"/>
    <n v="4"/>
    <n v="5"/>
    <n v="3"/>
    <n v="1"/>
    <n v="4"/>
    <s v="Below Avg"/>
    <n v="28.112449799196789"/>
    <s v="No"/>
    <s v="Low Risk"/>
  </r>
  <r>
    <n v="24"/>
    <x v="1"/>
    <s v="No"/>
    <s v="Travel_Rarely"/>
    <n v="823"/>
    <x v="1"/>
    <n v="17"/>
    <n v="2"/>
    <s v="Other"/>
    <n v="1"/>
    <n v="643"/>
    <n v="4"/>
    <s v="Male"/>
    <n v="94"/>
    <n v="2"/>
    <x v="1"/>
    <s v="Laboratory Technician"/>
    <n v="2"/>
    <s v="Married"/>
    <n v="2127"/>
    <n v="9100"/>
    <n v="1"/>
    <s v="Y"/>
    <s v="No"/>
    <s v="No"/>
    <n v="21"/>
    <n v="4"/>
    <n v="4"/>
    <n v="80"/>
    <n v="1"/>
    <n v="1"/>
    <s v="0-5"/>
    <n v="2"/>
    <n v="3"/>
    <n v="1"/>
    <n v="0"/>
    <n v="0"/>
    <n v="0"/>
    <s v="Below Avg"/>
    <n v="28.040201005025128"/>
    <s v="No"/>
    <s v="Low Risk"/>
  </r>
  <r>
    <n v="50"/>
    <x v="1"/>
    <s v="No"/>
    <s v="Travel_Frequently"/>
    <n v="1246"/>
    <x v="2"/>
    <n v="3"/>
    <n v="3"/>
    <s v="Medical"/>
    <n v="1"/>
    <n v="644"/>
    <n v="1"/>
    <s v="Male"/>
    <n v="99"/>
    <n v="3"/>
    <x v="4"/>
    <s v="Manager"/>
    <n v="2"/>
    <s v="Married"/>
    <n v="18200"/>
    <n v="7999"/>
    <n v="1"/>
    <s v="Y"/>
    <s v="No"/>
    <s v="No"/>
    <n v="11"/>
    <n v="3"/>
    <n v="3"/>
    <n v="80"/>
    <n v="1"/>
    <n v="32"/>
    <s v="&gt;15"/>
    <n v="2"/>
    <n v="3"/>
    <n v="32"/>
    <n v="5"/>
    <n v="10"/>
    <n v="7"/>
    <s v="Ok"/>
    <n v="28.068410462776662"/>
    <s v="No"/>
    <s v="Low Risk"/>
  </r>
  <r>
    <n v="25"/>
    <x v="1"/>
    <s v="No"/>
    <s v="Travel_Rarely"/>
    <n v="622"/>
    <x v="0"/>
    <n v="13"/>
    <n v="1"/>
    <s v="Medical"/>
    <n v="1"/>
    <n v="645"/>
    <n v="2"/>
    <s v="Male"/>
    <n v="40"/>
    <n v="3"/>
    <x v="1"/>
    <s v="Sales Representative"/>
    <n v="3"/>
    <s v="Married"/>
    <n v="2096"/>
    <n v="26376"/>
    <n v="1"/>
    <s v="Y"/>
    <s v="No"/>
    <s v="No"/>
    <n v="11"/>
    <n v="3"/>
    <n v="3"/>
    <n v="80"/>
    <n v="0"/>
    <n v="7"/>
    <s v="6-15"/>
    <n v="1"/>
    <n v="3"/>
    <n v="7"/>
    <n v="4"/>
    <n v="0"/>
    <n v="6"/>
    <s v="Below Avg"/>
    <n v="28.09667673716012"/>
    <s v="No"/>
    <s v="Low Risk"/>
  </r>
  <r>
    <n v="24"/>
    <x v="0"/>
    <s v="Yes"/>
    <s v="Travel_Frequently"/>
    <n v="1287"/>
    <x v="1"/>
    <n v="7"/>
    <n v="3"/>
    <s v="Life Sciences"/>
    <n v="1"/>
    <n v="647"/>
    <n v="1"/>
    <s v="Female"/>
    <n v="55"/>
    <n v="3"/>
    <x v="1"/>
    <s v="Laboratory Technician"/>
    <n v="3"/>
    <s v="Married"/>
    <n v="2886"/>
    <n v="14168"/>
    <n v="1"/>
    <s v="Y"/>
    <s v="Yes"/>
    <s v="Yes"/>
    <n v="16"/>
    <n v="3"/>
    <n v="4"/>
    <n v="80"/>
    <n v="1"/>
    <n v="6"/>
    <s v="6-15"/>
    <n v="4"/>
    <n v="3"/>
    <n v="6"/>
    <n v="3"/>
    <n v="1"/>
    <n v="2"/>
    <s v="Below Avg"/>
    <n v="28.125"/>
    <s v="No"/>
    <s v="Low Risk"/>
  </r>
  <r>
    <n v="30"/>
    <x v="0"/>
    <s v="Yes"/>
    <s v="Travel_Frequently"/>
    <n v="448"/>
    <x v="0"/>
    <n v="12"/>
    <n v="4"/>
    <s v="Life Sciences"/>
    <n v="1"/>
    <n v="648"/>
    <n v="2"/>
    <s v="Male"/>
    <n v="74"/>
    <n v="2"/>
    <x v="1"/>
    <s v="Sales Representative"/>
    <n v="1"/>
    <s v="Married"/>
    <n v="2033"/>
    <n v="14470"/>
    <n v="1"/>
    <s v="Y"/>
    <s v="No"/>
    <s v="No"/>
    <n v="18"/>
    <n v="3"/>
    <n v="3"/>
    <n v="80"/>
    <n v="1"/>
    <n v="1"/>
    <s v="0-5"/>
    <n v="2"/>
    <n v="4"/>
    <n v="1"/>
    <n v="0"/>
    <n v="0"/>
    <n v="0"/>
    <s v="Below Avg"/>
    <n v="28.15338042381433"/>
    <s v="No"/>
    <s v="High Risk"/>
  </r>
  <r>
    <n v="34"/>
    <x v="1"/>
    <s v="No"/>
    <s v="Travel_Rarely"/>
    <n v="254"/>
    <x v="1"/>
    <n v="1"/>
    <n v="2"/>
    <s v="Life Sciences"/>
    <n v="1"/>
    <n v="649"/>
    <n v="2"/>
    <s v="Male"/>
    <n v="83"/>
    <n v="2"/>
    <x v="1"/>
    <s v="Research Scientist"/>
    <n v="4"/>
    <s v="Married"/>
    <n v="3622"/>
    <n v="22794"/>
    <n v="1"/>
    <s v="Y"/>
    <s v="Yes"/>
    <s v="Yes"/>
    <n v="13"/>
    <n v="3"/>
    <n v="4"/>
    <n v="80"/>
    <n v="1"/>
    <n v="6"/>
    <s v="6-15"/>
    <n v="3"/>
    <n v="3"/>
    <n v="6"/>
    <n v="5"/>
    <n v="1"/>
    <n v="3"/>
    <s v="Below Avg"/>
    <n v="28.08080808080808"/>
    <s v="No"/>
    <s v="Low Risk"/>
  </r>
  <r>
    <n v="31"/>
    <x v="0"/>
    <s v="Yes"/>
    <s v="Travel_Rarely"/>
    <n v="1365"/>
    <x v="0"/>
    <n v="13"/>
    <n v="4"/>
    <s v="Medical"/>
    <n v="1"/>
    <n v="650"/>
    <n v="2"/>
    <s v="Male"/>
    <n v="46"/>
    <n v="3"/>
    <x v="0"/>
    <s v="Sales Executive"/>
    <n v="1"/>
    <s v="Divorced"/>
    <n v="4233"/>
    <n v="11512"/>
    <n v="2"/>
    <s v="Y"/>
    <s v="No"/>
    <s v="No"/>
    <n v="17"/>
    <n v="3"/>
    <n v="3"/>
    <n v="80"/>
    <n v="0"/>
    <n v="9"/>
    <s v="6-15"/>
    <n v="2"/>
    <n v="1"/>
    <n v="3"/>
    <n v="1"/>
    <n v="1"/>
    <n v="2"/>
    <s v="Below Avg"/>
    <n v="28.109201213346815"/>
    <s v="No"/>
    <s v="Low Risk"/>
  </r>
  <r>
    <n v="35"/>
    <x v="1"/>
    <s v="No"/>
    <s v="Travel_Rarely"/>
    <n v="538"/>
    <x v="1"/>
    <n v="25"/>
    <n v="2"/>
    <s v="Other"/>
    <n v="1"/>
    <n v="652"/>
    <n v="1"/>
    <s v="Male"/>
    <n v="54"/>
    <n v="2"/>
    <x v="0"/>
    <s v="Laboratory Technician"/>
    <n v="4"/>
    <s v="Single"/>
    <n v="3681"/>
    <n v="14004"/>
    <n v="4"/>
    <s v="Y"/>
    <s v="No"/>
    <s v="No"/>
    <n v="14"/>
    <n v="3"/>
    <n v="4"/>
    <n v="80"/>
    <n v="0"/>
    <n v="9"/>
    <s v="6-15"/>
    <n v="3"/>
    <n v="3"/>
    <n v="3"/>
    <n v="2"/>
    <n v="0"/>
    <n v="2"/>
    <s v="Below Avg"/>
    <n v="28.036437246963565"/>
    <s v="No"/>
    <s v="Low Risk"/>
  </r>
  <r>
    <n v="31"/>
    <x v="1"/>
    <s v="No"/>
    <s v="Travel_Rarely"/>
    <n v="525"/>
    <x v="0"/>
    <n v="6"/>
    <n v="4"/>
    <s v="Medical"/>
    <n v="1"/>
    <n v="653"/>
    <n v="1"/>
    <s v="Male"/>
    <n v="66"/>
    <n v="4"/>
    <x v="0"/>
    <s v="Sales Executive"/>
    <n v="4"/>
    <s v="Divorced"/>
    <n v="5460"/>
    <n v="6219"/>
    <n v="4"/>
    <s v="Y"/>
    <s v="No"/>
    <s v="No"/>
    <n v="22"/>
    <n v="4"/>
    <n v="4"/>
    <n v="80"/>
    <n v="2"/>
    <n v="13"/>
    <s v="6-15"/>
    <n v="4"/>
    <n v="4"/>
    <n v="7"/>
    <n v="7"/>
    <n v="5"/>
    <n v="7"/>
    <s v="Below Avg"/>
    <n v="28.06484295845998"/>
    <s v="No"/>
    <s v="Low Risk"/>
  </r>
  <r>
    <n v="27"/>
    <x v="1"/>
    <s v="No"/>
    <s v="Travel_Rarely"/>
    <n v="798"/>
    <x v="1"/>
    <n v="6"/>
    <n v="4"/>
    <s v="Medical"/>
    <n v="1"/>
    <n v="655"/>
    <n v="1"/>
    <s v="Female"/>
    <n v="66"/>
    <n v="2"/>
    <x v="1"/>
    <s v="Research Scientist"/>
    <n v="3"/>
    <s v="Divorced"/>
    <n v="2187"/>
    <n v="5013"/>
    <n v="0"/>
    <s v="Y"/>
    <s v="No"/>
    <s v="No"/>
    <n v="12"/>
    <n v="3"/>
    <n v="3"/>
    <n v="80"/>
    <n v="2"/>
    <n v="6"/>
    <s v="6-15"/>
    <n v="5"/>
    <n v="2"/>
    <n v="5"/>
    <n v="3"/>
    <n v="0"/>
    <n v="3"/>
    <s v="Below Avg"/>
    <n v="28.093306288032455"/>
    <s v="No"/>
    <s v="Low Risk"/>
  </r>
  <r>
    <n v="37"/>
    <x v="1"/>
    <s v="No"/>
    <s v="Travel_Rarely"/>
    <n v="558"/>
    <x v="0"/>
    <n v="2"/>
    <n v="3"/>
    <s v="Marketing"/>
    <n v="1"/>
    <n v="656"/>
    <n v="4"/>
    <s v="Male"/>
    <n v="75"/>
    <n v="3"/>
    <x v="0"/>
    <s v="Sales Executive"/>
    <n v="3"/>
    <s v="Married"/>
    <n v="9602"/>
    <n v="3010"/>
    <n v="4"/>
    <s v="Y"/>
    <s v="Yes"/>
    <s v="Yes"/>
    <n v="11"/>
    <n v="3"/>
    <n v="3"/>
    <n v="80"/>
    <n v="1"/>
    <n v="17"/>
    <s v="&gt;15"/>
    <n v="3"/>
    <n v="2"/>
    <n v="3"/>
    <n v="0"/>
    <n v="1"/>
    <n v="0"/>
    <s v="Ok"/>
    <n v="28.121827411167509"/>
    <s v="No"/>
    <s v="Low Risk"/>
  </r>
  <r>
    <n v="20"/>
    <x v="1"/>
    <s v="No"/>
    <s v="Travel_Rarely"/>
    <n v="959"/>
    <x v="1"/>
    <n v="1"/>
    <n v="3"/>
    <s v="Life Sciences"/>
    <n v="1"/>
    <n v="657"/>
    <n v="4"/>
    <s v="Female"/>
    <n v="83"/>
    <n v="2"/>
    <x v="1"/>
    <s v="Research Scientist"/>
    <n v="2"/>
    <s v="Single"/>
    <n v="2836"/>
    <n v="11757"/>
    <n v="1"/>
    <s v="Y"/>
    <s v="No"/>
    <s v="No"/>
    <n v="13"/>
    <n v="3"/>
    <n v="4"/>
    <n v="80"/>
    <n v="0"/>
    <n v="1"/>
    <s v="0-5"/>
    <n v="0"/>
    <n v="4"/>
    <n v="1"/>
    <n v="0"/>
    <n v="0"/>
    <n v="0"/>
    <s v="Below Avg"/>
    <n v="28.150406504065039"/>
    <s v="No"/>
    <s v="Low Risk"/>
  </r>
  <r>
    <n v="42"/>
    <x v="1"/>
    <s v="No"/>
    <s v="Travel_Rarely"/>
    <n v="622"/>
    <x v="1"/>
    <n v="2"/>
    <n v="4"/>
    <s v="Life Sciences"/>
    <n v="1"/>
    <n v="659"/>
    <n v="3"/>
    <s v="Female"/>
    <n v="81"/>
    <n v="3"/>
    <x v="0"/>
    <s v="Healthcare Representative"/>
    <n v="4"/>
    <s v="Married"/>
    <n v="4089"/>
    <n v="5718"/>
    <n v="1"/>
    <s v="Y"/>
    <s v="No"/>
    <s v="No"/>
    <n v="13"/>
    <n v="3"/>
    <n v="2"/>
    <n v="80"/>
    <n v="2"/>
    <n v="10"/>
    <s v="6-15"/>
    <n v="4"/>
    <n v="3"/>
    <n v="10"/>
    <n v="2"/>
    <n v="2"/>
    <n v="2"/>
    <s v="Below Avg"/>
    <n v="28.077314343845373"/>
    <s v="No"/>
    <s v="Low Risk"/>
  </r>
  <r>
    <n v="43"/>
    <x v="1"/>
    <s v="No"/>
    <s v="Travel_Rarely"/>
    <n v="782"/>
    <x v="1"/>
    <n v="6"/>
    <n v="4"/>
    <s v="Other"/>
    <n v="1"/>
    <n v="661"/>
    <n v="2"/>
    <s v="Male"/>
    <n v="50"/>
    <n v="2"/>
    <x v="3"/>
    <s v="Research Director"/>
    <n v="4"/>
    <s v="Divorced"/>
    <n v="16627"/>
    <n v="2671"/>
    <n v="4"/>
    <s v="Y"/>
    <s v="Yes"/>
    <s v="Yes"/>
    <n v="14"/>
    <n v="3"/>
    <n v="3"/>
    <n v="80"/>
    <n v="1"/>
    <n v="21"/>
    <s v="&gt;15"/>
    <n v="3"/>
    <n v="2"/>
    <n v="1"/>
    <n v="0"/>
    <n v="0"/>
    <n v="0"/>
    <s v="Ok"/>
    <n v="28.105906313645622"/>
    <s v="No"/>
    <s v="Low Risk"/>
  </r>
  <r>
    <n v="38"/>
    <x v="1"/>
    <s v="No"/>
    <s v="Travel_Rarely"/>
    <n v="362"/>
    <x v="1"/>
    <n v="1"/>
    <n v="1"/>
    <s v="Life Sciences"/>
    <n v="1"/>
    <n v="662"/>
    <n v="3"/>
    <s v="Female"/>
    <n v="43"/>
    <n v="3"/>
    <x v="1"/>
    <s v="Research Scientist"/>
    <n v="1"/>
    <s v="Single"/>
    <n v="2619"/>
    <n v="14561"/>
    <n v="3"/>
    <s v="Y"/>
    <s v="No"/>
    <s v="No"/>
    <n v="17"/>
    <n v="3"/>
    <n v="4"/>
    <n v="80"/>
    <n v="0"/>
    <n v="8"/>
    <s v="6-15"/>
    <n v="3"/>
    <n v="2"/>
    <n v="0"/>
    <n v="0"/>
    <n v="0"/>
    <n v="0"/>
    <s v="Below Avg"/>
    <n v="28.134556574923547"/>
    <s v="No"/>
    <s v="Low Risk"/>
  </r>
  <r>
    <n v="43"/>
    <x v="1"/>
    <s v="No"/>
    <s v="Travel_Frequently"/>
    <n v="1001"/>
    <x v="1"/>
    <n v="9"/>
    <n v="5"/>
    <s v="Medical"/>
    <n v="1"/>
    <n v="663"/>
    <n v="4"/>
    <s v="Male"/>
    <n v="72"/>
    <n v="3"/>
    <x v="0"/>
    <s v="Laboratory Technician"/>
    <n v="3"/>
    <s v="Divorced"/>
    <n v="5679"/>
    <n v="19627"/>
    <n v="3"/>
    <s v="Y"/>
    <s v="Yes"/>
    <s v="Yes"/>
    <n v="13"/>
    <n v="3"/>
    <n v="2"/>
    <n v="80"/>
    <n v="1"/>
    <n v="10"/>
    <s v="6-15"/>
    <n v="3"/>
    <n v="3"/>
    <n v="8"/>
    <n v="7"/>
    <n v="4"/>
    <n v="7"/>
    <s v="Below Avg"/>
    <n v="28.061224489795915"/>
    <s v="No"/>
    <s v="Low Risk"/>
  </r>
  <r>
    <n v="48"/>
    <x v="1"/>
    <s v="No"/>
    <s v="Travel_Rarely"/>
    <n v="1236"/>
    <x v="1"/>
    <n v="1"/>
    <n v="4"/>
    <s v="Life Sciences"/>
    <n v="1"/>
    <n v="664"/>
    <n v="4"/>
    <s v="Female"/>
    <n v="40"/>
    <n v="2"/>
    <x v="3"/>
    <s v="Manager"/>
    <n v="1"/>
    <s v="Married"/>
    <n v="15402"/>
    <n v="17997"/>
    <n v="7"/>
    <s v="Y"/>
    <s v="No"/>
    <s v="No"/>
    <n v="11"/>
    <n v="3"/>
    <n v="1"/>
    <n v="80"/>
    <n v="1"/>
    <n v="21"/>
    <s v="&gt;15"/>
    <n v="3"/>
    <n v="1"/>
    <n v="3"/>
    <n v="2"/>
    <n v="0"/>
    <n v="2"/>
    <s v="Ok"/>
    <n v="28.08988764044944"/>
    <s v="No"/>
    <s v="Low Risk"/>
  </r>
  <r>
    <n v="44"/>
    <x v="1"/>
    <s v="No"/>
    <s v="Travel_Rarely"/>
    <n v="1112"/>
    <x v="2"/>
    <n v="1"/>
    <n v="4"/>
    <s v="Life Sciences"/>
    <n v="1"/>
    <n v="665"/>
    <n v="1"/>
    <s v="Female"/>
    <n v="50"/>
    <n v="2"/>
    <x v="0"/>
    <s v="Human Resources"/>
    <n v="3"/>
    <s v="Single"/>
    <n v="5985"/>
    <n v="26894"/>
    <n v="4"/>
    <s v="Y"/>
    <s v="No"/>
    <s v="No"/>
    <n v="11"/>
    <n v="3"/>
    <n v="2"/>
    <n v="80"/>
    <n v="0"/>
    <n v="10"/>
    <s v="6-15"/>
    <n v="1"/>
    <n v="4"/>
    <n v="2"/>
    <n v="2"/>
    <n v="0"/>
    <n v="2"/>
    <s v="Below Avg"/>
    <n v="28.016359918200408"/>
    <s v="No"/>
    <s v="Low Risk"/>
  </r>
  <r>
    <n v="34"/>
    <x v="1"/>
    <s v="No"/>
    <s v="Travel_Rarely"/>
    <n v="204"/>
    <x v="0"/>
    <n v="14"/>
    <n v="3"/>
    <s v="Technical Degree"/>
    <n v="1"/>
    <n v="666"/>
    <n v="3"/>
    <s v="Female"/>
    <n v="31"/>
    <n v="3"/>
    <x v="1"/>
    <s v="Sales Representative"/>
    <n v="3"/>
    <s v="Divorced"/>
    <n v="2579"/>
    <n v="2912"/>
    <n v="1"/>
    <s v="Y"/>
    <s v="Yes"/>
    <s v="Yes"/>
    <n v="18"/>
    <n v="3"/>
    <n v="4"/>
    <n v="80"/>
    <n v="2"/>
    <n v="8"/>
    <s v="6-15"/>
    <n v="3"/>
    <n v="3"/>
    <n v="8"/>
    <n v="2"/>
    <n v="0"/>
    <n v="6"/>
    <s v="Below Avg"/>
    <n v="28.045035823950869"/>
    <s v="No"/>
    <s v="Low Risk"/>
  </r>
  <r>
    <n v="27"/>
    <x v="0"/>
    <s v="Yes"/>
    <s v="Travel_Rarely"/>
    <n v="1420"/>
    <x v="0"/>
    <n v="2"/>
    <n v="1"/>
    <s v="Marketing"/>
    <n v="1"/>
    <n v="667"/>
    <n v="3"/>
    <s v="Male"/>
    <n v="85"/>
    <n v="3"/>
    <x v="1"/>
    <s v="Sales Representative"/>
    <n v="1"/>
    <s v="Divorced"/>
    <n v="3041"/>
    <n v="16346"/>
    <n v="0"/>
    <s v="Y"/>
    <s v="No"/>
    <s v="No"/>
    <n v="11"/>
    <n v="3"/>
    <n v="2"/>
    <n v="80"/>
    <n v="1"/>
    <n v="5"/>
    <s v="0-5"/>
    <n v="3"/>
    <n v="3"/>
    <n v="4"/>
    <n v="3"/>
    <n v="0"/>
    <n v="2"/>
    <s v="Below Avg"/>
    <n v="28.07377049180328"/>
    <s v="No"/>
    <s v="Low Risk"/>
  </r>
  <r>
    <n v="21"/>
    <x v="1"/>
    <s v="No"/>
    <s v="Travel_Rarely"/>
    <n v="1343"/>
    <x v="0"/>
    <n v="22"/>
    <n v="1"/>
    <s v="Technical Degree"/>
    <n v="1"/>
    <n v="669"/>
    <n v="3"/>
    <s v="Male"/>
    <n v="49"/>
    <n v="3"/>
    <x v="1"/>
    <s v="Sales Representative"/>
    <n v="3"/>
    <s v="Single"/>
    <n v="3447"/>
    <n v="24444"/>
    <n v="1"/>
    <s v="Y"/>
    <s v="No"/>
    <s v="No"/>
    <n v="11"/>
    <n v="3"/>
    <n v="3"/>
    <n v="80"/>
    <n v="0"/>
    <n v="3"/>
    <s v="0-5"/>
    <n v="2"/>
    <n v="3"/>
    <n v="3"/>
    <n v="2"/>
    <n v="1"/>
    <n v="2"/>
    <s v="Below Avg"/>
    <n v="28.000000000000004"/>
    <s v="No"/>
    <s v="Low Risk"/>
  </r>
  <r>
    <n v="44"/>
    <x v="1"/>
    <s v="No"/>
    <s v="Travel_Rarely"/>
    <n v="1315"/>
    <x v="1"/>
    <n v="3"/>
    <n v="4"/>
    <s v="Other"/>
    <n v="1"/>
    <n v="671"/>
    <n v="4"/>
    <s v="Male"/>
    <n v="35"/>
    <n v="3"/>
    <x v="4"/>
    <s v="Manager"/>
    <n v="4"/>
    <s v="Married"/>
    <n v="19513"/>
    <n v="9358"/>
    <n v="4"/>
    <s v="Y"/>
    <s v="Yes"/>
    <s v="Yes"/>
    <n v="12"/>
    <n v="3"/>
    <n v="1"/>
    <n v="80"/>
    <n v="1"/>
    <n v="26"/>
    <s v="&gt;15"/>
    <n v="2"/>
    <n v="4"/>
    <n v="2"/>
    <n v="2"/>
    <n v="0"/>
    <n v="1"/>
    <s v="Ok"/>
    <n v="28.02874743326489"/>
    <s v="No"/>
    <s v="Low Risk"/>
  </r>
  <r>
    <n v="22"/>
    <x v="1"/>
    <s v="No"/>
    <s v="Travel_Rarely"/>
    <n v="604"/>
    <x v="1"/>
    <n v="6"/>
    <n v="1"/>
    <s v="Medical"/>
    <n v="1"/>
    <n v="675"/>
    <n v="1"/>
    <s v="Male"/>
    <n v="69"/>
    <n v="3"/>
    <x v="1"/>
    <s v="Research Scientist"/>
    <n v="3"/>
    <s v="Married"/>
    <n v="2773"/>
    <n v="12145"/>
    <n v="0"/>
    <s v="Y"/>
    <s v="No"/>
    <s v="No"/>
    <n v="20"/>
    <n v="4"/>
    <n v="4"/>
    <n v="80"/>
    <n v="0"/>
    <n v="3"/>
    <s v="0-5"/>
    <n v="3"/>
    <n v="3"/>
    <n v="2"/>
    <n v="2"/>
    <n v="2"/>
    <n v="2"/>
    <s v="Below Avg"/>
    <n v="28.057553956834528"/>
    <s v="No"/>
    <s v="Low Risk"/>
  </r>
  <r>
    <n v="33"/>
    <x v="1"/>
    <s v="No"/>
    <s v="Travel_Rarely"/>
    <n v="1216"/>
    <x v="0"/>
    <n v="8"/>
    <n v="4"/>
    <s v="Marketing"/>
    <n v="1"/>
    <n v="677"/>
    <n v="3"/>
    <s v="Male"/>
    <n v="39"/>
    <n v="3"/>
    <x v="0"/>
    <s v="Sales Executive"/>
    <n v="3"/>
    <s v="Divorced"/>
    <n v="7104"/>
    <n v="20431"/>
    <n v="0"/>
    <s v="Y"/>
    <s v="No"/>
    <s v="No"/>
    <n v="12"/>
    <n v="3"/>
    <n v="4"/>
    <n v="80"/>
    <n v="0"/>
    <n v="6"/>
    <s v="6-15"/>
    <n v="3"/>
    <n v="3"/>
    <n v="5"/>
    <n v="0"/>
    <n v="1"/>
    <n v="2"/>
    <s v="Ok"/>
    <n v="27.983539094650205"/>
    <s v="No"/>
    <s v="Low Risk"/>
  </r>
  <r>
    <n v="32"/>
    <x v="1"/>
    <s v="No"/>
    <s v="Travel_Rarely"/>
    <n v="646"/>
    <x v="1"/>
    <n v="9"/>
    <n v="4"/>
    <s v="Life Sciences"/>
    <n v="1"/>
    <n v="679"/>
    <n v="1"/>
    <s v="Female"/>
    <n v="92"/>
    <n v="3"/>
    <x v="0"/>
    <s v="Research Scientist"/>
    <n v="4"/>
    <s v="Married"/>
    <n v="6322"/>
    <n v="18089"/>
    <n v="1"/>
    <s v="Y"/>
    <s v="Yes"/>
    <s v="Yes"/>
    <n v="12"/>
    <n v="3"/>
    <n v="4"/>
    <n v="80"/>
    <n v="1"/>
    <n v="6"/>
    <s v="6-15"/>
    <n v="2"/>
    <n v="2"/>
    <n v="6"/>
    <n v="4"/>
    <n v="0"/>
    <n v="5"/>
    <s v="Ok"/>
    <n v="28.01235839340886"/>
    <s v="No"/>
    <s v="Low Risk"/>
  </r>
  <r>
    <n v="30"/>
    <x v="1"/>
    <s v="No"/>
    <s v="Travel_Frequently"/>
    <n v="160"/>
    <x v="1"/>
    <n v="3"/>
    <n v="3"/>
    <s v="Medical"/>
    <n v="1"/>
    <n v="680"/>
    <n v="3"/>
    <s v="Female"/>
    <n v="71"/>
    <n v="3"/>
    <x v="1"/>
    <s v="Research Scientist"/>
    <n v="3"/>
    <s v="Divorced"/>
    <n v="2083"/>
    <n v="22653"/>
    <n v="1"/>
    <s v="Y"/>
    <s v="No"/>
    <s v="No"/>
    <n v="20"/>
    <n v="4"/>
    <n v="3"/>
    <n v="80"/>
    <n v="1"/>
    <n v="1"/>
    <s v="0-5"/>
    <n v="2"/>
    <n v="3"/>
    <n v="1"/>
    <n v="0"/>
    <n v="0"/>
    <n v="0"/>
    <s v="Below Avg"/>
    <n v="28.041237113402062"/>
    <s v="No"/>
    <s v="Low Risk"/>
  </r>
  <r>
    <n v="53"/>
    <x v="1"/>
    <s v="No"/>
    <s v="Travel_Rarely"/>
    <n v="238"/>
    <x v="0"/>
    <n v="1"/>
    <n v="1"/>
    <s v="Medical"/>
    <n v="1"/>
    <n v="682"/>
    <n v="4"/>
    <s v="Female"/>
    <n v="34"/>
    <n v="3"/>
    <x v="0"/>
    <s v="Sales Executive"/>
    <n v="1"/>
    <s v="Single"/>
    <n v="8381"/>
    <n v="7507"/>
    <n v="7"/>
    <s v="Y"/>
    <s v="No"/>
    <s v="No"/>
    <n v="20"/>
    <n v="4"/>
    <n v="4"/>
    <n v="80"/>
    <n v="0"/>
    <n v="18"/>
    <s v="&gt;15"/>
    <n v="2"/>
    <n v="4"/>
    <n v="14"/>
    <n v="7"/>
    <n v="8"/>
    <n v="10"/>
    <s v="Ok"/>
    <n v="27.966976264189885"/>
    <s v="No"/>
    <s v="Low Risk"/>
  </r>
  <r>
    <n v="34"/>
    <x v="1"/>
    <s v="No"/>
    <s v="Travel_Rarely"/>
    <n v="1397"/>
    <x v="1"/>
    <n v="1"/>
    <n v="5"/>
    <s v="Life Sciences"/>
    <n v="1"/>
    <n v="683"/>
    <n v="2"/>
    <s v="Male"/>
    <n v="42"/>
    <n v="3"/>
    <x v="1"/>
    <s v="Research Scientist"/>
    <n v="4"/>
    <s v="Married"/>
    <n v="2691"/>
    <n v="7660"/>
    <n v="1"/>
    <s v="Y"/>
    <s v="No"/>
    <s v="No"/>
    <n v="12"/>
    <n v="3"/>
    <n v="4"/>
    <n v="80"/>
    <n v="1"/>
    <n v="10"/>
    <s v="6-15"/>
    <n v="4"/>
    <n v="2"/>
    <n v="10"/>
    <n v="9"/>
    <n v="8"/>
    <n v="8"/>
    <s v="Below Avg"/>
    <n v="27.995867768595041"/>
    <s v="No"/>
    <s v="Low Risk"/>
  </r>
  <r>
    <n v="45"/>
    <x v="0"/>
    <s v="Yes"/>
    <s v="Travel_Frequently"/>
    <n v="306"/>
    <x v="0"/>
    <n v="26"/>
    <n v="4"/>
    <s v="Life Sciences"/>
    <n v="1"/>
    <n v="684"/>
    <n v="1"/>
    <s v="Female"/>
    <n v="100"/>
    <n v="3"/>
    <x v="0"/>
    <s v="Sales Executive"/>
    <n v="1"/>
    <s v="Married"/>
    <n v="4286"/>
    <n v="5630"/>
    <n v="2"/>
    <s v="Y"/>
    <s v="No"/>
    <s v="No"/>
    <n v="14"/>
    <n v="3"/>
    <n v="4"/>
    <n v="80"/>
    <n v="2"/>
    <n v="5"/>
    <s v="0-5"/>
    <n v="4"/>
    <n v="3"/>
    <n v="1"/>
    <n v="1"/>
    <n v="0"/>
    <n v="0"/>
    <s v="Below Avg"/>
    <n v="28.024819027921406"/>
    <s v="No"/>
    <s v="High Risk"/>
  </r>
  <r>
    <n v="26"/>
    <x v="1"/>
    <s v="No"/>
    <s v="Travel_Rarely"/>
    <n v="991"/>
    <x v="1"/>
    <n v="6"/>
    <n v="3"/>
    <s v="Life Sciences"/>
    <n v="1"/>
    <n v="686"/>
    <n v="3"/>
    <s v="Female"/>
    <n v="71"/>
    <n v="3"/>
    <x v="1"/>
    <s v="Laboratory Technician"/>
    <n v="4"/>
    <s v="Married"/>
    <n v="2659"/>
    <n v="17759"/>
    <n v="1"/>
    <s v="Y"/>
    <s v="Yes"/>
    <s v="Yes"/>
    <n v="13"/>
    <n v="3"/>
    <n v="3"/>
    <n v="80"/>
    <n v="1"/>
    <n v="3"/>
    <s v="0-5"/>
    <n v="2"/>
    <n v="3"/>
    <n v="3"/>
    <n v="2"/>
    <n v="0"/>
    <n v="2"/>
    <s v="Below Avg"/>
    <n v="28.053830227743269"/>
    <s v="No"/>
    <s v="Low Risk"/>
  </r>
  <r>
    <n v="37"/>
    <x v="1"/>
    <s v="No"/>
    <s v="Travel_Rarely"/>
    <n v="482"/>
    <x v="1"/>
    <n v="3"/>
    <n v="3"/>
    <s v="Other"/>
    <n v="1"/>
    <n v="689"/>
    <n v="3"/>
    <s v="Male"/>
    <n v="36"/>
    <n v="3"/>
    <x v="2"/>
    <s v="Manufacturing Director"/>
    <n v="3"/>
    <s v="Married"/>
    <n v="9434"/>
    <n v="9606"/>
    <n v="1"/>
    <s v="Y"/>
    <s v="No"/>
    <s v="No"/>
    <n v="15"/>
    <n v="3"/>
    <n v="3"/>
    <n v="80"/>
    <n v="1"/>
    <n v="10"/>
    <s v="6-15"/>
    <n v="2"/>
    <n v="3"/>
    <n v="10"/>
    <n v="7"/>
    <n v="7"/>
    <n v="8"/>
    <s v="Ok"/>
    <n v="28.082901554404145"/>
    <s v="No"/>
    <s v="Low Risk"/>
  </r>
  <r>
    <n v="29"/>
    <x v="1"/>
    <s v="No"/>
    <s v="Travel_Rarely"/>
    <n v="1176"/>
    <x v="0"/>
    <n v="3"/>
    <n v="2"/>
    <s v="Medical"/>
    <n v="1"/>
    <n v="690"/>
    <n v="2"/>
    <s v="Female"/>
    <n v="62"/>
    <n v="3"/>
    <x v="0"/>
    <s v="Sales Executive"/>
    <n v="3"/>
    <s v="Married"/>
    <n v="5561"/>
    <n v="3487"/>
    <n v="1"/>
    <s v="Y"/>
    <s v="No"/>
    <s v="No"/>
    <n v="14"/>
    <n v="3"/>
    <n v="1"/>
    <n v="80"/>
    <n v="1"/>
    <n v="6"/>
    <s v="6-15"/>
    <n v="5"/>
    <n v="2"/>
    <n v="6"/>
    <n v="0"/>
    <n v="1"/>
    <n v="2"/>
    <s v="Below Avg"/>
    <n v="28.008298755186722"/>
    <s v="No"/>
    <s v="Low Risk"/>
  </r>
  <r>
    <n v="35"/>
    <x v="1"/>
    <s v="No"/>
    <s v="Travel_Rarely"/>
    <n v="1017"/>
    <x v="1"/>
    <n v="6"/>
    <n v="4"/>
    <s v="Life Sciences"/>
    <n v="1"/>
    <n v="691"/>
    <n v="2"/>
    <s v="Male"/>
    <n v="82"/>
    <n v="1"/>
    <x v="0"/>
    <s v="Research Scientist"/>
    <n v="4"/>
    <s v="Single"/>
    <n v="6646"/>
    <n v="19368"/>
    <n v="1"/>
    <s v="Y"/>
    <s v="No"/>
    <s v="No"/>
    <n v="13"/>
    <n v="3"/>
    <n v="2"/>
    <n v="80"/>
    <n v="0"/>
    <n v="17"/>
    <s v="&gt;15"/>
    <n v="3"/>
    <n v="3"/>
    <n v="17"/>
    <n v="11"/>
    <n v="11"/>
    <n v="8"/>
    <s v="Ok"/>
    <n v="28.037383177570092"/>
    <s v="No"/>
    <s v="Low Risk"/>
  </r>
  <r>
    <n v="33"/>
    <x v="1"/>
    <s v="No"/>
    <s v="Travel_Frequently"/>
    <n v="1296"/>
    <x v="1"/>
    <n v="6"/>
    <n v="3"/>
    <s v="Life Sciences"/>
    <n v="1"/>
    <n v="692"/>
    <n v="3"/>
    <s v="Male"/>
    <n v="30"/>
    <n v="3"/>
    <x v="0"/>
    <s v="Healthcare Representative"/>
    <n v="4"/>
    <s v="Divorced"/>
    <n v="7725"/>
    <n v="5335"/>
    <n v="3"/>
    <s v="Y"/>
    <s v="No"/>
    <s v="No"/>
    <n v="23"/>
    <n v="4"/>
    <n v="3"/>
    <n v="80"/>
    <n v="1"/>
    <n v="15"/>
    <s v="6-15"/>
    <n v="2"/>
    <n v="1"/>
    <n v="13"/>
    <n v="11"/>
    <n v="4"/>
    <n v="7"/>
    <s v="Ok"/>
    <n v="28.066528066528068"/>
    <s v="No"/>
    <s v="Low Risk"/>
  </r>
  <r>
    <n v="54"/>
    <x v="1"/>
    <s v="No"/>
    <s v="Travel_Rarely"/>
    <n v="397"/>
    <x v="2"/>
    <n v="19"/>
    <n v="4"/>
    <s v="Medical"/>
    <n v="1"/>
    <n v="698"/>
    <n v="3"/>
    <s v="Male"/>
    <n v="88"/>
    <n v="3"/>
    <x v="2"/>
    <s v="Human Resources"/>
    <n v="2"/>
    <s v="Married"/>
    <n v="10725"/>
    <n v="6729"/>
    <n v="2"/>
    <s v="Y"/>
    <s v="No"/>
    <s v="No"/>
    <n v="15"/>
    <n v="3"/>
    <n v="3"/>
    <n v="80"/>
    <n v="1"/>
    <n v="16"/>
    <s v="&gt;15"/>
    <n v="1"/>
    <n v="4"/>
    <n v="9"/>
    <n v="7"/>
    <n v="7"/>
    <n v="1"/>
    <s v="Ok"/>
    <n v="28.095733610822059"/>
    <s v="No"/>
    <s v="Low Risk"/>
  </r>
  <r>
    <n v="36"/>
    <x v="1"/>
    <s v="No"/>
    <s v="Travel_Rarely"/>
    <n v="913"/>
    <x v="1"/>
    <n v="9"/>
    <n v="2"/>
    <s v="Medical"/>
    <n v="1"/>
    <n v="699"/>
    <n v="2"/>
    <s v="Male"/>
    <n v="48"/>
    <n v="2"/>
    <x v="0"/>
    <s v="Manufacturing Director"/>
    <n v="2"/>
    <s v="Divorced"/>
    <n v="8847"/>
    <n v="13934"/>
    <n v="2"/>
    <s v="Y"/>
    <s v="Yes"/>
    <s v="Yes"/>
    <n v="11"/>
    <n v="3"/>
    <n v="3"/>
    <n v="80"/>
    <n v="1"/>
    <n v="13"/>
    <s v="6-15"/>
    <n v="2"/>
    <n v="3"/>
    <n v="3"/>
    <n v="2"/>
    <n v="0"/>
    <n v="2"/>
    <s v="Ok"/>
    <n v="28.125"/>
    <s v="No"/>
    <s v="Low Risk"/>
  </r>
  <r>
    <n v="27"/>
    <x v="1"/>
    <s v="No"/>
    <s v="Travel_Rarely"/>
    <n v="1115"/>
    <x v="1"/>
    <n v="3"/>
    <n v="4"/>
    <s v="Medical"/>
    <n v="1"/>
    <n v="700"/>
    <n v="1"/>
    <s v="Male"/>
    <n v="54"/>
    <n v="2"/>
    <x v="1"/>
    <s v="Research Scientist"/>
    <n v="4"/>
    <s v="Single"/>
    <n v="2045"/>
    <n v="15174"/>
    <n v="0"/>
    <s v="Y"/>
    <s v="No"/>
    <s v="No"/>
    <n v="13"/>
    <n v="3"/>
    <n v="4"/>
    <n v="80"/>
    <n v="0"/>
    <n v="5"/>
    <s v="0-5"/>
    <n v="0"/>
    <n v="3"/>
    <n v="4"/>
    <n v="2"/>
    <n v="1"/>
    <n v="1"/>
    <s v="Below Avg"/>
    <n v="28.154327424400417"/>
    <s v="No"/>
    <s v="Low Risk"/>
  </r>
  <r>
    <n v="20"/>
    <x v="0"/>
    <s v="Yes"/>
    <s v="Travel_Rarely"/>
    <n v="1362"/>
    <x v="1"/>
    <n v="10"/>
    <n v="1"/>
    <s v="Medical"/>
    <n v="1"/>
    <n v="701"/>
    <n v="4"/>
    <s v="Male"/>
    <n v="32"/>
    <n v="3"/>
    <x v="1"/>
    <s v="Research Scientist"/>
    <n v="3"/>
    <s v="Single"/>
    <n v="1009"/>
    <n v="26999"/>
    <n v="1"/>
    <s v="Y"/>
    <s v="Yes"/>
    <s v="Yes"/>
    <n v="11"/>
    <n v="3"/>
    <n v="4"/>
    <n v="80"/>
    <n v="0"/>
    <n v="1"/>
    <s v="0-5"/>
    <n v="5"/>
    <n v="3"/>
    <n v="1"/>
    <n v="0"/>
    <n v="1"/>
    <n v="1"/>
    <s v="Below Avg"/>
    <n v="28.079331941544883"/>
    <s v="No"/>
    <s v="High Risk"/>
  </r>
  <r>
    <n v="33"/>
    <x v="0"/>
    <s v="Yes"/>
    <s v="Travel_Frequently"/>
    <n v="1076"/>
    <x v="1"/>
    <n v="3"/>
    <n v="3"/>
    <s v="Life Sciences"/>
    <n v="1"/>
    <n v="702"/>
    <n v="1"/>
    <s v="Male"/>
    <n v="70"/>
    <n v="3"/>
    <x v="1"/>
    <s v="Research Scientist"/>
    <n v="1"/>
    <s v="Single"/>
    <n v="3348"/>
    <n v="3164"/>
    <n v="1"/>
    <s v="Y"/>
    <s v="Yes"/>
    <s v="Yes"/>
    <n v="11"/>
    <n v="3"/>
    <n v="1"/>
    <n v="80"/>
    <n v="0"/>
    <n v="10"/>
    <s v="6-15"/>
    <n v="3"/>
    <n v="3"/>
    <n v="10"/>
    <n v="8"/>
    <n v="9"/>
    <n v="7"/>
    <s v="Below Avg"/>
    <n v="28.108672936259143"/>
    <s v="No"/>
    <s v="Low Risk"/>
  </r>
  <r>
    <n v="35"/>
    <x v="1"/>
    <s v="No"/>
    <s v="Non-Travel"/>
    <n v="727"/>
    <x v="1"/>
    <n v="3"/>
    <n v="3"/>
    <s v="Life Sciences"/>
    <n v="1"/>
    <n v="704"/>
    <n v="3"/>
    <s v="Male"/>
    <n v="41"/>
    <n v="2"/>
    <x v="1"/>
    <s v="Laboratory Technician"/>
    <n v="3"/>
    <s v="Married"/>
    <n v="1281"/>
    <n v="16900"/>
    <n v="1"/>
    <s v="Y"/>
    <s v="No"/>
    <s v="No"/>
    <n v="18"/>
    <n v="3"/>
    <n v="3"/>
    <n v="80"/>
    <n v="2"/>
    <n v="1"/>
    <s v="0-5"/>
    <n v="3"/>
    <n v="3"/>
    <n v="1"/>
    <n v="0"/>
    <n v="0"/>
    <n v="0"/>
    <s v="Below Avg"/>
    <n v="28.03347280334728"/>
    <s v="No"/>
    <s v="Low Risk"/>
  </r>
  <r>
    <n v="23"/>
    <x v="1"/>
    <s v="No"/>
    <s v="Travel_Rarely"/>
    <n v="885"/>
    <x v="1"/>
    <n v="4"/>
    <n v="3"/>
    <s v="Medical"/>
    <n v="1"/>
    <n v="705"/>
    <n v="1"/>
    <s v="Male"/>
    <n v="58"/>
    <n v="4"/>
    <x v="1"/>
    <s v="Research Scientist"/>
    <n v="1"/>
    <s v="Married"/>
    <n v="2819"/>
    <n v="8544"/>
    <n v="2"/>
    <s v="Y"/>
    <s v="No"/>
    <s v="No"/>
    <n v="16"/>
    <n v="3"/>
    <n v="1"/>
    <n v="80"/>
    <n v="1"/>
    <n v="5"/>
    <s v="0-5"/>
    <n v="3"/>
    <n v="4"/>
    <n v="3"/>
    <n v="2"/>
    <n v="0"/>
    <n v="2"/>
    <s v="Below Avg"/>
    <n v="27.958115183246075"/>
    <s v="No"/>
    <s v="Low Risk"/>
  </r>
  <r>
    <n v="25"/>
    <x v="1"/>
    <s v="No"/>
    <s v="Travel_Rarely"/>
    <n v="810"/>
    <x v="0"/>
    <n v="8"/>
    <n v="3"/>
    <s v="Life Sciences"/>
    <n v="1"/>
    <n v="707"/>
    <n v="4"/>
    <s v="Male"/>
    <n v="57"/>
    <n v="4"/>
    <x v="0"/>
    <s v="Sales Executive"/>
    <n v="2"/>
    <s v="Married"/>
    <n v="4851"/>
    <n v="15678"/>
    <n v="0"/>
    <s v="Y"/>
    <s v="No"/>
    <s v="No"/>
    <n v="22"/>
    <n v="4"/>
    <n v="3"/>
    <n v="80"/>
    <n v="1"/>
    <n v="4"/>
    <s v="0-5"/>
    <n v="4"/>
    <n v="3"/>
    <n v="3"/>
    <n v="2"/>
    <n v="1"/>
    <n v="2"/>
    <s v="Below Avg"/>
    <n v="27.987421383647799"/>
    <s v="No"/>
    <s v="Low Risk"/>
  </r>
  <r>
    <n v="38"/>
    <x v="1"/>
    <s v="No"/>
    <s v="Travel_Rarely"/>
    <n v="243"/>
    <x v="0"/>
    <n v="7"/>
    <n v="4"/>
    <s v="Marketing"/>
    <n v="1"/>
    <n v="709"/>
    <n v="4"/>
    <s v="Female"/>
    <n v="46"/>
    <n v="2"/>
    <x v="0"/>
    <s v="Sales Executive"/>
    <n v="4"/>
    <s v="Single"/>
    <n v="4028"/>
    <n v="7791"/>
    <n v="0"/>
    <s v="Y"/>
    <s v="No"/>
    <s v="No"/>
    <n v="20"/>
    <n v="4"/>
    <n v="1"/>
    <n v="80"/>
    <n v="0"/>
    <n v="8"/>
    <s v="6-15"/>
    <n v="2"/>
    <n v="3"/>
    <n v="7"/>
    <n v="7"/>
    <n v="0"/>
    <n v="5"/>
    <s v="Below Avg"/>
    <n v="28.01678908709339"/>
    <s v="No"/>
    <s v="Low Risk"/>
  </r>
  <r>
    <n v="29"/>
    <x v="1"/>
    <s v="No"/>
    <s v="Travel_Frequently"/>
    <n v="806"/>
    <x v="1"/>
    <n v="1"/>
    <n v="4"/>
    <s v="Life Sciences"/>
    <n v="1"/>
    <n v="710"/>
    <n v="2"/>
    <s v="Male"/>
    <n v="76"/>
    <n v="1"/>
    <x v="1"/>
    <s v="Research Scientist"/>
    <n v="4"/>
    <s v="Divorced"/>
    <n v="2720"/>
    <n v="18959"/>
    <n v="1"/>
    <s v="Y"/>
    <s v="No"/>
    <s v="No"/>
    <n v="18"/>
    <n v="3"/>
    <n v="4"/>
    <n v="80"/>
    <n v="1"/>
    <n v="10"/>
    <s v="6-15"/>
    <n v="5"/>
    <n v="3"/>
    <n v="10"/>
    <n v="7"/>
    <n v="2"/>
    <n v="8"/>
    <s v="Below Avg"/>
    <n v="28.04621848739496"/>
    <s v="No"/>
    <s v="Low Risk"/>
  </r>
  <r>
    <n v="48"/>
    <x v="1"/>
    <s v="No"/>
    <s v="Travel_Rarely"/>
    <n v="817"/>
    <x v="0"/>
    <n v="2"/>
    <n v="1"/>
    <s v="Marketing"/>
    <n v="1"/>
    <n v="712"/>
    <n v="2"/>
    <s v="Male"/>
    <n v="56"/>
    <n v="4"/>
    <x v="0"/>
    <s v="Sales Executive"/>
    <n v="2"/>
    <s v="Married"/>
    <n v="8120"/>
    <n v="18597"/>
    <n v="3"/>
    <s v="Y"/>
    <s v="No"/>
    <s v="No"/>
    <n v="12"/>
    <n v="3"/>
    <n v="4"/>
    <n v="80"/>
    <n v="0"/>
    <n v="12"/>
    <s v="6-15"/>
    <n v="3"/>
    <n v="3"/>
    <n v="2"/>
    <n v="2"/>
    <n v="2"/>
    <n v="2"/>
    <s v="Ok"/>
    <n v="28.075709779179807"/>
    <s v="No"/>
    <s v="Low Risk"/>
  </r>
  <r>
    <n v="27"/>
    <x v="1"/>
    <s v="No"/>
    <s v="Travel_Frequently"/>
    <n v="1410"/>
    <x v="0"/>
    <n v="3"/>
    <n v="1"/>
    <s v="Medical"/>
    <n v="1"/>
    <n v="714"/>
    <n v="4"/>
    <s v="Female"/>
    <n v="71"/>
    <n v="4"/>
    <x v="0"/>
    <s v="Sales Executive"/>
    <n v="4"/>
    <s v="Divorced"/>
    <n v="4647"/>
    <n v="16673"/>
    <n v="1"/>
    <s v="Y"/>
    <s v="Yes"/>
    <s v="Yes"/>
    <n v="20"/>
    <n v="4"/>
    <n v="2"/>
    <n v="80"/>
    <n v="2"/>
    <n v="6"/>
    <s v="6-15"/>
    <n v="3"/>
    <n v="3"/>
    <n v="6"/>
    <n v="5"/>
    <n v="0"/>
    <n v="4"/>
    <s v="Below Avg"/>
    <n v="28.10526315789474"/>
    <s v="No"/>
    <s v="Low Risk"/>
  </r>
  <r>
    <n v="37"/>
    <x v="1"/>
    <s v="No"/>
    <s v="Travel_Rarely"/>
    <n v="1225"/>
    <x v="1"/>
    <n v="10"/>
    <n v="2"/>
    <s v="Life Sciences"/>
    <n v="1"/>
    <n v="715"/>
    <n v="4"/>
    <s v="Male"/>
    <n v="80"/>
    <n v="4"/>
    <x v="1"/>
    <s v="Research Scientist"/>
    <n v="4"/>
    <s v="Single"/>
    <n v="4680"/>
    <n v="15232"/>
    <n v="3"/>
    <s v="Y"/>
    <s v="No"/>
    <s v="No"/>
    <n v="17"/>
    <n v="3"/>
    <n v="1"/>
    <n v="80"/>
    <n v="0"/>
    <n v="4"/>
    <s v="0-5"/>
    <n v="2"/>
    <n v="3"/>
    <n v="1"/>
    <n v="0"/>
    <n v="0"/>
    <n v="0"/>
    <s v="Below Avg"/>
    <n v="28.134878819810329"/>
    <s v="No"/>
    <s v="Low Risk"/>
  </r>
  <r>
    <n v="50"/>
    <x v="1"/>
    <s v="No"/>
    <s v="Travel_Rarely"/>
    <n v="1207"/>
    <x v="1"/>
    <n v="28"/>
    <n v="1"/>
    <s v="Medical"/>
    <n v="1"/>
    <n v="716"/>
    <n v="4"/>
    <s v="Male"/>
    <n v="74"/>
    <n v="4"/>
    <x v="1"/>
    <s v="Laboratory Technician"/>
    <n v="3"/>
    <s v="Married"/>
    <n v="3221"/>
    <n v="3297"/>
    <n v="1"/>
    <s v="Y"/>
    <s v="Yes"/>
    <s v="Yes"/>
    <n v="11"/>
    <n v="3"/>
    <n v="3"/>
    <n v="80"/>
    <n v="3"/>
    <n v="20"/>
    <s v="&gt;15"/>
    <n v="3"/>
    <n v="3"/>
    <n v="20"/>
    <n v="8"/>
    <n v="3"/>
    <n v="8"/>
    <s v="Below Avg"/>
    <n v="28.059071729957807"/>
    <s v="No"/>
    <s v="Low Risk"/>
  </r>
  <r>
    <n v="34"/>
    <x v="1"/>
    <s v="No"/>
    <s v="Travel_Rarely"/>
    <n v="1442"/>
    <x v="1"/>
    <n v="9"/>
    <n v="3"/>
    <s v="Medical"/>
    <n v="1"/>
    <n v="717"/>
    <n v="4"/>
    <s v="Female"/>
    <n v="46"/>
    <n v="2"/>
    <x v="2"/>
    <s v="Healthcare Representative"/>
    <n v="2"/>
    <s v="Single"/>
    <n v="8621"/>
    <n v="17654"/>
    <n v="1"/>
    <s v="Y"/>
    <s v="No"/>
    <s v="No"/>
    <n v="14"/>
    <n v="3"/>
    <n v="2"/>
    <n v="80"/>
    <n v="0"/>
    <n v="9"/>
    <s v="6-15"/>
    <n v="3"/>
    <n v="4"/>
    <n v="8"/>
    <n v="7"/>
    <n v="7"/>
    <n v="7"/>
    <s v="Ok"/>
    <n v="28.088701161562827"/>
    <s v="No"/>
    <s v="Low Risk"/>
  </r>
  <r>
    <n v="24"/>
    <x v="0"/>
    <s v="Yes"/>
    <s v="Travel_Rarely"/>
    <n v="693"/>
    <x v="0"/>
    <n v="3"/>
    <n v="2"/>
    <s v="Life Sciences"/>
    <n v="1"/>
    <n v="720"/>
    <n v="1"/>
    <s v="Female"/>
    <n v="65"/>
    <n v="3"/>
    <x v="0"/>
    <s v="Sales Executive"/>
    <n v="3"/>
    <s v="Single"/>
    <n v="4577"/>
    <n v="24785"/>
    <n v="9"/>
    <s v="Y"/>
    <s v="No"/>
    <s v="No"/>
    <n v="14"/>
    <n v="3"/>
    <n v="1"/>
    <n v="80"/>
    <n v="0"/>
    <n v="4"/>
    <s v="0-5"/>
    <n v="3"/>
    <n v="3"/>
    <n v="2"/>
    <n v="2"/>
    <n v="2"/>
    <n v="0"/>
    <s v="Below Avg"/>
    <n v="28.012684989429175"/>
    <s v="No"/>
    <s v="Low Risk"/>
  </r>
  <r>
    <n v="39"/>
    <x v="1"/>
    <s v="No"/>
    <s v="Travel_Rarely"/>
    <n v="408"/>
    <x v="1"/>
    <n v="2"/>
    <n v="4"/>
    <s v="Technical Degree"/>
    <n v="1"/>
    <n v="721"/>
    <n v="4"/>
    <s v="Female"/>
    <n v="80"/>
    <n v="2"/>
    <x v="0"/>
    <s v="Healthcare Representative"/>
    <n v="3"/>
    <s v="Single"/>
    <n v="4553"/>
    <n v="20978"/>
    <n v="1"/>
    <s v="Y"/>
    <s v="No"/>
    <s v="No"/>
    <n v="11"/>
    <n v="3"/>
    <n v="1"/>
    <n v="80"/>
    <n v="0"/>
    <n v="20"/>
    <s v="&gt;15"/>
    <n v="4"/>
    <n v="3"/>
    <n v="20"/>
    <n v="7"/>
    <n v="11"/>
    <n v="10"/>
    <s v="Below Avg"/>
    <n v="28.042328042328041"/>
    <s v="No"/>
    <s v="Low Risk"/>
  </r>
  <r>
    <n v="32"/>
    <x v="1"/>
    <s v="No"/>
    <s v="Travel_Rarely"/>
    <n v="929"/>
    <x v="0"/>
    <n v="10"/>
    <n v="3"/>
    <s v="Marketing"/>
    <n v="1"/>
    <n v="722"/>
    <n v="4"/>
    <s v="Male"/>
    <n v="55"/>
    <n v="3"/>
    <x v="0"/>
    <s v="Sales Executive"/>
    <n v="4"/>
    <s v="Single"/>
    <n v="5396"/>
    <n v="21703"/>
    <n v="1"/>
    <s v="Y"/>
    <s v="No"/>
    <s v="No"/>
    <n v="12"/>
    <n v="3"/>
    <n v="4"/>
    <n v="80"/>
    <n v="0"/>
    <n v="10"/>
    <s v="6-15"/>
    <n v="2"/>
    <n v="2"/>
    <n v="10"/>
    <n v="7"/>
    <n v="0"/>
    <n v="8"/>
    <s v="Below Avg"/>
    <n v="28.072033898305083"/>
    <s v="No"/>
    <s v="Low Risk"/>
  </r>
  <r>
    <n v="50"/>
    <x v="0"/>
    <s v="Yes"/>
    <s v="Travel_Frequently"/>
    <n v="562"/>
    <x v="0"/>
    <n v="8"/>
    <n v="2"/>
    <s v="Technical Degree"/>
    <n v="1"/>
    <n v="723"/>
    <n v="2"/>
    <s v="Male"/>
    <n v="50"/>
    <n v="3"/>
    <x v="0"/>
    <s v="Sales Executive"/>
    <n v="3"/>
    <s v="Married"/>
    <n v="6796"/>
    <n v="23452"/>
    <n v="3"/>
    <s v="Y"/>
    <s v="Yes"/>
    <s v="Yes"/>
    <n v="14"/>
    <n v="3"/>
    <n v="1"/>
    <n v="80"/>
    <n v="1"/>
    <n v="18"/>
    <s v="&gt;15"/>
    <n v="4"/>
    <n v="3"/>
    <n v="4"/>
    <n v="3"/>
    <n v="1"/>
    <n v="3"/>
    <s v="Below Avg"/>
    <n v="28.101802757158005"/>
    <s v="No"/>
    <s v="Low Risk"/>
  </r>
  <r>
    <n v="38"/>
    <x v="1"/>
    <s v="No"/>
    <s v="Travel_Rarely"/>
    <n v="827"/>
    <x v="1"/>
    <n v="1"/>
    <n v="4"/>
    <s v="Life Sciences"/>
    <n v="1"/>
    <n v="724"/>
    <n v="2"/>
    <s v="Female"/>
    <n v="33"/>
    <n v="4"/>
    <x v="0"/>
    <s v="Healthcare Representative"/>
    <n v="4"/>
    <s v="Single"/>
    <n v="7625"/>
    <n v="19383"/>
    <n v="0"/>
    <s v="Y"/>
    <s v="No"/>
    <s v="No"/>
    <n v="13"/>
    <n v="3"/>
    <n v="3"/>
    <n v="80"/>
    <n v="0"/>
    <n v="10"/>
    <s v="6-15"/>
    <n v="4"/>
    <n v="2"/>
    <n v="9"/>
    <n v="7"/>
    <n v="1"/>
    <n v="8"/>
    <s v="Ok"/>
    <n v="28.131634819532909"/>
    <s v="No"/>
    <s v="Low Risk"/>
  </r>
  <r>
    <n v="27"/>
    <x v="1"/>
    <s v="No"/>
    <s v="Travel_Rarely"/>
    <n v="608"/>
    <x v="1"/>
    <n v="1"/>
    <n v="2"/>
    <s v="Life Sciences"/>
    <n v="1"/>
    <n v="725"/>
    <n v="3"/>
    <s v="Female"/>
    <n v="68"/>
    <n v="3"/>
    <x v="2"/>
    <s v="Manufacturing Director"/>
    <n v="1"/>
    <s v="Married"/>
    <n v="7412"/>
    <n v="6009"/>
    <n v="1"/>
    <s v="Y"/>
    <s v="No"/>
    <s v="No"/>
    <n v="11"/>
    <n v="3"/>
    <n v="4"/>
    <n v="80"/>
    <n v="0"/>
    <n v="9"/>
    <s v="6-15"/>
    <n v="3"/>
    <n v="3"/>
    <n v="9"/>
    <n v="7"/>
    <n v="0"/>
    <n v="7"/>
    <s v="Ok"/>
    <n v="28.055260361317746"/>
    <s v="No"/>
    <s v="Low Risk"/>
  </r>
  <r>
    <n v="32"/>
    <x v="1"/>
    <s v="No"/>
    <s v="Travel_Rarely"/>
    <n v="1018"/>
    <x v="1"/>
    <n v="3"/>
    <n v="2"/>
    <s v="Life Sciences"/>
    <n v="1"/>
    <n v="727"/>
    <n v="3"/>
    <s v="Female"/>
    <n v="39"/>
    <n v="3"/>
    <x v="2"/>
    <s v="Research Director"/>
    <n v="4"/>
    <s v="Single"/>
    <n v="11159"/>
    <n v="19373"/>
    <n v="3"/>
    <s v="Y"/>
    <s v="No"/>
    <s v="No"/>
    <n v="15"/>
    <n v="3"/>
    <n v="4"/>
    <n v="80"/>
    <n v="0"/>
    <n v="10"/>
    <s v="6-15"/>
    <n v="6"/>
    <n v="3"/>
    <n v="7"/>
    <n v="7"/>
    <n v="7"/>
    <n v="7"/>
    <s v="Ok"/>
    <n v="28.085106382978726"/>
    <s v="No"/>
    <s v="Low Risk"/>
  </r>
  <r>
    <n v="47"/>
    <x v="1"/>
    <s v="No"/>
    <s v="Travel_Rarely"/>
    <n v="703"/>
    <x v="0"/>
    <n v="14"/>
    <n v="4"/>
    <s v="Marketing"/>
    <n v="1"/>
    <n v="728"/>
    <n v="4"/>
    <s v="Male"/>
    <n v="42"/>
    <n v="3"/>
    <x v="0"/>
    <s v="Sales Executive"/>
    <n v="1"/>
    <s v="Single"/>
    <n v="4960"/>
    <n v="11825"/>
    <n v="2"/>
    <s v="Y"/>
    <s v="No"/>
    <s v="No"/>
    <n v="12"/>
    <n v="3"/>
    <n v="4"/>
    <n v="80"/>
    <n v="0"/>
    <n v="20"/>
    <s v="&gt;15"/>
    <n v="2"/>
    <n v="3"/>
    <n v="7"/>
    <n v="7"/>
    <n v="1"/>
    <n v="7"/>
    <s v="Below Avg"/>
    <n v="28.115015974440894"/>
    <s v="No"/>
    <s v="Low Risk"/>
  </r>
  <r>
    <n v="40"/>
    <x v="1"/>
    <s v="No"/>
    <s v="Travel_Frequently"/>
    <n v="580"/>
    <x v="0"/>
    <n v="5"/>
    <n v="4"/>
    <s v="Life Sciences"/>
    <n v="1"/>
    <n v="729"/>
    <n v="4"/>
    <s v="Male"/>
    <n v="48"/>
    <n v="2"/>
    <x v="2"/>
    <s v="Sales Executive"/>
    <n v="1"/>
    <s v="Married"/>
    <n v="10475"/>
    <n v="23772"/>
    <n v="5"/>
    <s v="Y"/>
    <s v="Yes"/>
    <s v="Yes"/>
    <n v="21"/>
    <n v="4"/>
    <n v="3"/>
    <n v="80"/>
    <n v="1"/>
    <n v="20"/>
    <s v="&gt;15"/>
    <n v="2"/>
    <n v="3"/>
    <n v="18"/>
    <n v="13"/>
    <n v="1"/>
    <n v="12"/>
    <s v="Ok"/>
    <n v="28.14498933901919"/>
    <s v="No"/>
    <s v="Low Risk"/>
  </r>
  <r>
    <n v="53"/>
    <x v="1"/>
    <s v="No"/>
    <s v="Travel_Rarely"/>
    <n v="970"/>
    <x v="1"/>
    <n v="7"/>
    <n v="3"/>
    <s v="Life Sciences"/>
    <n v="1"/>
    <n v="730"/>
    <n v="3"/>
    <s v="Male"/>
    <n v="59"/>
    <n v="4"/>
    <x v="3"/>
    <s v="Research Director"/>
    <n v="3"/>
    <s v="Married"/>
    <n v="14814"/>
    <n v="13514"/>
    <n v="3"/>
    <s v="Y"/>
    <s v="No"/>
    <s v="No"/>
    <n v="19"/>
    <n v="3"/>
    <n v="3"/>
    <n v="80"/>
    <n v="0"/>
    <n v="32"/>
    <s v="&gt;15"/>
    <n v="3"/>
    <n v="3"/>
    <n v="5"/>
    <n v="1"/>
    <n v="1"/>
    <n v="3"/>
    <s v="Ok"/>
    <n v="28.175026680896476"/>
    <s v="No"/>
    <s v="Low Risk"/>
  </r>
  <r>
    <n v="41"/>
    <x v="1"/>
    <s v="No"/>
    <s v="Travel_Rarely"/>
    <n v="427"/>
    <x v="2"/>
    <n v="10"/>
    <n v="4"/>
    <s v="Human Resources"/>
    <n v="1"/>
    <n v="731"/>
    <n v="2"/>
    <s v="Male"/>
    <n v="73"/>
    <n v="2"/>
    <x v="4"/>
    <s v="Manager"/>
    <n v="4"/>
    <s v="Divorced"/>
    <n v="19141"/>
    <n v="8861"/>
    <n v="3"/>
    <s v="Y"/>
    <s v="No"/>
    <s v="No"/>
    <n v="15"/>
    <n v="3"/>
    <n v="2"/>
    <n v="80"/>
    <n v="3"/>
    <n v="23"/>
    <s v="&gt;15"/>
    <n v="2"/>
    <n v="2"/>
    <n v="21"/>
    <n v="6"/>
    <n v="12"/>
    <n v="6"/>
    <s v="Ok"/>
    <n v="28.0982905982906"/>
    <s v="No"/>
    <s v="Low Risk"/>
  </r>
  <r>
    <n v="60"/>
    <x v="1"/>
    <s v="No"/>
    <s v="Travel_Rarely"/>
    <n v="1179"/>
    <x v="0"/>
    <n v="16"/>
    <n v="4"/>
    <s v="Marketing"/>
    <n v="1"/>
    <n v="732"/>
    <n v="1"/>
    <s v="Male"/>
    <n v="84"/>
    <n v="3"/>
    <x v="0"/>
    <s v="Sales Executive"/>
    <n v="1"/>
    <s v="Single"/>
    <n v="5405"/>
    <n v="11924"/>
    <n v="8"/>
    <s v="Y"/>
    <s v="No"/>
    <s v="No"/>
    <n v="14"/>
    <n v="3"/>
    <n v="4"/>
    <n v="80"/>
    <n v="0"/>
    <n v="10"/>
    <s v="6-15"/>
    <n v="1"/>
    <n v="3"/>
    <n v="2"/>
    <n v="2"/>
    <n v="2"/>
    <n v="2"/>
    <s v="Below Avg"/>
    <n v="28.128342245989309"/>
    <s v="No"/>
    <s v="Low Risk"/>
  </r>
  <r>
    <n v="27"/>
    <x v="1"/>
    <s v="No"/>
    <s v="Travel_Frequently"/>
    <n v="294"/>
    <x v="1"/>
    <n v="10"/>
    <n v="2"/>
    <s v="Life Sciences"/>
    <n v="1"/>
    <n v="733"/>
    <n v="4"/>
    <s v="Male"/>
    <n v="32"/>
    <n v="3"/>
    <x v="2"/>
    <s v="Manufacturing Director"/>
    <n v="1"/>
    <s v="Divorced"/>
    <n v="8793"/>
    <n v="4809"/>
    <n v="1"/>
    <s v="Y"/>
    <s v="No"/>
    <s v="No"/>
    <n v="21"/>
    <n v="4"/>
    <n v="3"/>
    <n v="80"/>
    <n v="2"/>
    <n v="9"/>
    <s v="6-15"/>
    <n v="4"/>
    <n v="2"/>
    <n v="9"/>
    <n v="7"/>
    <n v="1"/>
    <n v="7"/>
    <s v="Ok"/>
    <n v="28.158458244111351"/>
    <s v="No"/>
    <s v="Low Risk"/>
  </r>
  <r>
    <n v="41"/>
    <x v="1"/>
    <s v="No"/>
    <s v="Travel_Rarely"/>
    <n v="314"/>
    <x v="2"/>
    <n v="1"/>
    <n v="3"/>
    <s v="Human Resources"/>
    <n v="1"/>
    <n v="734"/>
    <n v="4"/>
    <s v="Male"/>
    <n v="59"/>
    <n v="2"/>
    <x v="4"/>
    <s v="Manager"/>
    <n v="3"/>
    <s v="Married"/>
    <n v="19189"/>
    <n v="19562"/>
    <n v="1"/>
    <s v="Y"/>
    <s v="No"/>
    <s v="No"/>
    <n v="12"/>
    <n v="3"/>
    <n v="2"/>
    <n v="80"/>
    <n v="1"/>
    <n v="22"/>
    <s v="&gt;15"/>
    <n v="3"/>
    <n v="3"/>
    <n v="22"/>
    <n v="7"/>
    <n v="2"/>
    <n v="10"/>
    <s v="Ok"/>
    <n v="28.188638799571276"/>
    <s v="No"/>
    <s v="Low Risk"/>
  </r>
  <r>
    <n v="50"/>
    <x v="1"/>
    <s v="No"/>
    <s v="Travel_Rarely"/>
    <n v="316"/>
    <x v="0"/>
    <n v="8"/>
    <n v="4"/>
    <s v="Marketing"/>
    <n v="1"/>
    <n v="738"/>
    <n v="4"/>
    <s v="Male"/>
    <n v="54"/>
    <n v="3"/>
    <x v="1"/>
    <s v="Sales Representative"/>
    <n v="2"/>
    <s v="Married"/>
    <n v="3875"/>
    <n v="9983"/>
    <n v="7"/>
    <s v="Y"/>
    <s v="No"/>
    <s v="No"/>
    <n v="15"/>
    <n v="3"/>
    <n v="4"/>
    <n v="80"/>
    <n v="1"/>
    <n v="4"/>
    <s v="0-5"/>
    <n v="2"/>
    <n v="3"/>
    <n v="2"/>
    <n v="2"/>
    <n v="2"/>
    <n v="2"/>
    <s v="Below Avg"/>
    <n v="28.218884120171673"/>
    <s v="No"/>
    <s v="Low Risk"/>
  </r>
  <r>
    <n v="28"/>
    <x v="0"/>
    <s v="Yes"/>
    <s v="Travel_Rarely"/>
    <n v="654"/>
    <x v="1"/>
    <n v="1"/>
    <n v="2"/>
    <s v="Life Sciences"/>
    <n v="1"/>
    <n v="741"/>
    <n v="1"/>
    <s v="Female"/>
    <n v="67"/>
    <n v="1"/>
    <x v="1"/>
    <s v="Research Scientist"/>
    <n v="2"/>
    <s v="Single"/>
    <n v="2216"/>
    <n v="3872"/>
    <n v="7"/>
    <s v="Y"/>
    <s v="Yes"/>
    <s v="Yes"/>
    <n v="13"/>
    <n v="3"/>
    <n v="4"/>
    <n v="80"/>
    <n v="0"/>
    <n v="10"/>
    <s v="6-15"/>
    <n v="4"/>
    <n v="3"/>
    <n v="7"/>
    <n v="7"/>
    <n v="3"/>
    <n v="7"/>
    <s v="Below Avg"/>
    <n v="28.249194414607949"/>
    <s v="No"/>
    <s v="Low Risk"/>
  </r>
  <r>
    <n v="36"/>
    <x v="1"/>
    <s v="No"/>
    <s v="Non-Travel"/>
    <n v="427"/>
    <x v="1"/>
    <n v="8"/>
    <n v="3"/>
    <s v="Life Sciences"/>
    <n v="1"/>
    <n v="742"/>
    <n v="1"/>
    <s v="Female"/>
    <n v="63"/>
    <n v="4"/>
    <x v="2"/>
    <s v="Research Director"/>
    <n v="1"/>
    <s v="Married"/>
    <n v="11713"/>
    <n v="20335"/>
    <n v="9"/>
    <s v="Y"/>
    <s v="No"/>
    <s v="No"/>
    <n v="14"/>
    <n v="3"/>
    <n v="1"/>
    <n v="80"/>
    <n v="1"/>
    <n v="10"/>
    <s v="6-15"/>
    <n v="2"/>
    <n v="3"/>
    <n v="8"/>
    <n v="7"/>
    <n v="0"/>
    <n v="5"/>
    <s v="Ok"/>
    <n v="28.279569892473116"/>
    <s v="No"/>
    <s v="Low Risk"/>
  </r>
  <r>
    <n v="38"/>
    <x v="1"/>
    <s v="No"/>
    <s v="Travel_Rarely"/>
    <n v="168"/>
    <x v="1"/>
    <n v="1"/>
    <n v="3"/>
    <s v="Life Sciences"/>
    <n v="1"/>
    <n v="743"/>
    <n v="3"/>
    <s v="Female"/>
    <n v="81"/>
    <n v="3"/>
    <x v="2"/>
    <s v="Manufacturing Director"/>
    <n v="3"/>
    <s v="Single"/>
    <n v="7861"/>
    <n v="15397"/>
    <n v="4"/>
    <s v="Y"/>
    <s v="Yes"/>
    <s v="Yes"/>
    <n v="14"/>
    <n v="3"/>
    <n v="4"/>
    <n v="80"/>
    <n v="0"/>
    <n v="10"/>
    <s v="6-15"/>
    <n v="4"/>
    <n v="4"/>
    <n v="1"/>
    <n v="0"/>
    <n v="0"/>
    <n v="0"/>
    <s v="Ok"/>
    <n v="28.202368137782564"/>
    <s v="No"/>
    <s v="Low Risk"/>
  </r>
  <r>
    <n v="44"/>
    <x v="1"/>
    <s v="No"/>
    <s v="Non-Travel"/>
    <n v="381"/>
    <x v="1"/>
    <n v="24"/>
    <n v="3"/>
    <s v="Medical"/>
    <n v="1"/>
    <n v="744"/>
    <n v="1"/>
    <s v="Male"/>
    <n v="49"/>
    <n v="1"/>
    <x v="1"/>
    <s v="Laboratory Technician"/>
    <n v="3"/>
    <s v="Single"/>
    <n v="3708"/>
    <n v="2104"/>
    <n v="2"/>
    <s v="Y"/>
    <s v="No"/>
    <s v="No"/>
    <n v="14"/>
    <n v="3"/>
    <n v="3"/>
    <n v="80"/>
    <n v="0"/>
    <n v="9"/>
    <s v="6-15"/>
    <n v="5"/>
    <n v="3"/>
    <n v="5"/>
    <n v="2"/>
    <n v="1"/>
    <n v="4"/>
    <s v="Below Avg"/>
    <n v="28.232758620689658"/>
    <s v="No"/>
    <s v="Low Risk"/>
  </r>
  <r>
    <n v="47"/>
    <x v="1"/>
    <s v="No"/>
    <s v="Travel_Frequently"/>
    <n v="217"/>
    <x v="0"/>
    <n v="3"/>
    <n v="3"/>
    <s v="Medical"/>
    <n v="1"/>
    <n v="746"/>
    <n v="4"/>
    <s v="Female"/>
    <n v="49"/>
    <n v="3"/>
    <x v="3"/>
    <s v="Sales Executive"/>
    <n v="3"/>
    <s v="Divorced"/>
    <n v="13770"/>
    <n v="10225"/>
    <n v="9"/>
    <s v="Y"/>
    <s v="Yes"/>
    <s v="Yes"/>
    <n v="12"/>
    <n v="3"/>
    <n v="4"/>
    <n v="80"/>
    <n v="2"/>
    <n v="28"/>
    <s v="&gt;15"/>
    <n v="2"/>
    <n v="2"/>
    <n v="22"/>
    <n v="2"/>
    <n v="11"/>
    <n v="13"/>
    <s v="Ok"/>
    <n v="28.155339805825243"/>
    <s v="No"/>
    <s v="Low Risk"/>
  </r>
  <r>
    <n v="30"/>
    <x v="1"/>
    <s v="No"/>
    <s v="Travel_Rarely"/>
    <n v="501"/>
    <x v="0"/>
    <n v="27"/>
    <n v="5"/>
    <s v="Marketing"/>
    <n v="1"/>
    <n v="747"/>
    <n v="3"/>
    <s v="Male"/>
    <n v="99"/>
    <n v="3"/>
    <x v="0"/>
    <s v="Sales Executive"/>
    <n v="4"/>
    <s v="Divorced"/>
    <n v="5304"/>
    <n v="25275"/>
    <n v="7"/>
    <s v="Y"/>
    <s v="No"/>
    <s v="No"/>
    <n v="23"/>
    <n v="4"/>
    <n v="4"/>
    <n v="80"/>
    <n v="1"/>
    <n v="10"/>
    <s v="6-15"/>
    <n v="2"/>
    <n v="2"/>
    <n v="8"/>
    <n v="7"/>
    <n v="7"/>
    <n v="7"/>
    <s v="Below Avg"/>
    <n v="28.185745140388768"/>
    <s v="No"/>
    <s v="Low Risk"/>
  </r>
  <r>
    <n v="29"/>
    <x v="1"/>
    <s v="No"/>
    <s v="Travel_Rarely"/>
    <n v="1396"/>
    <x v="0"/>
    <n v="10"/>
    <n v="3"/>
    <s v="Life Sciences"/>
    <n v="1"/>
    <n v="749"/>
    <n v="3"/>
    <s v="Male"/>
    <n v="99"/>
    <n v="3"/>
    <x v="1"/>
    <s v="Sales Representative"/>
    <n v="3"/>
    <s v="Single"/>
    <n v="2642"/>
    <n v="2755"/>
    <n v="1"/>
    <s v="Y"/>
    <s v="No"/>
    <s v="No"/>
    <n v="11"/>
    <n v="3"/>
    <n v="3"/>
    <n v="80"/>
    <n v="0"/>
    <n v="1"/>
    <s v="0-5"/>
    <n v="6"/>
    <n v="3"/>
    <n v="1"/>
    <n v="0"/>
    <n v="0"/>
    <n v="0"/>
    <s v="Below Avg"/>
    <n v="28.108108108108109"/>
    <s v="No"/>
    <s v="Low Risk"/>
  </r>
  <r>
    <n v="42"/>
    <x v="0"/>
    <s v="Yes"/>
    <s v="Travel_Frequently"/>
    <n v="933"/>
    <x v="1"/>
    <n v="19"/>
    <n v="3"/>
    <s v="Medical"/>
    <n v="1"/>
    <n v="752"/>
    <n v="3"/>
    <s v="Male"/>
    <n v="57"/>
    <n v="4"/>
    <x v="1"/>
    <s v="Research Scientist"/>
    <n v="3"/>
    <s v="Divorced"/>
    <n v="2759"/>
    <n v="20366"/>
    <n v="6"/>
    <s v="Y"/>
    <s v="Yes"/>
    <s v="Yes"/>
    <n v="12"/>
    <n v="3"/>
    <n v="4"/>
    <n v="80"/>
    <n v="0"/>
    <n v="7"/>
    <s v="6-15"/>
    <n v="2"/>
    <n v="3"/>
    <n v="2"/>
    <n v="2"/>
    <n v="2"/>
    <n v="2"/>
    <s v="Below Avg"/>
    <n v="28.138528138528141"/>
    <s v="No"/>
    <s v="Low Risk"/>
  </r>
  <r>
    <n v="43"/>
    <x v="1"/>
    <s v="No"/>
    <s v="Travel_Frequently"/>
    <n v="775"/>
    <x v="0"/>
    <n v="15"/>
    <n v="3"/>
    <s v="Life Sciences"/>
    <n v="1"/>
    <n v="754"/>
    <n v="4"/>
    <s v="Male"/>
    <n v="47"/>
    <n v="2"/>
    <x v="0"/>
    <s v="Sales Executive"/>
    <n v="4"/>
    <s v="Married"/>
    <n v="6804"/>
    <n v="23683"/>
    <n v="3"/>
    <s v="Y"/>
    <s v="No"/>
    <s v="No"/>
    <n v="18"/>
    <n v="3"/>
    <n v="3"/>
    <n v="80"/>
    <n v="1"/>
    <n v="7"/>
    <s v="6-15"/>
    <n v="5"/>
    <n v="3"/>
    <n v="2"/>
    <n v="2"/>
    <n v="2"/>
    <n v="2"/>
    <s v="Below Avg"/>
    <n v="28.169014084507044"/>
    <s v="No"/>
    <s v="Low Risk"/>
  </r>
  <r>
    <n v="34"/>
    <x v="1"/>
    <s v="No"/>
    <s v="Travel_Rarely"/>
    <n v="970"/>
    <x v="1"/>
    <n v="8"/>
    <n v="2"/>
    <s v="Medical"/>
    <n v="1"/>
    <n v="757"/>
    <n v="2"/>
    <s v="Female"/>
    <n v="96"/>
    <n v="3"/>
    <x v="0"/>
    <s v="Healthcare Representative"/>
    <n v="3"/>
    <s v="Single"/>
    <n v="6142"/>
    <n v="7360"/>
    <n v="3"/>
    <s v="Y"/>
    <s v="No"/>
    <s v="No"/>
    <n v="11"/>
    <n v="3"/>
    <n v="4"/>
    <n v="80"/>
    <n v="0"/>
    <n v="10"/>
    <s v="6-15"/>
    <n v="2"/>
    <n v="3"/>
    <n v="5"/>
    <n v="1"/>
    <n v="4"/>
    <n v="3"/>
    <s v="Below Avg"/>
    <n v="28.091106290672453"/>
    <s v="No"/>
    <s v="Low Risk"/>
  </r>
  <r>
    <n v="23"/>
    <x v="1"/>
    <s v="No"/>
    <s v="Travel_Rarely"/>
    <n v="650"/>
    <x v="1"/>
    <n v="9"/>
    <n v="1"/>
    <s v="Medical"/>
    <n v="1"/>
    <n v="758"/>
    <n v="2"/>
    <s v="Male"/>
    <n v="37"/>
    <n v="3"/>
    <x v="1"/>
    <s v="Laboratory Technician"/>
    <n v="1"/>
    <s v="Married"/>
    <n v="2500"/>
    <n v="4344"/>
    <n v="1"/>
    <s v="Y"/>
    <s v="No"/>
    <s v="No"/>
    <n v="14"/>
    <n v="3"/>
    <n v="4"/>
    <n v="80"/>
    <n v="1"/>
    <n v="5"/>
    <s v="0-5"/>
    <n v="2"/>
    <n v="4"/>
    <n v="4"/>
    <n v="3"/>
    <n v="0"/>
    <n v="2"/>
    <s v="Below Avg"/>
    <n v="28.121606948968513"/>
    <s v="No"/>
    <s v="Low Risk"/>
  </r>
  <r>
    <n v="39"/>
    <x v="1"/>
    <s v="No"/>
    <s v="Travel_Rarely"/>
    <n v="141"/>
    <x v="2"/>
    <n v="3"/>
    <n v="3"/>
    <s v="Human Resources"/>
    <n v="1"/>
    <n v="760"/>
    <n v="3"/>
    <s v="Female"/>
    <n v="44"/>
    <n v="4"/>
    <x v="0"/>
    <s v="Human Resources"/>
    <n v="2"/>
    <s v="Married"/>
    <n v="6389"/>
    <n v="18767"/>
    <n v="9"/>
    <s v="Y"/>
    <s v="No"/>
    <s v="No"/>
    <n v="15"/>
    <n v="3"/>
    <n v="3"/>
    <n v="80"/>
    <n v="1"/>
    <n v="12"/>
    <s v="6-15"/>
    <n v="3"/>
    <n v="1"/>
    <n v="8"/>
    <n v="3"/>
    <n v="3"/>
    <n v="6"/>
    <s v="Ok"/>
    <n v="28.152173913043477"/>
    <s v="No"/>
    <s v="Low Risk"/>
  </r>
  <r>
    <n v="56"/>
    <x v="1"/>
    <s v="No"/>
    <s v="Travel_Rarely"/>
    <n v="832"/>
    <x v="1"/>
    <n v="9"/>
    <n v="3"/>
    <s v="Medical"/>
    <n v="1"/>
    <n v="762"/>
    <n v="3"/>
    <s v="Male"/>
    <n v="81"/>
    <n v="3"/>
    <x v="3"/>
    <s v="Healthcare Representative"/>
    <n v="4"/>
    <s v="Married"/>
    <n v="11103"/>
    <n v="20420"/>
    <n v="7"/>
    <s v="Y"/>
    <s v="No"/>
    <s v="No"/>
    <n v="11"/>
    <n v="3"/>
    <n v="3"/>
    <n v="80"/>
    <n v="0"/>
    <n v="30"/>
    <s v="&gt;15"/>
    <n v="1"/>
    <n v="2"/>
    <n v="10"/>
    <n v="7"/>
    <n v="1"/>
    <n v="1"/>
    <s v="Ok"/>
    <n v="28.182807399347116"/>
    <s v="No"/>
    <s v="Low Risk"/>
  </r>
  <r>
    <n v="40"/>
    <x v="1"/>
    <s v="No"/>
    <s v="Travel_Rarely"/>
    <n v="804"/>
    <x v="1"/>
    <n v="2"/>
    <n v="1"/>
    <s v="Medical"/>
    <n v="1"/>
    <n v="763"/>
    <n v="4"/>
    <s v="Female"/>
    <n v="86"/>
    <n v="2"/>
    <x v="1"/>
    <s v="Research Scientist"/>
    <n v="4"/>
    <s v="Single"/>
    <n v="2342"/>
    <n v="22929"/>
    <n v="0"/>
    <s v="Y"/>
    <s v="Yes"/>
    <s v="Yes"/>
    <n v="20"/>
    <n v="4"/>
    <n v="4"/>
    <n v="80"/>
    <n v="0"/>
    <n v="5"/>
    <s v="0-5"/>
    <n v="2"/>
    <n v="2"/>
    <n v="4"/>
    <n v="2"/>
    <n v="2"/>
    <n v="3"/>
    <s v="Below Avg"/>
    <n v="28.213507625272332"/>
    <s v="No"/>
    <s v="Low Risk"/>
  </r>
  <r>
    <n v="27"/>
    <x v="1"/>
    <s v="No"/>
    <s v="Travel_Rarely"/>
    <n v="975"/>
    <x v="1"/>
    <n v="7"/>
    <n v="3"/>
    <s v="Medical"/>
    <n v="1"/>
    <n v="764"/>
    <n v="4"/>
    <s v="Female"/>
    <n v="55"/>
    <n v="2"/>
    <x v="0"/>
    <s v="Healthcare Representative"/>
    <n v="1"/>
    <s v="Single"/>
    <n v="6811"/>
    <n v="23398"/>
    <n v="8"/>
    <s v="Y"/>
    <s v="No"/>
    <s v="No"/>
    <n v="19"/>
    <n v="3"/>
    <n v="1"/>
    <n v="80"/>
    <n v="0"/>
    <n v="9"/>
    <s v="6-15"/>
    <n v="2"/>
    <n v="1"/>
    <n v="7"/>
    <n v="6"/>
    <n v="0"/>
    <n v="7"/>
    <s v="Ok"/>
    <n v="28.244274809160309"/>
    <s v="No"/>
    <s v="Low Risk"/>
  </r>
  <r>
    <n v="29"/>
    <x v="1"/>
    <s v="No"/>
    <s v="Travel_Rarely"/>
    <n v="1090"/>
    <x v="0"/>
    <n v="10"/>
    <n v="3"/>
    <s v="Marketing"/>
    <n v="1"/>
    <n v="766"/>
    <n v="4"/>
    <s v="Male"/>
    <n v="83"/>
    <n v="3"/>
    <x v="1"/>
    <s v="Sales Representative"/>
    <n v="2"/>
    <s v="Divorced"/>
    <n v="2297"/>
    <n v="17967"/>
    <n v="1"/>
    <s v="Y"/>
    <s v="No"/>
    <s v="No"/>
    <n v="14"/>
    <n v="3"/>
    <n v="4"/>
    <n v="80"/>
    <n v="2"/>
    <n v="2"/>
    <s v="0-5"/>
    <n v="2"/>
    <n v="3"/>
    <n v="2"/>
    <n v="2"/>
    <n v="2"/>
    <n v="2"/>
    <s v="Below Avg"/>
    <n v="28.165938864628821"/>
    <s v="No"/>
    <s v="Low Risk"/>
  </r>
  <r>
    <n v="53"/>
    <x v="1"/>
    <s v="No"/>
    <s v="Travel_Rarely"/>
    <n v="346"/>
    <x v="1"/>
    <n v="6"/>
    <n v="3"/>
    <s v="Life Sciences"/>
    <n v="1"/>
    <n v="769"/>
    <n v="4"/>
    <s v="Male"/>
    <n v="86"/>
    <n v="3"/>
    <x v="0"/>
    <s v="Laboratory Technician"/>
    <n v="4"/>
    <s v="Single"/>
    <n v="2450"/>
    <n v="10919"/>
    <n v="2"/>
    <s v="Y"/>
    <s v="No"/>
    <s v="No"/>
    <n v="17"/>
    <n v="3"/>
    <n v="4"/>
    <n v="80"/>
    <n v="0"/>
    <n v="19"/>
    <s v="&gt;15"/>
    <n v="4"/>
    <n v="3"/>
    <n v="2"/>
    <n v="2"/>
    <n v="2"/>
    <n v="2"/>
    <s v="Below Avg"/>
    <n v="28.196721311475407"/>
    <s v="No"/>
    <s v="Low Risk"/>
  </r>
  <r>
    <n v="35"/>
    <x v="1"/>
    <s v="No"/>
    <s v="Non-Travel"/>
    <n v="1225"/>
    <x v="1"/>
    <n v="2"/>
    <n v="4"/>
    <s v="Life Sciences"/>
    <n v="1"/>
    <n v="771"/>
    <n v="4"/>
    <s v="Female"/>
    <n v="61"/>
    <n v="3"/>
    <x v="0"/>
    <s v="Healthcare Representative"/>
    <n v="1"/>
    <s v="Divorced"/>
    <n v="5093"/>
    <n v="4761"/>
    <n v="2"/>
    <s v="Y"/>
    <s v="No"/>
    <s v="No"/>
    <n v="11"/>
    <n v="3"/>
    <n v="1"/>
    <n v="80"/>
    <n v="1"/>
    <n v="16"/>
    <s v="&gt;15"/>
    <n v="2"/>
    <n v="4"/>
    <n v="1"/>
    <n v="0"/>
    <n v="0"/>
    <n v="0"/>
    <s v="Below Avg"/>
    <n v="28.227571115973742"/>
    <s v="No"/>
    <s v="Low Risk"/>
  </r>
  <r>
    <n v="32"/>
    <x v="1"/>
    <s v="No"/>
    <s v="Travel_Frequently"/>
    <n v="430"/>
    <x v="1"/>
    <n v="24"/>
    <n v="4"/>
    <s v="Life Sciences"/>
    <n v="1"/>
    <n v="772"/>
    <n v="1"/>
    <s v="Male"/>
    <n v="80"/>
    <n v="3"/>
    <x v="0"/>
    <s v="Laboratory Technician"/>
    <n v="4"/>
    <s v="Married"/>
    <n v="5309"/>
    <n v="21146"/>
    <n v="1"/>
    <s v="Y"/>
    <s v="No"/>
    <s v="No"/>
    <n v="15"/>
    <n v="3"/>
    <n v="4"/>
    <n v="80"/>
    <n v="2"/>
    <n v="10"/>
    <s v="6-15"/>
    <n v="2"/>
    <n v="3"/>
    <n v="10"/>
    <n v="8"/>
    <n v="4"/>
    <n v="7"/>
    <s v="Below Avg"/>
    <n v="28.258488499452355"/>
    <s v="No"/>
    <s v="Low Risk"/>
  </r>
  <r>
    <n v="38"/>
    <x v="1"/>
    <s v="No"/>
    <s v="Travel_Rarely"/>
    <n v="268"/>
    <x v="1"/>
    <n v="2"/>
    <n v="5"/>
    <s v="Medical"/>
    <n v="1"/>
    <n v="773"/>
    <n v="4"/>
    <s v="Male"/>
    <n v="92"/>
    <n v="3"/>
    <x v="1"/>
    <s v="Research Scientist"/>
    <n v="3"/>
    <s v="Married"/>
    <n v="3057"/>
    <n v="20471"/>
    <n v="6"/>
    <s v="Y"/>
    <s v="Yes"/>
    <s v="Yes"/>
    <n v="13"/>
    <n v="3"/>
    <n v="2"/>
    <n v="80"/>
    <n v="1"/>
    <n v="6"/>
    <s v="6-15"/>
    <n v="0"/>
    <n v="1"/>
    <n v="1"/>
    <n v="0"/>
    <n v="0"/>
    <n v="1"/>
    <s v="Below Avg"/>
    <n v="28.289473684210524"/>
    <s v="No"/>
    <s v="Low Risk"/>
  </r>
  <r>
    <n v="34"/>
    <x v="1"/>
    <s v="No"/>
    <s v="Travel_Rarely"/>
    <n v="167"/>
    <x v="1"/>
    <n v="8"/>
    <n v="5"/>
    <s v="Life Sciences"/>
    <n v="1"/>
    <n v="775"/>
    <n v="2"/>
    <s v="Female"/>
    <n v="32"/>
    <n v="3"/>
    <x v="0"/>
    <s v="Manufacturing Director"/>
    <n v="1"/>
    <s v="Divorced"/>
    <n v="5121"/>
    <n v="4187"/>
    <n v="3"/>
    <s v="Y"/>
    <s v="No"/>
    <s v="No"/>
    <n v="14"/>
    <n v="3"/>
    <n v="3"/>
    <n v="80"/>
    <n v="1"/>
    <n v="7"/>
    <s v="6-15"/>
    <n v="3"/>
    <n v="3"/>
    <n v="0"/>
    <n v="0"/>
    <n v="0"/>
    <n v="0"/>
    <s v="Below Avg"/>
    <n v="28.320526893523599"/>
    <s v="No"/>
    <s v="Low Risk"/>
  </r>
  <r>
    <n v="52"/>
    <x v="1"/>
    <s v="No"/>
    <s v="Travel_Rarely"/>
    <n v="621"/>
    <x v="0"/>
    <n v="3"/>
    <n v="4"/>
    <s v="Marketing"/>
    <n v="1"/>
    <n v="776"/>
    <n v="3"/>
    <s v="Male"/>
    <n v="31"/>
    <n v="2"/>
    <x v="3"/>
    <s v="Manager"/>
    <n v="1"/>
    <s v="Married"/>
    <n v="16856"/>
    <n v="10084"/>
    <n v="1"/>
    <s v="Y"/>
    <s v="No"/>
    <s v="No"/>
    <n v="11"/>
    <n v="3"/>
    <n v="1"/>
    <n v="80"/>
    <n v="0"/>
    <n v="34"/>
    <s v="&gt;15"/>
    <n v="3"/>
    <n v="4"/>
    <n v="34"/>
    <n v="6"/>
    <n v="1"/>
    <n v="16"/>
    <s v="Ok"/>
    <n v="28.241758241758241"/>
    <s v="No"/>
    <s v="Low Risk"/>
  </r>
  <r>
    <n v="33"/>
    <x v="0"/>
    <s v="Yes"/>
    <s v="Travel_Rarely"/>
    <n v="527"/>
    <x v="1"/>
    <n v="1"/>
    <n v="4"/>
    <s v="Other"/>
    <n v="1"/>
    <n v="780"/>
    <n v="4"/>
    <s v="Male"/>
    <n v="63"/>
    <n v="3"/>
    <x v="1"/>
    <s v="Research Scientist"/>
    <n v="4"/>
    <s v="Single"/>
    <n v="2686"/>
    <n v="5207"/>
    <n v="1"/>
    <s v="Y"/>
    <s v="Yes"/>
    <s v="Yes"/>
    <n v="13"/>
    <n v="3"/>
    <n v="3"/>
    <n v="80"/>
    <n v="0"/>
    <n v="10"/>
    <s v="6-15"/>
    <n v="2"/>
    <n v="2"/>
    <n v="10"/>
    <n v="9"/>
    <n v="7"/>
    <n v="8"/>
    <s v="Below Avg"/>
    <n v="28.272827282728276"/>
    <s v="No"/>
    <s v="Low Risk"/>
  </r>
  <r>
    <n v="25"/>
    <x v="1"/>
    <s v="No"/>
    <s v="Travel_Rarely"/>
    <n v="883"/>
    <x v="0"/>
    <n v="26"/>
    <n v="1"/>
    <s v="Medical"/>
    <n v="1"/>
    <n v="781"/>
    <n v="3"/>
    <s v="Female"/>
    <n v="32"/>
    <n v="3"/>
    <x v="0"/>
    <s v="Sales Executive"/>
    <n v="4"/>
    <s v="Single"/>
    <n v="6180"/>
    <n v="22807"/>
    <n v="1"/>
    <s v="Y"/>
    <s v="No"/>
    <s v="No"/>
    <n v="23"/>
    <n v="4"/>
    <n v="2"/>
    <n v="80"/>
    <n v="0"/>
    <n v="6"/>
    <s v="6-15"/>
    <n v="5"/>
    <n v="2"/>
    <n v="6"/>
    <n v="5"/>
    <n v="1"/>
    <n v="4"/>
    <s v="Below Avg"/>
    <n v="28.303964757709249"/>
    <s v="No"/>
    <s v="Low Risk"/>
  </r>
  <r>
    <n v="45"/>
    <x v="1"/>
    <s v="No"/>
    <s v="Travel_Rarely"/>
    <n v="954"/>
    <x v="0"/>
    <n v="2"/>
    <n v="2"/>
    <s v="Technical Degree"/>
    <n v="1"/>
    <n v="783"/>
    <n v="2"/>
    <s v="Male"/>
    <n v="46"/>
    <n v="1"/>
    <x v="0"/>
    <s v="Sales Representative"/>
    <n v="3"/>
    <s v="Single"/>
    <n v="6632"/>
    <n v="12388"/>
    <n v="0"/>
    <s v="Y"/>
    <s v="No"/>
    <s v="No"/>
    <n v="13"/>
    <n v="3"/>
    <n v="1"/>
    <n v="80"/>
    <n v="0"/>
    <n v="9"/>
    <s v="6-15"/>
    <n v="3"/>
    <n v="3"/>
    <n v="8"/>
    <n v="7"/>
    <n v="3"/>
    <n v="1"/>
    <s v="Below Avg"/>
    <n v="28.224917309812568"/>
    <s v="No"/>
    <s v="Low Risk"/>
  </r>
  <r>
    <n v="23"/>
    <x v="1"/>
    <s v="No"/>
    <s v="Travel_Rarely"/>
    <n v="310"/>
    <x v="1"/>
    <n v="10"/>
    <n v="1"/>
    <s v="Medical"/>
    <n v="1"/>
    <n v="784"/>
    <n v="1"/>
    <s v="Male"/>
    <n v="79"/>
    <n v="4"/>
    <x v="1"/>
    <s v="Research Scientist"/>
    <n v="3"/>
    <s v="Single"/>
    <n v="3505"/>
    <n v="19630"/>
    <n v="1"/>
    <s v="Y"/>
    <s v="No"/>
    <s v="No"/>
    <n v="18"/>
    <n v="3"/>
    <n v="4"/>
    <n v="80"/>
    <n v="0"/>
    <n v="2"/>
    <s v="0-5"/>
    <n v="3"/>
    <n v="3"/>
    <n v="2"/>
    <n v="2"/>
    <n v="0"/>
    <n v="2"/>
    <s v="Below Avg"/>
    <n v="28.256070640176599"/>
    <s v="No"/>
    <s v="Low Risk"/>
  </r>
  <r>
    <n v="47"/>
    <x v="0"/>
    <s v="Yes"/>
    <s v="Travel_Frequently"/>
    <n v="719"/>
    <x v="0"/>
    <n v="27"/>
    <n v="2"/>
    <s v="Life Sciences"/>
    <n v="1"/>
    <n v="785"/>
    <n v="2"/>
    <s v="Female"/>
    <n v="77"/>
    <n v="4"/>
    <x v="0"/>
    <s v="Sales Executive"/>
    <n v="3"/>
    <s v="Single"/>
    <n v="6397"/>
    <n v="10339"/>
    <n v="4"/>
    <s v="Y"/>
    <s v="Yes"/>
    <s v="Yes"/>
    <n v="12"/>
    <n v="3"/>
    <n v="4"/>
    <n v="80"/>
    <n v="0"/>
    <n v="8"/>
    <s v="6-15"/>
    <n v="2"/>
    <n v="3"/>
    <n v="5"/>
    <n v="4"/>
    <n v="1"/>
    <n v="3"/>
    <s v="Below Avg"/>
    <n v="28.28729281767956"/>
    <s v="No"/>
    <s v="Low Risk"/>
  </r>
  <r>
    <n v="34"/>
    <x v="1"/>
    <s v="No"/>
    <s v="Travel_Rarely"/>
    <n v="304"/>
    <x v="0"/>
    <n v="2"/>
    <n v="3"/>
    <s v="Other"/>
    <n v="1"/>
    <n v="786"/>
    <n v="4"/>
    <s v="Male"/>
    <n v="60"/>
    <n v="3"/>
    <x v="0"/>
    <s v="Sales Executive"/>
    <n v="4"/>
    <s v="Single"/>
    <n v="6274"/>
    <n v="18686"/>
    <n v="1"/>
    <s v="Y"/>
    <s v="No"/>
    <s v="No"/>
    <n v="22"/>
    <n v="4"/>
    <n v="3"/>
    <n v="80"/>
    <n v="0"/>
    <n v="6"/>
    <s v="6-15"/>
    <n v="5"/>
    <n v="3"/>
    <n v="6"/>
    <n v="5"/>
    <n v="1"/>
    <n v="4"/>
    <s v="Below Avg"/>
    <n v="28.318584070796462"/>
    <s v="No"/>
    <s v="Low Risk"/>
  </r>
  <r>
    <n v="55"/>
    <x v="0"/>
    <s v="Yes"/>
    <s v="Travel_Rarely"/>
    <n v="725"/>
    <x v="1"/>
    <n v="2"/>
    <n v="3"/>
    <s v="Medical"/>
    <n v="1"/>
    <n v="787"/>
    <n v="4"/>
    <s v="Male"/>
    <n v="78"/>
    <n v="3"/>
    <x v="4"/>
    <s v="Manager"/>
    <n v="1"/>
    <s v="Married"/>
    <n v="19859"/>
    <n v="21199"/>
    <n v="5"/>
    <s v="Y"/>
    <s v="Yes"/>
    <s v="Yes"/>
    <n v="13"/>
    <n v="3"/>
    <n v="4"/>
    <n v="80"/>
    <n v="1"/>
    <n v="24"/>
    <s v="&gt;15"/>
    <n v="2"/>
    <n v="3"/>
    <n v="5"/>
    <n v="2"/>
    <n v="1"/>
    <n v="4"/>
    <s v="Ok"/>
    <n v="28.239202657807311"/>
    <s v="No"/>
    <s v="Low Risk"/>
  </r>
  <r>
    <n v="36"/>
    <x v="1"/>
    <s v="No"/>
    <s v="Non-Travel"/>
    <n v="1434"/>
    <x v="0"/>
    <n v="8"/>
    <n v="4"/>
    <s v="Life Sciences"/>
    <n v="1"/>
    <n v="789"/>
    <n v="1"/>
    <s v="Male"/>
    <n v="76"/>
    <n v="2"/>
    <x v="2"/>
    <s v="Sales Executive"/>
    <n v="1"/>
    <s v="Single"/>
    <n v="7587"/>
    <n v="14229"/>
    <n v="1"/>
    <s v="Y"/>
    <s v="No"/>
    <s v="No"/>
    <n v="15"/>
    <n v="3"/>
    <n v="2"/>
    <n v="80"/>
    <n v="0"/>
    <n v="10"/>
    <s v="6-15"/>
    <n v="1"/>
    <n v="3"/>
    <n v="10"/>
    <n v="7"/>
    <n v="0"/>
    <n v="9"/>
    <s v="Ok"/>
    <n v="28.270509977827054"/>
    <s v="No"/>
    <s v="Low Risk"/>
  </r>
  <r>
    <n v="52"/>
    <x v="1"/>
    <s v="No"/>
    <s v="Non-Travel"/>
    <n v="715"/>
    <x v="1"/>
    <n v="19"/>
    <n v="4"/>
    <s v="Medical"/>
    <n v="1"/>
    <n v="791"/>
    <n v="4"/>
    <s v="Male"/>
    <n v="41"/>
    <n v="3"/>
    <x v="1"/>
    <s v="Research Scientist"/>
    <n v="4"/>
    <s v="Married"/>
    <n v="4258"/>
    <n v="26589"/>
    <n v="0"/>
    <s v="Y"/>
    <s v="No"/>
    <s v="No"/>
    <n v="18"/>
    <n v="3"/>
    <n v="1"/>
    <n v="80"/>
    <n v="1"/>
    <n v="5"/>
    <s v="0-5"/>
    <n v="3"/>
    <n v="3"/>
    <n v="4"/>
    <n v="3"/>
    <n v="1"/>
    <n v="2"/>
    <s v="Below Avg"/>
    <n v="28.190899001109877"/>
    <s v="No"/>
    <s v="Low Risk"/>
  </r>
  <r>
    <n v="26"/>
    <x v="1"/>
    <s v="No"/>
    <s v="Travel_Frequently"/>
    <n v="575"/>
    <x v="1"/>
    <n v="1"/>
    <n v="2"/>
    <s v="Life Sciences"/>
    <n v="1"/>
    <n v="792"/>
    <n v="1"/>
    <s v="Female"/>
    <n v="71"/>
    <n v="1"/>
    <x v="1"/>
    <s v="Laboratory Technician"/>
    <n v="4"/>
    <s v="Divorced"/>
    <n v="4364"/>
    <n v="5288"/>
    <n v="3"/>
    <s v="Y"/>
    <s v="No"/>
    <s v="No"/>
    <n v="14"/>
    <n v="3"/>
    <n v="1"/>
    <n v="80"/>
    <n v="1"/>
    <n v="5"/>
    <s v="0-5"/>
    <n v="2"/>
    <n v="3"/>
    <n v="2"/>
    <n v="2"/>
    <n v="2"/>
    <n v="0"/>
    <s v="Below Avg"/>
    <n v="28.222222222222221"/>
    <s v="No"/>
    <s v="Low Risk"/>
  </r>
  <r>
    <n v="29"/>
    <x v="1"/>
    <s v="No"/>
    <s v="Travel_Rarely"/>
    <n v="657"/>
    <x v="1"/>
    <n v="27"/>
    <n v="3"/>
    <s v="Medical"/>
    <n v="1"/>
    <n v="793"/>
    <n v="2"/>
    <s v="Female"/>
    <n v="66"/>
    <n v="3"/>
    <x v="0"/>
    <s v="Healthcare Representative"/>
    <n v="3"/>
    <s v="Married"/>
    <n v="4335"/>
    <n v="25549"/>
    <n v="4"/>
    <s v="Y"/>
    <s v="No"/>
    <s v="No"/>
    <n v="12"/>
    <n v="3"/>
    <n v="1"/>
    <n v="80"/>
    <n v="1"/>
    <n v="11"/>
    <s v="6-15"/>
    <n v="3"/>
    <n v="2"/>
    <n v="8"/>
    <n v="7"/>
    <n v="1"/>
    <n v="1"/>
    <s v="Below Avg"/>
    <n v="28.253615127919911"/>
    <s v="No"/>
    <s v="Low Risk"/>
  </r>
  <r>
    <n v="26"/>
    <x v="0"/>
    <s v="Yes"/>
    <s v="Travel_Rarely"/>
    <n v="1146"/>
    <x v="0"/>
    <n v="8"/>
    <n v="3"/>
    <s v="Technical Degree"/>
    <n v="1"/>
    <n v="796"/>
    <n v="4"/>
    <s v="Male"/>
    <n v="38"/>
    <n v="2"/>
    <x v="0"/>
    <s v="Sales Executive"/>
    <n v="1"/>
    <s v="Single"/>
    <n v="5326"/>
    <n v="3064"/>
    <n v="6"/>
    <s v="Y"/>
    <s v="No"/>
    <s v="No"/>
    <n v="17"/>
    <n v="3"/>
    <n v="3"/>
    <n v="80"/>
    <n v="0"/>
    <n v="6"/>
    <s v="6-15"/>
    <n v="2"/>
    <n v="2"/>
    <n v="4"/>
    <n v="3"/>
    <n v="1"/>
    <n v="2"/>
    <s v="Below Avg"/>
    <n v="28.285077951002229"/>
    <s v="No"/>
    <s v="Low Risk"/>
  </r>
  <r>
    <n v="34"/>
    <x v="1"/>
    <s v="No"/>
    <s v="Travel_Rarely"/>
    <n v="182"/>
    <x v="1"/>
    <n v="1"/>
    <n v="4"/>
    <s v="Life Sciences"/>
    <n v="1"/>
    <n v="797"/>
    <n v="2"/>
    <s v="Female"/>
    <n v="72"/>
    <n v="4"/>
    <x v="1"/>
    <s v="Research Scientist"/>
    <n v="4"/>
    <s v="Single"/>
    <n v="3280"/>
    <n v="13551"/>
    <n v="2"/>
    <s v="Y"/>
    <s v="No"/>
    <s v="No"/>
    <n v="16"/>
    <n v="3"/>
    <n v="3"/>
    <n v="80"/>
    <n v="0"/>
    <n v="10"/>
    <s v="6-15"/>
    <n v="2"/>
    <n v="3"/>
    <n v="4"/>
    <n v="2"/>
    <n v="1"/>
    <n v="3"/>
    <s v="Below Avg"/>
    <n v="28.316610925306581"/>
    <s v="No"/>
    <s v="Low Risk"/>
  </r>
  <r>
    <n v="54"/>
    <x v="1"/>
    <s v="No"/>
    <s v="Travel_Rarely"/>
    <n v="376"/>
    <x v="1"/>
    <n v="19"/>
    <n v="4"/>
    <s v="Medical"/>
    <n v="1"/>
    <n v="799"/>
    <n v="4"/>
    <s v="Female"/>
    <n v="95"/>
    <n v="3"/>
    <x v="0"/>
    <s v="Manufacturing Director"/>
    <n v="1"/>
    <s v="Divorced"/>
    <n v="5485"/>
    <n v="22670"/>
    <n v="9"/>
    <s v="Y"/>
    <s v="Yes"/>
    <s v="Yes"/>
    <n v="11"/>
    <n v="3"/>
    <n v="2"/>
    <n v="80"/>
    <n v="2"/>
    <n v="9"/>
    <s v="6-15"/>
    <n v="4"/>
    <n v="3"/>
    <n v="5"/>
    <n v="3"/>
    <n v="1"/>
    <n v="4"/>
    <s v="Below Avg"/>
    <n v="28.348214285714285"/>
    <s v="No"/>
    <s v="Low Risk"/>
  </r>
  <r>
    <n v="27"/>
    <x v="1"/>
    <s v="No"/>
    <s v="Travel_Frequently"/>
    <n v="829"/>
    <x v="0"/>
    <n v="8"/>
    <n v="1"/>
    <s v="Marketing"/>
    <n v="1"/>
    <n v="800"/>
    <n v="3"/>
    <s v="Male"/>
    <n v="84"/>
    <n v="3"/>
    <x v="0"/>
    <s v="Sales Executive"/>
    <n v="4"/>
    <s v="Married"/>
    <n v="4342"/>
    <n v="24008"/>
    <n v="0"/>
    <s v="Y"/>
    <s v="No"/>
    <s v="No"/>
    <n v="19"/>
    <n v="3"/>
    <n v="2"/>
    <n v="80"/>
    <n v="1"/>
    <n v="5"/>
    <s v="0-5"/>
    <n v="3"/>
    <n v="3"/>
    <n v="4"/>
    <n v="2"/>
    <n v="1"/>
    <n v="1"/>
    <s v="Below Avg"/>
    <n v="28.379888268156421"/>
    <s v="No"/>
    <s v="Low Risk"/>
  </r>
  <r>
    <n v="37"/>
    <x v="1"/>
    <s v="No"/>
    <s v="Travel_Rarely"/>
    <n v="571"/>
    <x v="1"/>
    <n v="10"/>
    <n v="1"/>
    <s v="Life Sciences"/>
    <n v="1"/>
    <n v="802"/>
    <n v="4"/>
    <s v="Female"/>
    <n v="82"/>
    <n v="3"/>
    <x v="1"/>
    <s v="Research Scientist"/>
    <n v="1"/>
    <s v="Divorced"/>
    <n v="2782"/>
    <n v="19905"/>
    <n v="0"/>
    <s v="Y"/>
    <s v="Yes"/>
    <s v="Yes"/>
    <n v="13"/>
    <n v="3"/>
    <n v="2"/>
    <n v="80"/>
    <n v="2"/>
    <n v="6"/>
    <s v="6-15"/>
    <n v="3"/>
    <n v="2"/>
    <n v="5"/>
    <n v="3"/>
    <n v="4"/>
    <n v="3"/>
    <s v="Below Avg"/>
    <n v="28.299776286353467"/>
    <s v="No"/>
    <s v="Low Risk"/>
  </r>
  <r>
    <n v="38"/>
    <x v="1"/>
    <s v="No"/>
    <s v="Travel_Frequently"/>
    <n v="240"/>
    <x v="1"/>
    <n v="2"/>
    <n v="4"/>
    <s v="Life Sciences"/>
    <n v="1"/>
    <n v="803"/>
    <n v="1"/>
    <s v="Female"/>
    <n v="75"/>
    <n v="4"/>
    <x v="0"/>
    <s v="Manufacturing Director"/>
    <n v="1"/>
    <s v="Single"/>
    <n v="5980"/>
    <n v="26085"/>
    <n v="6"/>
    <s v="Y"/>
    <s v="Yes"/>
    <s v="Yes"/>
    <n v="12"/>
    <n v="3"/>
    <n v="4"/>
    <n v="80"/>
    <n v="0"/>
    <n v="17"/>
    <s v="&gt;15"/>
    <n v="2"/>
    <n v="3"/>
    <n v="15"/>
    <n v="7"/>
    <n v="4"/>
    <n v="12"/>
    <s v="Below Avg"/>
    <n v="28.331466965285557"/>
    <s v="No"/>
    <s v="Low Risk"/>
  </r>
  <r>
    <n v="34"/>
    <x v="1"/>
    <s v="No"/>
    <s v="Travel_Rarely"/>
    <n v="121"/>
    <x v="1"/>
    <n v="2"/>
    <n v="4"/>
    <s v="Medical"/>
    <n v="1"/>
    <n v="804"/>
    <n v="3"/>
    <s v="Female"/>
    <n v="86"/>
    <n v="2"/>
    <x v="1"/>
    <s v="Research Scientist"/>
    <n v="1"/>
    <s v="Single"/>
    <n v="4381"/>
    <n v="7530"/>
    <n v="1"/>
    <s v="Y"/>
    <s v="No"/>
    <s v="No"/>
    <n v="11"/>
    <n v="3"/>
    <n v="3"/>
    <n v="80"/>
    <n v="0"/>
    <n v="6"/>
    <s v="6-15"/>
    <n v="3"/>
    <n v="3"/>
    <n v="6"/>
    <n v="5"/>
    <n v="1"/>
    <n v="3"/>
    <s v="Below Avg"/>
    <n v="28.251121076233183"/>
    <s v="No"/>
    <s v="Low Risk"/>
  </r>
  <r>
    <n v="35"/>
    <x v="1"/>
    <s v="No"/>
    <s v="Travel_Rarely"/>
    <n v="384"/>
    <x v="0"/>
    <n v="8"/>
    <n v="4"/>
    <s v="Life Sciences"/>
    <n v="1"/>
    <n v="805"/>
    <n v="1"/>
    <s v="Female"/>
    <n v="72"/>
    <n v="3"/>
    <x v="1"/>
    <s v="Sales Representative"/>
    <n v="4"/>
    <s v="Married"/>
    <n v="2572"/>
    <n v="20317"/>
    <n v="1"/>
    <s v="Y"/>
    <s v="No"/>
    <s v="No"/>
    <n v="16"/>
    <n v="3"/>
    <n v="2"/>
    <n v="80"/>
    <n v="1"/>
    <n v="3"/>
    <s v="0-5"/>
    <n v="1"/>
    <n v="2"/>
    <n v="3"/>
    <n v="2"/>
    <n v="0"/>
    <n v="2"/>
    <s v="Below Avg"/>
    <n v="28.170594837261504"/>
    <s v="No"/>
    <s v="Low Risk"/>
  </r>
  <r>
    <n v="30"/>
    <x v="1"/>
    <s v="No"/>
    <s v="Travel_Rarely"/>
    <n v="921"/>
    <x v="1"/>
    <n v="1"/>
    <n v="3"/>
    <s v="Life Sciences"/>
    <n v="1"/>
    <n v="806"/>
    <n v="4"/>
    <s v="Male"/>
    <n v="38"/>
    <n v="1"/>
    <x v="1"/>
    <s v="Laboratory Technician"/>
    <n v="3"/>
    <s v="Married"/>
    <n v="3833"/>
    <n v="24375"/>
    <n v="3"/>
    <s v="Y"/>
    <s v="No"/>
    <s v="No"/>
    <n v="21"/>
    <n v="4"/>
    <n v="3"/>
    <n v="80"/>
    <n v="2"/>
    <n v="7"/>
    <s v="6-15"/>
    <n v="2"/>
    <n v="3"/>
    <n v="2"/>
    <n v="2"/>
    <n v="0"/>
    <n v="2"/>
    <s v="Below Avg"/>
    <n v="28.202247191011239"/>
    <s v="No"/>
    <s v="Low Risk"/>
  </r>
  <r>
    <n v="40"/>
    <x v="1"/>
    <s v="No"/>
    <s v="Travel_Frequently"/>
    <n v="791"/>
    <x v="1"/>
    <n v="2"/>
    <n v="2"/>
    <s v="Medical"/>
    <n v="1"/>
    <n v="807"/>
    <n v="3"/>
    <s v="Female"/>
    <n v="38"/>
    <n v="4"/>
    <x v="0"/>
    <s v="Healthcare Representative"/>
    <n v="2"/>
    <s v="Married"/>
    <n v="4244"/>
    <n v="9931"/>
    <n v="1"/>
    <s v="Y"/>
    <s v="No"/>
    <s v="No"/>
    <n v="24"/>
    <n v="4"/>
    <n v="4"/>
    <n v="80"/>
    <n v="1"/>
    <n v="8"/>
    <s v="6-15"/>
    <n v="2"/>
    <n v="3"/>
    <n v="8"/>
    <n v="7"/>
    <n v="3"/>
    <n v="7"/>
    <s v="Below Avg"/>
    <n v="28.23397075365579"/>
    <s v="No"/>
    <s v="Low Risk"/>
  </r>
  <r>
    <n v="34"/>
    <x v="1"/>
    <s v="No"/>
    <s v="Travel_Rarely"/>
    <n v="1111"/>
    <x v="0"/>
    <n v="8"/>
    <n v="2"/>
    <s v="Life Sciences"/>
    <n v="1"/>
    <n v="808"/>
    <n v="3"/>
    <s v="Female"/>
    <n v="93"/>
    <n v="3"/>
    <x v="0"/>
    <s v="Sales Executive"/>
    <n v="1"/>
    <s v="Married"/>
    <n v="6500"/>
    <n v="13305"/>
    <n v="5"/>
    <s v="Y"/>
    <s v="No"/>
    <s v="No"/>
    <n v="17"/>
    <n v="3"/>
    <n v="2"/>
    <n v="80"/>
    <n v="1"/>
    <n v="6"/>
    <s v="6-15"/>
    <n v="1"/>
    <n v="3"/>
    <n v="3"/>
    <n v="2"/>
    <n v="1"/>
    <n v="2"/>
    <s v="Below Avg"/>
    <n v="28.265765765765767"/>
    <s v="No"/>
    <s v="Low Risk"/>
  </r>
  <r>
    <n v="42"/>
    <x v="1"/>
    <s v="No"/>
    <s v="Travel_Frequently"/>
    <n v="570"/>
    <x v="1"/>
    <n v="8"/>
    <n v="3"/>
    <s v="Life Sciences"/>
    <n v="1"/>
    <n v="809"/>
    <n v="2"/>
    <s v="Male"/>
    <n v="66"/>
    <n v="3"/>
    <x v="4"/>
    <s v="Manager"/>
    <n v="4"/>
    <s v="Divorced"/>
    <n v="18430"/>
    <n v="16225"/>
    <n v="1"/>
    <s v="Y"/>
    <s v="No"/>
    <s v="No"/>
    <n v="13"/>
    <n v="3"/>
    <n v="2"/>
    <n v="80"/>
    <n v="1"/>
    <n v="24"/>
    <s v="&gt;15"/>
    <n v="4"/>
    <n v="2"/>
    <n v="24"/>
    <n v="7"/>
    <n v="14"/>
    <n v="9"/>
    <s v="Ok"/>
    <n v="28.297632468996621"/>
    <s v="No"/>
    <s v="Low Risk"/>
  </r>
  <r>
    <n v="23"/>
    <x v="0"/>
    <s v="Yes"/>
    <s v="Travel_Rarely"/>
    <n v="1243"/>
    <x v="1"/>
    <n v="6"/>
    <n v="3"/>
    <s v="Life Sciences"/>
    <n v="1"/>
    <n v="811"/>
    <n v="3"/>
    <s v="Male"/>
    <n v="63"/>
    <n v="4"/>
    <x v="1"/>
    <s v="Laboratory Technician"/>
    <n v="1"/>
    <s v="Married"/>
    <n v="1601"/>
    <n v="3445"/>
    <n v="1"/>
    <s v="Y"/>
    <s v="Yes"/>
    <s v="Yes"/>
    <n v="21"/>
    <n v="4"/>
    <n v="3"/>
    <n v="80"/>
    <n v="2"/>
    <n v="1"/>
    <s v="0-5"/>
    <n v="2"/>
    <n v="3"/>
    <n v="0"/>
    <n v="0"/>
    <n v="0"/>
    <n v="0"/>
    <s v="Below Avg"/>
    <n v="28.329571106094807"/>
    <s v="No"/>
    <s v="High Risk"/>
  </r>
  <r>
    <n v="24"/>
    <x v="1"/>
    <s v="No"/>
    <s v="Non-Travel"/>
    <n v="1092"/>
    <x v="1"/>
    <n v="9"/>
    <n v="3"/>
    <s v="Life Sciences"/>
    <n v="1"/>
    <n v="812"/>
    <n v="3"/>
    <s v="Male"/>
    <n v="60"/>
    <n v="2"/>
    <x v="1"/>
    <s v="Laboratory Technician"/>
    <n v="2"/>
    <s v="Divorced"/>
    <n v="2694"/>
    <n v="26551"/>
    <n v="1"/>
    <s v="Y"/>
    <s v="No"/>
    <s v="No"/>
    <n v="11"/>
    <n v="3"/>
    <n v="3"/>
    <n v="80"/>
    <n v="3"/>
    <n v="1"/>
    <s v="0-5"/>
    <n v="4"/>
    <n v="3"/>
    <n v="1"/>
    <n v="0"/>
    <n v="0"/>
    <n v="0"/>
    <s v="Below Avg"/>
    <n v="28.361581920903955"/>
    <s v="No"/>
    <s v="Low Risk"/>
  </r>
  <r>
    <n v="52"/>
    <x v="1"/>
    <s v="No"/>
    <s v="Travel_Rarely"/>
    <n v="1325"/>
    <x v="1"/>
    <n v="11"/>
    <n v="4"/>
    <s v="Life Sciences"/>
    <n v="1"/>
    <n v="813"/>
    <n v="4"/>
    <s v="Female"/>
    <n v="82"/>
    <n v="3"/>
    <x v="0"/>
    <s v="Laboratory Technician"/>
    <n v="3"/>
    <s v="Married"/>
    <n v="3149"/>
    <n v="21821"/>
    <n v="8"/>
    <s v="Y"/>
    <s v="No"/>
    <s v="No"/>
    <n v="20"/>
    <n v="4"/>
    <n v="2"/>
    <n v="80"/>
    <n v="1"/>
    <n v="9"/>
    <s v="6-15"/>
    <n v="3"/>
    <n v="3"/>
    <n v="5"/>
    <n v="2"/>
    <n v="1"/>
    <n v="4"/>
    <s v="Below Avg"/>
    <n v="28.280542986425338"/>
    <s v="No"/>
    <s v="Low Risk"/>
  </r>
  <r>
    <n v="50"/>
    <x v="1"/>
    <s v="No"/>
    <s v="Travel_Rarely"/>
    <n v="691"/>
    <x v="1"/>
    <n v="2"/>
    <n v="3"/>
    <s v="Medical"/>
    <n v="1"/>
    <n v="815"/>
    <n v="3"/>
    <s v="Male"/>
    <n v="64"/>
    <n v="3"/>
    <x v="3"/>
    <s v="Research Director"/>
    <n v="3"/>
    <s v="Married"/>
    <n v="17639"/>
    <n v="6881"/>
    <n v="5"/>
    <s v="Y"/>
    <s v="No"/>
    <s v="No"/>
    <n v="16"/>
    <n v="3"/>
    <n v="4"/>
    <n v="80"/>
    <n v="0"/>
    <n v="30"/>
    <s v="&gt;15"/>
    <n v="3"/>
    <n v="3"/>
    <n v="4"/>
    <n v="3"/>
    <n v="0"/>
    <n v="3"/>
    <s v="Ok"/>
    <n v="28.312570781426956"/>
    <s v="No"/>
    <s v="Low Risk"/>
  </r>
  <r>
    <n v="29"/>
    <x v="0"/>
    <s v="Yes"/>
    <s v="Travel_Rarely"/>
    <n v="805"/>
    <x v="1"/>
    <n v="1"/>
    <n v="2"/>
    <s v="Life Sciences"/>
    <n v="1"/>
    <n v="816"/>
    <n v="2"/>
    <s v="Female"/>
    <n v="36"/>
    <n v="2"/>
    <x v="1"/>
    <s v="Laboratory Technician"/>
    <n v="1"/>
    <s v="Married"/>
    <n v="2319"/>
    <n v="6689"/>
    <n v="1"/>
    <s v="Y"/>
    <s v="Yes"/>
    <s v="Yes"/>
    <n v="11"/>
    <n v="3"/>
    <n v="4"/>
    <n v="80"/>
    <n v="1"/>
    <n v="1"/>
    <s v="0-5"/>
    <n v="1"/>
    <n v="3"/>
    <n v="1"/>
    <n v="0"/>
    <n v="0"/>
    <n v="0"/>
    <s v="Below Avg"/>
    <n v="28.344671201814059"/>
    <s v="No"/>
    <s v="High Risk"/>
  </r>
  <r>
    <n v="33"/>
    <x v="1"/>
    <s v="No"/>
    <s v="Travel_Rarely"/>
    <n v="213"/>
    <x v="1"/>
    <n v="7"/>
    <n v="3"/>
    <s v="Medical"/>
    <n v="1"/>
    <n v="817"/>
    <n v="3"/>
    <s v="Male"/>
    <n v="49"/>
    <n v="3"/>
    <x v="2"/>
    <s v="Research Director"/>
    <n v="3"/>
    <s v="Married"/>
    <n v="11691"/>
    <n v="25995"/>
    <n v="0"/>
    <s v="Y"/>
    <s v="No"/>
    <s v="No"/>
    <n v="11"/>
    <n v="3"/>
    <n v="4"/>
    <n v="80"/>
    <n v="0"/>
    <n v="14"/>
    <s v="6-15"/>
    <n v="3"/>
    <n v="4"/>
    <n v="13"/>
    <n v="9"/>
    <n v="3"/>
    <n v="7"/>
    <s v="Ok"/>
    <n v="28.376844494892168"/>
    <s v="No"/>
    <s v="Low Risk"/>
  </r>
  <r>
    <n v="33"/>
    <x v="0"/>
    <s v="Yes"/>
    <s v="Travel_Rarely"/>
    <n v="118"/>
    <x v="0"/>
    <n v="16"/>
    <n v="3"/>
    <s v="Marketing"/>
    <n v="1"/>
    <n v="819"/>
    <n v="1"/>
    <s v="Female"/>
    <n v="69"/>
    <n v="3"/>
    <x v="0"/>
    <s v="Sales Executive"/>
    <n v="1"/>
    <s v="Single"/>
    <n v="5324"/>
    <n v="26507"/>
    <n v="5"/>
    <s v="Y"/>
    <s v="No"/>
    <s v="No"/>
    <n v="15"/>
    <n v="3"/>
    <n v="3"/>
    <n v="80"/>
    <n v="0"/>
    <n v="6"/>
    <s v="6-15"/>
    <n v="3"/>
    <n v="3"/>
    <n v="3"/>
    <n v="2"/>
    <n v="0"/>
    <n v="2"/>
    <s v="Below Avg"/>
    <n v="28.295454545454547"/>
    <s v="No"/>
    <s v="Low Risk"/>
  </r>
  <r>
    <n v="47"/>
    <x v="1"/>
    <s v="No"/>
    <s v="Travel_Rarely"/>
    <n v="202"/>
    <x v="1"/>
    <n v="2"/>
    <n v="2"/>
    <s v="Other"/>
    <n v="1"/>
    <n v="820"/>
    <n v="3"/>
    <s v="Female"/>
    <n v="33"/>
    <n v="3"/>
    <x v="3"/>
    <s v="Manager"/>
    <n v="4"/>
    <s v="Married"/>
    <n v="16752"/>
    <n v="12982"/>
    <n v="1"/>
    <s v="Y"/>
    <s v="Yes"/>
    <s v="Yes"/>
    <n v="11"/>
    <n v="3"/>
    <n v="3"/>
    <n v="80"/>
    <n v="1"/>
    <n v="26"/>
    <s v="&gt;15"/>
    <n v="3"/>
    <n v="2"/>
    <n v="26"/>
    <n v="14"/>
    <n v="3"/>
    <n v="0"/>
    <s v="Ok"/>
    <n v="28.327645051194537"/>
    <s v="No"/>
    <s v="Low Risk"/>
  </r>
  <r>
    <n v="36"/>
    <x v="1"/>
    <s v="No"/>
    <s v="Travel_Rarely"/>
    <n v="676"/>
    <x v="1"/>
    <n v="1"/>
    <n v="3"/>
    <s v="Other"/>
    <n v="1"/>
    <n v="823"/>
    <n v="3"/>
    <s v="Female"/>
    <n v="35"/>
    <n v="3"/>
    <x v="0"/>
    <s v="Manufacturing Director"/>
    <n v="2"/>
    <s v="Married"/>
    <n v="5228"/>
    <n v="23361"/>
    <n v="0"/>
    <s v="Y"/>
    <s v="No"/>
    <s v="No"/>
    <n v="15"/>
    <n v="3"/>
    <n v="1"/>
    <n v="80"/>
    <n v="1"/>
    <n v="10"/>
    <s v="6-15"/>
    <n v="2"/>
    <n v="3"/>
    <n v="9"/>
    <n v="7"/>
    <n v="0"/>
    <n v="5"/>
    <s v="Below Avg"/>
    <n v="28.359908883826879"/>
    <s v="No"/>
    <s v="Low Risk"/>
  </r>
  <r>
    <n v="29"/>
    <x v="1"/>
    <s v="No"/>
    <s v="Travel_Rarely"/>
    <n v="1252"/>
    <x v="1"/>
    <n v="23"/>
    <n v="2"/>
    <s v="Life Sciences"/>
    <n v="1"/>
    <n v="824"/>
    <n v="3"/>
    <s v="Male"/>
    <n v="81"/>
    <n v="4"/>
    <x v="1"/>
    <s v="Research Scientist"/>
    <n v="3"/>
    <s v="Married"/>
    <n v="2700"/>
    <n v="23779"/>
    <n v="1"/>
    <s v="Y"/>
    <s v="No"/>
    <s v="No"/>
    <n v="24"/>
    <n v="4"/>
    <n v="3"/>
    <n v="80"/>
    <n v="1"/>
    <n v="10"/>
    <s v="6-15"/>
    <n v="3"/>
    <n v="3"/>
    <n v="10"/>
    <n v="7"/>
    <n v="0"/>
    <n v="7"/>
    <s v="Below Avg"/>
    <n v="28.278221208665904"/>
    <s v="No"/>
    <s v="Low Risk"/>
  </r>
  <r>
    <n v="58"/>
    <x v="0"/>
    <s v="Yes"/>
    <s v="Travel_Rarely"/>
    <n v="286"/>
    <x v="1"/>
    <n v="2"/>
    <n v="4"/>
    <s v="Life Sciences"/>
    <n v="1"/>
    <n v="825"/>
    <n v="4"/>
    <s v="Male"/>
    <n v="31"/>
    <n v="3"/>
    <x v="4"/>
    <s v="Research Director"/>
    <n v="2"/>
    <s v="Single"/>
    <n v="19246"/>
    <n v="25761"/>
    <n v="7"/>
    <s v="Y"/>
    <s v="Yes"/>
    <s v="Yes"/>
    <n v="12"/>
    <n v="3"/>
    <n v="4"/>
    <n v="80"/>
    <n v="0"/>
    <n v="40"/>
    <s v="&gt;15"/>
    <n v="2"/>
    <n v="3"/>
    <n v="31"/>
    <n v="15"/>
    <n v="13"/>
    <n v="8"/>
    <s v="Ok"/>
    <n v="28.31050228310502"/>
    <s v="No"/>
    <s v="Low Risk"/>
  </r>
  <r>
    <n v="35"/>
    <x v="1"/>
    <s v="No"/>
    <s v="Travel_Rarely"/>
    <n v="1258"/>
    <x v="1"/>
    <n v="1"/>
    <n v="4"/>
    <s v="Life Sciences"/>
    <n v="1"/>
    <n v="826"/>
    <n v="4"/>
    <s v="Female"/>
    <n v="40"/>
    <n v="4"/>
    <x v="1"/>
    <s v="Research Scientist"/>
    <n v="3"/>
    <s v="Single"/>
    <n v="2506"/>
    <n v="13301"/>
    <n v="3"/>
    <s v="Y"/>
    <s v="No"/>
    <s v="No"/>
    <n v="13"/>
    <n v="3"/>
    <n v="3"/>
    <n v="80"/>
    <n v="0"/>
    <n v="7"/>
    <s v="6-15"/>
    <n v="0"/>
    <n v="3"/>
    <n v="2"/>
    <n v="2"/>
    <n v="2"/>
    <n v="2"/>
    <s v="Below Avg"/>
    <n v="28.342857142857142"/>
    <s v="No"/>
    <s v="Low Risk"/>
  </r>
  <r>
    <n v="42"/>
    <x v="1"/>
    <s v="No"/>
    <s v="Travel_Rarely"/>
    <n v="932"/>
    <x v="1"/>
    <n v="1"/>
    <n v="2"/>
    <s v="Life Sciences"/>
    <n v="1"/>
    <n v="827"/>
    <n v="4"/>
    <s v="Female"/>
    <n v="43"/>
    <n v="2"/>
    <x v="0"/>
    <s v="Manufacturing Director"/>
    <n v="4"/>
    <s v="Married"/>
    <n v="6062"/>
    <n v="4051"/>
    <n v="9"/>
    <s v="Y"/>
    <s v="Yes"/>
    <s v="Yes"/>
    <n v="13"/>
    <n v="3"/>
    <n v="4"/>
    <n v="80"/>
    <n v="1"/>
    <n v="8"/>
    <s v="6-15"/>
    <n v="4"/>
    <n v="3"/>
    <n v="4"/>
    <n v="3"/>
    <n v="0"/>
    <n v="2"/>
    <s v="Below Avg"/>
    <n v="28.260869565217391"/>
    <s v="No"/>
    <s v="Low Risk"/>
  </r>
  <r>
    <n v="28"/>
    <x v="0"/>
    <s v="Yes"/>
    <s v="Travel_Rarely"/>
    <n v="890"/>
    <x v="1"/>
    <n v="2"/>
    <n v="4"/>
    <s v="Medical"/>
    <n v="1"/>
    <n v="828"/>
    <n v="3"/>
    <s v="Male"/>
    <n v="46"/>
    <n v="3"/>
    <x v="1"/>
    <s v="Research Scientist"/>
    <n v="3"/>
    <s v="Single"/>
    <n v="4382"/>
    <n v="16374"/>
    <n v="6"/>
    <s v="Y"/>
    <s v="No"/>
    <s v="No"/>
    <n v="17"/>
    <n v="3"/>
    <n v="4"/>
    <n v="80"/>
    <n v="0"/>
    <n v="5"/>
    <s v="0-5"/>
    <n v="3"/>
    <n v="2"/>
    <n v="2"/>
    <n v="2"/>
    <n v="2"/>
    <n v="1"/>
    <s v="Below Avg"/>
    <n v="28.29324169530355"/>
    <s v="No"/>
    <s v="Low Risk"/>
  </r>
  <r>
    <n v="36"/>
    <x v="1"/>
    <s v="No"/>
    <s v="Travel_Rarely"/>
    <n v="1041"/>
    <x v="2"/>
    <n v="13"/>
    <n v="3"/>
    <s v="Human Resources"/>
    <n v="1"/>
    <n v="829"/>
    <n v="3"/>
    <s v="Male"/>
    <n v="36"/>
    <n v="3"/>
    <x v="1"/>
    <s v="Human Resources"/>
    <n v="2"/>
    <s v="Married"/>
    <n v="2143"/>
    <n v="25527"/>
    <n v="4"/>
    <s v="Y"/>
    <s v="No"/>
    <s v="No"/>
    <n v="13"/>
    <n v="3"/>
    <n v="2"/>
    <n v="80"/>
    <n v="1"/>
    <n v="8"/>
    <s v="6-15"/>
    <n v="2"/>
    <n v="3"/>
    <n v="5"/>
    <n v="2"/>
    <n v="0"/>
    <n v="4"/>
    <s v="Below Avg"/>
    <n v="28.211009174311926"/>
    <s v="No"/>
    <s v="Low Risk"/>
  </r>
  <r>
    <n v="32"/>
    <x v="1"/>
    <s v="No"/>
    <s v="Travel_Rarely"/>
    <n v="859"/>
    <x v="1"/>
    <n v="4"/>
    <n v="3"/>
    <s v="Life Sciences"/>
    <n v="1"/>
    <n v="830"/>
    <n v="3"/>
    <s v="Female"/>
    <n v="98"/>
    <n v="2"/>
    <x v="0"/>
    <s v="Manufacturing Director"/>
    <n v="3"/>
    <s v="Married"/>
    <n v="6162"/>
    <n v="19124"/>
    <n v="1"/>
    <s v="Y"/>
    <s v="No"/>
    <s v="No"/>
    <n v="12"/>
    <n v="3"/>
    <n v="3"/>
    <n v="80"/>
    <n v="1"/>
    <n v="14"/>
    <s v="6-15"/>
    <n v="3"/>
    <n v="3"/>
    <n v="14"/>
    <n v="13"/>
    <n v="6"/>
    <n v="8"/>
    <s v="Below Avg"/>
    <n v="28.243398392652125"/>
    <s v="No"/>
    <s v="Low Risk"/>
  </r>
  <r>
    <n v="40"/>
    <x v="1"/>
    <s v="No"/>
    <s v="Travel_Frequently"/>
    <n v="720"/>
    <x v="1"/>
    <n v="16"/>
    <n v="4"/>
    <s v="Medical"/>
    <n v="1"/>
    <n v="832"/>
    <n v="1"/>
    <s v="Male"/>
    <n v="51"/>
    <n v="2"/>
    <x v="0"/>
    <s v="Laboratory Technician"/>
    <n v="3"/>
    <s v="Single"/>
    <n v="5094"/>
    <n v="11983"/>
    <n v="6"/>
    <s v="Y"/>
    <s v="No"/>
    <s v="No"/>
    <n v="14"/>
    <n v="3"/>
    <n v="4"/>
    <n v="80"/>
    <n v="0"/>
    <n v="10"/>
    <s v="6-15"/>
    <n v="6"/>
    <n v="3"/>
    <n v="1"/>
    <n v="0"/>
    <n v="0"/>
    <n v="0"/>
    <s v="Below Avg"/>
    <n v="28.27586206896552"/>
    <s v="No"/>
    <s v="Low Risk"/>
  </r>
  <r>
    <n v="30"/>
    <x v="1"/>
    <s v="No"/>
    <s v="Travel_Rarely"/>
    <n v="946"/>
    <x v="1"/>
    <n v="2"/>
    <n v="3"/>
    <s v="Medical"/>
    <n v="1"/>
    <n v="833"/>
    <n v="3"/>
    <s v="Female"/>
    <n v="52"/>
    <n v="2"/>
    <x v="0"/>
    <s v="Manufacturing Director"/>
    <n v="4"/>
    <s v="Single"/>
    <n v="6877"/>
    <n v="20234"/>
    <n v="5"/>
    <s v="Y"/>
    <s v="Yes"/>
    <s v="Yes"/>
    <n v="24"/>
    <n v="4"/>
    <n v="2"/>
    <n v="80"/>
    <n v="0"/>
    <n v="12"/>
    <s v="6-15"/>
    <n v="4"/>
    <n v="2"/>
    <n v="0"/>
    <n v="0"/>
    <n v="0"/>
    <n v="0"/>
    <s v="Ok"/>
    <n v="28.308400460299193"/>
    <s v="No"/>
    <s v="Low Risk"/>
  </r>
  <r>
    <n v="45"/>
    <x v="1"/>
    <s v="No"/>
    <s v="Travel_Rarely"/>
    <n v="252"/>
    <x v="1"/>
    <n v="2"/>
    <n v="3"/>
    <s v="Life Sciences"/>
    <n v="1"/>
    <n v="834"/>
    <n v="2"/>
    <s v="Female"/>
    <n v="95"/>
    <n v="2"/>
    <x v="1"/>
    <s v="Research Scientist"/>
    <n v="3"/>
    <s v="Single"/>
    <n v="2274"/>
    <n v="6153"/>
    <n v="1"/>
    <s v="Y"/>
    <s v="No"/>
    <s v="No"/>
    <n v="14"/>
    <n v="3"/>
    <n v="4"/>
    <n v="80"/>
    <n v="0"/>
    <n v="1"/>
    <s v="0-5"/>
    <n v="3"/>
    <n v="3"/>
    <n v="1"/>
    <n v="0"/>
    <n v="0"/>
    <n v="0"/>
    <s v="Below Avg"/>
    <n v="28.341013824884794"/>
    <s v="No"/>
    <s v="Low Risk"/>
  </r>
  <r>
    <n v="42"/>
    <x v="1"/>
    <s v="No"/>
    <s v="Travel_Rarely"/>
    <n v="933"/>
    <x v="1"/>
    <n v="29"/>
    <n v="3"/>
    <s v="Life Sciences"/>
    <n v="1"/>
    <n v="836"/>
    <n v="2"/>
    <s v="Male"/>
    <n v="98"/>
    <n v="3"/>
    <x v="0"/>
    <s v="Manufacturing Director"/>
    <n v="2"/>
    <s v="Married"/>
    <n v="4434"/>
    <n v="11806"/>
    <n v="1"/>
    <s v="Y"/>
    <s v="No"/>
    <s v="No"/>
    <n v="13"/>
    <n v="3"/>
    <n v="4"/>
    <n v="80"/>
    <n v="1"/>
    <n v="10"/>
    <s v="6-15"/>
    <n v="3"/>
    <n v="2"/>
    <n v="9"/>
    <n v="8"/>
    <n v="7"/>
    <n v="8"/>
    <s v="Below Avg"/>
    <n v="28.258362168396772"/>
    <s v="No"/>
    <s v="Low Risk"/>
  </r>
  <r>
    <n v="38"/>
    <x v="1"/>
    <s v="No"/>
    <s v="Travel_Frequently"/>
    <n v="471"/>
    <x v="1"/>
    <n v="12"/>
    <n v="3"/>
    <s v="Life Sciences"/>
    <n v="1"/>
    <n v="837"/>
    <n v="1"/>
    <s v="Male"/>
    <n v="45"/>
    <n v="2"/>
    <x v="0"/>
    <s v="Healthcare Representative"/>
    <n v="1"/>
    <s v="Divorced"/>
    <n v="6288"/>
    <n v="4284"/>
    <n v="2"/>
    <s v="Y"/>
    <s v="No"/>
    <s v="No"/>
    <n v="15"/>
    <n v="3"/>
    <n v="3"/>
    <n v="80"/>
    <n v="1"/>
    <n v="13"/>
    <s v="6-15"/>
    <n v="3"/>
    <n v="2"/>
    <n v="4"/>
    <n v="3"/>
    <n v="1"/>
    <n v="2"/>
    <s v="Ok"/>
    <n v="28.290993071593533"/>
    <s v="No"/>
    <s v="Low Risk"/>
  </r>
  <r>
    <n v="34"/>
    <x v="1"/>
    <s v="No"/>
    <s v="Travel_Frequently"/>
    <n v="702"/>
    <x v="1"/>
    <n v="16"/>
    <n v="4"/>
    <s v="Life Sciences"/>
    <n v="1"/>
    <n v="838"/>
    <n v="3"/>
    <s v="Female"/>
    <n v="100"/>
    <n v="2"/>
    <x v="1"/>
    <s v="Research Scientist"/>
    <n v="4"/>
    <s v="Single"/>
    <n v="2553"/>
    <n v="8306"/>
    <n v="1"/>
    <s v="Y"/>
    <s v="No"/>
    <s v="No"/>
    <n v="16"/>
    <n v="3"/>
    <n v="3"/>
    <n v="80"/>
    <n v="0"/>
    <n v="6"/>
    <s v="6-15"/>
    <n v="3"/>
    <n v="3"/>
    <n v="5"/>
    <n v="2"/>
    <n v="1"/>
    <n v="3"/>
    <s v="Below Avg"/>
    <n v="28.323699421965319"/>
    <s v="No"/>
    <s v="Low Risk"/>
  </r>
  <r>
    <n v="49"/>
    <x v="0"/>
    <s v="Yes"/>
    <s v="Travel_Rarely"/>
    <n v="1184"/>
    <x v="0"/>
    <n v="11"/>
    <n v="3"/>
    <s v="Marketing"/>
    <n v="1"/>
    <n v="840"/>
    <n v="3"/>
    <s v="Female"/>
    <n v="43"/>
    <n v="3"/>
    <x v="2"/>
    <s v="Sales Executive"/>
    <n v="4"/>
    <s v="Married"/>
    <n v="7654"/>
    <n v="5860"/>
    <n v="1"/>
    <s v="Y"/>
    <s v="No"/>
    <s v="No"/>
    <n v="18"/>
    <n v="3"/>
    <n v="1"/>
    <n v="80"/>
    <n v="2"/>
    <n v="9"/>
    <s v="6-15"/>
    <n v="3"/>
    <n v="4"/>
    <n v="9"/>
    <n v="8"/>
    <n v="7"/>
    <n v="7"/>
    <s v="Ok"/>
    <n v="28.356481481481481"/>
    <s v="No"/>
    <s v="Low Risk"/>
  </r>
  <r>
    <n v="55"/>
    <x v="0"/>
    <s v="Yes"/>
    <s v="Travel_Rarely"/>
    <n v="436"/>
    <x v="0"/>
    <n v="2"/>
    <n v="1"/>
    <s v="Medical"/>
    <n v="1"/>
    <n v="842"/>
    <n v="3"/>
    <s v="Male"/>
    <n v="37"/>
    <n v="3"/>
    <x v="0"/>
    <s v="Sales Executive"/>
    <n v="4"/>
    <s v="Single"/>
    <n v="5160"/>
    <n v="21519"/>
    <n v="4"/>
    <s v="Y"/>
    <s v="No"/>
    <s v="No"/>
    <n v="16"/>
    <n v="3"/>
    <n v="3"/>
    <n v="80"/>
    <n v="0"/>
    <n v="12"/>
    <s v="6-15"/>
    <n v="3"/>
    <n v="2"/>
    <n v="9"/>
    <n v="7"/>
    <n v="7"/>
    <n v="3"/>
    <s v="Below Avg"/>
    <n v="28.389339513325606"/>
    <s v="No"/>
    <s v="Low Risk"/>
  </r>
  <r>
    <n v="43"/>
    <x v="1"/>
    <s v="No"/>
    <s v="Travel_Rarely"/>
    <n v="589"/>
    <x v="1"/>
    <n v="14"/>
    <n v="2"/>
    <s v="Life Sciences"/>
    <n v="1"/>
    <n v="843"/>
    <n v="2"/>
    <s v="Male"/>
    <n v="94"/>
    <n v="3"/>
    <x v="3"/>
    <s v="Research Director"/>
    <n v="1"/>
    <s v="Married"/>
    <n v="17159"/>
    <n v="5200"/>
    <n v="6"/>
    <s v="Y"/>
    <s v="No"/>
    <s v="No"/>
    <n v="24"/>
    <n v="4"/>
    <n v="3"/>
    <n v="80"/>
    <n v="1"/>
    <n v="22"/>
    <s v="&gt;15"/>
    <n v="3"/>
    <n v="3"/>
    <n v="4"/>
    <n v="1"/>
    <n v="1"/>
    <n v="0"/>
    <s v="Ok"/>
    <n v="28.42227378190255"/>
    <s v="No"/>
    <s v="Low Risk"/>
  </r>
  <r>
    <n v="27"/>
    <x v="1"/>
    <s v="No"/>
    <s v="Travel_Rarely"/>
    <n v="269"/>
    <x v="1"/>
    <n v="5"/>
    <n v="1"/>
    <s v="Technical Degree"/>
    <n v="1"/>
    <n v="844"/>
    <n v="3"/>
    <s v="Male"/>
    <n v="42"/>
    <n v="2"/>
    <x v="2"/>
    <s v="Research Director"/>
    <n v="4"/>
    <s v="Divorced"/>
    <n v="12808"/>
    <n v="8842"/>
    <n v="1"/>
    <s v="Y"/>
    <s v="Yes"/>
    <s v="Yes"/>
    <n v="16"/>
    <n v="3"/>
    <n v="2"/>
    <n v="80"/>
    <n v="1"/>
    <n v="9"/>
    <s v="6-15"/>
    <n v="3"/>
    <n v="3"/>
    <n v="9"/>
    <n v="8"/>
    <n v="0"/>
    <n v="8"/>
    <s v="Ok"/>
    <n v="28.455284552845526"/>
    <s v="No"/>
    <s v="Low Risk"/>
  </r>
  <r>
    <n v="35"/>
    <x v="1"/>
    <s v="No"/>
    <s v="Travel_Rarely"/>
    <n v="950"/>
    <x v="1"/>
    <n v="7"/>
    <n v="3"/>
    <s v="Other"/>
    <n v="1"/>
    <n v="845"/>
    <n v="3"/>
    <s v="Male"/>
    <n v="59"/>
    <n v="3"/>
    <x v="2"/>
    <s v="Manufacturing Director"/>
    <n v="3"/>
    <s v="Single"/>
    <n v="10221"/>
    <n v="18869"/>
    <n v="3"/>
    <s v="Y"/>
    <s v="No"/>
    <s v="No"/>
    <n v="21"/>
    <n v="4"/>
    <n v="2"/>
    <n v="80"/>
    <n v="0"/>
    <n v="17"/>
    <s v="&gt;15"/>
    <n v="3"/>
    <n v="4"/>
    <n v="8"/>
    <n v="5"/>
    <n v="1"/>
    <n v="6"/>
    <s v="Ok"/>
    <n v="28.488372093023255"/>
    <s v="No"/>
    <s v="Low Risk"/>
  </r>
  <r>
    <n v="28"/>
    <x v="1"/>
    <s v="No"/>
    <s v="Travel_Rarely"/>
    <n v="760"/>
    <x v="0"/>
    <n v="2"/>
    <n v="4"/>
    <s v="Marketing"/>
    <n v="1"/>
    <n v="846"/>
    <n v="2"/>
    <s v="Female"/>
    <n v="81"/>
    <n v="3"/>
    <x v="0"/>
    <s v="Sales Executive"/>
    <n v="2"/>
    <s v="Married"/>
    <n v="4779"/>
    <n v="3698"/>
    <n v="1"/>
    <s v="Y"/>
    <s v="Yes"/>
    <s v="Yes"/>
    <n v="20"/>
    <n v="4"/>
    <n v="1"/>
    <n v="80"/>
    <n v="0"/>
    <n v="8"/>
    <s v="6-15"/>
    <n v="2"/>
    <n v="3"/>
    <n v="8"/>
    <n v="7"/>
    <n v="7"/>
    <n v="5"/>
    <s v="Below Avg"/>
    <n v="28.405122235157158"/>
    <s v="No"/>
    <s v="Low Risk"/>
  </r>
  <r>
    <n v="34"/>
    <x v="1"/>
    <s v="No"/>
    <s v="Travel_Rarely"/>
    <n v="829"/>
    <x v="2"/>
    <n v="3"/>
    <n v="2"/>
    <s v="Human Resources"/>
    <n v="1"/>
    <n v="847"/>
    <n v="3"/>
    <s v="Male"/>
    <n v="88"/>
    <n v="3"/>
    <x v="1"/>
    <s v="Human Resources"/>
    <n v="4"/>
    <s v="Married"/>
    <n v="3737"/>
    <n v="2243"/>
    <n v="0"/>
    <s v="Y"/>
    <s v="No"/>
    <s v="No"/>
    <n v="19"/>
    <n v="3"/>
    <n v="3"/>
    <n v="80"/>
    <n v="1"/>
    <n v="4"/>
    <s v="0-5"/>
    <n v="1"/>
    <n v="1"/>
    <n v="3"/>
    <n v="2"/>
    <n v="0"/>
    <n v="2"/>
    <s v="Below Avg"/>
    <n v="28.438228438228435"/>
    <s v="No"/>
    <s v="Low Risk"/>
  </r>
  <r>
    <n v="26"/>
    <x v="0"/>
    <s v="Yes"/>
    <s v="Travel_Frequently"/>
    <n v="887"/>
    <x v="1"/>
    <n v="5"/>
    <n v="2"/>
    <s v="Medical"/>
    <n v="1"/>
    <n v="848"/>
    <n v="3"/>
    <s v="Female"/>
    <n v="88"/>
    <n v="2"/>
    <x v="1"/>
    <s v="Research Scientist"/>
    <n v="3"/>
    <s v="Married"/>
    <n v="2366"/>
    <n v="20898"/>
    <n v="1"/>
    <s v="Y"/>
    <s v="Yes"/>
    <s v="Yes"/>
    <n v="14"/>
    <n v="3"/>
    <n v="1"/>
    <n v="80"/>
    <n v="1"/>
    <n v="8"/>
    <s v="6-15"/>
    <n v="2"/>
    <n v="3"/>
    <n v="8"/>
    <n v="7"/>
    <n v="1"/>
    <n v="7"/>
    <s v="Below Avg"/>
    <n v="28.354725787631274"/>
    <s v="No"/>
    <s v="Low Risk"/>
  </r>
  <r>
    <n v="27"/>
    <x v="1"/>
    <s v="No"/>
    <s v="Non-Travel"/>
    <n v="443"/>
    <x v="1"/>
    <n v="3"/>
    <n v="3"/>
    <s v="Medical"/>
    <n v="1"/>
    <n v="850"/>
    <n v="4"/>
    <s v="Male"/>
    <n v="50"/>
    <n v="3"/>
    <x v="1"/>
    <s v="Research Scientist"/>
    <n v="4"/>
    <s v="Married"/>
    <n v="1706"/>
    <n v="16571"/>
    <n v="1"/>
    <s v="Y"/>
    <s v="No"/>
    <s v="No"/>
    <n v="11"/>
    <n v="3"/>
    <n v="3"/>
    <n v="80"/>
    <n v="3"/>
    <n v="0"/>
    <s v="0-5"/>
    <n v="6"/>
    <n v="2"/>
    <n v="0"/>
    <n v="0"/>
    <n v="0"/>
    <n v="0"/>
    <s v="Below Avg"/>
    <n v="28.38785046728972"/>
    <s v="No"/>
    <s v="Low Risk"/>
  </r>
  <r>
    <n v="51"/>
    <x v="1"/>
    <s v="No"/>
    <s v="Travel_Rarely"/>
    <n v="1318"/>
    <x v="0"/>
    <n v="26"/>
    <n v="4"/>
    <s v="Marketing"/>
    <n v="1"/>
    <n v="851"/>
    <n v="1"/>
    <s v="Female"/>
    <n v="66"/>
    <n v="3"/>
    <x v="3"/>
    <s v="Manager"/>
    <n v="3"/>
    <s v="Married"/>
    <n v="16307"/>
    <n v="5594"/>
    <n v="2"/>
    <s v="Y"/>
    <s v="No"/>
    <s v="No"/>
    <n v="14"/>
    <n v="3"/>
    <n v="3"/>
    <n v="80"/>
    <n v="1"/>
    <n v="29"/>
    <s v="&gt;15"/>
    <n v="2"/>
    <n v="2"/>
    <n v="20"/>
    <n v="6"/>
    <n v="4"/>
    <n v="17"/>
    <s v="Ok"/>
    <n v="28.30409356725146"/>
    <s v="No"/>
    <s v="Low Risk"/>
  </r>
  <r>
    <n v="44"/>
    <x v="1"/>
    <s v="No"/>
    <s v="Travel_Rarely"/>
    <n v="625"/>
    <x v="1"/>
    <n v="4"/>
    <n v="3"/>
    <s v="Medical"/>
    <n v="1"/>
    <n v="852"/>
    <n v="4"/>
    <s v="Male"/>
    <n v="50"/>
    <n v="3"/>
    <x v="0"/>
    <s v="Healthcare Representative"/>
    <n v="2"/>
    <s v="Single"/>
    <n v="5933"/>
    <n v="5197"/>
    <n v="9"/>
    <s v="Y"/>
    <s v="No"/>
    <s v="No"/>
    <n v="12"/>
    <n v="3"/>
    <n v="4"/>
    <n v="80"/>
    <n v="0"/>
    <n v="10"/>
    <s v="6-15"/>
    <n v="2"/>
    <n v="2"/>
    <n v="5"/>
    <n v="2"/>
    <n v="2"/>
    <n v="3"/>
    <s v="Below Avg"/>
    <n v="28.337236533957842"/>
    <s v="No"/>
    <s v="Low Risk"/>
  </r>
  <r>
    <n v="25"/>
    <x v="1"/>
    <s v="No"/>
    <s v="Travel_Rarely"/>
    <n v="180"/>
    <x v="1"/>
    <n v="2"/>
    <n v="1"/>
    <s v="Medical"/>
    <n v="1"/>
    <n v="854"/>
    <n v="1"/>
    <s v="Male"/>
    <n v="65"/>
    <n v="4"/>
    <x v="1"/>
    <s v="Research Scientist"/>
    <n v="1"/>
    <s v="Single"/>
    <n v="3424"/>
    <n v="21632"/>
    <n v="7"/>
    <s v="Y"/>
    <s v="No"/>
    <s v="No"/>
    <n v="13"/>
    <n v="3"/>
    <n v="3"/>
    <n v="80"/>
    <n v="0"/>
    <n v="6"/>
    <s v="6-15"/>
    <n v="3"/>
    <n v="2"/>
    <n v="4"/>
    <n v="3"/>
    <n v="0"/>
    <n v="1"/>
    <s v="Below Avg"/>
    <n v="28.370457209847601"/>
    <s v="No"/>
    <s v="Low Risk"/>
  </r>
  <r>
    <n v="33"/>
    <x v="1"/>
    <s v="No"/>
    <s v="Travel_Rarely"/>
    <n v="586"/>
    <x v="0"/>
    <n v="1"/>
    <n v="3"/>
    <s v="Medical"/>
    <n v="1"/>
    <n v="855"/>
    <n v="1"/>
    <s v="Male"/>
    <n v="48"/>
    <n v="4"/>
    <x v="0"/>
    <s v="Sales Executive"/>
    <n v="1"/>
    <s v="Divorced"/>
    <n v="4037"/>
    <n v="21816"/>
    <n v="1"/>
    <s v="Y"/>
    <s v="No"/>
    <s v="No"/>
    <n v="22"/>
    <n v="4"/>
    <n v="1"/>
    <n v="80"/>
    <n v="1"/>
    <n v="9"/>
    <s v="6-15"/>
    <n v="5"/>
    <n v="3"/>
    <n v="9"/>
    <n v="8"/>
    <n v="0"/>
    <n v="8"/>
    <s v="Below Avg"/>
    <n v="28.4037558685446"/>
    <s v="No"/>
    <s v="Low Risk"/>
  </r>
  <r>
    <n v="35"/>
    <x v="1"/>
    <s v="No"/>
    <s v="Travel_Rarely"/>
    <n v="1343"/>
    <x v="1"/>
    <n v="27"/>
    <n v="1"/>
    <s v="Medical"/>
    <n v="1"/>
    <n v="856"/>
    <n v="3"/>
    <s v="Female"/>
    <n v="53"/>
    <n v="2"/>
    <x v="1"/>
    <s v="Research Scientist"/>
    <n v="1"/>
    <s v="Single"/>
    <n v="2559"/>
    <n v="17852"/>
    <n v="1"/>
    <s v="Y"/>
    <s v="No"/>
    <s v="No"/>
    <n v="11"/>
    <n v="3"/>
    <n v="4"/>
    <n v="80"/>
    <n v="0"/>
    <n v="6"/>
    <s v="6-15"/>
    <n v="3"/>
    <n v="2"/>
    <n v="6"/>
    <n v="5"/>
    <n v="1"/>
    <n v="1"/>
    <s v="Below Avg"/>
    <n v="28.437132784958873"/>
    <s v="No"/>
    <s v="Low Risk"/>
  </r>
  <r>
    <n v="36"/>
    <x v="1"/>
    <s v="No"/>
    <s v="Travel_Rarely"/>
    <n v="928"/>
    <x v="0"/>
    <n v="1"/>
    <n v="2"/>
    <s v="Life Sciences"/>
    <n v="1"/>
    <n v="857"/>
    <n v="2"/>
    <s v="Male"/>
    <n v="56"/>
    <n v="3"/>
    <x v="0"/>
    <s v="Sales Executive"/>
    <n v="4"/>
    <s v="Married"/>
    <n v="6201"/>
    <n v="2823"/>
    <n v="1"/>
    <s v="Y"/>
    <s v="Yes"/>
    <s v="Yes"/>
    <n v="14"/>
    <n v="3"/>
    <n v="4"/>
    <n v="80"/>
    <n v="1"/>
    <n v="18"/>
    <s v="&gt;15"/>
    <n v="1"/>
    <n v="2"/>
    <n v="18"/>
    <n v="14"/>
    <n v="4"/>
    <n v="11"/>
    <s v="Below Avg"/>
    <n v="28.47058823529412"/>
    <s v="No"/>
    <s v="Low Risk"/>
  </r>
  <r>
    <n v="32"/>
    <x v="1"/>
    <s v="No"/>
    <s v="Travel_Rarely"/>
    <n v="117"/>
    <x v="0"/>
    <n v="13"/>
    <n v="4"/>
    <s v="Life Sciences"/>
    <n v="1"/>
    <n v="859"/>
    <n v="2"/>
    <s v="Male"/>
    <n v="73"/>
    <n v="3"/>
    <x v="0"/>
    <s v="Sales Executive"/>
    <n v="4"/>
    <s v="Divorced"/>
    <n v="4403"/>
    <n v="9250"/>
    <n v="2"/>
    <s v="Y"/>
    <s v="No"/>
    <s v="No"/>
    <n v="11"/>
    <n v="3"/>
    <n v="3"/>
    <n v="80"/>
    <n v="1"/>
    <n v="8"/>
    <s v="6-15"/>
    <n v="3"/>
    <n v="2"/>
    <n v="5"/>
    <n v="2"/>
    <n v="0"/>
    <n v="3"/>
    <s v="Below Avg"/>
    <n v="28.504122497055363"/>
    <s v="No"/>
    <s v="Low Risk"/>
  </r>
  <r>
    <n v="30"/>
    <x v="1"/>
    <s v="No"/>
    <s v="Travel_Frequently"/>
    <n v="1012"/>
    <x v="1"/>
    <n v="5"/>
    <n v="4"/>
    <s v="Life Sciences"/>
    <n v="1"/>
    <n v="861"/>
    <n v="2"/>
    <s v="Male"/>
    <n v="75"/>
    <n v="2"/>
    <x v="1"/>
    <s v="Research Scientist"/>
    <n v="4"/>
    <s v="Divorced"/>
    <n v="3761"/>
    <n v="2373"/>
    <n v="9"/>
    <s v="Y"/>
    <s v="No"/>
    <s v="No"/>
    <n v="12"/>
    <n v="3"/>
    <n v="2"/>
    <n v="80"/>
    <n v="1"/>
    <n v="10"/>
    <s v="6-15"/>
    <n v="3"/>
    <n v="2"/>
    <n v="5"/>
    <n v="4"/>
    <n v="0"/>
    <n v="3"/>
    <s v="Below Avg"/>
    <n v="28.419811320754718"/>
    <s v="No"/>
    <s v="Low Risk"/>
  </r>
  <r>
    <n v="53"/>
    <x v="1"/>
    <s v="No"/>
    <s v="Travel_Rarely"/>
    <n v="661"/>
    <x v="0"/>
    <n v="7"/>
    <n v="2"/>
    <s v="Marketing"/>
    <n v="1"/>
    <n v="862"/>
    <n v="1"/>
    <s v="Female"/>
    <n v="78"/>
    <n v="2"/>
    <x v="2"/>
    <s v="Sales Executive"/>
    <n v="4"/>
    <s v="Married"/>
    <n v="10934"/>
    <n v="20715"/>
    <n v="7"/>
    <s v="Y"/>
    <s v="Yes"/>
    <s v="Yes"/>
    <n v="18"/>
    <n v="3"/>
    <n v="4"/>
    <n v="80"/>
    <n v="1"/>
    <n v="35"/>
    <s v="&gt;15"/>
    <n v="3"/>
    <n v="3"/>
    <n v="5"/>
    <n v="2"/>
    <n v="0"/>
    <n v="4"/>
    <s v="Ok"/>
    <n v="28.45336481700118"/>
    <s v="No"/>
    <s v="Low Risk"/>
  </r>
  <r>
    <n v="45"/>
    <x v="1"/>
    <s v="No"/>
    <s v="Travel_Rarely"/>
    <n v="930"/>
    <x v="0"/>
    <n v="9"/>
    <n v="3"/>
    <s v="Marketing"/>
    <n v="1"/>
    <n v="864"/>
    <n v="4"/>
    <s v="Male"/>
    <n v="74"/>
    <n v="3"/>
    <x v="2"/>
    <s v="Sales Executive"/>
    <n v="1"/>
    <s v="Divorced"/>
    <n v="10761"/>
    <n v="19239"/>
    <n v="4"/>
    <s v="Y"/>
    <s v="Yes"/>
    <s v="Yes"/>
    <n v="12"/>
    <n v="3"/>
    <n v="3"/>
    <n v="80"/>
    <n v="1"/>
    <n v="18"/>
    <s v="&gt;15"/>
    <n v="2"/>
    <n v="3"/>
    <n v="5"/>
    <n v="4"/>
    <n v="0"/>
    <n v="2"/>
    <s v="Ok"/>
    <n v="28.486997635933808"/>
    <s v="No"/>
    <s v="Low Risk"/>
  </r>
  <r>
    <n v="32"/>
    <x v="1"/>
    <s v="No"/>
    <s v="Travel_Rarely"/>
    <n v="638"/>
    <x v="1"/>
    <n v="8"/>
    <n v="2"/>
    <s v="Medical"/>
    <n v="1"/>
    <n v="865"/>
    <n v="3"/>
    <s v="Female"/>
    <n v="91"/>
    <n v="4"/>
    <x v="0"/>
    <s v="Research Scientist"/>
    <n v="3"/>
    <s v="Married"/>
    <n v="5175"/>
    <n v="22162"/>
    <n v="5"/>
    <s v="Y"/>
    <s v="No"/>
    <s v="No"/>
    <n v="12"/>
    <n v="3"/>
    <n v="3"/>
    <n v="80"/>
    <n v="1"/>
    <n v="9"/>
    <s v="6-15"/>
    <n v="3"/>
    <n v="2"/>
    <n v="5"/>
    <n v="3"/>
    <n v="1"/>
    <n v="3"/>
    <s v="Below Avg"/>
    <n v="28.402366863905325"/>
    <s v="No"/>
    <s v="Low Risk"/>
  </r>
  <r>
    <n v="52"/>
    <x v="1"/>
    <s v="No"/>
    <s v="Travel_Frequently"/>
    <n v="890"/>
    <x v="1"/>
    <n v="25"/>
    <n v="4"/>
    <s v="Medical"/>
    <n v="1"/>
    <n v="867"/>
    <n v="3"/>
    <s v="Female"/>
    <n v="81"/>
    <n v="2"/>
    <x v="3"/>
    <s v="Manufacturing Director"/>
    <n v="4"/>
    <s v="Married"/>
    <n v="13826"/>
    <n v="19028"/>
    <n v="3"/>
    <s v="Y"/>
    <s v="No"/>
    <s v="No"/>
    <n v="22"/>
    <n v="4"/>
    <n v="3"/>
    <n v="80"/>
    <n v="0"/>
    <n v="31"/>
    <s v="&gt;15"/>
    <n v="3"/>
    <n v="3"/>
    <n v="9"/>
    <n v="8"/>
    <n v="0"/>
    <n v="0"/>
    <s v="Ok"/>
    <n v="28.317535545023699"/>
    <s v="No"/>
    <s v="Low Risk"/>
  </r>
  <r>
    <n v="37"/>
    <x v="1"/>
    <s v="No"/>
    <s v="Travel_Rarely"/>
    <n v="342"/>
    <x v="0"/>
    <n v="16"/>
    <n v="4"/>
    <s v="Marketing"/>
    <n v="1"/>
    <n v="868"/>
    <n v="4"/>
    <s v="Male"/>
    <n v="66"/>
    <n v="2"/>
    <x v="0"/>
    <s v="Sales Executive"/>
    <n v="3"/>
    <s v="Divorced"/>
    <n v="6334"/>
    <n v="24558"/>
    <n v="4"/>
    <s v="Y"/>
    <s v="No"/>
    <s v="No"/>
    <n v="19"/>
    <n v="3"/>
    <n v="4"/>
    <n v="80"/>
    <n v="2"/>
    <n v="9"/>
    <s v="6-15"/>
    <n v="2"/>
    <n v="3"/>
    <n v="1"/>
    <n v="0"/>
    <n v="0"/>
    <n v="0"/>
    <s v="Below Avg"/>
    <n v="28.351126927639381"/>
    <s v="No"/>
    <s v="Low Risk"/>
  </r>
  <r>
    <n v="28"/>
    <x v="1"/>
    <s v="No"/>
    <s v="Travel_Rarely"/>
    <n v="1169"/>
    <x v="2"/>
    <n v="8"/>
    <n v="2"/>
    <s v="Medical"/>
    <n v="1"/>
    <n v="869"/>
    <n v="2"/>
    <s v="Male"/>
    <n v="63"/>
    <n v="2"/>
    <x v="1"/>
    <s v="Human Resources"/>
    <n v="4"/>
    <s v="Divorced"/>
    <n v="4936"/>
    <n v="23965"/>
    <n v="1"/>
    <s v="Y"/>
    <s v="No"/>
    <s v="No"/>
    <n v="13"/>
    <n v="3"/>
    <n v="4"/>
    <n v="80"/>
    <n v="1"/>
    <n v="6"/>
    <s v="6-15"/>
    <n v="6"/>
    <n v="3"/>
    <n v="5"/>
    <n v="1"/>
    <n v="0"/>
    <n v="4"/>
    <s v="Below Avg"/>
    <n v="28.38479809976247"/>
    <s v="No"/>
    <s v="Low Risk"/>
  </r>
  <r>
    <n v="22"/>
    <x v="1"/>
    <s v="No"/>
    <s v="Travel_Rarely"/>
    <n v="1230"/>
    <x v="1"/>
    <n v="1"/>
    <n v="2"/>
    <s v="Life Sciences"/>
    <n v="1"/>
    <n v="872"/>
    <n v="4"/>
    <s v="Male"/>
    <n v="33"/>
    <n v="2"/>
    <x v="0"/>
    <s v="Manufacturing Director"/>
    <n v="4"/>
    <s v="Married"/>
    <n v="4775"/>
    <n v="19146"/>
    <n v="6"/>
    <s v="Y"/>
    <s v="No"/>
    <s v="No"/>
    <n v="22"/>
    <n v="4"/>
    <n v="1"/>
    <n v="80"/>
    <n v="2"/>
    <n v="4"/>
    <s v="0-5"/>
    <n v="2"/>
    <n v="1"/>
    <n v="2"/>
    <n v="2"/>
    <n v="2"/>
    <n v="2"/>
    <s v="Below Avg"/>
    <n v="28.418549346016647"/>
    <s v="No"/>
    <s v="Low Risk"/>
  </r>
  <r>
    <n v="44"/>
    <x v="1"/>
    <s v="No"/>
    <s v="Travel_Rarely"/>
    <n v="986"/>
    <x v="1"/>
    <n v="8"/>
    <n v="4"/>
    <s v="Life Sciences"/>
    <n v="1"/>
    <n v="874"/>
    <n v="1"/>
    <s v="Male"/>
    <n v="62"/>
    <n v="4"/>
    <x v="1"/>
    <s v="Laboratory Technician"/>
    <n v="4"/>
    <s v="Married"/>
    <n v="2818"/>
    <n v="5044"/>
    <n v="2"/>
    <s v="Y"/>
    <s v="Yes"/>
    <s v="Yes"/>
    <n v="24"/>
    <n v="4"/>
    <n v="3"/>
    <n v="80"/>
    <n v="1"/>
    <n v="10"/>
    <s v="6-15"/>
    <n v="2"/>
    <n v="2"/>
    <n v="3"/>
    <n v="2"/>
    <n v="0"/>
    <n v="2"/>
    <s v="Below Avg"/>
    <n v="28.452380952380953"/>
    <s v="No"/>
    <s v="Low Risk"/>
  </r>
  <r>
    <n v="42"/>
    <x v="1"/>
    <s v="No"/>
    <s v="Travel_Frequently"/>
    <n v="1271"/>
    <x v="1"/>
    <n v="2"/>
    <n v="1"/>
    <s v="Medical"/>
    <n v="1"/>
    <n v="875"/>
    <n v="2"/>
    <s v="Male"/>
    <n v="35"/>
    <n v="3"/>
    <x v="1"/>
    <s v="Research Scientist"/>
    <n v="4"/>
    <s v="Single"/>
    <n v="2515"/>
    <n v="9068"/>
    <n v="5"/>
    <s v="Y"/>
    <s v="Yes"/>
    <s v="Yes"/>
    <n v="14"/>
    <n v="3"/>
    <n v="4"/>
    <n v="80"/>
    <n v="0"/>
    <n v="8"/>
    <s v="6-15"/>
    <n v="2"/>
    <n v="3"/>
    <n v="2"/>
    <n v="1"/>
    <n v="2"/>
    <n v="2"/>
    <s v="Below Avg"/>
    <n v="28.486293206197853"/>
    <s v="No"/>
    <s v="Low Risk"/>
  </r>
  <r>
    <n v="36"/>
    <x v="1"/>
    <s v="No"/>
    <s v="Travel_Rarely"/>
    <n v="1278"/>
    <x v="2"/>
    <n v="8"/>
    <n v="3"/>
    <s v="Life Sciences"/>
    <n v="1"/>
    <n v="878"/>
    <n v="1"/>
    <s v="Male"/>
    <n v="77"/>
    <n v="2"/>
    <x v="1"/>
    <s v="Human Resources"/>
    <n v="1"/>
    <s v="Married"/>
    <n v="2342"/>
    <n v="8635"/>
    <n v="0"/>
    <s v="Y"/>
    <s v="No"/>
    <s v="No"/>
    <n v="21"/>
    <n v="4"/>
    <n v="3"/>
    <n v="80"/>
    <n v="0"/>
    <n v="6"/>
    <s v="6-15"/>
    <n v="3"/>
    <n v="3"/>
    <n v="5"/>
    <n v="4"/>
    <n v="0"/>
    <n v="3"/>
    <s v="Below Avg"/>
    <n v="28.400954653937948"/>
    <s v="No"/>
    <s v="Low Risk"/>
  </r>
  <r>
    <n v="25"/>
    <x v="1"/>
    <s v="No"/>
    <s v="Travel_Rarely"/>
    <n v="141"/>
    <x v="0"/>
    <n v="3"/>
    <n v="1"/>
    <s v="Other"/>
    <n v="1"/>
    <n v="879"/>
    <n v="3"/>
    <s v="Male"/>
    <n v="98"/>
    <n v="3"/>
    <x v="0"/>
    <s v="Sales Executive"/>
    <n v="1"/>
    <s v="Married"/>
    <n v="4194"/>
    <n v="14363"/>
    <n v="1"/>
    <s v="Y"/>
    <s v="Yes"/>
    <s v="Yes"/>
    <n v="18"/>
    <n v="3"/>
    <n v="4"/>
    <n v="80"/>
    <n v="0"/>
    <n v="5"/>
    <s v="0-5"/>
    <n v="3"/>
    <n v="3"/>
    <n v="5"/>
    <n v="3"/>
    <n v="0"/>
    <n v="3"/>
    <s v="Below Avg"/>
    <n v="28.31541218637993"/>
    <s v="No"/>
    <s v="Low Risk"/>
  </r>
  <r>
    <n v="35"/>
    <x v="1"/>
    <s v="No"/>
    <s v="Travel_Rarely"/>
    <n v="607"/>
    <x v="1"/>
    <n v="9"/>
    <n v="3"/>
    <s v="Life Sciences"/>
    <n v="1"/>
    <n v="880"/>
    <n v="4"/>
    <s v="Female"/>
    <n v="66"/>
    <n v="2"/>
    <x v="2"/>
    <s v="Manufacturing Director"/>
    <n v="3"/>
    <s v="Married"/>
    <n v="10685"/>
    <n v="23457"/>
    <n v="1"/>
    <s v="Y"/>
    <s v="Yes"/>
    <s v="Yes"/>
    <n v="20"/>
    <n v="4"/>
    <n v="2"/>
    <n v="80"/>
    <n v="1"/>
    <n v="17"/>
    <s v="&gt;15"/>
    <n v="2"/>
    <n v="3"/>
    <n v="17"/>
    <n v="14"/>
    <n v="5"/>
    <n v="15"/>
    <s v="Ok"/>
    <n v="28.349282296650717"/>
    <s v="No"/>
    <s v="Low Risk"/>
  </r>
  <r>
    <n v="35"/>
    <x v="0"/>
    <s v="Yes"/>
    <s v="Travel_Frequently"/>
    <n v="130"/>
    <x v="1"/>
    <n v="25"/>
    <n v="4"/>
    <s v="Life Sciences"/>
    <n v="1"/>
    <n v="881"/>
    <n v="4"/>
    <s v="Female"/>
    <n v="96"/>
    <n v="3"/>
    <x v="1"/>
    <s v="Research Scientist"/>
    <n v="2"/>
    <s v="Divorced"/>
    <n v="2022"/>
    <n v="16612"/>
    <n v="1"/>
    <s v="Y"/>
    <s v="Yes"/>
    <s v="Yes"/>
    <n v="19"/>
    <n v="3"/>
    <n v="1"/>
    <n v="80"/>
    <n v="1"/>
    <n v="10"/>
    <s v="6-15"/>
    <n v="3"/>
    <n v="2"/>
    <n v="10"/>
    <n v="2"/>
    <n v="7"/>
    <n v="8"/>
    <s v="Below Avg"/>
    <n v="28.263473053892213"/>
    <s v="No"/>
    <s v="Low Risk"/>
  </r>
  <r>
    <n v="32"/>
    <x v="1"/>
    <s v="No"/>
    <s v="Non-Travel"/>
    <n v="300"/>
    <x v="1"/>
    <n v="1"/>
    <n v="3"/>
    <s v="Life Sciences"/>
    <n v="1"/>
    <n v="882"/>
    <n v="4"/>
    <s v="Male"/>
    <n v="61"/>
    <n v="3"/>
    <x v="1"/>
    <s v="Laboratory Technician"/>
    <n v="4"/>
    <s v="Divorced"/>
    <n v="2314"/>
    <n v="9148"/>
    <n v="0"/>
    <s v="Y"/>
    <s v="No"/>
    <s v="No"/>
    <n v="12"/>
    <n v="3"/>
    <n v="2"/>
    <n v="80"/>
    <n v="1"/>
    <n v="4"/>
    <s v="0-5"/>
    <n v="2"/>
    <n v="3"/>
    <n v="3"/>
    <n v="0"/>
    <n v="0"/>
    <n v="2"/>
    <s v="Below Avg"/>
    <n v="28.177458033573146"/>
    <s v="No"/>
    <s v="Low Risk"/>
  </r>
  <r>
    <n v="25"/>
    <x v="1"/>
    <s v="No"/>
    <s v="Travel_Rarely"/>
    <n v="583"/>
    <x v="0"/>
    <n v="4"/>
    <n v="1"/>
    <s v="Marketing"/>
    <n v="1"/>
    <n v="885"/>
    <n v="3"/>
    <s v="Male"/>
    <n v="87"/>
    <n v="2"/>
    <x v="0"/>
    <s v="Sales Executive"/>
    <n v="1"/>
    <s v="Married"/>
    <n v="4256"/>
    <n v="18154"/>
    <n v="1"/>
    <s v="Y"/>
    <s v="No"/>
    <s v="No"/>
    <n v="12"/>
    <n v="3"/>
    <n v="1"/>
    <n v="80"/>
    <n v="0"/>
    <n v="5"/>
    <s v="0-5"/>
    <n v="1"/>
    <n v="4"/>
    <n v="5"/>
    <n v="2"/>
    <n v="0"/>
    <n v="3"/>
    <s v="Below Avg"/>
    <n v="28.091236494597837"/>
    <s v="No"/>
    <s v="Low Risk"/>
  </r>
  <r>
    <n v="49"/>
    <x v="1"/>
    <s v="No"/>
    <s v="Travel_Rarely"/>
    <n v="1418"/>
    <x v="1"/>
    <n v="1"/>
    <n v="3"/>
    <s v="Technical Degree"/>
    <n v="1"/>
    <n v="887"/>
    <n v="3"/>
    <s v="Female"/>
    <n v="36"/>
    <n v="3"/>
    <x v="1"/>
    <s v="Research Scientist"/>
    <n v="1"/>
    <s v="Married"/>
    <n v="3580"/>
    <n v="10554"/>
    <n v="2"/>
    <s v="Y"/>
    <s v="No"/>
    <s v="No"/>
    <n v="16"/>
    <n v="3"/>
    <n v="2"/>
    <n v="80"/>
    <n v="1"/>
    <n v="7"/>
    <s v="6-15"/>
    <n v="2"/>
    <n v="3"/>
    <n v="4"/>
    <n v="2"/>
    <n v="0"/>
    <n v="2"/>
    <s v="Below Avg"/>
    <n v="28.125"/>
    <s v="No"/>
    <s v="Low Risk"/>
  </r>
  <r>
    <n v="24"/>
    <x v="1"/>
    <s v="No"/>
    <s v="Non-Travel"/>
    <n v="1269"/>
    <x v="1"/>
    <n v="4"/>
    <n v="1"/>
    <s v="Life Sciences"/>
    <n v="1"/>
    <n v="888"/>
    <n v="1"/>
    <s v="Male"/>
    <n v="46"/>
    <n v="2"/>
    <x v="1"/>
    <s v="Laboratory Technician"/>
    <n v="4"/>
    <s v="Married"/>
    <n v="3162"/>
    <n v="10778"/>
    <n v="0"/>
    <s v="Y"/>
    <s v="No"/>
    <s v="No"/>
    <n v="17"/>
    <n v="3"/>
    <n v="4"/>
    <n v="80"/>
    <n v="0"/>
    <n v="6"/>
    <s v="6-15"/>
    <n v="2"/>
    <n v="2"/>
    <n v="5"/>
    <n v="2"/>
    <n v="3"/>
    <n v="4"/>
    <s v="Below Avg"/>
    <n v="28.158844765342963"/>
    <s v="No"/>
    <s v="Low Risk"/>
  </r>
  <r>
    <n v="32"/>
    <x v="1"/>
    <s v="No"/>
    <s v="Travel_Frequently"/>
    <n v="379"/>
    <x v="0"/>
    <n v="5"/>
    <n v="2"/>
    <s v="Life Sciences"/>
    <n v="1"/>
    <n v="889"/>
    <n v="2"/>
    <s v="Male"/>
    <n v="48"/>
    <n v="3"/>
    <x v="0"/>
    <s v="Sales Executive"/>
    <n v="2"/>
    <s v="Married"/>
    <n v="6524"/>
    <n v="8891"/>
    <n v="1"/>
    <s v="Y"/>
    <s v="No"/>
    <s v="No"/>
    <n v="14"/>
    <n v="3"/>
    <n v="4"/>
    <n v="80"/>
    <n v="1"/>
    <n v="10"/>
    <s v="6-15"/>
    <n v="3"/>
    <n v="3"/>
    <n v="10"/>
    <n v="8"/>
    <n v="5"/>
    <n v="3"/>
    <s v="Below Avg"/>
    <n v="28.192771084337348"/>
    <s v="No"/>
    <s v="Low Risk"/>
  </r>
  <r>
    <n v="38"/>
    <x v="1"/>
    <s v="No"/>
    <s v="Travel_Rarely"/>
    <n v="395"/>
    <x v="0"/>
    <n v="9"/>
    <n v="3"/>
    <s v="Marketing"/>
    <n v="1"/>
    <n v="893"/>
    <n v="2"/>
    <s v="Male"/>
    <n v="98"/>
    <n v="2"/>
    <x v="1"/>
    <s v="Sales Representative"/>
    <n v="2"/>
    <s v="Married"/>
    <n v="2899"/>
    <n v="12102"/>
    <n v="0"/>
    <s v="Y"/>
    <s v="No"/>
    <s v="No"/>
    <n v="19"/>
    <n v="3"/>
    <n v="4"/>
    <n v="80"/>
    <n v="1"/>
    <n v="3"/>
    <s v="0-5"/>
    <n v="3"/>
    <n v="3"/>
    <n v="2"/>
    <n v="2"/>
    <n v="1"/>
    <n v="2"/>
    <s v="Below Avg"/>
    <n v="28.22677925211098"/>
    <s v="No"/>
    <s v="Low Risk"/>
  </r>
  <r>
    <n v="42"/>
    <x v="1"/>
    <s v="No"/>
    <s v="Travel_Rarely"/>
    <n v="1265"/>
    <x v="1"/>
    <n v="3"/>
    <n v="3"/>
    <s v="Life Sciences"/>
    <n v="1"/>
    <n v="894"/>
    <n v="3"/>
    <s v="Female"/>
    <n v="95"/>
    <n v="4"/>
    <x v="0"/>
    <s v="Laboratory Technician"/>
    <n v="4"/>
    <s v="Married"/>
    <n v="5231"/>
    <n v="23726"/>
    <n v="2"/>
    <s v="Y"/>
    <s v="Yes"/>
    <s v="Yes"/>
    <n v="13"/>
    <n v="3"/>
    <n v="2"/>
    <n v="80"/>
    <n v="1"/>
    <n v="17"/>
    <s v="&gt;15"/>
    <n v="1"/>
    <n v="2"/>
    <n v="5"/>
    <n v="3"/>
    <n v="1"/>
    <n v="3"/>
    <s v="Below Avg"/>
    <n v="28.260869565217391"/>
    <s v="No"/>
    <s v="Low Risk"/>
  </r>
  <r>
    <n v="31"/>
    <x v="1"/>
    <s v="No"/>
    <s v="Travel_Rarely"/>
    <n v="1222"/>
    <x v="1"/>
    <n v="11"/>
    <n v="4"/>
    <s v="Life Sciences"/>
    <n v="1"/>
    <n v="895"/>
    <n v="4"/>
    <s v="Male"/>
    <n v="48"/>
    <n v="3"/>
    <x v="1"/>
    <s v="Research Scientist"/>
    <n v="4"/>
    <s v="Married"/>
    <n v="2356"/>
    <n v="14871"/>
    <n v="3"/>
    <s v="Y"/>
    <s v="Yes"/>
    <s v="Yes"/>
    <n v="19"/>
    <n v="3"/>
    <n v="2"/>
    <n v="80"/>
    <n v="1"/>
    <n v="8"/>
    <s v="6-15"/>
    <n v="2"/>
    <n v="3"/>
    <n v="6"/>
    <n v="4"/>
    <n v="0"/>
    <n v="2"/>
    <s v="Below Avg"/>
    <n v="28.295042321644498"/>
    <s v="No"/>
    <s v="Low Risk"/>
  </r>
  <r>
    <n v="29"/>
    <x v="0"/>
    <s v="Yes"/>
    <s v="Travel_Rarely"/>
    <n v="341"/>
    <x v="0"/>
    <n v="1"/>
    <n v="3"/>
    <s v="Medical"/>
    <n v="1"/>
    <n v="896"/>
    <n v="2"/>
    <s v="Female"/>
    <n v="48"/>
    <n v="2"/>
    <x v="1"/>
    <s v="Sales Representative"/>
    <n v="3"/>
    <s v="Divorced"/>
    <n v="2800"/>
    <n v="23522"/>
    <n v="6"/>
    <s v="Y"/>
    <s v="Yes"/>
    <s v="Yes"/>
    <n v="19"/>
    <n v="3"/>
    <n v="3"/>
    <n v="80"/>
    <n v="3"/>
    <n v="5"/>
    <s v="0-5"/>
    <n v="3"/>
    <n v="3"/>
    <n v="3"/>
    <n v="2"/>
    <n v="0"/>
    <n v="2"/>
    <s v="Below Avg"/>
    <n v="28.208232445520583"/>
    <s v="No"/>
    <s v="Low Risk"/>
  </r>
  <r>
    <n v="53"/>
    <x v="1"/>
    <s v="No"/>
    <s v="Travel_Rarely"/>
    <n v="868"/>
    <x v="0"/>
    <n v="8"/>
    <n v="3"/>
    <s v="Marketing"/>
    <n v="1"/>
    <n v="897"/>
    <n v="1"/>
    <s v="Male"/>
    <n v="73"/>
    <n v="3"/>
    <x v="3"/>
    <s v="Sales Executive"/>
    <n v="4"/>
    <s v="Married"/>
    <n v="11836"/>
    <n v="22789"/>
    <n v="5"/>
    <s v="Y"/>
    <s v="No"/>
    <s v="No"/>
    <n v="14"/>
    <n v="3"/>
    <n v="3"/>
    <n v="80"/>
    <n v="1"/>
    <n v="28"/>
    <s v="&gt;15"/>
    <n v="3"/>
    <n v="3"/>
    <n v="2"/>
    <n v="0"/>
    <n v="2"/>
    <n v="2"/>
    <s v="Ok"/>
    <n v="28.121212121212118"/>
    <s v="No"/>
    <s v="Low Risk"/>
  </r>
  <r>
    <n v="35"/>
    <x v="1"/>
    <s v="No"/>
    <s v="Travel_Rarely"/>
    <n v="672"/>
    <x v="1"/>
    <n v="25"/>
    <n v="3"/>
    <s v="Technical Degree"/>
    <n v="1"/>
    <n v="899"/>
    <n v="4"/>
    <s v="Male"/>
    <n v="78"/>
    <n v="2"/>
    <x v="2"/>
    <s v="Manufacturing Director"/>
    <n v="2"/>
    <s v="Married"/>
    <n v="10903"/>
    <n v="9129"/>
    <n v="3"/>
    <s v="Y"/>
    <s v="No"/>
    <s v="No"/>
    <n v="16"/>
    <n v="3"/>
    <n v="1"/>
    <n v="80"/>
    <n v="0"/>
    <n v="16"/>
    <s v="&gt;15"/>
    <n v="2"/>
    <n v="3"/>
    <n v="13"/>
    <n v="10"/>
    <n v="4"/>
    <n v="8"/>
    <s v="Ok"/>
    <n v="28.033980582524272"/>
    <s v="No"/>
    <s v="Low Risk"/>
  </r>
  <r>
    <n v="37"/>
    <x v="1"/>
    <s v="No"/>
    <s v="Travel_Frequently"/>
    <n v="1231"/>
    <x v="0"/>
    <n v="21"/>
    <n v="2"/>
    <s v="Medical"/>
    <n v="1"/>
    <n v="900"/>
    <n v="3"/>
    <s v="Female"/>
    <n v="54"/>
    <n v="3"/>
    <x v="1"/>
    <s v="Sales Representative"/>
    <n v="4"/>
    <s v="Married"/>
    <n v="2973"/>
    <n v="21222"/>
    <n v="5"/>
    <s v="Y"/>
    <s v="No"/>
    <s v="No"/>
    <n v="15"/>
    <n v="3"/>
    <n v="2"/>
    <n v="80"/>
    <n v="1"/>
    <n v="10"/>
    <s v="6-15"/>
    <n v="3"/>
    <n v="3"/>
    <n v="5"/>
    <n v="4"/>
    <n v="0"/>
    <n v="0"/>
    <s v="Below Avg"/>
    <n v="28.068043742405834"/>
    <s v="No"/>
    <s v="Low Risk"/>
  </r>
  <r>
    <n v="53"/>
    <x v="1"/>
    <s v="No"/>
    <s v="Travel_Rarely"/>
    <n v="102"/>
    <x v="1"/>
    <n v="23"/>
    <n v="4"/>
    <s v="Life Sciences"/>
    <n v="1"/>
    <n v="901"/>
    <n v="4"/>
    <s v="Female"/>
    <n v="72"/>
    <n v="3"/>
    <x v="3"/>
    <s v="Research Director"/>
    <n v="4"/>
    <s v="Single"/>
    <n v="14275"/>
    <n v="20206"/>
    <n v="6"/>
    <s v="Y"/>
    <s v="No"/>
    <s v="No"/>
    <n v="18"/>
    <n v="3"/>
    <n v="3"/>
    <n v="80"/>
    <n v="0"/>
    <n v="33"/>
    <s v="&gt;15"/>
    <n v="0"/>
    <n v="3"/>
    <n v="12"/>
    <n v="9"/>
    <n v="3"/>
    <n v="8"/>
    <s v="Ok"/>
    <n v="28.102189781021895"/>
    <s v="No"/>
    <s v="Low Risk"/>
  </r>
  <r>
    <n v="43"/>
    <x v="1"/>
    <s v="No"/>
    <s v="Travel_Frequently"/>
    <n v="422"/>
    <x v="1"/>
    <n v="1"/>
    <n v="3"/>
    <s v="Life Sciences"/>
    <n v="1"/>
    <n v="902"/>
    <n v="4"/>
    <s v="Female"/>
    <n v="33"/>
    <n v="3"/>
    <x v="0"/>
    <s v="Healthcare Representative"/>
    <n v="4"/>
    <s v="Married"/>
    <n v="5562"/>
    <n v="21782"/>
    <n v="4"/>
    <s v="Y"/>
    <s v="No"/>
    <s v="No"/>
    <n v="13"/>
    <n v="3"/>
    <n v="2"/>
    <n v="80"/>
    <n v="1"/>
    <n v="12"/>
    <s v="6-15"/>
    <n v="2"/>
    <n v="2"/>
    <n v="5"/>
    <n v="2"/>
    <n v="2"/>
    <n v="2"/>
    <s v="Below Avg"/>
    <n v="28.136419001218027"/>
    <s v="No"/>
    <s v="Low Risk"/>
  </r>
  <r>
    <n v="47"/>
    <x v="1"/>
    <s v="No"/>
    <s v="Travel_Rarely"/>
    <n v="249"/>
    <x v="0"/>
    <n v="2"/>
    <n v="2"/>
    <s v="Marketing"/>
    <n v="1"/>
    <n v="903"/>
    <n v="3"/>
    <s v="Female"/>
    <n v="35"/>
    <n v="3"/>
    <x v="0"/>
    <s v="Sales Executive"/>
    <n v="4"/>
    <s v="Married"/>
    <n v="4537"/>
    <n v="17783"/>
    <n v="0"/>
    <s v="Y"/>
    <s v="Yes"/>
    <s v="Yes"/>
    <n v="22"/>
    <n v="4"/>
    <n v="1"/>
    <n v="80"/>
    <n v="1"/>
    <n v="8"/>
    <s v="6-15"/>
    <n v="2"/>
    <n v="3"/>
    <n v="7"/>
    <n v="6"/>
    <n v="7"/>
    <n v="7"/>
    <s v="Below Avg"/>
    <n v="28.170731707317071"/>
    <s v="No"/>
    <s v="Low Risk"/>
  </r>
  <r>
    <n v="37"/>
    <x v="1"/>
    <s v="No"/>
    <s v="Non-Travel"/>
    <n v="1252"/>
    <x v="0"/>
    <n v="19"/>
    <n v="2"/>
    <s v="Medical"/>
    <n v="1"/>
    <n v="904"/>
    <n v="1"/>
    <s v="Male"/>
    <n v="32"/>
    <n v="3"/>
    <x v="2"/>
    <s v="Sales Executive"/>
    <n v="2"/>
    <s v="Single"/>
    <n v="7642"/>
    <n v="4814"/>
    <n v="1"/>
    <s v="Y"/>
    <s v="Yes"/>
    <s v="Yes"/>
    <n v="13"/>
    <n v="3"/>
    <n v="4"/>
    <n v="80"/>
    <n v="0"/>
    <n v="10"/>
    <s v="6-15"/>
    <n v="2"/>
    <n v="3"/>
    <n v="10"/>
    <n v="0"/>
    <n v="0"/>
    <n v="9"/>
    <s v="Ok"/>
    <n v="28.205128205128204"/>
    <s v="No"/>
    <s v="Low Risk"/>
  </r>
  <r>
    <n v="50"/>
    <x v="1"/>
    <s v="No"/>
    <s v="Non-Travel"/>
    <n v="881"/>
    <x v="1"/>
    <n v="2"/>
    <n v="4"/>
    <s v="Life Sciences"/>
    <n v="1"/>
    <n v="905"/>
    <n v="1"/>
    <s v="Male"/>
    <n v="98"/>
    <n v="3"/>
    <x v="3"/>
    <s v="Manager"/>
    <n v="1"/>
    <s v="Divorced"/>
    <n v="17924"/>
    <n v="4544"/>
    <n v="1"/>
    <s v="Y"/>
    <s v="No"/>
    <s v="No"/>
    <n v="11"/>
    <n v="3"/>
    <n v="4"/>
    <n v="80"/>
    <n v="1"/>
    <n v="31"/>
    <s v="&gt;15"/>
    <n v="3"/>
    <n v="3"/>
    <n v="31"/>
    <n v="6"/>
    <n v="14"/>
    <n v="7"/>
    <s v="Ok"/>
    <n v="28.117359413202937"/>
    <s v="No"/>
    <s v="Low Risk"/>
  </r>
  <r>
    <n v="39"/>
    <x v="1"/>
    <s v="No"/>
    <s v="Travel_Rarely"/>
    <n v="1383"/>
    <x v="2"/>
    <n v="2"/>
    <n v="3"/>
    <s v="Life Sciences"/>
    <n v="1"/>
    <n v="909"/>
    <n v="4"/>
    <s v="Female"/>
    <n v="42"/>
    <n v="2"/>
    <x v="0"/>
    <s v="Human Resources"/>
    <n v="4"/>
    <s v="Married"/>
    <n v="5204"/>
    <n v="7790"/>
    <n v="8"/>
    <s v="Y"/>
    <s v="No"/>
    <s v="No"/>
    <n v="11"/>
    <n v="3"/>
    <n v="3"/>
    <n v="80"/>
    <n v="2"/>
    <n v="13"/>
    <s v="6-15"/>
    <n v="2"/>
    <n v="3"/>
    <n v="5"/>
    <n v="4"/>
    <n v="0"/>
    <n v="4"/>
    <s v="Below Avg"/>
    <n v="28.02937576499388"/>
    <s v="No"/>
    <s v="Low Risk"/>
  </r>
  <r>
    <n v="33"/>
    <x v="1"/>
    <s v="No"/>
    <s v="Travel_Rarely"/>
    <n v="1075"/>
    <x v="2"/>
    <n v="3"/>
    <n v="2"/>
    <s v="Human Resources"/>
    <n v="1"/>
    <n v="910"/>
    <n v="4"/>
    <s v="Male"/>
    <n v="57"/>
    <n v="3"/>
    <x v="1"/>
    <s v="Human Resources"/>
    <n v="2"/>
    <s v="Divorced"/>
    <n v="2277"/>
    <n v="22650"/>
    <n v="3"/>
    <s v="Y"/>
    <s v="Yes"/>
    <s v="Yes"/>
    <n v="11"/>
    <n v="3"/>
    <n v="3"/>
    <n v="80"/>
    <n v="1"/>
    <n v="7"/>
    <s v="6-15"/>
    <n v="4"/>
    <n v="4"/>
    <n v="4"/>
    <n v="3"/>
    <n v="0"/>
    <n v="3"/>
    <s v="Below Avg"/>
    <n v="28.063725490196077"/>
    <s v="No"/>
    <s v="Low Risk"/>
  </r>
  <r>
    <n v="32"/>
    <x v="0"/>
    <s v="Yes"/>
    <s v="Travel_Rarely"/>
    <n v="374"/>
    <x v="1"/>
    <n v="25"/>
    <n v="4"/>
    <s v="Life Sciences"/>
    <n v="1"/>
    <n v="911"/>
    <n v="1"/>
    <s v="Male"/>
    <n v="87"/>
    <n v="3"/>
    <x v="1"/>
    <s v="Laboratory Technician"/>
    <n v="4"/>
    <s v="Single"/>
    <n v="2795"/>
    <n v="18016"/>
    <n v="1"/>
    <s v="Y"/>
    <s v="Yes"/>
    <s v="Yes"/>
    <n v="24"/>
    <n v="4"/>
    <n v="3"/>
    <n v="80"/>
    <n v="0"/>
    <n v="1"/>
    <s v="0-5"/>
    <n v="2"/>
    <n v="1"/>
    <n v="1"/>
    <n v="0"/>
    <n v="0"/>
    <n v="1"/>
    <s v="Below Avg"/>
    <n v="28.098159509202453"/>
    <s v="No"/>
    <s v="High Risk"/>
  </r>
  <r>
    <n v="29"/>
    <x v="1"/>
    <s v="No"/>
    <s v="Travel_Rarely"/>
    <n v="1086"/>
    <x v="1"/>
    <n v="7"/>
    <n v="1"/>
    <s v="Medical"/>
    <n v="1"/>
    <n v="912"/>
    <n v="1"/>
    <s v="Female"/>
    <n v="62"/>
    <n v="2"/>
    <x v="1"/>
    <s v="Laboratory Technician"/>
    <n v="4"/>
    <s v="Divorced"/>
    <n v="2532"/>
    <n v="6054"/>
    <n v="6"/>
    <s v="Y"/>
    <s v="No"/>
    <s v="No"/>
    <n v="14"/>
    <n v="3"/>
    <n v="3"/>
    <n v="80"/>
    <n v="3"/>
    <n v="8"/>
    <s v="6-15"/>
    <n v="5"/>
    <n v="3"/>
    <n v="4"/>
    <n v="3"/>
    <n v="0"/>
    <n v="3"/>
    <s v="Below Avg"/>
    <n v="28.009828009828009"/>
    <s v="No"/>
    <s v="Low Risk"/>
  </r>
  <r>
    <n v="44"/>
    <x v="1"/>
    <s v="No"/>
    <s v="Travel_Rarely"/>
    <n v="661"/>
    <x v="1"/>
    <n v="9"/>
    <n v="2"/>
    <s v="Life Sciences"/>
    <n v="1"/>
    <n v="913"/>
    <n v="2"/>
    <s v="Male"/>
    <n v="61"/>
    <n v="3"/>
    <x v="1"/>
    <s v="Research Scientist"/>
    <n v="1"/>
    <s v="Married"/>
    <n v="2559"/>
    <n v="7508"/>
    <n v="1"/>
    <s v="Y"/>
    <s v="Yes"/>
    <s v="Yes"/>
    <n v="13"/>
    <n v="3"/>
    <n v="4"/>
    <n v="80"/>
    <n v="0"/>
    <n v="8"/>
    <s v="6-15"/>
    <n v="0"/>
    <n v="3"/>
    <n v="8"/>
    <n v="7"/>
    <n v="7"/>
    <n v="1"/>
    <s v="Below Avg"/>
    <n v="27.921279212792129"/>
    <s v="No"/>
    <s v="Low Risk"/>
  </r>
  <r>
    <n v="28"/>
    <x v="1"/>
    <s v="No"/>
    <s v="Travel_Rarely"/>
    <n v="821"/>
    <x v="0"/>
    <n v="5"/>
    <n v="4"/>
    <s v="Medical"/>
    <n v="1"/>
    <n v="916"/>
    <n v="1"/>
    <s v="Male"/>
    <n v="98"/>
    <n v="3"/>
    <x v="0"/>
    <s v="Sales Executive"/>
    <n v="4"/>
    <s v="Single"/>
    <n v="4908"/>
    <n v="24252"/>
    <n v="1"/>
    <s v="Y"/>
    <s v="No"/>
    <s v="No"/>
    <n v="14"/>
    <n v="3"/>
    <n v="2"/>
    <n v="80"/>
    <n v="0"/>
    <n v="4"/>
    <s v="0-5"/>
    <n v="3"/>
    <n v="3"/>
    <n v="4"/>
    <n v="2"/>
    <n v="0"/>
    <n v="2"/>
    <s v="Below Avg"/>
    <n v="27.955665024630544"/>
    <s v="No"/>
    <s v="Low Risk"/>
  </r>
  <r>
    <n v="58"/>
    <x v="0"/>
    <s v="Yes"/>
    <s v="Travel_Frequently"/>
    <n v="781"/>
    <x v="1"/>
    <n v="2"/>
    <n v="1"/>
    <s v="Life Sciences"/>
    <n v="1"/>
    <n v="918"/>
    <n v="4"/>
    <s v="Male"/>
    <n v="57"/>
    <n v="2"/>
    <x v="1"/>
    <s v="Laboratory Technician"/>
    <n v="4"/>
    <s v="Divorced"/>
    <n v="2380"/>
    <n v="13384"/>
    <n v="9"/>
    <s v="Y"/>
    <s v="Yes"/>
    <s v="Yes"/>
    <n v="14"/>
    <n v="3"/>
    <n v="4"/>
    <n v="80"/>
    <n v="1"/>
    <n v="3"/>
    <s v="0-5"/>
    <n v="3"/>
    <n v="2"/>
    <n v="1"/>
    <n v="0"/>
    <n v="0"/>
    <n v="0"/>
    <s v="Below Avg"/>
    <n v="27.866831072749694"/>
    <s v="No"/>
    <s v="High Risk"/>
  </r>
  <r>
    <n v="43"/>
    <x v="1"/>
    <s v="No"/>
    <s v="Travel_Rarely"/>
    <n v="177"/>
    <x v="1"/>
    <n v="8"/>
    <n v="3"/>
    <s v="Life Sciences"/>
    <n v="1"/>
    <n v="920"/>
    <n v="1"/>
    <s v="Female"/>
    <n v="55"/>
    <n v="3"/>
    <x v="0"/>
    <s v="Manufacturing Director"/>
    <n v="2"/>
    <s v="Divorced"/>
    <n v="4765"/>
    <n v="23814"/>
    <n v="4"/>
    <s v="Y"/>
    <s v="No"/>
    <s v="No"/>
    <n v="21"/>
    <n v="4"/>
    <n v="3"/>
    <n v="80"/>
    <n v="1"/>
    <n v="4"/>
    <s v="0-5"/>
    <n v="2"/>
    <n v="4"/>
    <n v="1"/>
    <n v="0"/>
    <n v="0"/>
    <n v="0"/>
    <s v="Below Avg"/>
    <n v="27.901234567901234"/>
    <s v="No"/>
    <s v="Low Risk"/>
  </r>
  <r>
    <n v="20"/>
    <x v="0"/>
    <s v="Yes"/>
    <s v="Travel_Rarely"/>
    <n v="500"/>
    <x v="0"/>
    <n v="2"/>
    <n v="3"/>
    <s v="Medical"/>
    <n v="1"/>
    <n v="922"/>
    <n v="3"/>
    <s v="Female"/>
    <n v="49"/>
    <n v="2"/>
    <x v="1"/>
    <s v="Sales Representative"/>
    <n v="3"/>
    <s v="Single"/>
    <n v="2044"/>
    <n v="22052"/>
    <n v="1"/>
    <s v="Y"/>
    <s v="No"/>
    <s v="No"/>
    <n v="13"/>
    <n v="3"/>
    <n v="4"/>
    <n v="80"/>
    <n v="0"/>
    <n v="2"/>
    <s v="0-5"/>
    <n v="3"/>
    <n v="2"/>
    <n v="2"/>
    <n v="2"/>
    <n v="0"/>
    <n v="2"/>
    <s v="Below Avg"/>
    <n v="27.812113720642767"/>
    <s v="No"/>
    <s v="Low Risk"/>
  </r>
  <r>
    <n v="21"/>
    <x v="0"/>
    <s v="Yes"/>
    <s v="Travel_Rarely"/>
    <n v="1427"/>
    <x v="1"/>
    <n v="18"/>
    <n v="1"/>
    <s v="Other"/>
    <n v="1"/>
    <n v="923"/>
    <n v="4"/>
    <s v="Female"/>
    <n v="65"/>
    <n v="3"/>
    <x v="1"/>
    <s v="Research Scientist"/>
    <n v="4"/>
    <s v="Single"/>
    <n v="2693"/>
    <n v="8870"/>
    <n v="1"/>
    <s v="Y"/>
    <s v="No"/>
    <s v="No"/>
    <n v="19"/>
    <n v="3"/>
    <n v="1"/>
    <n v="80"/>
    <n v="0"/>
    <n v="1"/>
    <s v="0-5"/>
    <n v="3"/>
    <n v="2"/>
    <n v="1"/>
    <n v="0"/>
    <n v="0"/>
    <n v="0"/>
    <s v="Below Avg"/>
    <n v="27.846534653465348"/>
    <s v="No"/>
    <s v="High Risk"/>
  </r>
  <r>
    <n v="36"/>
    <x v="1"/>
    <s v="No"/>
    <s v="Travel_Rarely"/>
    <n v="1425"/>
    <x v="1"/>
    <n v="14"/>
    <n v="1"/>
    <s v="Life Sciences"/>
    <n v="1"/>
    <n v="924"/>
    <n v="3"/>
    <s v="Male"/>
    <n v="68"/>
    <n v="3"/>
    <x v="0"/>
    <s v="Healthcare Representative"/>
    <n v="4"/>
    <s v="Married"/>
    <n v="6586"/>
    <n v="4821"/>
    <n v="0"/>
    <s v="Y"/>
    <s v="Yes"/>
    <s v="Yes"/>
    <n v="17"/>
    <n v="3"/>
    <n v="1"/>
    <n v="80"/>
    <n v="1"/>
    <n v="17"/>
    <s v="&gt;15"/>
    <n v="2"/>
    <n v="2"/>
    <n v="16"/>
    <n v="8"/>
    <n v="4"/>
    <n v="11"/>
    <s v="Ok"/>
    <n v="27.881040892193308"/>
    <s v="No"/>
    <s v="Low Risk"/>
  </r>
  <r>
    <n v="47"/>
    <x v="1"/>
    <s v="No"/>
    <s v="Travel_Rarely"/>
    <n v="1454"/>
    <x v="0"/>
    <n v="2"/>
    <n v="4"/>
    <s v="Life Sciences"/>
    <n v="1"/>
    <n v="925"/>
    <n v="4"/>
    <s v="Female"/>
    <n v="65"/>
    <n v="2"/>
    <x v="1"/>
    <s v="Sales Representative"/>
    <n v="4"/>
    <s v="Single"/>
    <n v="3294"/>
    <n v="13137"/>
    <n v="1"/>
    <s v="Y"/>
    <s v="Yes"/>
    <s v="Yes"/>
    <n v="18"/>
    <n v="3"/>
    <n v="1"/>
    <n v="80"/>
    <n v="0"/>
    <n v="3"/>
    <s v="0-5"/>
    <n v="3"/>
    <n v="2"/>
    <n v="3"/>
    <n v="2"/>
    <n v="1"/>
    <n v="2"/>
    <s v="Below Avg"/>
    <n v="27.915632754342433"/>
    <s v="No"/>
    <s v="Low Risk"/>
  </r>
  <r>
    <n v="22"/>
    <x v="0"/>
    <s v="Yes"/>
    <s v="Travel_Rarely"/>
    <n v="617"/>
    <x v="1"/>
    <n v="3"/>
    <n v="1"/>
    <s v="Life Sciences"/>
    <n v="1"/>
    <n v="926"/>
    <n v="2"/>
    <s v="Female"/>
    <n v="34"/>
    <n v="3"/>
    <x v="0"/>
    <s v="Manufacturing Director"/>
    <n v="3"/>
    <s v="Married"/>
    <n v="4171"/>
    <n v="10022"/>
    <n v="0"/>
    <s v="Y"/>
    <s v="Yes"/>
    <s v="Yes"/>
    <n v="19"/>
    <n v="3"/>
    <n v="1"/>
    <n v="80"/>
    <n v="1"/>
    <n v="4"/>
    <s v="0-5"/>
    <n v="3"/>
    <n v="4"/>
    <n v="3"/>
    <n v="2"/>
    <n v="0"/>
    <n v="2"/>
    <s v="Below Avg"/>
    <n v="27.826086956521738"/>
    <s v="No"/>
    <s v="Low Risk"/>
  </r>
  <r>
    <n v="41"/>
    <x v="0"/>
    <s v="Yes"/>
    <s v="Travel_Rarely"/>
    <n v="1085"/>
    <x v="1"/>
    <n v="2"/>
    <n v="4"/>
    <s v="Life Sciences"/>
    <n v="1"/>
    <n v="927"/>
    <n v="2"/>
    <s v="Female"/>
    <n v="57"/>
    <n v="1"/>
    <x v="1"/>
    <s v="Laboratory Technician"/>
    <n v="4"/>
    <s v="Divorced"/>
    <n v="2778"/>
    <n v="17725"/>
    <n v="4"/>
    <s v="Y"/>
    <s v="Yes"/>
    <s v="Yes"/>
    <n v="13"/>
    <n v="3"/>
    <n v="3"/>
    <n v="80"/>
    <n v="1"/>
    <n v="10"/>
    <s v="6-15"/>
    <n v="1"/>
    <n v="2"/>
    <n v="7"/>
    <n v="7"/>
    <n v="1"/>
    <n v="0"/>
    <s v="Below Avg"/>
    <n v="27.736318407960198"/>
    <s v="No"/>
    <s v="Low Risk"/>
  </r>
  <r>
    <n v="28"/>
    <x v="1"/>
    <s v="No"/>
    <s v="Travel_Rarely"/>
    <n v="995"/>
    <x v="1"/>
    <n v="9"/>
    <n v="3"/>
    <s v="Medical"/>
    <n v="1"/>
    <n v="930"/>
    <n v="3"/>
    <s v="Female"/>
    <n v="77"/>
    <n v="3"/>
    <x v="1"/>
    <s v="Research Scientist"/>
    <n v="3"/>
    <s v="Divorced"/>
    <n v="2377"/>
    <n v="9834"/>
    <n v="5"/>
    <s v="Y"/>
    <s v="No"/>
    <s v="No"/>
    <n v="18"/>
    <n v="3"/>
    <n v="2"/>
    <n v="80"/>
    <n v="1"/>
    <n v="6"/>
    <s v="6-15"/>
    <n v="2"/>
    <n v="3"/>
    <n v="2"/>
    <n v="2"/>
    <n v="2"/>
    <n v="2"/>
    <s v="Below Avg"/>
    <n v="27.646326276463263"/>
    <s v="No"/>
    <s v="Low Risk"/>
  </r>
  <r>
    <n v="39"/>
    <x v="0"/>
    <s v="Yes"/>
    <s v="Travel_Rarely"/>
    <n v="1122"/>
    <x v="1"/>
    <n v="6"/>
    <n v="3"/>
    <s v="Medical"/>
    <n v="1"/>
    <n v="932"/>
    <n v="4"/>
    <s v="Male"/>
    <n v="70"/>
    <n v="3"/>
    <x v="1"/>
    <s v="Laboratory Technician"/>
    <n v="1"/>
    <s v="Married"/>
    <n v="2404"/>
    <n v="4303"/>
    <n v="7"/>
    <s v="Y"/>
    <s v="Yes"/>
    <s v="Yes"/>
    <n v="21"/>
    <n v="4"/>
    <n v="4"/>
    <n v="80"/>
    <n v="0"/>
    <n v="8"/>
    <s v="6-15"/>
    <n v="2"/>
    <n v="1"/>
    <n v="2"/>
    <n v="2"/>
    <n v="2"/>
    <n v="2"/>
    <s v="Below Avg"/>
    <n v="27.556109725685786"/>
    <s v="No"/>
    <s v="Low Risk"/>
  </r>
  <r>
    <n v="27"/>
    <x v="1"/>
    <s v="No"/>
    <s v="Travel_Rarely"/>
    <n v="618"/>
    <x v="1"/>
    <n v="4"/>
    <n v="3"/>
    <s v="Life Sciences"/>
    <n v="1"/>
    <n v="933"/>
    <n v="2"/>
    <s v="Female"/>
    <n v="76"/>
    <n v="3"/>
    <x v="1"/>
    <s v="Research Scientist"/>
    <n v="3"/>
    <s v="Single"/>
    <n v="2318"/>
    <n v="17808"/>
    <n v="1"/>
    <s v="Y"/>
    <s v="No"/>
    <s v="No"/>
    <n v="19"/>
    <n v="3"/>
    <n v="3"/>
    <n v="80"/>
    <n v="0"/>
    <n v="1"/>
    <s v="0-5"/>
    <n v="2"/>
    <n v="3"/>
    <n v="1"/>
    <n v="1"/>
    <n v="0"/>
    <n v="0"/>
    <s v="Below Avg"/>
    <n v="27.590511860174782"/>
    <s v="No"/>
    <s v="Low Risk"/>
  </r>
  <r>
    <n v="34"/>
    <x v="1"/>
    <s v="No"/>
    <s v="Travel_Rarely"/>
    <n v="546"/>
    <x v="1"/>
    <n v="10"/>
    <n v="3"/>
    <s v="Life Sciences"/>
    <n v="1"/>
    <n v="934"/>
    <n v="2"/>
    <s v="Male"/>
    <n v="83"/>
    <n v="3"/>
    <x v="1"/>
    <s v="Laboratory Technician"/>
    <n v="2"/>
    <s v="Divorced"/>
    <n v="2008"/>
    <n v="6896"/>
    <n v="1"/>
    <s v="Y"/>
    <s v="No"/>
    <s v="No"/>
    <n v="14"/>
    <n v="3"/>
    <n v="2"/>
    <n v="80"/>
    <n v="2"/>
    <n v="1"/>
    <s v="0-5"/>
    <n v="3"/>
    <n v="3"/>
    <n v="1"/>
    <n v="0"/>
    <n v="1"/>
    <n v="0"/>
    <s v="Below Avg"/>
    <n v="27.500000000000004"/>
    <s v="No"/>
    <s v="Low Risk"/>
  </r>
  <r>
    <n v="42"/>
    <x v="1"/>
    <s v="No"/>
    <s v="Travel_Rarely"/>
    <n v="462"/>
    <x v="0"/>
    <n v="14"/>
    <n v="2"/>
    <s v="Medical"/>
    <n v="1"/>
    <n v="936"/>
    <n v="3"/>
    <s v="Female"/>
    <n v="68"/>
    <n v="2"/>
    <x v="0"/>
    <s v="Sales Executive"/>
    <n v="3"/>
    <s v="Single"/>
    <n v="6244"/>
    <n v="7824"/>
    <n v="7"/>
    <s v="Y"/>
    <s v="No"/>
    <s v="No"/>
    <n v="17"/>
    <n v="3"/>
    <n v="1"/>
    <n v="80"/>
    <n v="0"/>
    <n v="10"/>
    <s v="6-15"/>
    <n v="6"/>
    <n v="3"/>
    <n v="5"/>
    <n v="4"/>
    <n v="0"/>
    <n v="3"/>
    <s v="Below Avg"/>
    <n v="27.534418022528161"/>
    <s v="No"/>
    <s v="Low Risk"/>
  </r>
  <r>
    <n v="33"/>
    <x v="1"/>
    <s v="No"/>
    <s v="Travel_Rarely"/>
    <n v="1198"/>
    <x v="1"/>
    <n v="1"/>
    <n v="4"/>
    <s v="Other"/>
    <n v="1"/>
    <n v="939"/>
    <n v="3"/>
    <s v="Male"/>
    <n v="100"/>
    <n v="2"/>
    <x v="1"/>
    <s v="Research Scientist"/>
    <n v="1"/>
    <s v="Single"/>
    <n v="2799"/>
    <n v="3339"/>
    <n v="3"/>
    <s v="Y"/>
    <s v="Yes"/>
    <s v="Yes"/>
    <n v="11"/>
    <n v="3"/>
    <n v="2"/>
    <n v="80"/>
    <n v="0"/>
    <n v="6"/>
    <s v="6-15"/>
    <n v="1"/>
    <n v="3"/>
    <n v="3"/>
    <n v="2"/>
    <n v="0"/>
    <n v="2"/>
    <s v="Below Avg"/>
    <n v="27.56892230576441"/>
    <s v="No"/>
    <s v="Low Risk"/>
  </r>
  <r>
    <n v="58"/>
    <x v="1"/>
    <s v="No"/>
    <s v="Travel_Rarely"/>
    <n v="1272"/>
    <x v="1"/>
    <n v="5"/>
    <n v="3"/>
    <s v="Technical Degree"/>
    <n v="1"/>
    <n v="940"/>
    <n v="3"/>
    <s v="Female"/>
    <n v="37"/>
    <n v="2"/>
    <x v="2"/>
    <s v="Healthcare Representative"/>
    <n v="2"/>
    <s v="Divorced"/>
    <n v="10552"/>
    <n v="9255"/>
    <n v="2"/>
    <s v="Y"/>
    <s v="Yes"/>
    <s v="Yes"/>
    <n v="13"/>
    <n v="3"/>
    <n v="4"/>
    <n v="80"/>
    <n v="1"/>
    <n v="24"/>
    <s v="&gt;15"/>
    <n v="3"/>
    <n v="3"/>
    <n v="6"/>
    <n v="0"/>
    <n v="0"/>
    <n v="4"/>
    <s v="Ok"/>
    <n v="27.603513174404014"/>
    <s v="No"/>
    <s v="Low Risk"/>
  </r>
  <r>
    <n v="31"/>
    <x v="1"/>
    <s v="No"/>
    <s v="Travel_Rarely"/>
    <n v="154"/>
    <x v="0"/>
    <n v="7"/>
    <n v="4"/>
    <s v="Life Sciences"/>
    <n v="1"/>
    <n v="941"/>
    <n v="2"/>
    <s v="Male"/>
    <n v="41"/>
    <n v="2"/>
    <x v="1"/>
    <s v="Sales Representative"/>
    <n v="3"/>
    <s v="Married"/>
    <n v="2329"/>
    <n v="11737"/>
    <n v="3"/>
    <s v="Y"/>
    <s v="No"/>
    <s v="No"/>
    <n v="15"/>
    <n v="3"/>
    <n v="2"/>
    <n v="80"/>
    <n v="0"/>
    <n v="13"/>
    <s v="6-15"/>
    <n v="2"/>
    <n v="4"/>
    <n v="7"/>
    <n v="7"/>
    <n v="5"/>
    <n v="2"/>
    <s v="Below Avg"/>
    <n v="27.51256281407035"/>
    <s v="No"/>
    <s v="Low Risk"/>
  </r>
  <r>
    <n v="35"/>
    <x v="1"/>
    <s v="No"/>
    <s v="Travel_Rarely"/>
    <n v="1137"/>
    <x v="1"/>
    <n v="21"/>
    <n v="1"/>
    <s v="Life Sciences"/>
    <n v="1"/>
    <n v="942"/>
    <n v="4"/>
    <s v="Female"/>
    <n v="51"/>
    <n v="3"/>
    <x v="0"/>
    <s v="Healthcare Representative"/>
    <n v="4"/>
    <s v="Married"/>
    <n v="4014"/>
    <n v="19170"/>
    <n v="1"/>
    <s v="Y"/>
    <s v="Yes"/>
    <s v="Yes"/>
    <n v="25"/>
    <n v="4"/>
    <n v="4"/>
    <n v="80"/>
    <n v="1"/>
    <n v="10"/>
    <s v="6-15"/>
    <n v="2"/>
    <n v="1"/>
    <n v="10"/>
    <n v="6"/>
    <n v="0"/>
    <n v="7"/>
    <s v="Below Avg"/>
    <n v="27.421383647798741"/>
    <s v="No"/>
    <s v="Low Risk"/>
  </r>
  <r>
    <n v="49"/>
    <x v="1"/>
    <s v="No"/>
    <s v="Travel_Rarely"/>
    <n v="527"/>
    <x v="1"/>
    <n v="8"/>
    <n v="2"/>
    <s v="Other"/>
    <n v="1"/>
    <n v="944"/>
    <n v="1"/>
    <s v="Female"/>
    <n v="51"/>
    <n v="3"/>
    <x v="2"/>
    <s v="Laboratory Technician"/>
    <n v="2"/>
    <s v="Married"/>
    <n v="7403"/>
    <n v="22477"/>
    <n v="4"/>
    <s v="Y"/>
    <s v="No"/>
    <s v="No"/>
    <n v="11"/>
    <n v="3"/>
    <n v="3"/>
    <n v="80"/>
    <n v="1"/>
    <n v="29"/>
    <s v="&gt;15"/>
    <n v="3"/>
    <n v="2"/>
    <n v="26"/>
    <n v="9"/>
    <n v="1"/>
    <n v="7"/>
    <s v="Ok"/>
    <n v="27.455919395465994"/>
    <s v="No"/>
    <s v="Low Risk"/>
  </r>
  <r>
    <n v="48"/>
    <x v="1"/>
    <s v="No"/>
    <s v="Travel_Rarely"/>
    <n v="1469"/>
    <x v="1"/>
    <n v="20"/>
    <n v="4"/>
    <s v="Medical"/>
    <n v="1"/>
    <n v="945"/>
    <n v="4"/>
    <s v="Male"/>
    <n v="51"/>
    <n v="3"/>
    <x v="1"/>
    <s v="Research Scientist"/>
    <n v="3"/>
    <s v="Married"/>
    <n v="2259"/>
    <n v="5543"/>
    <n v="4"/>
    <s v="Y"/>
    <s v="No"/>
    <s v="No"/>
    <n v="17"/>
    <n v="3"/>
    <n v="1"/>
    <n v="80"/>
    <n v="2"/>
    <n v="13"/>
    <s v="6-15"/>
    <n v="2"/>
    <n v="2"/>
    <n v="0"/>
    <n v="0"/>
    <n v="0"/>
    <n v="0"/>
    <s v="Below Avg"/>
    <n v="27.364438839848678"/>
    <s v="No"/>
    <s v="Low Risk"/>
  </r>
  <r>
    <n v="31"/>
    <x v="1"/>
    <s v="No"/>
    <s v="Non-Travel"/>
    <n v="1188"/>
    <x v="0"/>
    <n v="20"/>
    <n v="2"/>
    <s v="Marketing"/>
    <n v="1"/>
    <n v="947"/>
    <n v="4"/>
    <s v="Female"/>
    <n v="45"/>
    <n v="3"/>
    <x v="0"/>
    <s v="Sales Executive"/>
    <n v="3"/>
    <s v="Married"/>
    <n v="6932"/>
    <n v="24406"/>
    <n v="1"/>
    <s v="Y"/>
    <s v="No"/>
    <s v="No"/>
    <n v="13"/>
    <n v="3"/>
    <n v="4"/>
    <n v="80"/>
    <n v="1"/>
    <n v="9"/>
    <s v="6-15"/>
    <n v="2"/>
    <n v="2"/>
    <n v="9"/>
    <n v="8"/>
    <n v="0"/>
    <n v="0"/>
    <s v="Below Avg"/>
    <n v="27.3989898989899"/>
    <s v="No"/>
    <s v="Low Risk"/>
  </r>
  <r>
    <n v="36"/>
    <x v="1"/>
    <s v="No"/>
    <s v="Travel_Rarely"/>
    <n v="188"/>
    <x v="1"/>
    <n v="7"/>
    <n v="4"/>
    <s v="Other"/>
    <n v="1"/>
    <n v="949"/>
    <n v="2"/>
    <s v="Male"/>
    <n v="65"/>
    <n v="3"/>
    <x v="1"/>
    <s v="Research Scientist"/>
    <n v="4"/>
    <s v="Single"/>
    <n v="4678"/>
    <n v="23293"/>
    <n v="2"/>
    <s v="Y"/>
    <s v="No"/>
    <s v="No"/>
    <n v="18"/>
    <n v="3"/>
    <n v="3"/>
    <n v="80"/>
    <n v="0"/>
    <n v="8"/>
    <s v="6-15"/>
    <n v="6"/>
    <n v="3"/>
    <n v="6"/>
    <n v="2"/>
    <n v="0"/>
    <n v="1"/>
    <s v="Below Avg"/>
    <n v="27.43362831858407"/>
    <s v="No"/>
    <s v="Low Risk"/>
  </r>
  <r>
    <n v="38"/>
    <x v="1"/>
    <s v="No"/>
    <s v="Travel_Rarely"/>
    <n v="1333"/>
    <x v="1"/>
    <n v="1"/>
    <n v="3"/>
    <s v="Technical Degree"/>
    <n v="1"/>
    <n v="950"/>
    <n v="4"/>
    <s v="Female"/>
    <n v="80"/>
    <n v="3"/>
    <x v="2"/>
    <s v="Research Director"/>
    <n v="1"/>
    <s v="Married"/>
    <n v="13582"/>
    <n v="16292"/>
    <n v="1"/>
    <s v="Y"/>
    <s v="No"/>
    <s v="No"/>
    <n v="13"/>
    <n v="3"/>
    <n v="2"/>
    <n v="80"/>
    <n v="1"/>
    <n v="15"/>
    <s v="6-15"/>
    <n v="3"/>
    <n v="3"/>
    <n v="15"/>
    <n v="12"/>
    <n v="5"/>
    <n v="11"/>
    <s v="Ok"/>
    <n v="27.468354430379748"/>
    <s v="No"/>
    <s v="Low Risk"/>
  </r>
  <r>
    <n v="32"/>
    <x v="1"/>
    <s v="No"/>
    <s v="Non-Travel"/>
    <n v="1184"/>
    <x v="1"/>
    <n v="1"/>
    <n v="3"/>
    <s v="Life Sciences"/>
    <n v="1"/>
    <n v="951"/>
    <n v="3"/>
    <s v="Female"/>
    <n v="70"/>
    <n v="2"/>
    <x v="1"/>
    <s v="Laboratory Technician"/>
    <n v="2"/>
    <s v="Married"/>
    <n v="2332"/>
    <n v="3974"/>
    <n v="6"/>
    <s v="Y"/>
    <s v="No"/>
    <s v="No"/>
    <n v="20"/>
    <n v="4"/>
    <n v="3"/>
    <n v="80"/>
    <n v="0"/>
    <n v="5"/>
    <s v="0-5"/>
    <n v="3"/>
    <n v="3"/>
    <n v="3"/>
    <n v="0"/>
    <n v="0"/>
    <n v="2"/>
    <s v="Below Avg"/>
    <n v="27.50316856780735"/>
    <s v="No"/>
    <s v="Low Risk"/>
  </r>
  <r>
    <n v="25"/>
    <x v="0"/>
    <s v="Yes"/>
    <s v="Travel_Rarely"/>
    <n v="867"/>
    <x v="0"/>
    <n v="19"/>
    <n v="2"/>
    <s v="Marketing"/>
    <n v="1"/>
    <n v="952"/>
    <n v="3"/>
    <s v="Male"/>
    <n v="36"/>
    <n v="2"/>
    <x v="1"/>
    <s v="Sales Representative"/>
    <n v="2"/>
    <s v="Married"/>
    <n v="2413"/>
    <n v="18798"/>
    <n v="1"/>
    <s v="Y"/>
    <s v="Yes"/>
    <s v="Yes"/>
    <n v="18"/>
    <n v="3"/>
    <n v="3"/>
    <n v="80"/>
    <n v="3"/>
    <n v="1"/>
    <s v="0-5"/>
    <n v="2"/>
    <n v="3"/>
    <n v="1"/>
    <n v="0"/>
    <n v="0"/>
    <n v="0"/>
    <s v="Below Avg"/>
    <n v="27.53807106598985"/>
    <s v="No"/>
    <s v="High Risk"/>
  </r>
  <r>
    <n v="40"/>
    <x v="1"/>
    <s v="No"/>
    <s v="Travel_Rarely"/>
    <n v="658"/>
    <x v="0"/>
    <n v="10"/>
    <n v="4"/>
    <s v="Marketing"/>
    <n v="1"/>
    <n v="954"/>
    <n v="1"/>
    <s v="Male"/>
    <n v="67"/>
    <n v="2"/>
    <x v="2"/>
    <s v="Sales Executive"/>
    <n v="2"/>
    <s v="Divorced"/>
    <n v="9705"/>
    <n v="20652"/>
    <n v="2"/>
    <s v="Y"/>
    <s v="No"/>
    <s v="No"/>
    <n v="12"/>
    <n v="3"/>
    <n v="2"/>
    <n v="80"/>
    <n v="1"/>
    <n v="11"/>
    <s v="6-15"/>
    <n v="2"/>
    <n v="2"/>
    <n v="1"/>
    <n v="0"/>
    <n v="0"/>
    <n v="0"/>
    <s v="Ok"/>
    <n v="27.573062261753496"/>
    <s v="No"/>
    <s v="Low Risk"/>
  </r>
  <r>
    <n v="26"/>
    <x v="1"/>
    <s v="No"/>
    <s v="Travel_Frequently"/>
    <n v="1283"/>
    <x v="0"/>
    <n v="1"/>
    <n v="3"/>
    <s v="Medical"/>
    <n v="1"/>
    <n v="956"/>
    <n v="3"/>
    <s v="Male"/>
    <n v="52"/>
    <n v="2"/>
    <x v="0"/>
    <s v="Sales Executive"/>
    <n v="1"/>
    <s v="Single"/>
    <n v="4294"/>
    <n v="11148"/>
    <n v="1"/>
    <s v="Y"/>
    <s v="No"/>
    <s v="No"/>
    <n v="12"/>
    <n v="3"/>
    <n v="2"/>
    <n v="80"/>
    <n v="0"/>
    <n v="7"/>
    <s v="6-15"/>
    <n v="2"/>
    <n v="3"/>
    <n v="7"/>
    <n v="7"/>
    <n v="0"/>
    <n v="7"/>
    <s v="Below Avg"/>
    <n v="27.480916030534353"/>
    <s v="No"/>
    <s v="Low Risk"/>
  </r>
  <r>
    <n v="41"/>
    <x v="1"/>
    <s v="No"/>
    <s v="Travel_Rarely"/>
    <n v="263"/>
    <x v="1"/>
    <n v="6"/>
    <n v="3"/>
    <s v="Medical"/>
    <n v="1"/>
    <n v="957"/>
    <n v="4"/>
    <s v="Male"/>
    <n v="59"/>
    <n v="3"/>
    <x v="1"/>
    <s v="Laboratory Technician"/>
    <n v="1"/>
    <s v="Single"/>
    <n v="4721"/>
    <n v="3119"/>
    <n v="2"/>
    <s v="Y"/>
    <s v="Yes"/>
    <s v="Yes"/>
    <n v="13"/>
    <n v="3"/>
    <n v="3"/>
    <n v="80"/>
    <n v="0"/>
    <n v="20"/>
    <s v="&gt;15"/>
    <n v="3"/>
    <n v="3"/>
    <n v="18"/>
    <n v="13"/>
    <n v="2"/>
    <n v="17"/>
    <s v="Below Avg"/>
    <n v="27.515923566878982"/>
    <s v="No"/>
    <s v="Low Risk"/>
  </r>
  <r>
    <n v="36"/>
    <x v="1"/>
    <s v="No"/>
    <s v="Travel_Rarely"/>
    <n v="938"/>
    <x v="1"/>
    <n v="2"/>
    <n v="4"/>
    <s v="Medical"/>
    <n v="1"/>
    <n v="958"/>
    <n v="3"/>
    <s v="Male"/>
    <n v="79"/>
    <n v="3"/>
    <x v="1"/>
    <s v="Laboratory Technician"/>
    <n v="3"/>
    <s v="Single"/>
    <n v="2519"/>
    <n v="12287"/>
    <n v="4"/>
    <s v="Y"/>
    <s v="No"/>
    <s v="No"/>
    <n v="21"/>
    <n v="4"/>
    <n v="3"/>
    <n v="80"/>
    <n v="0"/>
    <n v="16"/>
    <s v="&gt;15"/>
    <n v="6"/>
    <n v="3"/>
    <n v="11"/>
    <n v="8"/>
    <n v="3"/>
    <n v="9"/>
    <s v="Below Avg"/>
    <n v="27.551020408163261"/>
    <s v="No"/>
    <s v="Low Risk"/>
  </r>
  <r>
    <n v="19"/>
    <x v="0"/>
    <s v="Yes"/>
    <s v="Travel_Rarely"/>
    <n v="419"/>
    <x v="0"/>
    <n v="21"/>
    <n v="3"/>
    <s v="Other"/>
    <n v="1"/>
    <n v="959"/>
    <n v="4"/>
    <s v="Male"/>
    <n v="37"/>
    <n v="2"/>
    <x v="1"/>
    <s v="Sales Representative"/>
    <n v="2"/>
    <s v="Single"/>
    <n v="2121"/>
    <n v="9947"/>
    <n v="1"/>
    <s v="Y"/>
    <s v="Yes"/>
    <s v="Yes"/>
    <n v="13"/>
    <n v="3"/>
    <n v="2"/>
    <n v="80"/>
    <n v="0"/>
    <n v="1"/>
    <s v="0-5"/>
    <n v="3"/>
    <n v="4"/>
    <n v="1"/>
    <n v="0"/>
    <n v="0"/>
    <n v="0"/>
    <s v="Below Avg"/>
    <n v="27.458492975734355"/>
    <s v="No"/>
    <s v="High Risk"/>
  </r>
  <r>
    <n v="20"/>
    <x v="0"/>
    <s v="Yes"/>
    <s v="Travel_Rarely"/>
    <n v="129"/>
    <x v="1"/>
    <n v="4"/>
    <n v="3"/>
    <s v="Technical Degree"/>
    <n v="1"/>
    <n v="960"/>
    <n v="1"/>
    <s v="Male"/>
    <n v="84"/>
    <n v="3"/>
    <x v="1"/>
    <s v="Laboratory Technician"/>
    <n v="1"/>
    <s v="Single"/>
    <n v="2973"/>
    <n v="13008"/>
    <n v="1"/>
    <s v="Y"/>
    <s v="No"/>
    <s v="No"/>
    <n v="19"/>
    <n v="3"/>
    <n v="2"/>
    <n v="80"/>
    <n v="0"/>
    <n v="1"/>
    <s v="0-5"/>
    <n v="2"/>
    <n v="3"/>
    <n v="1"/>
    <n v="0"/>
    <n v="0"/>
    <n v="0"/>
    <s v="Below Avg"/>
    <n v="27.493606138107417"/>
    <s v="No"/>
    <s v="High Risk"/>
  </r>
  <r>
    <n v="31"/>
    <x v="1"/>
    <s v="No"/>
    <s v="Travel_Rarely"/>
    <n v="616"/>
    <x v="1"/>
    <n v="12"/>
    <n v="3"/>
    <s v="Medical"/>
    <n v="1"/>
    <n v="961"/>
    <n v="4"/>
    <s v="Female"/>
    <n v="41"/>
    <n v="3"/>
    <x v="0"/>
    <s v="Healthcare Representative"/>
    <n v="4"/>
    <s v="Married"/>
    <n v="5855"/>
    <n v="17369"/>
    <n v="0"/>
    <s v="Y"/>
    <s v="Yes"/>
    <s v="Yes"/>
    <n v="11"/>
    <n v="3"/>
    <n v="3"/>
    <n v="80"/>
    <n v="2"/>
    <n v="10"/>
    <s v="6-15"/>
    <n v="2"/>
    <n v="1"/>
    <n v="9"/>
    <n v="7"/>
    <n v="8"/>
    <n v="5"/>
    <s v="Below Avg"/>
    <n v="27.40076824583867"/>
    <s v="No"/>
    <s v="Low Risk"/>
  </r>
  <r>
    <n v="40"/>
    <x v="1"/>
    <s v="No"/>
    <s v="Travel_Frequently"/>
    <n v="1469"/>
    <x v="1"/>
    <n v="9"/>
    <n v="4"/>
    <s v="Medical"/>
    <n v="1"/>
    <n v="964"/>
    <n v="4"/>
    <s v="Male"/>
    <n v="35"/>
    <n v="3"/>
    <x v="1"/>
    <s v="Research Scientist"/>
    <n v="2"/>
    <s v="Divorced"/>
    <n v="3617"/>
    <n v="25063"/>
    <n v="8"/>
    <s v="Y"/>
    <s v="Yes"/>
    <s v="Yes"/>
    <n v="14"/>
    <n v="3"/>
    <n v="4"/>
    <n v="80"/>
    <n v="1"/>
    <n v="3"/>
    <s v="0-5"/>
    <n v="2"/>
    <n v="3"/>
    <n v="1"/>
    <n v="1"/>
    <n v="0"/>
    <n v="0"/>
    <s v="Below Avg"/>
    <n v="27.435897435897438"/>
    <s v="No"/>
    <s v="Low Risk"/>
  </r>
  <r>
    <n v="32"/>
    <x v="1"/>
    <s v="No"/>
    <s v="Travel_Rarely"/>
    <n v="498"/>
    <x v="1"/>
    <n v="3"/>
    <n v="4"/>
    <s v="Medical"/>
    <n v="1"/>
    <n v="966"/>
    <n v="3"/>
    <s v="Female"/>
    <n v="93"/>
    <n v="3"/>
    <x v="0"/>
    <s v="Manufacturing Director"/>
    <n v="1"/>
    <s v="Married"/>
    <n v="6725"/>
    <n v="13554"/>
    <n v="1"/>
    <s v="Y"/>
    <s v="No"/>
    <s v="No"/>
    <n v="12"/>
    <n v="3"/>
    <n v="3"/>
    <n v="80"/>
    <n v="1"/>
    <n v="8"/>
    <s v="6-15"/>
    <n v="2"/>
    <n v="4"/>
    <n v="8"/>
    <n v="7"/>
    <n v="6"/>
    <n v="3"/>
    <s v="Ok"/>
    <n v="27.342747111681643"/>
    <s v="No"/>
    <s v="Low Risk"/>
  </r>
  <r>
    <n v="36"/>
    <x v="0"/>
    <s v="Yes"/>
    <s v="Travel_Rarely"/>
    <n v="530"/>
    <x v="0"/>
    <n v="3"/>
    <n v="1"/>
    <s v="Life Sciences"/>
    <n v="1"/>
    <n v="967"/>
    <n v="3"/>
    <s v="Male"/>
    <n v="51"/>
    <n v="2"/>
    <x v="2"/>
    <s v="Sales Executive"/>
    <n v="4"/>
    <s v="Married"/>
    <n v="10325"/>
    <n v="5518"/>
    <n v="1"/>
    <s v="Y"/>
    <s v="Yes"/>
    <s v="Yes"/>
    <n v="11"/>
    <n v="3"/>
    <n v="1"/>
    <n v="80"/>
    <n v="1"/>
    <n v="16"/>
    <s v="&gt;15"/>
    <n v="6"/>
    <n v="3"/>
    <n v="16"/>
    <n v="7"/>
    <n v="3"/>
    <n v="7"/>
    <s v="Ok"/>
    <n v="27.249357326478147"/>
    <s v="No"/>
    <s v="Low Risk"/>
  </r>
  <r>
    <n v="33"/>
    <x v="1"/>
    <s v="No"/>
    <s v="Travel_Rarely"/>
    <n v="1069"/>
    <x v="1"/>
    <n v="1"/>
    <n v="3"/>
    <s v="Life Sciences"/>
    <n v="1"/>
    <n v="969"/>
    <n v="2"/>
    <s v="Female"/>
    <n v="42"/>
    <n v="2"/>
    <x v="0"/>
    <s v="Healthcare Representative"/>
    <n v="4"/>
    <s v="Single"/>
    <n v="6949"/>
    <n v="12291"/>
    <n v="0"/>
    <s v="Y"/>
    <s v="No"/>
    <s v="No"/>
    <n v="14"/>
    <n v="3"/>
    <n v="1"/>
    <n v="80"/>
    <n v="0"/>
    <n v="6"/>
    <s v="6-15"/>
    <n v="3"/>
    <n v="3"/>
    <n v="5"/>
    <n v="0"/>
    <n v="1"/>
    <n v="4"/>
    <s v="Ok"/>
    <n v="27.284427284427281"/>
    <s v="No"/>
    <s v="Low Risk"/>
  </r>
  <r>
    <n v="37"/>
    <x v="0"/>
    <s v="Yes"/>
    <s v="Travel_Rarely"/>
    <n v="625"/>
    <x v="0"/>
    <n v="1"/>
    <n v="4"/>
    <s v="Life Sciences"/>
    <n v="1"/>
    <n v="970"/>
    <n v="1"/>
    <s v="Male"/>
    <n v="46"/>
    <n v="2"/>
    <x v="2"/>
    <s v="Sales Executive"/>
    <n v="3"/>
    <s v="Married"/>
    <n v="10609"/>
    <n v="14922"/>
    <n v="5"/>
    <s v="Y"/>
    <s v="No"/>
    <s v="No"/>
    <n v="11"/>
    <n v="3"/>
    <n v="3"/>
    <n v="80"/>
    <n v="0"/>
    <n v="17"/>
    <s v="&gt;15"/>
    <n v="2"/>
    <n v="1"/>
    <n v="14"/>
    <n v="1"/>
    <n v="11"/>
    <n v="7"/>
    <s v="Ok"/>
    <n v="27.190721649484534"/>
    <s v="No"/>
    <s v="Low Risk"/>
  </r>
  <r>
    <n v="45"/>
    <x v="1"/>
    <s v="No"/>
    <s v="Non-Travel"/>
    <n v="805"/>
    <x v="1"/>
    <n v="4"/>
    <n v="2"/>
    <s v="Life Sciences"/>
    <n v="1"/>
    <n v="972"/>
    <n v="3"/>
    <s v="Male"/>
    <n v="57"/>
    <n v="3"/>
    <x v="0"/>
    <s v="Laboratory Technician"/>
    <n v="2"/>
    <s v="Married"/>
    <n v="4447"/>
    <n v="23163"/>
    <n v="1"/>
    <s v="Y"/>
    <s v="No"/>
    <s v="No"/>
    <n v="12"/>
    <n v="3"/>
    <n v="2"/>
    <n v="80"/>
    <n v="0"/>
    <n v="9"/>
    <s v="6-15"/>
    <n v="5"/>
    <n v="2"/>
    <n v="9"/>
    <n v="7"/>
    <n v="0"/>
    <n v="8"/>
    <s v="Below Avg"/>
    <n v="27.225806451612904"/>
    <s v="No"/>
    <s v="Low Risk"/>
  </r>
  <r>
    <n v="29"/>
    <x v="1"/>
    <s v="No"/>
    <s v="Travel_Frequently"/>
    <n v="1404"/>
    <x v="0"/>
    <n v="20"/>
    <n v="3"/>
    <s v="Technical Degree"/>
    <n v="1"/>
    <n v="974"/>
    <n v="3"/>
    <s v="Female"/>
    <n v="84"/>
    <n v="3"/>
    <x v="1"/>
    <s v="Sales Representative"/>
    <n v="4"/>
    <s v="Married"/>
    <n v="2157"/>
    <n v="18203"/>
    <n v="1"/>
    <s v="Y"/>
    <s v="No"/>
    <s v="No"/>
    <n v="15"/>
    <n v="3"/>
    <n v="2"/>
    <n v="80"/>
    <n v="1"/>
    <n v="3"/>
    <s v="0-5"/>
    <n v="5"/>
    <n v="3"/>
    <n v="3"/>
    <n v="1"/>
    <n v="0"/>
    <n v="2"/>
    <s v="Below Avg"/>
    <n v="27.260981912144704"/>
    <s v="No"/>
    <s v="Low Risk"/>
  </r>
  <r>
    <n v="35"/>
    <x v="1"/>
    <s v="No"/>
    <s v="Travel_Rarely"/>
    <n v="1219"/>
    <x v="0"/>
    <n v="18"/>
    <n v="3"/>
    <s v="Medical"/>
    <n v="1"/>
    <n v="975"/>
    <n v="3"/>
    <s v="Female"/>
    <n v="86"/>
    <n v="3"/>
    <x v="0"/>
    <s v="Sales Executive"/>
    <n v="3"/>
    <s v="Married"/>
    <n v="4601"/>
    <n v="6179"/>
    <n v="1"/>
    <s v="Y"/>
    <s v="No"/>
    <s v="No"/>
    <n v="16"/>
    <n v="3"/>
    <n v="2"/>
    <n v="80"/>
    <n v="0"/>
    <n v="5"/>
    <s v="0-5"/>
    <n v="3"/>
    <n v="3"/>
    <n v="5"/>
    <n v="2"/>
    <n v="1"/>
    <n v="0"/>
    <s v="Below Avg"/>
    <n v="27.296248382923672"/>
    <s v="No"/>
    <s v="Low Risk"/>
  </r>
  <r>
    <n v="52"/>
    <x v="1"/>
    <s v="No"/>
    <s v="Travel_Rarely"/>
    <n v="1053"/>
    <x v="1"/>
    <n v="1"/>
    <n v="2"/>
    <s v="Life Sciences"/>
    <n v="1"/>
    <n v="976"/>
    <n v="4"/>
    <s v="Male"/>
    <n v="70"/>
    <n v="3"/>
    <x v="3"/>
    <s v="Manager"/>
    <n v="4"/>
    <s v="Married"/>
    <n v="17099"/>
    <n v="13829"/>
    <n v="2"/>
    <s v="Y"/>
    <s v="No"/>
    <s v="No"/>
    <n v="15"/>
    <n v="3"/>
    <n v="2"/>
    <n v="80"/>
    <n v="1"/>
    <n v="26"/>
    <s v="&gt;15"/>
    <n v="2"/>
    <n v="2"/>
    <n v="9"/>
    <n v="8"/>
    <n v="7"/>
    <n v="8"/>
    <s v="Ok"/>
    <n v="27.331606217616581"/>
    <s v="No"/>
    <s v="Low Risk"/>
  </r>
  <r>
    <n v="58"/>
    <x v="0"/>
    <s v="Yes"/>
    <s v="Travel_Rarely"/>
    <n v="289"/>
    <x v="1"/>
    <n v="2"/>
    <n v="3"/>
    <s v="Technical Degree"/>
    <n v="1"/>
    <n v="977"/>
    <n v="4"/>
    <s v="Male"/>
    <n v="51"/>
    <n v="3"/>
    <x v="1"/>
    <s v="Research Scientist"/>
    <n v="3"/>
    <s v="Single"/>
    <n v="2479"/>
    <n v="26227"/>
    <n v="4"/>
    <s v="Y"/>
    <s v="No"/>
    <s v="No"/>
    <n v="24"/>
    <n v="4"/>
    <n v="1"/>
    <n v="80"/>
    <n v="0"/>
    <n v="7"/>
    <s v="6-15"/>
    <n v="4"/>
    <n v="3"/>
    <n v="1"/>
    <n v="0"/>
    <n v="0"/>
    <n v="0"/>
    <s v="Below Avg"/>
    <n v="27.367055771725035"/>
    <s v="No"/>
    <s v="High Risk"/>
  </r>
  <r>
    <n v="53"/>
    <x v="1"/>
    <s v="No"/>
    <s v="Travel_Rarely"/>
    <n v="1376"/>
    <x v="0"/>
    <n v="2"/>
    <n v="2"/>
    <s v="Medical"/>
    <n v="1"/>
    <n v="981"/>
    <n v="3"/>
    <s v="Male"/>
    <n v="45"/>
    <n v="3"/>
    <x v="3"/>
    <s v="Manager"/>
    <n v="3"/>
    <s v="Divorced"/>
    <n v="14852"/>
    <n v="13938"/>
    <n v="6"/>
    <s v="Y"/>
    <s v="No"/>
    <s v="No"/>
    <n v="13"/>
    <n v="3"/>
    <n v="3"/>
    <n v="80"/>
    <n v="1"/>
    <n v="22"/>
    <s v="&gt;15"/>
    <n v="3"/>
    <n v="4"/>
    <n v="17"/>
    <n v="13"/>
    <n v="15"/>
    <n v="2"/>
    <s v="Ok"/>
    <n v="27.402597402597401"/>
    <s v="No"/>
    <s v="Low Risk"/>
  </r>
  <r>
    <n v="30"/>
    <x v="1"/>
    <s v="No"/>
    <s v="Travel_Rarely"/>
    <n v="231"/>
    <x v="0"/>
    <n v="8"/>
    <n v="2"/>
    <s v="Other"/>
    <n v="1"/>
    <n v="982"/>
    <n v="3"/>
    <s v="Male"/>
    <n v="62"/>
    <n v="3"/>
    <x v="2"/>
    <s v="Sales Executive"/>
    <n v="3"/>
    <s v="Divorced"/>
    <n v="7264"/>
    <n v="9977"/>
    <n v="5"/>
    <s v="Y"/>
    <s v="No"/>
    <s v="No"/>
    <n v="11"/>
    <n v="3"/>
    <n v="1"/>
    <n v="80"/>
    <n v="1"/>
    <n v="10"/>
    <s v="6-15"/>
    <n v="2"/>
    <n v="4"/>
    <n v="8"/>
    <n v="4"/>
    <n v="7"/>
    <n v="7"/>
    <s v="Ok"/>
    <n v="27.438231469440833"/>
    <s v="No"/>
    <s v="Low Risk"/>
  </r>
  <r>
    <n v="38"/>
    <x v="1"/>
    <s v="No"/>
    <s v="Non-Travel"/>
    <n v="152"/>
    <x v="0"/>
    <n v="10"/>
    <n v="3"/>
    <s v="Technical Degree"/>
    <n v="1"/>
    <n v="983"/>
    <n v="3"/>
    <s v="Female"/>
    <n v="85"/>
    <n v="3"/>
    <x v="0"/>
    <s v="Sales Executive"/>
    <n v="4"/>
    <s v="Single"/>
    <n v="5666"/>
    <n v="19899"/>
    <n v="1"/>
    <s v="Y"/>
    <s v="Yes"/>
    <s v="Yes"/>
    <n v="13"/>
    <n v="3"/>
    <n v="2"/>
    <n v="80"/>
    <n v="0"/>
    <n v="6"/>
    <s v="6-15"/>
    <n v="1"/>
    <n v="3"/>
    <n v="5"/>
    <n v="3"/>
    <n v="1"/>
    <n v="3"/>
    <s v="Below Avg"/>
    <n v="27.473958333333332"/>
    <s v="No"/>
    <s v="Low Risk"/>
  </r>
  <r>
    <n v="35"/>
    <x v="1"/>
    <s v="No"/>
    <s v="Travel_Rarely"/>
    <n v="882"/>
    <x v="0"/>
    <n v="3"/>
    <n v="4"/>
    <s v="Life Sciences"/>
    <n v="1"/>
    <n v="984"/>
    <n v="4"/>
    <s v="Male"/>
    <n v="92"/>
    <n v="3"/>
    <x v="2"/>
    <s v="Sales Executive"/>
    <n v="4"/>
    <s v="Divorced"/>
    <n v="7823"/>
    <n v="6812"/>
    <n v="6"/>
    <s v="Y"/>
    <s v="No"/>
    <s v="No"/>
    <n v="13"/>
    <n v="3"/>
    <n v="2"/>
    <n v="80"/>
    <n v="1"/>
    <n v="12"/>
    <s v="6-15"/>
    <n v="2"/>
    <n v="3"/>
    <n v="10"/>
    <n v="9"/>
    <n v="0"/>
    <n v="8"/>
    <s v="Ok"/>
    <n v="27.509778357235987"/>
    <s v="No"/>
    <s v="Low Risk"/>
  </r>
  <r>
    <n v="39"/>
    <x v="1"/>
    <s v="No"/>
    <s v="Travel_Rarely"/>
    <n v="903"/>
    <x v="0"/>
    <n v="2"/>
    <n v="5"/>
    <s v="Life Sciences"/>
    <n v="1"/>
    <n v="985"/>
    <n v="1"/>
    <s v="Male"/>
    <n v="41"/>
    <n v="4"/>
    <x v="2"/>
    <s v="Sales Executive"/>
    <n v="3"/>
    <s v="Single"/>
    <n v="7880"/>
    <n v="2560"/>
    <n v="0"/>
    <s v="Y"/>
    <s v="No"/>
    <s v="No"/>
    <n v="18"/>
    <n v="3"/>
    <n v="4"/>
    <n v="80"/>
    <n v="0"/>
    <n v="9"/>
    <s v="6-15"/>
    <n v="3"/>
    <n v="3"/>
    <n v="8"/>
    <n v="7"/>
    <n v="0"/>
    <n v="7"/>
    <s v="Ok"/>
    <n v="27.415143603133156"/>
    <s v="No"/>
    <s v="Low Risk"/>
  </r>
  <r>
    <n v="40"/>
    <x v="0"/>
    <s v="Yes"/>
    <s v="Non-Travel"/>
    <n v="1479"/>
    <x v="0"/>
    <n v="24"/>
    <n v="3"/>
    <s v="Life Sciences"/>
    <n v="1"/>
    <n v="986"/>
    <n v="2"/>
    <s v="Female"/>
    <n v="100"/>
    <n v="4"/>
    <x v="3"/>
    <s v="Sales Executive"/>
    <n v="2"/>
    <s v="Single"/>
    <n v="13194"/>
    <n v="17071"/>
    <n v="4"/>
    <s v="Y"/>
    <s v="Yes"/>
    <s v="Yes"/>
    <n v="16"/>
    <n v="3"/>
    <n v="4"/>
    <n v="80"/>
    <n v="0"/>
    <n v="22"/>
    <s v="&gt;15"/>
    <n v="2"/>
    <n v="2"/>
    <n v="1"/>
    <n v="0"/>
    <n v="0"/>
    <n v="0"/>
    <s v="Ok"/>
    <n v="27.450980392156865"/>
    <s v="No"/>
    <s v="High Risk"/>
  </r>
  <r>
    <n v="47"/>
    <x v="1"/>
    <s v="No"/>
    <s v="Travel_Frequently"/>
    <n v="1379"/>
    <x v="1"/>
    <n v="16"/>
    <n v="4"/>
    <s v="Medical"/>
    <n v="1"/>
    <n v="987"/>
    <n v="3"/>
    <s v="Male"/>
    <n v="64"/>
    <n v="4"/>
    <x v="0"/>
    <s v="Manufacturing Director"/>
    <n v="3"/>
    <s v="Divorced"/>
    <n v="5067"/>
    <n v="6759"/>
    <n v="1"/>
    <s v="Y"/>
    <s v="Yes"/>
    <s v="Yes"/>
    <n v="19"/>
    <n v="3"/>
    <n v="3"/>
    <n v="80"/>
    <n v="0"/>
    <n v="20"/>
    <s v="&gt;15"/>
    <n v="3"/>
    <n v="4"/>
    <n v="19"/>
    <n v="10"/>
    <n v="2"/>
    <n v="7"/>
    <s v="Below Avg"/>
    <n v="27.486910994764397"/>
    <s v="No"/>
    <s v="Low Risk"/>
  </r>
  <r>
    <n v="36"/>
    <x v="1"/>
    <s v="No"/>
    <s v="Non-Travel"/>
    <n v="1229"/>
    <x v="0"/>
    <n v="8"/>
    <n v="4"/>
    <s v="Technical Degree"/>
    <n v="1"/>
    <n v="990"/>
    <n v="1"/>
    <s v="Male"/>
    <n v="84"/>
    <n v="3"/>
    <x v="0"/>
    <s v="Sales Executive"/>
    <n v="4"/>
    <s v="Divorced"/>
    <n v="5079"/>
    <n v="25952"/>
    <n v="4"/>
    <s v="Y"/>
    <s v="No"/>
    <s v="No"/>
    <n v="13"/>
    <n v="3"/>
    <n v="4"/>
    <n v="80"/>
    <n v="2"/>
    <n v="12"/>
    <s v="6-15"/>
    <n v="3"/>
    <n v="3"/>
    <n v="7"/>
    <n v="7"/>
    <n v="0"/>
    <n v="7"/>
    <s v="Below Avg"/>
    <n v="27.391874180865006"/>
    <s v="No"/>
    <s v="Low Risk"/>
  </r>
  <r>
    <n v="31"/>
    <x v="0"/>
    <s v="Yes"/>
    <s v="Non-Travel"/>
    <n v="335"/>
    <x v="1"/>
    <n v="9"/>
    <n v="2"/>
    <s v="Medical"/>
    <n v="1"/>
    <n v="991"/>
    <n v="3"/>
    <s v="Male"/>
    <n v="46"/>
    <n v="2"/>
    <x v="1"/>
    <s v="Research Scientist"/>
    <n v="1"/>
    <s v="Single"/>
    <n v="2321"/>
    <n v="10322"/>
    <n v="0"/>
    <s v="Y"/>
    <s v="Yes"/>
    <s v="Yes"/>
    <n v="22"/>
    <n v="4"/>
    <n v="1"/>
    <n v="80"/>
    <n v="0"/>
    <n v="4"/>
    <s v="0-5"/>
    <n v="0"/>
    <n v="3"/>
    <n v="3"/>
    <n v="2"/>
    <n v="1"/>
    <n v="2"/>
    <s v="Below Avg"/>
    <n v="27.296587926509186"/>
    <s v="No"/>
    <s v="Low Risk"/>
  </r>
  <r>
    <n v="33"/>
    <x v="1"/>
    <s v="No"/>
    <s v="Non-Travel"/>
    <n v="722"/>
    <x v="0"/>
    <n v="17"/>
    <n v="3"/>
    <s v="Life Sciences"/>
    <n v="1"/>
    <n v="992"/>
    <n v="4"/>
    <s v="Male"/>
    <n v="38"/>
    <n v="3"/>
    <x v="3"/>
    <s v="Manager"/>
    <n v="3"/>
    <s v="Single"/>
    <n v="17444"/>
    <n v="20489"/>
    <n v="1"/>
    <s v="Y"/>
    <s v="No"/>
    <s v="No"/>
    <n v="11"/>
    <n v="3"/>
    <n v="4"/>
    <n v="80"/>
    <n v="0"/>
    <n v="10"/>
    <s v="6-15"/>
    <n v="2"/>
    <n v="3"/>
    <n v="10"/>
    <n v="8"/>
    <n v="6"/>
    <n v="0"/>
    <s v="Ok"/>
    <n v="27.332457293035478"/>
    <s v="No"/>
    <s v="Low Risk"/>
  </r>
  <r>
    <n v="29"/>
    <x v="0"/>
    <s v="Yes"/>
    <s v="Travel_Rarely"/>
    <n v="906"/>
    <x v="1"/>
    <n v="10"/>
    <n v="3"/>
    <s v="Life Sciences"/>
    <n v="1"/>
    <n v="994"/>
    <n v="4"/>
    <s v="Female"/>
    <n v="92"/>
    <n v="2"/>
    <x v="1"/>
    <s v="Research Scientist"/>
    <n v="1"/>
    <s v="Single"/>
    <n v="2404"/>
    <n v="11479"/>
    <n v="6"/>
    <s v="Y"/>
    <s v="Yes"/>
    <s v="Yes"/>
    <n v="20"/>
    <n v="4"/>
    <n v="3"/>
    <n v="80"/>
    <n v="0"/>
    <n v="3"/>
    <s v="0-5"/>
    <n v="5"/>
    <n v="3"/>
    <n v="0"/>
    <n v="0"/>
    <n v="0"/>
    <n v="0"/>
    <s v="Below Avg"/>
    <n v="27.236842105263158"/>
    <s v="No"/>
    <s v="High Risk"/>
  </r>
  <r>
    <n v="33"/>
    <x v="1"/>
    <s v="No"/>
    <s v="Travel_Rarely"/>
    <n v="461"/>
    <x v="1"/>
    <n v="13"/>
    <n v="1"/>
    <s v="Life Sciences"/>
    <n v="1"/>
    <n v="995"/>
    <n v="2"/>
    <s v="Female"/>
    <n v="53"/>
    <n v="3"/>
    <x v="1"/>
    <s v="Research Scientist"/>
    <n v="4"/>
    <s v="Single"/>
    <n v="3452"/>
    <n v="17241"/>
    <n v="3"/>
    <s v="Y"/>
    <s v="No"/>
    <s v="No"/>
    <n v="18"/>
    <n v="3"/>
    <n v="1"/>
    <n v="80"/>
    <n v="0"/>
    <n v="5"/>
    <s v="0-5"/>
    <n v="4"/>
    <n v="3"/>
    <n v="3"/>
    <n v="2"/>
    <n v="0"/>
    <n v="2"/>
    <s v="Below Avg"/>
    <n v="27.27272727272727"/>
    <s v="No"/>
    <s v="Low Risk"/>
  </r>
  <r>
    <n v="45"/>
    <x v="1"/>
    <s v="No"/>
    <s v="Travel_Rarely"/>
    <n v="974"/>
    <x v="1"/>
    <n v="1"/>
    <n v="4"/>
    <s v="Medical"/>
    <n v="1"/>
    <n v="996"/>
    <n v="4"/>
    <s v="Female"/>
    <n v="91"/>
    <n v="3"/>
    <x v="1"/>
    <s v="Laboratory Technician"/>
    <n v="4"/>
    <s v="Divorced"/>
    <n v="2270"/>
    <n v="11005"/>
    <n v="3"/>
    <s v="Y"/>
    <s v="No"/>
    <s v="No"/>
    <n v="14"/>
    <n v="3"/>
    <n v="4"/>
    <n v="80"/>
    <n v="2"/>
    <n v="8"/>
    <s v="6-15"/>
    <n v="2"/>
    <n v="3"/>
    <n v="5"/>
    <n v="3"/>
    <n v="0"/>
    <n v="2"/>
    <s v="Below Avg"/>
    <n v="27.176781002638524"/>
    <s v="No"/>
    <s v="Low Risk"/>
  </r>
  <r>
    <n v="50"/>
    <x v="1"/>
    <s v="No"/>
    <s v="Travel_Rarely"/>
    <n v="1126"/>
    <x v="1"/>
    <n v="1"/>
    <n v="2"/>
    <s v="Medical"/>
    <n v="1"/>
    <n v="997"/>
    <n v="4"/>
    <s v="Male"/>
    <n v="66"/>
    <n v="3"/>
    <x v="3"/>
    <s v="Research Director"/>
    <n v="4"/>
    <s v="Divorced"/>
    <n v="17399"/>
    <n v="6615"/>
    <n v="9"/>
    <s v="Y"/>
    <s v="No"/>
    <s v="No"/>
    <n v="22"/>
    <n v="4"/>
    <n v="3"/>
    <n v="80"/>
    <n v="1"/>
    <n v="32"/>
    <s v="&gt;15"/>
    <n v="1"/>
    <n v="2"/>
    <n v="5"/>
    <n v="4"/>
    <n v="1"/>
    <n v="3"/>
    <s v="Ok"/>
    <n v="27.212681638044916"/>
    <s v="No"/>
    <s v="Low Risk"/>
  </r>
  <r>
    <n v="33"/>
    <x v="1"/>
    <s v="No"/>
    <s v="Travel_Frequently"/>
    <n v="827"/>
    <x v="1"/>
    <n v="1"/>
    <n v="4"/>
    <s v="Other"/>
    <n v="1"/>
    <n v="998"/>
    <n v="3"/>
    <s v="Female"/>
    <n v="84"/>
    <n v="4"/>
    <x v="0"/>
    <s v="Healthcare Representative"/>
    <n v="2"/>
    <s v="Married"/>
    <n v="5488"/>
    <n v="20161"/>
    <n v="1"/>
    <s v="Y"/>
    <s v="Yes"/>
    <s v="Yes"/>
    <n v="13"/>
    <n v="3"/>
    <n v="1"/>
    <n v="80"/>
    <n v="1"/>
    <n v="6"/>
    <s v="6-15"/>
    <n v="2"/>
    <n v="3"/>
    <n v="6"/>
    <n v="5"/>
    <n v="1"/>
    <n v="2"/>
    <s v="Below Avg"/>
    <n v="27.24867724867725"/>
    <s v="No"/>
    <s v="Low Risk"/>
  </r>
  <r>
    <n v="41"/>
    <x v="1"/>
    <s v="No"/>
    <s v="Travel_Frequently"/>
    <n v="840"/>
    <x v="1"/>
    <n v="9"/>
    <n v="3"/>
    <s v="Medical"/>
    <n v="1"/>
    <n v="999"/>
    <n v="1"/>
    <s v="Male"/>
    <n v="64"/>
    <n v="3"/>
    <x v="4"/>
    <s v="Research Director"/>
    <n v="3"/>
    <s v="Divorced"/>
    <n v="19419"/>
    <n v="3735"/>
    <n v="2"/>
    <s v="Y"/>
    <s v="No"/>
    <s v="No"/>
    <n v="17"/>
    <n v="3"/>
    <n v="2"/>
    <n v="80"/>
    <n v="1"/>
    <n v="21"/>
    <s v="&gt;15"/>
    <n v="2"/>
    <n v="4"/>
    <n v="18"/>
    <n v="16"/>
    <n v="0"/>
    <n v="11"/>
    <s v="Ok"/>
    <n v="27.284768211920529"/>
    <s v="No"/>
    <s v="Low Risk"/>
  </r>
  <r>
    <n v="27"/>
    <x v="1"/>
    <s v="No"/>
    <s v="Travel_Rarely"/>
    <n v="1134"/>
    <x v="1"/>
    <n v="16"/>
    <n v="4"/>
    <s v="Technical Degree"/>
    <n v="1"/>
    <n v="1001"/>
    <n v="3"/>
    <s v="Female"/>
    <n v="37"/>
    <n v="3"/>
    <x v="1"/>
    <s v="Laboratory Technician"/>
    <n v="2"/>
    <s v="Married"/>
    <n v="2811"/>
    <n v="12086"/>
    <n v="9"/>
    <s v="Y"/>
    <s v="No"/>
    <s v="No"/>
    <n v="14"/>
    <n v="3"/>
    <n v="2"/>
    <n v="80"/>
    <n v="1"/>
    <n v="4"/>
    <s v="0-5"/>
    <n v="2"/>
    <n v="3"/>
    <n v="2"/>
    <n v="2"/>
    <n v="2"/>
    <n v="2"/>
    <s v="Below Avg"/>
    <n v="27.18832891246684"/>
    <s v="No"/>
    <s v="Low Risk"/>
  </r>
  <r>
    <n v="45"/>
    <x v="1"/>
    <s v="No"/>
    <s v="Non-Travel"/>
    <n v="248"/>
    <x v="1"/>
    <n v="23"/>
    <n v="2"/>
    <s v="Life Sciences"/>
    <n v="1"/>
    <n v="1002"/>
    <n v="4"/>
    <s v="Male"/>
    <n v="42"/>
    <n v="3"/>
    <x v="0"/>
    <s v="Laboratory Technician"/>
    <n v="1"/>
    <s v="Married"/>
    <n v="3633"/>
    <n v="14039"/>
    <n v="1"/>
    <s v="Y"/>
    <s v="Yes"/>
    <s v="Yes"/>
    <n v="15"/>
    <n v="3"/>
    <n v="3"/>
    <n v="80"/>
    <n v="1"/>
    <n v="9"/>
    <s v="6-15"/>
    <n v="2"/>
    <n v="3"/>
    <n v="9"/>
    <n v="8"/>
    <n v="0"/>
    <n v="8"/>
    <s v="Below Avg"/>
    <n v="27.224435590969453"/>
    <s v="No"/>
    <s v="Low Risk"/>
  </r>
  <r>
    <n v="47"/>
    <x v="1"/>
    <s v="No"/>
    <s v="Travel_Rarely"/>
    <n v="955"/>
    <x v="0"/>
    <n v="4"/>
    <n v="2"/>
    <s v="Life Sciences"/>
    <n v="1"/>
    <n v="1003"/>
    <n v="4"/>
    <s v="Female"/>
    <n v="83"/>
    <n v="3"/>
    <x v="0"/>
    <s v="Sales Executive"/>
    <n v="4"/>
    <s v="Single"/>
    <n v="4163"/>
    <n v="8571"/>
    <n v="1"/>
    <s v="Y"/>
    <s v="Yes"/>
    <s v="Yes"/>
    <n v="17"/>
    <n v="3"/>
    <n v="3"/>
    <n v="80"/>
    <n v="0"/>
    <n v="9"/>
    <s v="6-15"/>
    <n v="0"/>
    <n v="3"/>
    <n v="9"/>
    <n v="0"/>
    <n v="0"/>
    <n v="7"/>
    <s v="Below Avg"/>
    <n v="27.26063829787234"/>
    <s v="No"/>
    <s v="Low Risk"/>
  </r>
  <r>
    <n v="30"/>
    <x v="0"/>
    <s v="Yes"/>
    <s v="Travel_Rarely"/>
    <n v="138"/>
    <x v="1"/>
    <n v="22"/>
    <n v="3"/>
    <s v="Life Sciences"/>
    <n v="1"/>
    <n v="1004"/>
    <n v="1"/>
    <s v="Female"/>
    <n v="48"/>
    <n v="3"/>
    <x v="1"/>
    <s v="Research Scientist"/>
    <n v="3"/>
    <s v="Married"/>
    <n v="2132"/>
    <n v="11539"/>
    <n v="4"/>
    <s v="Y"/>
    <s v="Yes"/>
    <s v="Yes"/>
    <n v="11"/>
    <n v="3"/>
    <n v="2"/>
    <n v="80"/>
    <n v="0"/>
    <n v="7"/>
    <s v="6-15"/>
    <n v="2"/>
    <n v="3"/>
    <n v="5"/>
    <n v="2"/>
    <n v="0"/>
    <n v="1"/>
    <s v="Below Avg"/>
    <n v="27.163781624500665"/>
    <s v="No"/>
    <s v="Low Risk"/>
  </r>
  <r>
    <n v="50"/>
    <x v="1"/>
    <s v="No"/>
    <s v="Travel_Rarely"/>
    <n v="939"/>
    <x v="1"/>
    <n v="24"/>
    <n v="3"/>
    <s v="Life Sciences"/>
    <n v="1"/>
    <n v="1005"/>
    <n v="4"/>
    <s v="Male"/>
    <n v="95"/>
    <n v="3"/>
    <x v="3"/>
    <s v="Manufacturing Director"/>
    <n v="3"/>
    <s v="Married"/>
    <n v="13973"/>
    <n v="4161"/>
    <n v="3"/>
    <s v="Y"/>
    <s v="Yes"/>
    <s v="Yes"/>
    <n v="18"/>
    <n v="3"/>
    <n v="4"/>
    <n v="80"/>
    <n v="1"/>
    <n v="22"/>
    <s v="&gt;15"/>
    <n v="2"/>
    <n v="3"/>
    <n v="12"/>
    <n v="11"/>
    <n v="1"/>
    <n v="5"/>
    <s v="Ok"/>
    <n v="27.066666666666666"/>
    <s v="No"/>
    <s v="Low Risk"/>
  </r>
  <r>
    <n v="38"/>
    <x v="1"/>
    <s v="No"/>
    <s v="Travel_Frequently"/>
    <n v="1391"/>
    <x v="1"/>
    <n v="10"/>
    <n v="1"/>
    <s v="Medical"/>
    <n v="1"/>
    <n v="1006"/>
    <n v="3"/>
    <s v="Male"/>
    <n v="66"/>
    <n v="3"/>
    <x v="1"/>
    <s v="Research Scientist"/>
    <n v="3"/>
    <s v="Married"/>
    <n v="2684"/>
    <n v="12127"/>
    <n v="0"/>
    <s v="Y"/>
    <s v="No"/>
    <s v="No"/>
    <n v="17"/>
    <n v="3"/>
    <n v="2"/>
    <n v="80"/>
    <n v="1"/>
    <n v="3"/>
    <s v="0-5"/>
    <n v="0"/>
    <n v="2"/>
    <n v="2"/>
    <n v="1"/>
    <n v="0"/>
    <n v="2"/>
    <s v="Below Avg"/>
    <n v="26.969292389853138"/>
    <s v="No"/>
    <s v="Low Risk"/>
  </r>
  <r>
    <n v="46"/>
    <x v="1"/>
    <s v="No"/>
    <s v="Travel_Rarely"/>
    <n v="566"/>
    <x v="1"/>
    <n v="7"/>
    <n v="2"/>
    <s v="Medical"/>
    <n v="1"/>
    <n v="1007"/>
    <n v="4"/>
    <s v="Male"/>
    <n v="75"/>
    <n v="3"/>
    <x v="2"/>
    <s v="Manufacturing Director"/>
    <n v="3"/>
    <s v="Divorced"/>
    <n v="10845"/>
    <n v="24208"/>
    <n v="6"/>
    <s v="Y"/>
    <s v="No"/>
    <s v="No"/>
    <n v="13"/>
    <n v="3"/>
    <n v="2"/>
    <n v="80"/>
    <n v="1"/>
    <n v="13"/>
    <s v="6-15"/>
    <n v="3"/>
    <n v="3"/>
    <n v="8"/>
    <n v="7"/>
    <n v="0"/>
    <n v="7"/>
    <s v="Ok"/>
    <n v="26.871657754010698"/>
    <s v="No"/>
    <s v="Low Risk"/>
  </r>
  <r>
    <n v="24"/>
    <x v="1"/>
    <s v="No"/>
    <s v="Travel_Rarely"/>
    <n v="1206"/>
    <x v="1"/>
    <n v="17"/>
    <n v="1"/>
    <s v="Medical"/>
    <n v="1"/>
    <n v="1009"/>
    <n v="4"/>
    <s v="Female"/>
    <n v="41"/>
    <n v="2"/>
    <x v="0"/>
    <s v="Manufacturing Director"/>
    <n v="3"/>
    <s v="Divorced"/>
    <n v="4377"/>
    <n v="24117"/>
    <n v="1"/>
    <s v="Y"/>
    <s v="No"/>
    <s v="No"/>
    <n v="15"/>
    <n v="3"/>
    <n v="2"/>
    <n v="80"/>
    <n v="2"/>
    <n v="5"/>
    <s v="0-5"/>
    <n v="6"/>
    <n v="3"/>
    <n v="4"/>
    <n v="2"/>
    <n v="3"/>
    <n v="2"/>
    <s v="Below Avg"/>
    <n v="26.907630522088354"/>
    <s v="No"/>
    <s v="Low Risk"/>
  </r>
  <r>
    <n v="35"/>
    <x v="0"/>
    <s v="Yes"/>
    <s v="Travel_Rarely"/>
    <n v="622"/>
    <x v="1"/>
    <n v="14"/>
    <n v="4"/>
    <s v="Other"/>
    <n v="1"/>
    <n v="1010"/>
    <n v="3"/>
    <s v="Male"/>
    <n v="39"/>
    <n v="2"/>
    <x v="1"/>
    <s v="Laboratory Technician"/>
    <n v="2"/>
    <s v="Divorced"/>
    <n v="3743"/>
    <n v="10074"/>
    <n v="1"/>
    <s v="Y"/>
    <s v="Yes"/>
    <s v="Yes"/>
    <n v="24"/>
    <n v="4"/>
    <n v="4"/>
    <n v="80"/>
    <n v="1"/>
    <n v="5"/>
    <s v="0-5"/>
    <n v="2"/>
    <n v="1"/>
    <n v="4"/>
    <n v="2"/>
    <n v="0"/>
    <n v="2"/>
    <s v="Below Avg"/>
    <n v="26.943699731903486"/>
    <s v="No"/>
    <s v="Low Risk"/>
  </r>
  <r>
    <n v="31"/>
    <x v="1"/>
    <s v="No"/>
    <s v="Travel_Frequently"/>
    <n v="853"/>
    <x v="1"/>
    <n v="1"/>
    <n v="1"/>
    <s v="Life Sciences"/>
    <n v="1"/>
    <n v="1011"/>
    <n v="3"/>
    <s v="Female"/>
    <n v="96"/>
    <n v="3"/>
    <x v="0"/>
    <s v="Manufacturing Director"/>
    <n v="1"/>
    <s v="Married"/>
    <n v="4148"/>
    <n v="11275"/>
    <n v="1"/>
    <s v="Y"/>
    <s v="No"/>
    <s v="No"/>
    <n v="12"/>
    <n v="3"/>
    <n v="3"/>
    <n v="80"/>
    <n v="1"/>
    <n v="4"/>
    <s v="0-5"/>
    <n v="1"/>
    <n v="3"/>
    <n v="4"/>
    <n v="3"/>
    <n v="0"/>
    <n v="3"/>
    <s v="Below Avg"/>
    <n v="26.979865771812079"/>
    <s v="No"/>
    <s v="Low Risk"/>
  </r>
  <r>
    <n v="18"/>
    <x v="1"/>
    <s v="No"/>
    <s v="Non-Travel"/>
    <n v="287"/>
    <x v="1"/>
    <n v="5"/>
    <n v="2"/>
    <s v="Life Sciences"/>
    <n v="1"/>
    <n v="1012"/>
    <n v="2"/>
    <s v="Male"/>
    <n v="73"/>
    <n v="3"/>
    <x v="1"/>
    <s v="Research Scientist"/>
    <n v="4"/>
    <s v="Single"/>
    <n v="1051"/>
    <n v="13493"/>
    <n v="1"/>
    <s v="Y"/>
    <s v="No"/>
    <s v="No"/>
    <n v="15"/>
    <n v="3"/>
    <n v="4"/>
    <n v="80"/>
    <n v="0"/>
    <n v="0"/>
    <s v="0-5"/>
    <n v="2"/>
    <n v="3"/>
    <n v="0"/>
    <n v="0"/>
    <n v="0"/>
    <n v="0"/>
    <s v="Below Avg"/>
    <n v="26.881720430107524"/>
    <s v="No"/>
    <s v="Low Risk"/>
  </r>
  <r>
    <n v="54"/>
    <x v="1"/>
    <s v="No"/>
    <s v="Travel_Rarely"/>
    <n v="1441"/>
    <x v="1"/>
    <n v="17"/>
    <n v="3"/>
    <s v="Technical Degree"/>
    <n v="1"/>
    <n v="1013"/>
    <n v="3"/>
    <s v="Female"/>
    <n v="56"/>
    <n v="3"/>
    <x v="2"/>
    <s v="Manufacturing Director"/>
    <n v="3"/>
    <s v="Married"/>
    <n v="10739"/>
    <n v="13943"/>
    <n v="8"/>
    <s v="Y"/>
    <s v="No"/>
    <s v="No"/>
    <n v="11"/>
    <n v="3"/>
    <n v="3"/>
    <n v="80"/>
    <n v="1"/>
    <n v="22"/>
    <s v="&gt;15"/>
    <n v="2"/>
    <n v="3"/>
    <n v="10"/>
    <n v="7"/>
    <n v="0"/>
    <n v="8"/>
    <s v="Ok"/>
    <n v="26.917900403768506"/>
    <s v="No"/>
    <s v="Low Risk"/>
  </r>
  <r>
    <n v="35"/>
    <x v="1"/>
    <s v="No"/>
    <s v="Travel_Rarely"/>
    <n v="583"/>
    <x v="1"/>
    <n v="25"/>
    <n v="4"/>
    <s v="Medical"/>
    <n v="1"/>
    <n v="1014"/>
    <n v="3"/>
    <s v="Female"/>
    <n v="57"/>
    <n v="3"/>
    <x v="2"/>
    <s v="Healthcare Representative"/>
    <n v="3"/>
    <s v="Divorced"/>
    <n v="10388"/>
    <n v="6975"/>
    <n v="1"/>
    <s v="Y"/>
    <s v="Yes"/>
    <s v="Yes"/>
    <n v="11"/>
    <n v="3"/>
    <n v="3"/>
    <n v="80"/>
    <n v="1"/>
    <n v="16"/>
    <s v="&gt;15"/>
    <n v="3"/>
    <n v="2"/>
    <n v="16"/>
    <n v="10"/>
    <n v="10"/>
    <n v="1"/>
    <s v="Ok"/>
    <n v="26.954177897574123"/>
    <s v="No"/>
    <s v="Low Risk"/>
  </r>
  <r>
    <n v="30"/>
    <x v="1"/>
    <s v="No"/>
    <s v="Travel_Rarely"/>
    <n v="153"/>
    <x v="1"/>
    <n v="8"/>
    <n v="2"/>
    <s v="Life Sciences"/>
    <n v="1"/>
    <n v="1015"/>
    <n v="2"/>
    <s v="Female"/>
    <n v="73"/>
    <n v="4"/>
    <x v="2"/>
    <s v="Research Director"/>
    <n v="1"/>
    <s v="Married"/>
    <n v="11416"/>
    <n v="17802"/>
    <n v="0"/>
    <s v="Y"/>
    <s v="Yes"/>
    <s v="Yes"/>
    <n v="12"/>
    <n v="3"/>
    <n v="3"/>
    <n v="80"/>
    <n v="3"/>
    <n v="9"/>
    <s v="6-15"/>
    <n v="4"/>
    <n v="2"/>
    <n v="8"/>
    <n v="7"/>
    <n v="1"/>
    <n v="7"/>
    <s v="Ok"/>
    <n v="26.990553306342779"/>
    <s v="No"/>
    <s v="Low Risk"/>
  </r>
  <r>
    <n v="20"/>
    <x v="0"/>
    <s v="Yes"/>
    <s v="Travel_Rarely"/>
    <n v="1097"/>
    <x v="1"/>
    <n v="11"/>
    <n v="3"/>
    <s v="Medical"/>
    <n v="1"/>
    <n v="1016"/>
    <n v="4"/>
    <s v="Female"/>
    <n v="98"/>
    <n v="2"/>
    <x v="1"/>
    <s v="Research Scientist"/>
    <n v="1"/>
    <s v="Single"/>
    <n v="2600"/>
    <n v="18275"/>
    <n v="1"/>
    <s v="Y"/>
    <s v="Yes"/>
    <s v="Yes"/>
    <n v="15"/>
    <n v="3"/>
    <n v="1"/>
    <n v="80"/>
    <n v="0"/>
    <n v="1"/>
    <s v="0-5"/>
    <n v="2"/>
    <n v="3"/>
    <n v="1"/>
    <n v="0"/>
    <n v="0"/>
    <n v="0"/>
    <s v="Below Avg"/>
    <n v="26.891891891891888"/>
    <s v="No"/>
    <s v="High Risk"/>
  </r>
  <r>
    <n v="30"/>
    <x v="0"/>
    <s v="Yes"/>
    <s v="Travel_Frequently"/>
    <n v="109"/>
    <x v="1"/>
    <n v="5"/>
    <n v="3"/>
    <s v="Medical"/>
    <n v="1"/>
    <n v="1017"/>
    <n v="2"/>
    <s v="Female"/>
    <n v="60"/>
    <n v="3"/>
    <x v="1"/>
    <s v="Laboratory Technician"/>
    <n v="2"/>
    <s v="Single"/>
    <n v="2422"/>
    <n v="25725"/>
    <n v="0"/>
    <s v="Y"/>
    <s v="No"/>
    <s v="No"/>
    <n v="17"/>
    <n v="3"/>
    <n v="1"/>
    <n v="80"/>
    <n v="0"/>
    <n v="4"/>
    <s v="0-5"/>
    <n v="3"/>
    <n v="3"/>
    <n v="3"/>
    <n v="2"/>
    <n v="1"/>
    <n v="2"/>
    <s v="Below Avg"/>
    <n v="26.79296346414073"/>
    <s v="No"/>
    <s v="Low Risk"/>
  </r>
  <r>
    <n v="26"/>
    <x v="1"/>
    <s v="No"/>
    <s v="Travel_Rarely"/>
    <n v="1066"/>
    <x v="1"/>
    <n v="2"/>
    <n v="2"/>
    <s v="Medical"/>
    <n v="1"/>
    <n v="1018"/>
    <n v="4"/>
    <s v="Male"/>
    <n v="32"/>
    <n v="4"/>
    <x v="0"/>
    <s v="Manufacturing Director"/>
    <n v="4"/>
    <s v="Married"/>
    <n v="5472"/>
    <n v="3334"/>
    <n v="1"/>
    <s v="Y"/>
    <s v="No"/>
    <s v="No"/>
    <n v="12"/>
    <n v="3"/>
    <n v="2"/>
    <n v="80"/>
    <n v="0"/>
    <n v="8"/>
    <s v="6-15"/>
    <n v="2"/>
    <n v="3"/>
    <n v="8"/>
    <n v="7"/>
    <n v="1"/>
    <n v="3"/>
    <s v="Below Avg"/>
    <n v="26.693766937669377"/>
    <s v="No"/>
    <s v="Low Risk"/>
  </r>
  <r>
    <n v="22"/>
    <x v="1"/>
    <s v="No"/>
    <s v="Travel_Rarely"/>
    <n v="217"/>
    <x v="1"/>
    <n v="8"/>
    <n v="1"/>
    <s v="Life Sciences"/>
    <n v="1"/>
    <n v="1019"/>
    <n v="2"/>
    <s v="Male"/>
    <n v="94"/>
    <n v="1"/>
    <x v="1"/>
    <s v="Laboratory Technician"/>
    <n v="1"/>
    <s v="Married"/>
    <n v="2451"/>
    <n v="6881"/>
    <n v="1"/>
    <s v="Y"/>
    <s v="No"/>
    <s v="No"/>
    <n v="15"/>
    <n v="3"/>
    <n v="1"/>
    <n v="80"/>
    <n v="1"/>
    <n v="4"/>
    <s v="0-5"/>
    <n v="3"/>
    <n v="2"/>
    <n v="4"/>
    <n v="3"/>
    <n v="1"/>
    <n v="1"/>
    <s v="Below Avg"/>
    <n v="26.72998643147897"/>
    <s v="No"/>
    <s v="Low Risk"/>
  </r>
  <r>
    <n v="48"/>
    <x v="1"/>
    <s v="No"/>
    <s v="Travel_Rarely"/>
    <n v="277"/>
    <x v="1"/>
    <n v="6"/>
    <n v="3"/>
    <s v="Life Sciences"/>
    <n v="1"/>
    <n v="1022"/>
    <n v="1"/>
    <s v="Male"/>
    <n v="97"/>
    <n v="2"/>
    <x v="0"/>
    <s v="Healthcare Representative"/>
    <n v="3"/>
    <s v="Single"/>
    <n v="4240"/>
    <n v="13119"/>
    <n v="2"/>
    <s v="Y"/>
    <s v="No"/>
    <s v="No"/>
    <n v="13"/>
    <n v="3"/>
    <n v="4"/>
    <n v="80"/>
    <n v="0"/>
    <n v="19"/>
    <s v="&gt;15"/>
    <n v="0"/>
    <n v="3"/>
    <n v="2"/>
    <n v="2"/>
    <n v="2"/>
    <n v="2"/>
    <s v="Below Avg"/>
    <n v="26.766304347826086"/>
    <s v="No"/>
    <s v="Low Risk"/>
  </r>
  <r>
    <n v="48"/>
    <x v="1"/>
    <s v="No"/>
    <s v="Travel_Rarely"/>
    <n v="1355"/>
    <x v="1"/>
    <n v="4"/>
    <n v="4"/>
    <s v="Life Sciences"/>
    <n v="1"/>
    <n v="1024"/>
    <n v="3"/>
    <s v="Male"/>
    <n v="78"/>
    <n v="2"/>
    <x v="2"/>
    <s v="Healthcare Representative"/>
    <n v="3"/>
    <s v="Single"/>
    <n v="10999"/>
    <n v="22245"/>
    <n v="7"/>
    <s v="Y"/>
    <s v="No"/>
    <s v="No"/>
    <n v="14"/>
    <n v="3"/>
    <n v="2"/>
    <n v="80"/>
    <n v="0"/>
    <n v="27"/>
    <s v="&gt;15"/>
    <n v="3"/>
    <n v="3"/>
    <n v="15"/>
    <n v="11"/>
    <n v="4"/>
    <n v="8"/>
    <s v="Ok"/>
    <n v="26.802721088435373"/>
    <s v="No"/>
    <s v="Low Risk"/>
  </r>
  <r>
    <n v="41"/>
    <x v="1"/>
    <s v="No"/>
    <s v="Travel_Rarely"/>
    <n v="549"/>
    <x v="1"/>
    <n v="7"/>
    <n v="2"/>
    <s v="Medical"/>
    <n v="1"/>
    <n v="1025"/>
    <n v="4"/>
    <s v="Female"/>
    <n v="42"/>
    <n v="3"/>
    <x v="0"/>
    <s v="Manufacturing Director"/>
    <n v="3"/>
    <s v="Single"/>
    <n v="5003"/>
    <n v="23371"/>
    <n v="6"/>
    <s v="Y"/>
    <s v="No"/>
    <s v="No"/>
    <n v="14"/>
    <n v="3"/>
    <n v="2"/>
    <n v="80"/>
    <n v="0"/>
    <n v="8"/>
    <s v="6-15"/>
    <n v="6"/>
    <n v="3"/>
    <n v="2"/>
    <n v="2"/>
    <n v="2"/>
    <n v="1"/>
    <s v="Below Avg"/>
    <n v="26.839237057220711"/>
    <s v="No"/>
    <s v="Low Risk"/>
  </r>
  <r>
    <n v="39"/>
    <x v="1"/>
    <s v="No"/>
    <s v="Travel_Rarely"/>
    <n v="466"/>
    <x v="1"/>
    <n v="1"/>
    <n v="1"/>
    <s v="Life Sciences"/>
    <n v="1"/>
    <n v="1026"/>
    <n v="4"/>
    <s v="Female"/>
    <n v="65"/>
    <n v="2"/>
    <x v="3"/>
    <s v="Manufacturing Director"/>
    <n v="4"/>
    <s v="Married"/>
    <n v="12742"/>
    <n v="7060"/>
    <n v="1"/>
    <s v="Y"/>
    <s v="No"/>
    <s v="No"/>
    <n v="16"/>
    <n v="3"/>
    <n v="3"/>
    <n v="80"/>
    <n v="1"/>
    <n v="21"/>
    <s v="&gt;15"/>
    <n v="3"/>
    <n v="3"/>
    <n v="21"/>
    <n v="6"/>
    <n v="11"/>
    <n v="8"/>
    <s v="Ok"/>
    <n v="26.875852660300136"/>
    <s v="No"/>
    <s v="Low Risk"/>
  </r>
  <r>
    <n v="27"/>
    <x v="1"/>
    <s v="No"/>
    <s v="Travel_Rarely"/>
    <n v="1055"/>
    <x v="1"/>
    <n v="2"/>
    <n v="4"/>
    <s v="Life Sciences"/>
    <n v="1"/>
    <n v="1027"/>
    <n v="1"/>
    <s v="Female"/>
    <n v="47"/>
    <n v="3"/>
    <x v="0"/>
    <s v="Manufacturing Director"/>
    <n v="4"/>
    <s v="Married"/>
    <n v="4227"/>
    <n v="4658"/>
    <n v="0"/>
    <s v="Y"/>
    <s v="No"/>
    <s v="No"/>
    <n v="18"/>
    <n v="3"/>
    <n v="2"/>
    <n v="80"/>
    <n v="1"/>
    <n v="4"/>
    <s v="0-5"/>
    <n v="2"/>
    <n v="3"/>
    <n v="3"/>
    <n v="2"/>
    <n v="2"/>
    <n v="2"/>
    <s v="Below Avg"/>
    <n v="26.912568306010932"/>
    <s v="No"/>
    <s v="Low Risk"/>
  </r>
  <r>
    <n v="35"/>
    <x v="1"/>
    <s v="No"/>
    <s v="Travel_Rarely"/>
    <n v="802"/>
    <x v="1"/>
    <n v="10"/>
    <n v="3"/>
    <s v="Other"/>
    <n v="1"/>
    <n v="1028"/>
    <n v="2"/>
    <s v="Male"/>
    <n v="45"/>
    <n v="3"/>
    <x v="1"/>
    <s v="Laboratory Technician"/>
    <n v="4"/>
    <s v="Divorced"/>
    <n v="3917"/>
    <n v="9541"/>
    <n v="1"/>
    <s v="Y"/>
    <s v="No"/>
    <s v="No"/>
    <n v="20"/>
    <n v="4"/>
    <n v="1"/>
    <n v="80"/>
    <n v="1"/>
    <n v="3"/>
    <s v="0-5"/>
    <n v="4"/>
    <n v="2"/>
    <n v="3"/>
    <n v="2"/>
    <n v="1"/>
    <n v="2"/>
    <s v="Below Avg"/>
    <n v="26.949384404924757"/>
    <s v="No"/>
    <s v="Low Risk"/>
  </r>
  <r>
    <n v="42"/>
    <x v="1"/>
    <s v="No"/>
    <s v="Travel_Rarely"/>
    <n v="265"/>
    <x v="0"/>
    <n v="5"/>
    <n v="2"/>
    <s v="Marketing"/>
    <n v="1"/>
    <n v="1029"/>
    <n v="4"/>
    <s v="Male"/>
    <n v="90"/>
    <n v="3"/>
    <x v="4"/>
    <s v="Manager"/>
    <n v="3"/>
    <s v="Married"/>
    <n v="18303"/>
    <n v="7770"/>
    <n v="6"/>
    <s v="Y"/>
    <s v="No"/>
    <s v="No"/>
    <n v="13"/>
    <n v="3"/>
    <n v="2"/>
    <n v="80"/>
    <n v="0"/>
    <n v="21"/>
    <s v="&gt;15"/>
    <n v="3"/>
    <n v="4"/>
    <n v="1"/>
    <n v="0"/>
    <n v="0"/>
    <n v="0"/>
    <s v="Ok"/>
    <n v="26.986301369863014"/>
    <s v="No"/>
    <s v="Low Risk"/>
  </r>
  <r>
    <n v="50"/>
    <x v="1"/>
    <s v="No"/>
    <s v="Travel_Rarely"/>
    <n v="804"/>
    <x v="1"/>
    <n v="9"/>
    <n v="3"/>
    <s v="Life Sciences"/>
    <n v="1"/>
    <n v="1030"/>
    <n v="1"/>
    <s v="Male"/>
    <n v="64"/>
    <n v="3"/>
    <x v="1"/>
    <s v="Laboratory Technician"/>
    <n v="4"/>
    <s v="Married"/>
    <n v="2380"/>
    <n v="20165"/>
    <n v="4"/>
    <s v="Y"/>
    <s v="No"/>
    <s v="No"/>
    <n v="18"/>
    <n v="3"/>
    <n v="2"/>
    <n v="80"/>
    <n v="0"/>
    <n v="8"/>
    <s v="6-15"/>
    <n v="5"/>
    <n v="3"/>
    <n v="1"/>
    <n v="0"/>
    <n v="0"/>
    <n v="0"/>
    <s v="Below Avg"/>
    <n v="27.023319615912207"/>
    <s v="No"/>
    <s v="Low Risk"/>
  </r>
  <r>
    <n v="59"/>
    <x v="1"/>
    <s v="No"/>
    <s v="Travel_Rarely"/>
    <n v="715"/>
    <x v="1"/>
    <n v="2"/>
    <n v="3"/>
    <s v="Life Sciences"/>
    <n v="1"/>
    <n v="1032"/>
    <n v="3"/>
    <s v="Female"/>
    <n v="69"/>
    <n v="2"/>
    <x v="3"/>
    <s v="Manufacturing Director"/>
    <n v="4"/>
    <s v="Single"/>
    <n v="13726"/>
    <n v="21829"/>
    <n v="3"/>
    <s v="Y"/>
    <s v="Yes"/>
    <s v="Yes"/>
    <n v="13"/>
    <n v="3"/>
    <n v="1"/>
    <n v="80"/>
    <n v="0"/>
    <n v="30"/>
    <s v="&gt;15"/>
    <n v="4"/>
    <n v="3"/>
    <n v="5"/>
    <n v="3"/>
    <n v="4"/>
    <n v="3"/>
    <s v="Ok"/>
    <n v="27.060439560439558"/>
    <s v="No"/>
    <s v="Low Risk"/>
  </r>
  <r>
    <n v="37"/>
    <x v="0"/>
    <s v="Yes"/>
    <s v="Travel_Rarely"/>
    <n v="1141"/>
    <x v="1"/>
    <n v="11"/>
    <n v="2"/>
    <s v="Medical"/>
    <n v="1"/>
    <n v="1033"/>
    <n v="1"/>
    <s v="Female"/>
    <n v="61"/>
    <n v="1"/>
    <x v="0"/>
    <s v="Healthcare Representative"/>
    <n v="2"/>
    <s v="Married"/>
    <n v="4777"/>
    <n v="14382"/>
    <n v="5"/>
    <s v="Y"/>
    <s v="No"/>
    <s v="No"/>
    <n v="15"/>
    <n v="3"/>
    <n v="1"/>
    <n v="80"/>
    <n v="0"/>
    <n v="15"/>
    <s v="6-15"/>
    <n v="2"/>
    <n v="1"/>
    <n v="1"/>
    <n v="0"/>
    <n v="0"/>
    <n v="0"/>
    <s v="Below Avg"/>
    <n v="27.097661623108664"/>
    <s v="No"/>
    <s v="High Risk"/>
  </r>
  <r>
    <n v="55"/>
    <x v="1"/>
    <s v="No"/>
    <s v="Travel_Frequently"/>
    <n v="135"/>
    <x v="1"/>
    <n v="18"/>
    <n v="4"/>
    <s v="Medical"/>
    <n v="1"/>
    <n v="1034"/>
    <n v="3"/>
    <s v="Male"/>
    <n v="62"/>
    <n v="3"/>
    <x v="0"/>
    <s v="Healthcare Representative"/>
    <n v="2"/>
    <s v="Married"/>
    <n v="6385"/>
    <n v="12992"/>
    <n v="3"/>
    <s v="Y"/>
    <s v="Yes"/>
    <s v="Yes"/>
    <n v="14"/>
    <n v="3"/>
    <n v="4"/>
    <n v="80"/>
    <n v="2"/>
    <n v="17"/>
    <s v="&gt;15"/>
    <n v="3"/>
    <n v="3"/>
    <n v="8"/>
    <n v="7"/>
    <n v="6"/>
    <n v="7"/>
    <s v="Ok"/>
    <n v="26.997245179063363"/>
    <s v="No"/>
    <s v="Low Risk"/>
  </r>
  <r>
    <n v="41"/>
    <x v="1"/>
    <s v="No"/>
    <s v="Non-Travel"/>
    <n v="247"/>
    <x v="1"/>
    <n v="7"/>
    <n v="1"/>
    <s v="Life Sciences"/>
    <n v="1"/>
    <n v="1035"/>
    <n v="2"/>
    <s v="Female"/>
    <n v="55"/>
    <n v="1"/>
    <x v="4"/>
    <s v="Research Director"/>
    <n v="3"/>
    <s v="Divorced"/>
    <n v="19973"/>
    <n v="20284"/>
    <n v="1"/>
    <s v="Y"/>
    <s v="No"/>
    <s v="No"/>
    <n v="22"/>
    <n v="4"/>
    <n v="2"/>
    <n v="80"/>
    <n v="2"/>
    <n v="21"/>
    <s v="&gt;15"/>
    <n v="3"/>
    <n v="3"/>
    <n v="21"/>
    <n v="16"/>
    <n v="5"/>
    <n v="10"/>
    <s v="Ok"/>
    <n v="27.034482758620687"/>
    <s v="No"/>
    <s v="Low Risk"/>
  </r>
  <r>
    <n v="38"/>
    <x v="1"/>
    <s v="No"/>
    <s v="Travel_Rarely"/>
    <n v="1035"/>
    <x v="0"/>
    <n v="3"/>
    <n v="4"/>
    <s v="Life Sciences"/>
    <n v="1"/>
    <n v="1036"/>
    <n v="2"/>
    <s v="Male"/>
    <n v="42"/>
    <n v="3"/>
    <x v="0"/>
    <s v="Sales Executive"/>
    <n v="4"/>
    <s v="Single"/>
    <n v="6861"/>
    <n v="4981"/>
    <n v="8"/>
    <s v="Y"/>
    <s v="Yes"/>
    <s v="Yes"/>
    <n v="12"/>
    <n v="3"/>
    <n v="3"/>
    <n v="80"/>
    <n v="0"/>
    <n v="19"/>
    <s v="&gt;15"/>
    <n v="1"/>
    <n v="3"/>
    <n v="1"/>
    <n v="0"/>
    <n v="0"/>
    <n v="0"/>
    <s v="Below Avg"/>
    <n v="26.933701657458563"/>
    <s v="No"/>
    <s v="Low Risk"/>
  </r>
  <r>
    <n v="26"/>
    <x v="0"/>
    <s v="Yes"/>
    <s v="Non-Travel"/>
    <n v="265"/>
    <x v="0"/>
    <n v="29"/>
    <n v="2"/>
    <s v="Medical"/>
    <n v="1"/>
    <n v="1037"/>
    <n v="2"/>
    <s v="Male"/>
    <n v="79"/>
    <n v="1"/>
    <x v="0"/>
    <s v="Sales Executive"/>
    <n v="1"/>
    <s v="Single"/>
    <n v="4969"/>
    <n v="21813"/>
    <n v="8"/>
    <s v="Y"/>
    <s v="No"/>
    <s v="No"/>
    <n v="18"/>
    <n v="3"/>
    <n v="4"/>
    <n v="80"/>
    <n v="0"/>
    <n v="7"/>
    <s v="6-15"/>
    <n v="6"/>
    <n v="3"/>
    <n v="2"/>
    <n v="2"/>
    <n v="2"/>
    <n v="2"/>
    <s v="Below Avg"/>
    <n v="26.970954356846473"/>
    <s v="No"/>
    <s v="Low Risk"/>
  </r>
  <r>
    <n v="52"/>
    <x v="0"/>
    <s v="Yes"/>
    <s v="Travel_Rarely"/>
    <n v="266"/>
    <x v="0"/>
    <n v="2"/>
    <n v="1"/>
    <s v="Marketing"/>
    <n v="1"/>
    <n v="1038"/>
    <n v="1"/>
    <s v="Female"/>
    <n v="57"/>
    <n v="1"/>
    <x v="4"/>
    <s v="Manager"/>
    <n v="4"/>
    <s v="Married"/>
    <n v="19845"/>
    <n v="25846"/>
    <n v="1"/>
    <s v="Y"/>
    <s v="No"/>
    <s v="No"/>
    <n v="15"/>
    <n v="3"/>
    <n v="4"/>
    <n v="80"/>
    <n v="1"/>
    <n v="33"/>
    <s v="&gt;15"/>
    <n v="3"/>
    <n v="3"/>
    <n v="32"/>
    <n v="14"/>
    <n v="6"/>
    <n v="9"/>
    <s v="Ok"/>
    <n v="26.869806094182824"/>
    <s v="No"/>
    <s v="Low Risk"/>
  </r>
  <r>
    <n v="44"/>
    <x v="1"/>
    <s v="No"/>
    <s v="Travel_Rarely"/>
    <n v="1448"/>
    <x v="0"/>
    <n v="28"/>
    <n v="3"/>
    <s v="Medical"/>
    <n v="1"/>
    <n v="1039"/>
    <n v="4"/>
    <s v="Female"/>
    <n v="53"/>
    <n v="4"/>
    <x v="3"/>
    <s v="Sales Executive"/>
    <n v="4"/>
    <s v="Married"/>
    <n v="13320"/>
    <n v="11737"/>
    <n v="3"/>
    <s v="Y"/>
    <s v="Yes"/>
    <s v="Yes"/>
    <n v="18"/>
    <n v="3"/>
    <n v="3"/>
    <n v="80"/>
    <n v="1"/>
    <n v="23"/>
    <s v="&gt;15"/>
    <n v="2"/>
    <n v="3"/>
    <n v="12"/>
    <n v="11"/>
    <n v="11"/>
    <n v="11"/>
    <s v="Ok"/>
    <n v="26.907073509015255"/>
    <s v="No"/>
    <s v="Low Risk"/>
  </r>
  <r>
    <n v="50"/>
    <x v="1"/>
    <s v="No"/>
    <s v="Non-Travel"/>
    <n v="145"/>
    <x v="0"/>
    <n v="1"/>
    <n v="3"/>
    <s v="Life Sciences"/>
    <n v="1"/>
    <n v="1040"/>
    <n v="4"/>
    <s v="Female"/>
    <n v="95"/>
    <n v="3"/>
    <x v="0"/>
    <s v="Sales Executive"/>
    <n v="3"/>
    <s v="Married"/>
    <n v="6347"/>
    <n v="24920"/>
    <n v="0"/>
    <s v="Y"/>
    <s v="No"/>
    <s v="No"/>
    <n v="12"/>
    <n v="3"/>
    <n v="1"/>
    <n v="80"/>
    <n v="1"/>
    <n v="19"/>
    <s v="&gt;15"/>
    <n v="3"/>
    <n v="3"/>
    <n v="18"/>
    <n v="7"/>
    <n v="0"/>
    <n v="13"/>
    <s v="Below Avg"/>
    <n v="26.944444444444443"/>
    <s v="No"/>
    <s v="Low Risk"/>
  </r>
  <r>
    <n v="36"/>
    <x v="0"/>
    <s v="Yes"/>
    <s v="Travel_Rarely"/>
    <n v="885"/>
    <x v="1"/>
    <n v="16"/>
    <n v="4"/>
    <s v="Life Sciences"/>
    <n v="1"/>
    <n v="1042"/>
    <n v="3"/>
    <s v="Female"/>
    <n v="43"/>
    <n v="4"/>
    <x v="1"/>
    <s v="Laboratory Technician"/>
    <n v="1"/>
    <s v="Single"/>
    <n v="2743"/>
    <n v="8269"/>
    <n v="1"/>
    <s v="Y"/>
    <s v="No"/>
    <s v="No"/>
    <n v="16"/>
    <n v="3"/>
    <n v="3"/>
    <n v="80"/>
    <n v="0"/>
    <n v="18"/>
    <s v="&gt;15"/>
    <n v="1"/>
    <n v="3"/>
    <n v="17"/>
    <n v="13"/>
    <n v="15"/>
    <n v="14"/>
    <s v="Below Avg"/>
    <n v="26.842837273991655"/>
    <s v="No"/>
    <s v="Low Risk"/>
  </r>
  <r>
    <n v="39"/>
    <x v="1"/>
    <s v="No"/>
    <s v="Travel_Frequently"/>
    <n v="945"/>
    <x v="1"/>
    <n v="22"/>
    <n v="3"/>
    <s v="Medical"/>
    <n v="1"/>
    <n v="1043"/>
    <n v="4"/>
    <s v="Female"/>
    <n v="82"/>
    <n v="3"/>
    <x v="2"/>
    <s v="Manufacturing Director"/>
    <n v="1"/>
    <s v="Single"/>
    <n v="10880"/>
    <n v="5083"/>
    <n v="1"/>
    <s v="Y"/>
    <s v="Yes"/>
    <s v="Yes"/>
    <n v="13"/>
    <n v="3"/>
    <n v="3"/>
    <n v="80"/>
    <n v="0"/>
    <n v="21"/>
    <s v="&gt;15"/>
    <n v="2"/>
    <n v="3"/>
    <n v="21"/>
    <n v="6"/>
    <n v="2"/>
    <n v="8"/>
    <s v="Ok"/>
    <n v="26.880222841225628"/>
    <s v="No"/>
    <s v="Low Risk"/>
  </r>
  <r>
    <n v="33"/>
    <x v="1"/>
    <s v="No"/>
    <s v="Non-Travel"/>
    <n v="1038"/>
    <x v="0"/>
    <n v="8"/>
    <n v="1"/>
    <s v="Life Sciences"/>
    <n v="1"/>
    <n v="1044"/>
    <n v="2"/>
    <s v="Female"/>
    <n v="88"/>
    <n v="2"/>
    <x v="1"/>
    <s v="Sales Representative"/>
    <n v="4"/>
    <s v="Single"/>
    <n v="2342"/>
    <n v="21437"/>
    <n v="0"/>
    <s v="Y"/>
    <s v="No"/>
    <s v="No"/>
    <n v="19"/>
    <n v="3"/>
    <n v="4"/>
    <n v="80"/>
    <n v="0"/>
    <n v="3"/>
    <s v="0-5"/>
    <n v="2"/>
    <n v="2"/>
    <n v="2"/>
    <n v="2"/>
    <n v="2"/>
    <n v="2"/>
    <s v="Below Avg"/>
    <n v="26.917712691771268"/>
    <s v="No"/>
    <s v="Low Risk"/>
  </r>
  <r>
    <n v="45"/>
    <x v="1"/>
    <s v="No"/>
    <s v="Travel_Rarely"/>
    <n v="1234"/>
    <x v="0"/>
    <n v="11"/>
    <n v="2"/>
    <s v="Life Sciences"/>
    <n v="1"/>
    <n v="1045"/>
    <n v="4"/>
    <s v="Female"/>
    <n v="90"/>
    <n v="3"/>
    <x v="3"/>
    <s v="Manager"/>
    <n v="4"/>
    <s v="Married"/>
    <n v="17650"/>
    <n v="5404"/>
    <n v="3"/>
    <s v="Y"/>
    <s v="No"/>
    <s v="No"/>
    <n v="13"/>
    <n v="3"/>
    <n v="2"/>
    <n v="80"/>
    <n v="1"/>
    <n v="26"/>
    <s v="&gt;15"/>
    <n v="4"/>
    <n v="4"/>
    <n v="9"/>
    <n v="3"/>
    <n v="1"/>
    <n v="1"/>
    <s v="Ok"/>
    <n v="26.815642458100559"/>
    <s v="No"/>
    <s v="Low Risk"/>
  </r>
  <r>
    <n v="32"/>
    <x v="1"/>
    <s v="No"/>
    <s v="Non-Travel"/>
    <n v="1109"/>
    <x v="1"/>
    <n v="29"/>
    <n v="4"/>
    <s v="Medical"/>
    <n v="1"/>
    <n v="1046"/>
    <n v="4"/>
    <s v="Female"/>
    <n v="69"/>
    <n v="3"/>
    <x v="1"/>
    <s v="Laboratory Technician"/>
    <n v="3"/>
    <s v="Single"/>
    <n v="4025"/>
    <n v="11135"/>
    <n v="9"/>
    <s v="Y"/>
    <s v="No"/>
    <s v="No"/>
    <n v="12"/>
    <n v="3"/>
    <n v="2"/>
    <n v="80"/>
    <n v="0"/>
    <n v="10"/>
    <s v="6-15"/>
    <n v="2"/>
    <n v="3"/>
    <n v="8"/>
    <n v="7"/>
    <n v="7"/>
    <n v="7"/>
    <s v="Below Avg"/>
    <n v="26.853146853146853"/>
    <s v="No"/>
    <s v="Low Risk"/>
  </r>
  <r>
    <n v="34"/>
    <x v="1"/>
    <s v="No"/>
    <s v="Travel_Rarely"/>
    <n v="216"/>
    <x v="0"/>
    <n v="1"/>
    <n v="4"/>
    <s v="Marketing"/>
    <n v="1"/>
    <n v="1047"/>
    <n v="2"/>
    <s v="Male"/>
    <n v="75"/>
    <n v="4"/>
    <x v="0"/>
    <s v="Sales Executive"/>
    <n v="4"/>
    <s v="Divorced"/>
    <n v="9725"/>
    <n v="12278"/>
    <n v="0"/>
    <s v="Y"/>
    <s v="No"/>
    <s v="No"/>
    <n v="11"/>
    <n v="3"/>
    <n v="4"/>
    <n v="80"/>
    <n v="1"/>
    <n v="16"/>
    <s v="&gt;15"/>
    <n v="2"/>
    <n v="2"/>
    <n v="15"/>
    <n v="1"/>
    <n v="0"/>
    <n v="9"/>
    <s v="Ok"/>
    <n v="26.890756302521009"/>
    <s v="No"/>
    <s v="Low Risk"/>
  </r>
  <r>
    <n v="59"/>
    <x v="1"/>
    <s v="No"/>
    <s v="Travel_Rarely"/>
    <n v="1089"/>
    <x v="0"/>
    <n v="1"/>
    <n v="2"/>
    <s v="Technical Degree"/>
    <n v="1"/>
    <n v="1048"/>
    <n v="2"/>
    <s v="Male"/>
    <n v="66"/>
    <n v="3"/>
    <x v="2"/>
    <s v="Manager"/>
    <n v="4"/>
    <s v="Married"/>
    <n v="11904"/>
    <n v="11038"/>
    <n v="3"/>
    <s v="Y"/>
    <s v="Yes"/>
    <s v="Yes"/>
    <n v="14"/>
    <n v="3"/>
    <n v="3"/>
    <n v="80"/>
    <n v="1"/>
    <n v="14"/>
    <s v="6-15"/>
    <n v="1"/>
    <n v="1"/>
    <n v="6"/>
    <n v="4"/>
    <n v="0"/>
    <n v="4"/>
    <s v="Ok"/>
    <n v="26.928471248246844"/>
    <s v="No"/>
    <s v="Low Risk"/>
  </r>
  <r>
    <n v="45"/>
    <x v="1"/>
    <s v="No"/>
    <s v="Travel_Rarely"/>
    <n v="788"/>
    <x v="2"/>
    <n v="24"/>
    <n v="4"/>
    <s v="Medical"/>
    <n v="1"/>
    <n v="1049"/>
    <n v="2"/>
    <s v="Male"/>
    <n v="36"/>
    <n v="3"/>
    <x v="1"/>
    <s v="Human Resources"/>
    <n v="2"/>
    <s v="Single"/>
    <n v="2177"/>
    <n v="8318"/>
    <n v="1"/>
    <s v="Y"/>
    <s v="No"/>
    <s v="No"/>
    <n v="16"/>
    <n v="3"/>
    <n v="1"/>
    <n v="80"/>
    <n v="0"/>
    <n v="6"/>
    <s v="6-15"/>
    <n v="3"/>
    <n v="3"/>
    <n v="6"/>
    <n v="3"/>
    <n v="0"/>
    <n v="4"/>
    <s v="Below Avg"/>
    <n v="26.966292134831459"/>
    <s v="No"/>
    <s v="Low Risk"/>
  </r>
  <r>
    <n v="53"/>
    <x v="1"/>
    <s v="No"/>
    <s v="Travel_Frequently"/>
    <n v="124"/>
    <x v="0"/>
    <n v="2"/>
    <n v="3"/>
    <s v="Marketing"/>
    <n v="1"/>
    <n v="1050"/>
    <n v="3"/>
    <s v="Female"/>
    <n v="38"/>
    <n v="2"/>
    <x v="2"/>
    <s v="Sales Executive"/>
    <n v="2"/>
    <s v="Married"/>
    <n v="7525"/>
    <n v="23537"/>
    <n v="2"/>
    <s v="Y"/>
    <s v="No"/>
    <s v="No"/>
    <n v="12"/>
    <n v="3"/>
    <n v="1"/>
    <n v="80"/>
    <n v="1"/>
    <n v="30"/>
    <s v="&gt;15"/>
    <n v="2"/>
    <n v="3"/>
    <n v="15"/>
    <n v="7"/>
    <n v="6"/>
    <n v="12"/>
    <s v="Ok"/>
    <n v="26.863572433192683"/>
    <s v="No"/>
    <s v="Low Risk"/>
  </r>
  <r>
    <n v="36"/>
    <x v="0"/>
    <s v="Yes"/>
    <s v="Travel_Rarely"/>
    <n v="660"/>
    <x v="1"/>
    <n v="15"/>
    <n v="3"/>
    <s v="Other"/>
    <n v="1"/>
    <n v="1052"/>
    <n v="1"/>
    <s v="Male"/>
    <n v="81"/>
    <n v="3"/>
    <x v="0"/>
    <s v="Laboratory Technician"/>
    <n v="3"/>
    <s v="Divorced"/>
    <n v="4834"/>
    <n v="7858"/>
    <n v="7"/>
    <s v="Y"/>
    <s v="No"/>
    <s v="No"/>
    <n v="14"/>
    <n v="3"/>
    <n v="2"/>
    <n v="80"/>
    <n v="1"/>
    <n v="9"/>
    <s v="6-15"/>
    <n v="3"/>
    <n v="2"/>
    <n v="1"/>
    <n v="0"/>
    <n v="0"/>
    <n v="0"/>
    <s v="Below Avg"/>
    <n v="26.901408450704224"/>
    <s v="No"/>
    <s v="High Risk"/>
  </r>
  <r>
    <n v="26"/>
    <x v="0"/>
    <s v="Yes"/>
    <s v="Travel_Frequently"/>
    <n v="342"/>
    <x v="1"/>
    <n v="2"/>
    <n v="3"/>
    <s v="Life Sciences"/>
    <n v="1"/>
    <n v="1053"/>
    <n v="1"/>
    <s v="Male"/>
    <n v="57"/>
    <n v="3"/>
    <x v="1"/>
    <s v="Research Scientist"/>
    <n v="1"/>
    <s v="Married"/>
    <n v="2042"/>
    <n v="15346"/>
    <n v="6"/>
    <s v="Y"/>
    <s v="Yes"/>
    <s v="Yes"/>
    <n v="14"/>
    <n v="3"/>
    <n v="2"/>
    <n v="80"/>
    <n v="1"/>
    <n v="6"/>
    <s v="6-15"/>
    <n v="2"/>
    <n v="3"/>
    <n v="3"/>
    <n v="2"/>
    <n v="1"/>
    <n v="2"/>
    <s v="Below Avg"/>
    <n v="26.939351198871652"/>
    <s v="No"/>
    <s v="Low Risk"/>
  </r>
  <r>
    <n v="34"/>
    <x v="1"/>
    <s v="No"/>
    <s v="Travel_Rarely"/>
    <n v="1333"/>
    <x v="0"/>
    <n v="10"/>
    <n v="4"/>
    <s v="Life Sciences"/>
    <n v="1"/>
    <n v="1055"/>
    <n v="3"/>
    <s v="Female"/>
    <n v="87"/>
    <n v="3"/>
    <x v="1"/>
    <s v="Sales Representative"/>
    <n v="3"/>
    <s v="Married"/>
    <n v="2220"/>
    <n v="18410"/>
    <n v="1"/>
    <s v="Y"/>
    <s v="Yes"/>
    <s v="Yes"/>
    <n v="19"/>
    <n v="3"/>
    <n v="4"/>
    <n v="80"/>
    <n v="1"/>
    <n v="1"/>
    <s v="0-5"/>
    <n v="2"/>
    <n v="3"/>
    <n v="1"/>
    <n v="1"/>
    <n v="0"/>
    <n v="0"/>
    <s v="Below Avg"/>
    <n v="26.977401129943502"/>
    <s v="No"/>
    <s v="Low Risk"/>
  </r>
  <r>
    <n v="28"/>
    <x v="1"/>
    <s v="No"/>
    <s v="Travel_Rarely"/>
    <n v="1144"/>
    <x v="0"/>
    <n v="10"/>
    <n v="1"/>
    <s v="Medical"/>
    <n v="1"/>
    <n v="1056"/>
    <n v="4"/>
    <s v="Male"/>
    <n v="74"/>
    <n v="3"/>
    <x v="1"/>
    <s v="Sales Representative"/>
    <n v="2"/>
    <s v="Married"/>
    <n v="1052"/>
    <n v="23384"/>
    <n v="1"/>
    <s v="Y"/>
    <s v="No"/>
    <s v="No"/>
    <n v="22"/>
    <n v="4"/>
    <n v="2"/>
    <n v="80"/>
    <n v="0"/>
    <n v="1"/>
    <s v="0-5"/>
    <n v="5"/>
    <n v="3"/>
    <n v="1"/>
    <n v="0"/>
    <n v="0"/>
    <n v="0"/>
    <s v="Below Avg"/>
    <n v="26.874115983026876"/>
    <s v="No"/>
    <s v="Low Risk"/>
  </r>
  <r>
    <n v="38"/>
    <x v="1"/>
    <s v="No"/>
    <s v="Travel_Frequently"/>
    <n v="1186"/>
    <x v="1"/>
    <n v="3"/>
    <n v="4"/>
    <s v="Other"/>
    <n v="1"/>
    <n v="1060"/>
    <n v="3"/>
    <s v="Male"/>
    <n v="44"/>
    <n v="3"/>
    <x v="1"/>
    <s v="Research Scientist"/>
    <n v="3"/>
    <s v="Married"/>
    <n v="2821"/>
    <n v="2997"/>
    <n v="3"/>
    <s v="Y"/>
    <s v="No"/>
    <s v="No"/>
    <n v="16"/>
    <n v="3"/>
    <n v="1"/>
    <n v="80"/>
    <n v="1"/>
    <n v="8"/>
    <s v="6-15"/>
    <n v="2"/>
    <n v="3"/>
    <n v="2"/>
    <n v="2"/>
    <n v="2"/>
    <n v="2"/>
    <s v="Below Avg"/>
    <n v="26.770538243626063"/>
    <s v="No"/>
    <s v="Low Risk"/>
  </r>
  <r>
    <n v="50"/>
    <x v="1"/>
    <s v="No"/>
    <s v="Travel_Rarely"/>
    <n v="1464"/>
    <x v="1"/>
    <n v="2"/>
    <n v="4"/>
    <s v="Medical"/>
    <n v="1"/>
    <n v="1061"/>
    <n v="2"/>
    <s v="Male"/>
    <n v="62"/>
    <n v="3"/>
    <x v="4"/>
    <s v="Research Director"/>
    <n v="3"/>
    <s v="Married"/>
    <n v="19237"/>
    <n v="12853"/>
    <n v="2"/>
    <s v="Y"/>
    <s v="Yes"/>
    <s v="Yes"/>
    <n v="11"/>
    <n v="3"/>
    <n v="4"/>
    <n v="80"/>
    <n v="1"/>
    <n v="29"/>
    <s v="&gt;15"/>
    <n v="2"/>
    <n v="2"/>
    <n v="8"/>
    <n v="1"/>
    <n v="7"/>
    <n v="7"/>
    <s v="Ok"/>
    <n v="26.808510638297872"/>
    <s v="No"/>
    <s v="Low Risk"/>
  </r>
  <r>
    <n v="37"/>
    <x v="1"/>
    <s v="No"/>
    <s v="Travel_Rarely"/>
    <n v="124"/>
    <x v="1"/>
    <n v="3"/>
    <n v="3"/>
    <s v="Other"/>
    <n v="1"/>
    <n v="1062"/>
    <n v="4"/>
    <s v="Female"/>
    <n v="35"/>
    <n v="3"/>
    <x v="0"/>
    <s v="Healthcare Representative"/>
    <n v="2"/>
    <s v="Single"/>
    <n v="4107"/>
    <n v="13848"/>
    <n v="3"/>
    <s v="Y"/>
    <s v="No"/>
    <s v="No"/>
    <n v="15"/>
    <n v="3"/>
    <n v="1"/>
    <n v="80"/>
    <n v="0"/>
    <n v="8"/>
    <s v="6-15"/>
    <n v="3"/>
    <n v="2"/>
    <n v="4"/>
    <n v="3"/>
    <n v="0"/>
    <n v="1"/>
    <s v="Below Avg"/>
    <n v="26.84659090909091"/>
    <s v="No"/>
    <s v="Low Risk"/>
  </r>
  <r>
    <n v="40"/>
    <x v="1"/>
    <s v="No"/>
    <s v="Travel_Rarely"/>
    <n v="300"/>
    <x v="0"/>
    <n v="26"/>
    <n v="3"/>
    <s v="Marketing"/>
    <n v="1"/>
    <n v="1066"/>
    <n v="3"/>
    <s v="Male"/>
    <n v="74"/>
    <n v="3"/>
    <x v="0"/>
    <s v="Sales Executive"/>
    <n v="1"/>
    <s v="Married"/>
    <n v="8396"/>
    <n v="22217"/>
    <n v="1"/>
    <s v="Y"/>
    <s v="No"/>
    <s v="No"/>
    <n v="14"/>
    <n v="3"/>
    <n v="2"/>
    <n v="80"/>
    <n v="1"/>
    <n v="8"/>
    <s v="6-15"/>
    <n v="3"/>
    <n v="2"/>
    <n v="7"/>
    <n v="7"/>
    <n v="7"/>
    <n v="5"/>
    <s v="Ok"/>
    <n v="26.742532005689903"/>
    <s v="No"/>
    <s v="Low Risk"/>
  </r>
  <r>
    <n v="26"/>
    <x v="1"/>
    <s v="No"/>
    <s v="Travel_Frequently"/>
    <n v="921"/>
    <x v="1"/>
    <n v="1"/>
    <n v="1"/>
    <s v="Medical"/>
    <n v="1"/>
    <n v="1068"/>
    <n v="1"/>
    <s v="Female"/>
    <n v="66"/>
    <n v="2"/>
    <x v="1"/>
    <s v="Research Scientist"/>
    <n v="3"/>
    <s v="Divorced"/>
    <n v="2007"/>
    <n v="25265"/>
    <n v="1"/>
    <s v="Y"/>
    <s v="No"/>
    <s v="No"/>
    <n v="13"/>
    <n v="3"/>
    <n v="3"/>
    <n v="80"/>
    <n v="2"/>
    <n v="5"/>
    <s v="0-5"/>
    <n v="5"/>
    <n v="3"/>
    <n v="5"/>
    <n v="3"/>
    <n v="1"/>
    <n v="3"/>
    <s v="Below Avg"/>
    <n v="26.780626780626783"/>
    <s v="No"/>
    <s v="Low Risk"/>
  </r>
  <r>
    <n v="46"/>
    <x v="1"/>
    <s v="No"/>
    <s v="Travel_Rarely"/>
    <n v="430"/>
    <x v="1"/>
    <n v="1"/>
    <n v="4"/>
    <s v="Medical"/>
    <n v="1"/>
    <n v="1069"/>
    <n v="4"/>
    <s v="Male"/>
    <n v="40"/>
    <n v="3"/>
    <x v="4"/>
    <s v="Research Director"/>
    <n v="4"/>
    <s v="Divorced"/>
    <n v="19627"/>
    <n v="21445"/>
    <n v="9"/>
    <s v="Y"/>
    <s v="No"/>
    <s v="No"/>
    <n v="17"/>
    <n v="3"/>
    <n v="4"/>
    <n v="80"/>
    <n v="2"/>
    <n v="23"/>
    <s v="&gt;15"/>
    <n v="0"/>
    <n v="3"/>
    <n v="2"/>
    <n v="2"/>
    <n v="2"/>
    <n v="2"/>
    <s v="Ok"/>
    <n v="26.8188302425107"/>
    <s v="No"/>
    <s v="Low Risk"/>
  </r>
  <r>
    <n v="54"/>
    <x v="1"/>
    <s v="No"/>
    <s v="Travel_Rarely"/>
    <n v="1082"/>
    <x v="0"/>
    <n v="2"/>
    <n v="4"/>
    <s v="Life Sciences"/>
    <n v="1"/>
    <n v="1070"/>
    <n v="3"/>
    <s v="Female"/>
    <n v="41"/>
    <n v="2"/>
    <x v="2"/>
    <s v="Sales Executive"/>
    <n v="3"/>
    <s v="Married"/>
    <n v="10686"/>
    <n v="8392"/>
    <n v="6"/>
    <s v="Y"/>
    <s v="No"/>
    <s v="No"/>
    <n v="11"/>
    <n v="3"/>
    <n v="2"/>
    <n v="80"/>
    <n v="1"/>
    <n v="13"/>
    <s v="6-15"/>
    <n v="4"/>
    <n v="3"/>
    <n v="9"/>
    <n v="4"/>
    <n v="7"/>
    <n v="0"/>
    <s v="Ok"/>
    <n v="26.857142857142858"/>
    <s v="No"/>
    <s v="Low Risk"/>
  </r>
  <r>
    <n v="56"/>
    <x v="1"/>
    <s v="No"/>
    <s v="Travel_Frequently"/>
    <n v="1240"/>
    <x v="1"/>
    <n v="9"/>
    <n v="3"/>
    <s v="Medical"/>
    <n v="1"/>
    <n v="1071"/>
    <n v="1"/>
    <s v="Female"/>
    <n v="63"/>
    <n v="3"/>
    <x v="1"/>
    <s v="Research Scientist"/>
    <n v="3"/>
    <s v="Married"/>
    <n v="2942"/>
    <n v="12154"/>
    <n v="2"/>
    <s v="Y"/>
    <s v="No"/>
    <s v="No"/>
    <n v="19"/>
    <n v="3"/>
    <n v="2"/>
    <n v="80"/>
    <n v="1"/>
    <n v="18"/>
    <s v="&gt;15"/>
    <n v="4"/>
    <n v="3"/>
    <n v="5"/>
    <n v="4"/>
    <n v="0"/>
    <n v="3"/>
    <s v="Below Avg"/>
    <n v="26.895565092989987"/>
    <s v="No"/>
    <s v="Low Risk"/>
  </r>
  <r>
    <n v="36"/>
    <x v="1"/>
    <s v="No"/>
    <s v="Travel_Rarely"/>
    <n v="796"/>
    <x v="1"/>
    <n v="12"/>
    <n v="5"/>
    <s v="Medical"/>
    <n v="1"/>
    <n v="1073"/>
    <n v="4"/>
    <s v="Female"/>
    <n v="51"/>
    <n v="2"/>
    <x v="2"/>
    <s v="Manufacturing Director"/>
    <n v="4"/>
    <s v="Single"/>
    <n v="8858"/>
    <n v="15669"/>
    <n v="0"/>
    <s v="Y"/>
    <s v="No"/>
    <s v="No"/>
    <n v="11"/>
    <n v="3"/>
    <n v="2"/>
    <n v="80"/>
    <n v="0"/>
    <n v="15"/>
    <s v="6-15"/>
    <n v="2"/>
    <n v="2"/>
    <n v="14"/>
    <n v="8"/>
    <n v="7"/>
    <n v="8"/>
    <s v="Ok"/>
    <n v="26.93409742120344"/>
    <s v="No"/>
    <s v="Low Risk"/>
  </r>
  <r>
    <n v="55"/>
    <x v="1"/>
    <s v="No"/>
    <s v="Non-Travel"/>
    <n v="444"/>
    <x v="1"/>
    <n v="2"/>
    <n v="1"/>
    <s v="Medical"/>
    <n v="1"/>
    <n v="1074"/>
    <n v="3"/>
    <s v="Male"/>
    <n v="40"/>
    <n v="2"/>
    <x v="3"/>
    <s v="Manager"/>
    <n v="1"/>
    <s v="Single"/>
    <n v="16756"/>
    <n v="17323"/>
    <n v="7"/>
    <s v="Y"/>
    <s v="No"/>
    <s v="No"/>
    <n v="15"/>
    <n v="3"/>
    <n v="2"/>
    <n v="80"/>
    <n v="0"/>
    <n v="31"/>
    <s v="&gt;15"/>
    <n v="3"/>
    <n v="4"/>
    <n v="9"/>
    <n v="7"/>
    <n v="6"/>
    <n v="2"/>
    <s v="Ok"/>
    <n v="26.97274031563845"/>
    <s v="No"/>
    <s v="Low Risk"/>
  </r>
  <r>
    <n v="43"/>
    <x v="1"/>
    <s v="No"/>
    <s v="Travel_Rarely"/>
    <n v="415"/>
    <x v="0"/>
    <n v="25"/>
    <n v="3"/>
    <s v="Medical"/>
    <n v="1"/>
    <n v="1076"/>
    <n v="3"/>
    <s v="Male"/>
    <n v="79"/>
    <n v="2"/>
    <x v="2"/>
    <s v="Sales Executive"/>
    <n v="4"/>
    <s v="Divorced"/>
    <n v="10798"/>
    <n v="5268"/>
    <n v="5"/>
    <s v="Y"/>
    <s v="No"/>
    <s v="No"/>
    <n v="13"/>
    <n v="3"/>
    <n v="3"/>
    <n v="80"/>
    <n v="1"/>
    <n v="18"/>
    <s v="&gt;15"/>
    <n v="5"/>
    <n v="3"/>
    <n v="1"/>
    <n v="0"/>
    <n v="0"/>
    <n v="0"/>
    <s v="Ok"/>
    <n v="27.011494252873565"/>
    <s v="No"/>
    <s v="Low Risk"/>
  </r>
  <r>
    <n v="20"/>
    <x v="0"/>
    <s v="Yes"/>
    <s v="Travel_Frequently"/>
    <n v="769"/>
    <x v="0"/>
    <n v="9"/>
    <n v="3"/>
    <s v="Marketing"/>
    <n v="1"/>
    <n v="1077"/>
    <n v="4"/>
    <s v="Female"/>
    <n v="54"/>
    <n v="3"/>
    <x v="1"/>
    <s v="Sales Representative"/>
    <n v="4"/>
    <s v="Single"/>
    <n v="2323"/>
    <n v="17205"/>
    <n v="1"/>
    <s v="Y"/>
    <s v="Yes"/>
    <s v="Yes"/>
    <n v="14"/>
    <n v="3"/>
    <n v="2"/>
    <n v="80"/>
    <n v="0"/>
    <n v="2"/>
    <s v="0-5"/>
    <n v="3"/>
    <n v="3"/>
    <n v="2"/>
    <n v="2"/>
    <n v="0"/>
    <n v="2"/>
    <s v="Below Avg"/>
    <n v="27.050359712230215"/>
    <s v="No"/>
    <s v="Low Risk"/>
  </r>
  <r>
    <n v="21"/>
    <x v="0"/>
    <s v="Yes"/>
    <s v="Travel_Rarely"/>
    <n v="1334"/>
    <x v="1"/>
    <n v="10"/>
    <n v="3"/>
    <s v="Life Sciences"/>
    <n v="1"/>
    <n v="1079"/>
    <n v="3"/>
    <s v="Female"/>
    <n v="36"/>
    <n v="2"/>
    <x v="1"/>
    <s v="Laboratory Technician"/>
    <n v="1"/>
    <s v="Single"/>
    <n v="1416"/>
    <n v="17258"/>
    <n v="1"/>
    <s v="Y"/>
    <s v="No"/>
    <s v="No"/>
    <n v="13"/>
    <n v="3"/>
    <n v="1"/>
    <n v="80"/>
    <n v="0"/>
    <n v="1"/>
    <s v="0-5"/>
    <n v="6"/>
    <n v="2"/>
    <n v="1"/>
    <n v="0"/>
    <n v="1"/>
    <n v="0"/>
    <s v="Below Avg"/>
    <n v="27.089337175792505"/>
    <s v="No"/>
    <s v="High Risk"/>
  </r>
  <r>
    <n v="46"/>
    <x v="1"/>
    <s v="No"/>
    <s v="Travel_Rarely"/>
    <n v="1003"/>
    <x v="1"/>
    <n v="8"/>
    <n v="4"/>
    <s v="Life Sciences"/>
    <n v="1"/>
    <n v="1080"/>
    <n v="4"/>
    <s v="Female"/>
    <n v="74"/>
    <n v="2"/>
    <x v="0"/>
    <s v="Research Scientist"/>
    <n v="1"/>
    <s v="Divorced"/>
    <n v="4615"/>
    <n v="21029"/>
    <n v="8"/>
    <s v="Y"/>
    <s v="Yes"/>
    <s v="Yes"/>
    <n v="23"/>
    <n v="4"/>
    <n v="1"/>
    <n v="80"/>
    <n v="3"/>
    <n v="19"/>
    <s v="&gt;15"/>
    <n v="2"/>
    <n v="3"/>
    <n v="16"/>
    <n v="13"/>
    <n v="1"/>
    <n v="7"/>
    <s v="Below Avg"/>
    <n v="26.984126984126984"/>
    <s v="No"/>
    <s v="Low Risk"/>
  </r>
  <r>
    <n v="51"/>
    <x v="0"/>
    <s v="Yes"/>
    <s v="Travel_Rarely"/>
    <n v="1323"/>
    <x v="1"/>
    <n v="4"/>
    <n v="4"/>
    <s v="Life Sciences"/>
    <n v="1"/>
    <n v="1081"/>
    <n v="1"/>
    <s v="Male"/>
    <n v="34"/>
    <n v="3"/>
    <x v="1"/>
    <s v="Research Scientist"/>
    <n v="3"/>
    <s v="Married"/>
    <n v="2461"/>
    <n v="10332"/>
    <n v="9"/>
    <s v="Y"/>
    <s v="Yes"/>
    <s v="Yes"/>
    <n v="12"/>
    <n v="3"/>
    <n v="3"/>
    <n v="80"/>
    <n v="3"/>
    <n v="18"/>
    <s v="&gt;15"/>
    <n v="2"/>
    <n v="4"/>
    <n v="10"/>
    <n v="0"/>
    <n v="2"/>
    <n v="7"/>
    <s v="Below Avg"/>
    <n v="27.02312138728324"/>
    <s v="No"/>
    <s v="Low Risk"/>
  </r>
  <r>
    <n v="28"/>
    <x v="0"/>
    <s v="Yes"/>
    <s v="Non-Travel"/>
    <n v="1366"/>
    <x v="1"/>
    <n v="24"/>
    <n v="2"/>
    <s v="Technical Degree"/>
    <n v="1"/>
    <n v="1082"/>
    <n v="2"/>
    <s v="Male"/>
    <n v="72"/>
    <n v="2"/>
    <x v="2"/>
    <s v="Healthcare Representative"/>
    <n v="1"/>
    <s v="Single"/>
    <n v="8722"/>
    <n v="12355"/>
    <n v="1"/>
    <s v="Y"/>
    <s v="No"/>
    <s v="No"/>
    <n v="12"/>
    <n v="3"/>
    <n v="1"/>
    <n v="80"/>
    <n v="0"/>
    <n v="10"/>
    <s v="6-15"/>
    <n v="2"/>
    <n v="2"/>
    <n v="10"/>
    <n v="7"/>
    <n v="1"/>
    <n v="9"/>
    <s v="Ok"/>
    <n v="26.917510853835019"/>
    <s v="No"/>
    <s v="Low Risk"/>
  </r>
  <r>
    <n v="26"/>
    <x v="1"/>
    <s v="No"/>
    <s v="Travel_Rarely"/>
    <n v="192"/>
    <x v="1"/>
    <n v="1"/>
    <n v="2"/>
    <s v="Medical"/>
    <n v="1"/>
    <n v="1083"/>
    <n v="1"/>
    <s v="Male"/>
    <n v="59"/>
    <n v="2"/>
    <x v="1"/>
    <s v="Laboratory Technician"/>
    <n v="1"/>
    <s v="Married"/>
    <n v="3955"/>
    <n v="11141"/>
    <n v="1"/>
    <s v="Y"/>
    <s v="No"/>
    <s v="No"/>
    <n v="16"/>
    <n v="3"/>
    <n v="1"/>
    <n v="80"/>
    <n v="2"/>
    <n v="6"/>
    <s v="6-15"/>
    <n v="2"/>
    <n v="3"/>
    <n v="5"/>
    <n v="3"/>
    <n v="1"/>
    <n v="3"/>
    <s v="Below Avg"/>
    <n v="26.811594202898554"/>
    <s v="No"/>
    <s v="Low Risk"/>
  </r>
  <r>
    <n v="30"/>
    <x v="1"/>
    <s v="No"/>
    <s v="Travel_Rarely"/>
    <n v="1176"/>
    <x v="1"/>
    <n v="20"/>
    <n v="3"/>
    <s v="Other"/>
    <n v="1"/>
    <n v="1084"/>
    <n v="3"/>
    <s v="Male"/>
    <n v="85"/>
    <n v="3"/>
    <x v="0"/>
    <s v="Manufacturing Director"/>
    <n v="1"/>
    <s v="Married"/>
    <n v="9957"/>
    <n v="9096"/>
    <n v="0"/>
    <s v="Y"/>
    <s v="No"/>
    <s v="No"/>
    <n v="15"/>
    <n v="3"/>
    <n v="3"/>
    <n v="80"/>
    <n v="1"/>
    <n v="7"/>
    <s v="6-15"/>
    <n v="1"/>
    <n v="2"/>
    <n v="6"/>
    <n v="2"/>
    <n v="0"/>
    <n v="2"/>
    <s v="Ok"/>
    <n v="26.850507982583455"/>
    <s v="No"/>
    <s v="Low Risk"/>
  </r>
  <r>
    <n v="41"/>
    <x v="1"/>
    <s v="No"/>
    <s v="Travel_Rarely"/>
    <n v="509"/>
    <x v="1"/>
    <n v="7"/>
    <n v="2"/>
    <s v="Technical Degree"/>
    <n v="1"/>
    <n v="1085"/>
    <n v="2"/>
    <s v="Female"/>
    <n v="43"/>
    <n v="4"/>
    <x v="1"/>
    <s v="Research Scientist"/>
    <n v="3"/>
    <s v="Married"/>
    <n v="3376"/>
    <n v="18863"/>
    <n v="1"/>
    <s v="Y"/>
    <s v="No"/>
    <s v="No"/>
    <n v="13"/>
    <n v="3"/>
    <n v="3"/>
    <n v="80"/>
    <n v="0"/>
    <n v="10"/>
    <s v="6-15"/>
    <n v="3"/>
    <n v="3"/>
    <n v="10"/>
    <n v="6"/>
    <n v="0"/>
    <n v="8"/>
    <s v="Below Avg"/>
    <n v="26.889534883720927"/>
    <s v="No"/>
    <s v="Low Risk"/>
  </r>
  <r>
    <n v="38"/>
    <x v="1"/>
    <s v="No"/>
    <s v="Travel_Rarely"/>
    <n v="330"/>
    <x v="1"/>
    <n v="17"/>
    <n v="1"/>
    <s v="Life Sciences"/>
    <n v="1"/>
    <n v="1088"/>
    <n v="3"/>
    <s v="Female"/>
    <n v="65"/>
    <n v="2"/>
    <x v="2"/>
    <s v="Healthcare Representative"/>
    <n v="3"/>
    <s v="Married"/>
    <n v="8823"/>
    <n v="24608"/>
    <n v="0"/>
    <s v="Y"/>
    <s v="No"/>
    <s v="No"/>
    <n v="18"/>
    <n v="3"/>
    <n v="1"/>
    <n v="80"/>
    <n v="1"/>
    <n v="20"/>
    <s v="&gt;15"/>
    <n v="4"/>
    <n v="2"/>
    <n v="19"/>
    <n v="9"/>
    <n v="1"/>
    <n v="9"/>
    <s v="Ok"/>
    <n v="26.92867540029112"/>
    <s v="No"/>
    <s v="Low Risk"/>
  </r>
  <r>
    <n v="40"/>
    <x v="1"/>
    <s v="No"/>
    <s v="Travel_Rarely"/>
    <n v="1492"/>
    <x v="1"/>
    <n v="20"/>
    <n v="4"/>
    <s v="Technical Degree"/>
    <n v="1"/>
    <n v="1092"/>
    <n v="1"/>
    <s v="Male"/>
    <n v="61"/>
    <n v="3"/>
    <x v="2"/>
    <s v="Healthcare Representative"/>
    <n v="4"/>
    <s v="Married"/>
    <n v="10322"/>
    <n v="26542"/>
    <n v="4"/>
    <s v="Y"/>
    <s v="No"/>
    <s v="No"/>
    <n v="20"/>
    <n v="4"/>
    <n v="4"/>
    <n v="80"/>
    <n v="1"/>
    <n v="14"/>
    <s v="6-15"/>
    <n v="6"/>
    <n v="3"/>
    <n v="11"/>
    <n v="10"/>
    <n v="11"/>
    <n v="1"/>
    <s v="Ok"/>
    <n v="26.96793002915452"/>
    <s v="No"/>
    <s v="Low Risk"/>
  </r>
  <r>
    <n v="27"/>
    <x v="1"/>
    <s v="No"/>
    <s v="Non-Travel"/>
    <n v="1277"/>
    <x v="1"/>
    <n v="8"/>
    <n v="5"/>
    <s v="Life Sciences"/>
    <n v="1"/>
    <n v="1094"/>
    <n v="1"/>
    <s v="Male"/>
    <n v="87"/>
    <n v="1"/>
    <x v="1"/>
    <s v="Laboratory Technician"/>
    <n v="3"/>
    <s v="Married"/>
    <n v="4621"/>
    <n v="5869"/>
    <n v="1"/>
    <s v="Y"/>
    <s v="No"/>
    <s v="No"/>
    <n v="19"/>
    <n v="3"/>
    <n v="4"/>
    <n v="80"/>
    <n v="3"/>
    <n v="3"/>
    <s v="0-5"/>
    <n v="4"/>
    <n v="3"/>
    <n v="3"/>
    <n v="2"/>
    <n v="1"/>
    <n v="2"/>
    <s v="Below Avg"/>
    <n v="27.007299270072991"/>
    <s v="No"/>
    <s v="Low Risk"/>
  </r>
  <r>
    <n v="55"/>
    <x v="1"/>
    <s v="No"/>
    <s v="Travel_Frequently"/>
    <n v="1091"/>
    <x v="1"/>
    <n v="2"/>
    <n v="1"/>
    <s v="Life Sciences"/>
    <n v="1"/>
    <n v="1096"/>
    <n v="4"/>
    <s v="Male"/>
    <n v="65"/>
    <n v="3"/>
    <x v="2"/>
    <s v="Manufacturing Director"/>
    <n v="2"/>
    <s v="Married"/>
    <n v="10976"/>
    <n v="15813"/>
    <n v="3"/>
    <s v="Y"/>
    <s v="No"/>
    <s v="No"/>
    <n v="18"/>
    <n v="3"/>
    <n v="2"/>
    <n v="80"/>
    <n v="1"/>
    <n v="23"/>
    <s v="&gt;15"/>
    <n v="4"/>
    <n v="3"/>
    <n v="3"/>
    <n v="2"/>
    <n v="1"/>
    <n v="2"/>
    <s v="Ok"/>
    <n v="27.046783625730995"/>
    <s v="No"/>
    <s v="Low Risk"/>
  </r>
  <r>
    <n v="28"/>
    <x v="1"/>
    <s v="No"/>
    <s v="Travel_Rarely"/>
    <n v="857"/>
    <x v="1"/>
    <n v="10"/>
    <n v="3"/>
    <s v="Other"/>
    <n v="1"/>
    <n v="1097"/>
    <n v="3"/>
    <s v="Female"/>
    <n v="59"/>
    <n v="3"/>
    <x v="0"/>
    <s v="Research Scientist"/>
    <n v="3"/>
    <s v="Single"/>
    <n v="3660"/>
    <n v="7909"/>
    <n v="3"/>
    <s v="Y"/>
    <s v="No"/>
    <s v="No"/>
    <n v="13"/>
    <n v="3"/>
    <n v="4"/>
    <n v="80"/>
    <n v="0"/>
    <n v="10"/>
    <s v="6-15"/>
    <n v="4"/>
    <n v="4"/>
    <n v="8"/>
    <n v="7"/>
    <n v="1"/>
    <n v="7"/>
    <s v="Below Avg"/>
    <n v="27.086383601756953"/>
    <s v="No"/>
    <s v="Low Risk"/>
  </r>
  <r>
    <n v="44"/>
    <x v="0"/>
    <s v="Yes"/>
    <s v="Travel_Rarely"/>
    <n v="1376"/>
    <x v="2"/>
    <n v="1"/>
    <n v="2"/>
    <s v="Medical"/>
    <n v="1"/>
    <n v="1098"/>
    <n v="2"/>
    <s v="Male"/>
    <n v="91"/>
    <n v="2"/>
    <x v="2"/>
    <s v="Human Resources"/>
    <n v="1"/>
    <s v="Married"/>
    <n v="10482"/>
    <n v="2326"/>
    <n v="9"/>
    <s v="Y"/>
    <s v="No"/>
    <s v="No"/>
    <n v="14"/>
    <n v="3"/>
    <n v="4"/>
    <n v="80"/>
    <n v="1"/>
    <n v="24"/>
    <s v="&gt;15"/>
    <n v="1"/>
    <n v="3"/>
    <n v="20"/>
    <n v="6"/>
    <n v="3"/>
    <n v="6"/>
    <s v="Ok"/>
    <n v="27.126099706744867"/>
    <s v="No"/>
    <s v="Low Risk"/>
  </r>
  <r>
    <n v="33"/>
    <x v="1"/>
    <s v="No"/>
    <s v="Travel_Rarely"/>
    <n v="654"/>
    <x v="1"/>
    <n v="5"/>
    <n v="3"/>
    <s v="Life Sciences"/>
    <n v="1"/>
    <n v="1099"/>
    <n v="4"/>
    <s v="Male"/>
    <n v="34"/>
    <n v="2"/>
    <x v="2"/>
    <s v="Healthcare Representative"/>
    <n v="4"/>
    <s v="Divorced"/>
    <n v="7119"/>
    <n v="21214"/>
    <n v="4"/>
    <s v="Y"/>
    <s v="No"/>
    <s v="No"/>
    <n v="15"/>
    <n v="3"/>
    <n v="3"/>
    <n v="80"/>
    <n v="1"/>
    <n v="9"/>
    <s v="6-15"/>
    <n v="2"/>
    <n v="3"/>
    <n v="3"/>
    <n v="2"/>
    <n v="1"/>
    <n v="2"/>
    <s v="Ok"/>
    <n v="27.165932452276063"/>
    <s v="No"/>
    <s v="Low Risk"/>
  </r>
  <r>
    <n v="35"/>
    <x v="0"/>
    <s v="Yes"/>
    <s v="Travel_Rarely"/>
    <n v="1204"/>
    <x v="0"/>
    <n v="4"/>
    <n v="3"/>
    <s v="Technical Degree"/>
    <n v="1"/>
    <n v="1100"/>
    <n v="4"/>
    <s v="Male"/>
    <n v="86"/>
    <n v="3"/>
    <x v="2"/>
    <s v="Sales Executive"/>
    <n v="1"/>
    <s v="Single"/>
    <n v="9582"/>
    <n v="10333"/>
    <n v="0"/>
    <s v="Y"/>
    <s v="Yes"/>
    <s v="Yes"/>
    <n v="22"/>
    <n v="4"/>
    <n v="1"/>
    <n v="80"/>
    <n v="0"/>
    <n v="9"/>
    <s v="6-15"/>
    <n v="2"/>
    <n v="3"/>
    <n v="8"/>
    <n v="7"/>
    <n v="4"/>
    <n v="7"/>
    <s v="Ok"/>
    <n v="27.205882352941174"/>
    <s v="No"/>
    <s v="Low Risk"/>
  </r>
  <r>
    <n v="33"/>
    <x v="0"/>
    <s v="Yes"/>
    <s v="Travel_Frequently"/>
    <n v="827"/>
    <x v="1"/>
    <n v="29"/>
    <n v="4"/>
    <s v="Medical"/>
    <n v="1"/>
    <n v="1101"/>
    <n v="1"/>
    <s v="Female"/>
    <n v="54"/>
    <n v="2"/>
    <x v="0"/>
    <s v="Research Scientist"/>
    <n v="3"/>
    <s v="Single"/>
    <n v="4508"/>
    <n v="3129"/>
    <n v="1"/>
    <s v="Y"/>
    <s v="No"/>
    <s v="No"/>
    <n v="22"/>
    <n v="4"/>
    <n v="2"/>
    <n v="80"/>
    <n v="0"/>
    <n v="14"/>
    <s v="6-15"/>
    <n v="4"/>
    <n v="3"/>
    <n v="13"/>
    <n v="7"/>
    <n v="3"/>
    <n v="8"/>
    <s v="Below Avg"/>
    <n v="27.245949926362297"/>
    <s v="No"/>
    <s v="Low Risk"/>
  </r>
  <r>
    <n v="28"/>
    <x v="1"/>
    <s v="No"/>
    <s v="Travel_Rarely"/>
    <n v="895"/>
    <x v="1"/>
    <n v="15"/>
    <n v="2"/>
    <s v="Life Sciences"/>
    <n v="1"/>
    <n v="1102"/>
    <n v="1"/>
    <s v="Male"/>
    <n v="50"/>
    <n v="3"/>
    <x v="1"/>
    <s v="Laboratory Technician"/>
    <n v="3"/>
    <s v="Divorced"/>
    <n v="2207"/>
    <n v="22482"/>
    <n v="1"/>
    <s v="Y"/>
    <s v="No"/>
    <s v="No"/>
    <n v="16"/>
    <n v="3"/>
    <n v="4"/>
    <n v="80"/>
    <n v="1"/>
    <n v="4"/>
    <s v="0-5"/>
    <n v="5"/>
    <n v="2"/>
    <n v="4"/>
    <n v="2"/>
    <n v="2"/>
    <n v="2"/>
    <s v="Below Avg"/>
    <n v="27.138643067846608"/>
    <s v="No"/>
    <s v="Low Risk"/>
  </r>
  <r>
    <n v="34"/>
    <x v="1"/>
    <s v="No"/>
    <s v="Travel_Frequently"/>
    <n v="618"/>
    <x v="1"/>
    <n v="3"/>
    <n v="1"/>
    <s v="Life Sciences"/>
    <n v="1"/>
    <n v="1103"/>
    <n v="1"/>
    <s v="Male"/>
    <n v="45"/>
    <n v="3"/>
    <x v="0"/>
    <s v="Healthcare Representative"/>
    <n v="4"/>
    <s v="Single"/>
    <n v="7756"/>
    <n v="22266"/>
    <n v="0"/>
    <s v="Y"/>
    <s v="No"/>
    <s v="No"/>
    <n v="17"/>
    <n v="3"/>
    <n v="3"/>
    <n v="80"/>
    <n v="0"/>
    <n v="7"/>
    <s v="6-15"/>
    <n v="1"/>
    <n v="2"/>
    <n v="6"/>
    <n v="2"/>
    <n v="0"/>
    <n v="4"/>
    <s v="Ok"/>
    <n v="27.17872968980798"/>
    <s v="No"/>
    <s v="Low Risk"/>
  </r>
  <r>
    <n v="37"/>
    <x v="1"/>
    <s v="No"/>
    <s v="Travel_Rarely"/>
    <n v="309"/>
    <x v="0"/>
    <n v="10"/>
    <n v="4"/>
    <s v="Life Sciences"/>
    <n v="1"/>
    <n v="1105"/>
    <n v="4"/>
    <s v="Female"/>
    <n v="88"/>
    <n v="2"/>
    <x v="0"/>
    <s v="Sales Executive"/>
    <n v="4"/>
    <s v="Divorced"/>
    <n v="6694"/>
    <n v="24223"/>
    <n v="2"/>
    <s v="Y"/>
    <s v="Yes"/>
    <s v="Yes"/>
    <n v="14"/>
    <n v="3"/>
    <n v="3"/>
    <n v="80"/>
    <n v="3"/>
    <n v="8"/>
    <s v="6-15"/>
    <n v="5"/>
    <n v="3"/>
    <n v="1"/>
    <n v="0"/>
    <n v="0"/>
    <n v="0"/>
    <s v="Below Avg"/>
    <n v="27.218934911242602"/>
    <s v="No"/>
    <s v="Low Risk"/>
  </r>
  <r>
    <n v="25"/>
    <x v="0"/>
    <s v="Yes"/>
    <s v="Travel_Rarely"/>
    <n v="1219"/>
    <x v="1"/>
    <n v="4"/>
    <n v="1"/>
    <s v="Technical Degree"/>
    <n v="1"/>
    <n v="1106"/>
    <n v="4"/>
    <s v="Male"/>
    <n v="32"/>
    <n v="3"/>
    <x v="1"/>
    <s v="Laboratory Technician"/>
    <n v="4"/>
    <s v="Married"/>
    <n v="3691"/>
    <n v="4605"/>
    <n v="1"/>
    <s v="Y"/>
    <s v="Yes"/>
    <s v="Yes"/>
    <n v="15"/>
    <n v="3"/>
    <n v="2"/>
    <n v="80"/>
    <n v="1"/>
    <n v="7"/>
    <s v="6-15"/>
    <n v="3"/>
    <n v="4"/>
    <n v="7"/>
    <n v="7"/>
    <n v="5"/>
    <n v="6"/>
    <s v="Below Avg"/>
    <n v="27.25925925925926"/>
    <s v="No"/>
    <s v="Low Risk"/>
  </r>
  <r>
    <n v="26"/>
    <x v="0"/>
    <s v="Yes"/>
    <s v="Travel_Rarely"/>
    <n v="1330"/>
    <x v="1"/>
    <n v="21"/>
    <n v="3"/>
    <s v="Medical"/>
    <n v="1"/>
    <n v="1107"/>
    <n v="1"/>
    <s v="Male"/>
    <n v="37"/>
    <n v="3"/>
    <x v="1"/>
    <s v="Laboratory Technician"/>
    <n v="3"/>
    <s v="Divorced"/>
    <n v="2377"/>
    <n v="19373"/>
    <n v="1"/>
    <s v="Y"/>
    <s v="No"/>
    <s v="No"/>
    <n v="20"/>
    <n v="4"/>
    <n v="3"/>
    <n v="80"/>
    <n v="1"/>
    <n v="1"/>
    <s v="0-5"/>
    <n v="0"/>
    <n v="2"/>
    <n v="1"/>
    <n v="1"/>
    <n v="0"/>
    <n v="0"/>
    <s v="Below Avg"/>
    <n v="27.151335311572701"/>
    <s v="No"/>
    <s v="High Risk"/>
  </r>
  <r>
    <n v="33"/>
    <x v="0"/>
    <s v="Yes"/>
    <s v="Travel_Rarely"/>
    <n v="1017"/>
    <x v="1"/>
    <n v="25"/>
    <n v="3"/>
    <s v="Medical"/>
    <n v="1"/>
    <n v="1108"/>
    <n v="1"/>
    <s v="Male"/>
    <n v="55"/>
    <n v="2"/>
    <x v="1"/>
    <s v="Research Scientist"/>
    <n v="2"/>
    <s v="Single"/>
    <n v="2313"/>
    <n v="2993"/>
    <n v="4"/>
    <s v="Y"/>
    <s v="Yes"/>
    <s v="Yes"/>
    <n v="20"/>
    <n v="4"/>
    <n v="2"/>
    <n v="80"/>
    <n v="0"/>
    <n v="5"/>
    <s v="0-5"/>
    <n v="0"/>
    <n v="3"/>
    <n v="2"/>
    <n v="2"/>
    <n v="2"/>
    <n v="2"/>
    <s v="Below Avg"/>
    <n v="27.043090638930163"/>
    <s v="No"/>
    <s v="Low Risk"/>
  </r>
  <r>
    <n v="42"/>
    <x v="1"/>
    <s v="No"/>
    <s v="Travel_Rarely"/>
    <n v="469"/>
    <x v="1"/>
    <n v="2"/>
    <n v="2"/>
    <s v="Medical"/>
    <n v="1"/>
    <n v="1109"/>
    <n v="4"/>
    <s v="Male"/>
    <n v="35"/>
    <n v="3"/>
    <x v="3"/>
    <s v="Manager"/>
    <n v="1"/>
    <s v="Married"/>
    <n v="17665"/>
    <n v="14399"/>
    <n v="0"/>
    <s v="Y"/>
    <s v="No"/>
    <s v="No"/>
    <n v="17"/>
    <n v="3"/>
    <n v="4"/>
    <n v="80"/>
    <n v="1"/>
    <n v="23"/>
    <s v="&gt;15"/>
    <n v="3"/>
    <n v="3"/>
    <n v="22"/>
    <n v="6"/>
    <n v="13"/>
    <n v="7"/>
    <s v="Ok"/>
    <n v="27.083333333333332"/>
    <s v="No"/>
    <s v="Low Risk"/>
  </r>
  <r>
    <n v="28"/>
    <x v="0"/>
    <s v="Yes"/>
    <s v="Travel_Frequently"/>
    <n v="1009"/>
    <x v="1"/>
    <n v="1"/>
    <n v="3"/>
    <s v="Medical"/>
    <n v="1"/>
    <n v="1111"/>
    <n v="1"/>
    <s v="Male"/>
    <n v="45"/>
    <n v="2"/>
    <x v="1"/>
    <s v="Laboratory Technician"/>
    <n v="2"/>
    <s v="Divorced"/>
    <n v="2596"/>
    <n v="7160"/>
    <n v="1"/>
    <s v="Y"/>
    <s v="No"/>
    <s v="No"/>
    <n v="15"/>
    <n v="3"/>
    <n v="1"/>
    <n v="80"/>
    <n v="2"/>
    <n v="1"/>
    <s v="0-5"/>
    <n v="2"/>
    <n v="3"/>
    <n v="1"/>
    <n v="0"/>
    <n v="0"/>
    <n v="0"/>
    <s v="Below Avg"/>
    <n v="26.974664679582709"/>
    <s v="No"/>
    <s v="High Risk"/>
  </r>
  <r>
    <n v="50"/>
    <x v="0"/>
    <s v="Yes"/>
    <s v="Travel_Frequently"/>
    <n v="959"/>
    <x v="0"/>
    <n v="1"/>
    <n v="4"/>
    <s v="Other"/>
    <n v="1"/>
    <n v="1113"/>
    <n v="4"/>
    <s v="Male"/>
    <n v="81"/>
    <n v="3"/>
    <x v="0"/>
    <s v="Sales Executive"/>
    <n v="3"/>
    <s v="Single"/>
    <n v="4728"/>
    <n v="17251"/>
    <n v="3"/>
    <s v="Y"/>
    <s v="Yes"/>
    <s v="Yes"/>
    <n v="14"/>
    <n v="3"/>
    <n v="4"/>
    <n v="80"/>
    <n v="0"/>
    <n v="5"/>
    <s v="0-5"/>
    <n v="4"/>
    <n v="3"/>
    <n v="0"/>
    <n v="0"/>
    <n v="0"/>
    <n v="0"/>
    <s v="Below Avg"/>
    <n v="27.014925373134329"/>
    <s v="No"/>
    <s v="High Risk"/>
  </r>
  <r>
    <n v="33"/>
    <x v="1"/>
    <s v="No"/>
    <s v="Travel_Frequently"/>
    <n v="970"/>
    <x v="0"/>
    <n v="7"/>
    <n v="3"/>
    <s v="Life Sciences"/>
    <n v="1"/>
    <n v="1114"/>
    <n v="4"/>
    <s v="Female"/>
    <n v="30"/>
    <n v="3"/>
    <x v="0"/>
    <s v="Sales Executive"/>
    <n v="2"/>
    <s v="Married"/>
    <n v="4302"/>
    <n v="13401"/>
    <n v="0"/>
    <s v="Y"/>
    <s v="No"/>
    <s v="No"/>
    <n v="17"/>
    <n v="3"/>
    <n v="3"/>
    <n v="80"/>
    <n v="1"/>
    <n v="4"/>
    <s v="0-5"/>
    <n v="3"/>
    <n v="3"/>
    <n v="3"/>
    <n v="2"/>
    <n v="0"/>
    <n v="2"/>
    <s v="Below Avg"/>
    <n v="27.055306427503741"/>
    <s v="No"/>
    <s v="Low Risk"/>
  </r>
  <r>
    <n v="34"/>
    <x v="1"/>
    <s v="No"/>
    <s v="Non-Travel"/>
    <n v="697"/>
    <x v="1"/>
    <n v="3"/>
    <n v="4"/>
    <s v="Life Sciences"/>
    <n v="1"/>
    <n v="1115"/>
    <n v="3"/>
    <s v="Male"/>
    <n v="40"/>
    <n v="2"/>
    <x v="1"/>
    <s v="Research Scientist"/>
    <n v="4"/>
    <s v="Married"/>
    <n v="2979"/>
    <n v="22478"/>
    <n v="3"/>
    <s v="Y"/>
    <s v="No"/>
    <s v="No"/>
    <n v="17"/>
    <n v="3"/>
    <n v="4"/>
    <n v="80"/>
    <n v="3"/>
    <n v="6"/>
    <s v="6-15"/>
    <n v="2"/>
    <n v="3"/>
    <n v="0"/>
    <n v="0"/>
    <n v="0"/>
    <n v="0"/>
    <s v="Below Avg"/>
    <n v="26.946107784431138"/>
    <s v="No"/>
    <s v="Low Risk"/>
  </r>
  <r>
    <n v="48"/>
    <x v="1"/>
    <s v="No"/>
    <s v="Non-Travel"/>
    <n v="1262"/>
    <x v="1"/>
    <n v="1"/>
    <n v="4"/>
    <s v="Medical"/>
    <n v="1"/>
    <n v="1116"/>
    <n v="1"/>
    <s v="Male"/>
    <n v="35"/>
    <n v="4"/>
    <x v="3"/>
    <s v="Manager"/>
    <n v="4"/>
    <s v="Single"/>
    <n v="16885"/>
    <n v="16154"/>
    <n v="2"/>
    <s v="Y"/>
    <s v="No"/>
    <s v="No"/>
    <n v="22"/>
    <n v="4"/>
    <n v="3"/>
    <n v="80"/>
    <n v="0"/>
    <n v="27"/>
    <s v="&gt;15"/>
    <n v="3"/>
    <n v="2"/>
    <n v="5"/>
    <n v="4"/>
    <n v="2"/>
    <n v="1"/>
    <s v="Ok"/>
    <n v="26.986506746626688"/>
    <s v="No"/>
    <s v="Low Risk"/>
  </r>
  <r>
    <n v="45"/>
    <x v="1"/>
    <s v="No"/>
    <s v="Non-Travel"/>
    <n v="1050"/>
    <x v="0"/>
    <n v="9"/>
    <n v="4"/>
    <s v="Life Sciences"/>
    <n v="1"/>
    <n v="1117"/>
    <n v="2"/>
    <s v="Female"/>
    <n v="65"/>
    <n v="2"/>
    <x v="0"/>
    <s v="Sales Executive"/>
    <n v="3"/>
    <s v="Married"/>
    <n v="5593"/>
    <n v="17970"/>
    <n v="1"/>
    <s v="Y"/>
    <s v="No"/>
    <s v="No"/>
    <n v="13"/>
    <n v="3"/>
    <n v="4"/>
    <n v="80"/>
    <n v="1"/>
    <n v="15"/>
    <s v="6-15"/>
    <n v="2"/>
    <n v="3"/>
    <n v="15"/>
    <n v="10"/>
    <n v="4"/>
    <n v="12"/>
    <s v="Below Avg"/>
    <n v="27.027027027027028"/>
    <s v="No"/>
    <s v="Low Risk"/>
  </r>
  <r>
    <n v="52"/>
    <x v="1"/>
    <s v="No"/>
    <s v="Travel_Rarely"/>
    <n v="994"/>
    <x v="1"/>
    <n v="7"/>
    <n v="4"/>
    <s v="Life Sciences"/>
    <n v="1"/>
    <n v="1118"/>
    <n v="2"/>
    <s v="Male"/>
    <n v="87"/>
    <n v="3"/>
    <x v="2"/>
    <s v="Healthcare Representative"/>
    <n v="2"/>
    <s v="Single"/>
    <n v="10445"/>
    <n v="15322"/>
    <n v="7"/>
    <s v="Y"/>
    <s v="No"/>
    <s v="No"/>
    <n v="19"/>
    <n v="3"/>
    <n v="4"/>
    <n v="80"/>
    <n v="0"/>
    <n v="18"/>
    <s v="&gt;15"/>
    <n v="4"/>
    <n v="3"/>
    <n v="8"/>
    <n v="6"/>
    <n v="4"/>
    <n v="0"/>
    <s v="Ok"/>
    <n v="27.06766917293233"/>
    <s v="No"/>
    <s v="Low Risk"/>
  </r>
  <r>
    <n v="38"/>
    <x v="1"/>
    <s v="No"/>
    <s v="Travel_Rarely"/>
    <n v="770"/>
    <x v="0"/>
    <n v="10"/>
    <n v="4"/>
    <s v="Marketing"/>
    <n v="1"/>
    <n v="1119"/>
    <n v="3"/>
    <s v="Male"/>
    <n v="73"/>
    <n v="2"/>
    <x v="2"/>
    <s v="Sales Executive"/>
    <n v="3"/>
    <s v="Divorced"/>
    <n v="8740"/>
    <n v="5569"/>
    <n v="0"/>
    <s v="Y"/>
    <s v="Yes"/>
    <s v="Yes"/>
    <n v="14"/>
    <n v="3"/>
    <n v="2"/>
    <n v="80"/>
    <n v="2"/>
    <n v="9"/>
    <s v="6-15"/>
    <n v="2"/>
    <n v="3"/>
    <n v="8"/>
    <n v="7"/>
    <n v="2"/>
    <n v="7"/>
    <s v="Ok"/>
    <n v="27.108433734939759"/>
    <s v="No"/>
    <s v="Low Risk"/>
  </r>
  <r>
    <n v="29"/>
    <x v="1"/>
    <s v="No"/>
    <s v="Travel_Rarely"/>
    <n v="1107"/>
    <x v="1"/>
    <n v="28"/>
    <n v="4"/>
    <s v="Life Sciences"/>
    <n v="1"/>
    <n v="1120"/>
    <n v="3"/>
    <s v="Female"/>
    <n v="93"/>
    <n v="3"/>
    <x v="1"/>
    <s v="Research Scientist"/>
    <n v="4"/>
    <s v="Divorced"/>
    <n v="2514"/>
    <n v="26968"/>
    <n v="4"/>
    <s v="Y"/>
    <s v="No"/>
    <s v="No"/>
    <n v="22"/>
    <n v="4"/>
    <n v="1"/>
    <n v="80"/>
    <n v="1"/>
    <n v="11"/>
    <s v="6-15"/>
    <n v="1"/>
    <n v="3"/>
    <n v="7"/>
    <n v="5"/>
    <n v="1"/>
    <n v="7"/>
    <s v="Below Avg"/>
    <n v="27.149321266968325"/>
    <s v="No"/>
    <s v="Low Risk"/>
  </r>
  <r>
    <n v="28"/>
    <x v="1"/>
    <s v="No"/>
    <s v="Travel_Rarely"/>
    <n v="950"/>
    <x v="1"/>
    <n v="3"/>
    <n v="3"/>
    <s v="Medical"/>
    <n v="1"/>
    <n v="1121"/>
    <n v="4"/>
    <s v="Female"/>
    <n v="93"/>
    <n v="3"/>
    <x v="2"/>
    <s v="Manufacturing Director"/>
    <n v="2"/>
    <s v="Divorced"/>
    <n v="7655"/>
    <n v="8039"/>
    <n v="0"/>
    <s v="Y"/>
    <s v="No"/>
    <s v="No"/>
    <n v="17"/>
    <n v="3"/>
    <n v="2"/>
    <n v="80"/>
    <n v="3"/>
    <n v="10"/>
    <s v="6-15"/>
    <n v="3"/>
    <n v="2"/>
    <n v="9"/>
    <n v="7"/>
    <n v="1"/>
    <n v="7"/>
    <s v="Ok"/>
    <n v="27.0392749244713"/>
    <s v="No"/>
    <s v="Low Risk"/>
  </r>
  <r>
    <n v="46"/>
    <x v="1"/>
    <s v="No"/>
    <s v="Travel_Rarely"/>
    <n v="406"/>
    <x v="0"/>
    <n v="3"/>
    <n v="1"/>
    <s v="Marketing"/>
    <n v="1"/>
    <n v="1124"/>
    <n v="1"/>
    <s v="Male"/>
    <n v="52"/>
    <n v="3"/>
    <x v="3"/>
    <s v="Manager"/>
    <n v="3"/>
    <s v="Married"/>
    <n v="17465"/>
    <n v="15596"/>
    <n v="3"/>
    <s v="Y"/>
    <s v="No"/>
    <s v="No"/>
    <n v="12"/>
    <n v="3"/>
    <n v="4"/>
    <n v="80"/>
    <n v="1"/>
    <n v="23"/>
    <s v="&gt;15"/>
    <n v="3"/>
    <n v="3"/>
    <n v="12"/>
    <n v="9"/>
    <n v="4"/>
    <n v="9"/>
    <s v="Ok"/>
    <n v="27.080181543116488"/>
    <s v="No"/>
    <s v="Low Risk"/>
  </r>
  <r>
    <n v="38"/>
    <x v="1"/>
    <s v="No"/>
    <s v="Travel_Rarely"/>
    <n v="130"/>
    <x v="0"/>
    <n v="2"/>
    <n v="2"/>
    <s v="Marketing"/>
    <n v="1"/>
    <n v="1125"/>
    <n v="4"/>
    <s v="Male"/>
    <n v="32"/>
    <n v="3"/>
    <x v="2"/>
    <s v="Sales Executive"/>
    <n v="2"/>
    <s v="Single"/>
    <n v="7351"/>
    <n v="20619"/>
    <n v="7"/>
    <s v="Y"/>
    <s v="No"/>
    <s v="No"/>
    <n v="16"/>
    <n v="3"/>
    <n v="3"/>
    <n v="80"/>
    <n v="0"/>
    <n v="10"/>
    <s v="6-15"/>
    <n v="2"/>
    <n v="3"/>
    <n v="1"/>
    <n v="0"/>
    <n v="0"/>
    <n v="0"/>
    <s v="Ok"/>
    <n v="27.121212121212125"/>
    <s v="No"/>
    <s v="Low Risk"/>
  </r>
  <r>
    <n v="43"/>
    <x v="1"/>
    <s v="No"/>
    <s v="Travel_Frequently"/>
    <n v="1082"/>
    <x v="1"/>
    <n v="27"/>
    <n v="3"/>
    <s v="Life Sciences"/>
    <n v="1"/>
    <n v="1126"/>
    <n v="3"/>
    <s v="Female"/>
    <n v="83"/>
    <n v="3"/>
    <x v="2"/>
    <s v="Manufacturing Director"/>
    <n v="1"/>
    <s v="Married"/>
    <n v="10820"/>
    <n v="11535"/>
    <n v="8"/>
    <s v="Y"/>
    <s v="No"/>
    <s v="No"/>
    <n v="11"/>
    <n v="3"/>
    <n v="3"/>
    <n v="80"/>
    <n v="1"/>
    <n v="18"/>
    <s v="&gt;15"/>
    <n v="1"/>
    <n v="3"/>
    <n v="8"/>
    <n v="7"/>
    <n v="0"/>
    <n v="1"/>
    <s v="Ok"/>
    <n v="27.16236722306525"/>
    <s v="No"/>
    <s v="Low Risk"/>
  </r>
  <r>
    <n v="39"/>
    <x v="0"/>
    <s v="Yes"/>
    <s v="Travel_Frequently"/>
    <n v="203"/>
    <x v="1"/>
    <n v="2"/>
    <n v="3"/>
    <s v="Life Sciences"/>
    <n v="1"/>
    <n v="1127"/>
    <n v="1"/>
    <s v="Male"/>
    <n v="84"/>
    <n v="3"/>
    <x v="3"/>
    <s v="Healthcare Representative"/>
    <n v="4"/>
    <s v="Divorced"/>
    <n v="12169"/>
    <n v="13547"/>
    <n v="7"/>
    <s v="Y"/>
    <s v="No"/>
    <s v="No"/>
    <n v="11"/>
    <n v="3"/>
    <n v="4"/>
    <n v="80"/>
    <n v="3"/>
    <n v="21"/>
    <s v="&gt;15"/>
    <n v="4"/>
    <n v="3"/>
    <n v="18"/>
    <n v="7"/>
    <n v="11"/>
    <n v="5"/>
    <s v="Ok"/>
    <n v="27.203647416413375"/>
    <s v="No"/>
    <s v="Low Risk"/>
  </r>
  <r>
    <n v="40"/>
    <x v="1"/>
    <s v="No"/>
    <s v="Travel_Rarely"/>
    <n v="1308"/>
    <x v="1"/>
    <n v="14"/>
    <n v="3"/>
    <s v="Medical"/>
    <n v="1"/>
    <n v="1128"/>
    <n v="3"/>
    <s v="Male"/>
    <n v="44"/>
    <n v="2"/>
    <x v="4"/>
    <s v="Research Director"/>
    <n v="3"/>
    <s v="Single"/>
    <n v="19626"/>
    <n v="17544"/>
    <n v="1"/>
    <s v="Y"/>
    <s v="No"/>
    <s v="No"/>
    <n v="14"/>
    <n v="3"/>
    <n v="1"/>
    <n v="80"/>
    <n v="0"/>
    <n v="21"/>
    <s v="&gt;15"/>
    <n v="2"/>
    <n v="4"/>
    <n v="20"/>
    <n v="7"/>
    <n v="4"/>
    <n v="9"/>
    <s v="Ok"/>
    <n v="27.24505327245053"/>
    <s v="No"/>
    <s v="Low Risk"/>
  </r>
  <r>
    <n v="21"/>
    <x v="1"/>
    <s v="No"/>
    <s v="Travel_Rarely"/>
    <n v="984"/>
    <x v="1"/>
    <n v="1"/>
    <n v="1"/>
    <s v="Technical Degree"/>
    <n v="1"/>
    <n v="1131"/>
    <n v="4"/>
    <s v="Female"/>
    <n v="70"/>
    <n v="2"/>
    <x v="1"/>
    <s v="Research Scientist"/>
    <n v="2"/>
    <s v="Single"/>
    <n v="2070"/>
    <n v="25326"/>
    <n v="1"/>
    <s v="Y"/>
    <s v="Yes"/>
    <s v="Yes"/>
    <n v="11"/>
    <n v="3"/>
    <n v="3"/>
    <n v="80"/>
    <n v="0"/>
    <n v="2"/>
    <s v="0-5"/>
    <n v="6"/>
    <n v="4"/>
    <n v="2"/>
    <n v="2"/>
    <n v="2"/>
    <n v="2"/>
    <s v="Below Avg"/>
    <n v="27.286585365853661"/>
    <s v="No"/>
    <s v="Low Risk"/>
  </r>
  <r>
    <n v="39"/>
    <x v="1"/>
    <s v="No"/>
    <s v="Non-Travel"/>
    <n v="439"/>
    <x v="1"/>
    <n v="9"/>
    <n v="3"/>
    <s v="Life Sciences"/>
    <n v="1"/>
    <n v="1132"/>
    <n v="3"/>
    <s v="Male"/>
    <n v="70"/>
    <n v="3"/>
    <x v="0"/>
    <s v="Laboratory Technician"/>
    <n v="2"/>
    <s v="Single"/>
    <n v="6782"/>
    <n v="8770"/>
    <n v="9"/>
    <s v="Y"/>
    <s v="No"/>
    <s v="No"/>
    <n v="15"/>
    <n v="3"/>
    <n v="3"/>
    <n v="80"/>
    <n v="0"/>
    <n v="9"/>
    <s v="6-15"/>
    <n v="2"/>
    <n v="2"/>
    <n v="5"/>
    <n v="4"/>
    <n v="0"/>
    <n v="3"/>
    <s v="Ok"/>
    <n v="27.328244274809162"/>
    <s v="No"/>
    <s v="Low Risk"/>
  </r>
  <r>
    <n v="36"/>
    <x v="1"/>
    <s v="No"/>
    <s v="Non-Travel"/>
    <n v="217"/>
    <x v="1"/>
    <n v="18"/>
    <n v="4"/>
    <s v="Life Sciences"/>
    <n v="1"/>
    <n v="1133"/>
    <n v="1"/>
    <s v="Male"/>
    <n v="78"/>
    <n v="3"/>
    <x v="0"/>
    <s v="Manufacturing Director"/>
    <n v="4"/>
    <s v="Single"/>
    <n v="7779"/>
    <n v="23238"/>
    <n v="2"/>
    <s v="Y"/>
    <s v="No"/>
    <s v="No"/>
    <n v="20"/>
    <n v="4"/>
    <n v="1"/>
    <n v="80"/>
    <n v="0"/>
    <n v="18"/>
    <s v="&gt;15"/>
    <n v="0"/>
    <n v="3"/>
    <n v="11"/>
    <n v="9"/>
    <n v="0"/>
    <n v="9"/>
    <s v="Ok"/>
    <n v="27.217125382262996"/>
    <s v="No"/>
    <s v="Low Risk"/>
  </r>
  <r>
    <n v="31"/>
    <x v="1"/>
    <s v="No"/>
    <s v="Travel_Frequently"/>
    <n v="793"/>
    <x v="0"/>
    <n v="20"/>
    <n v="3"/>
    <s v="Life Sciences"/>
    <n v="1"/>
    <n v="1135"/>
    <n v="3"/>
    <s v="Male"/>
    <n v="67"/>
    <n v="4"/>
    <x v="1"/>
    <s v="Sales Representative"/>
    <n v="4"/>
    <s v="Married"/>
    <n v="2791"/>
    <n v="21981"/>
    <n v="0"/>
    <s v="Y"/>
    <s v="No"/>
    <s v="No"/>
    <n v="12"/>
    <n v="3"/>
    <n v="1"/>
    <n v="80"/>
    <n v="1"/>
    <n v="3"/>
    <s v="0-5"/>
    <n v="4"/>
    <n v="3"/>
    <n v="2"/>
    <n v="2"/>
    <n v="2"/>
    <n v="2"/>
    <s v="Below Avg"/>
    <n v="27.258805513016842"/>
    <s v="No"/>
    <s v="Low Risk"/>
  </r>
  <r>
    <n v="28"/>
    <x v="1"/>
    <s v="No"/>
    <s v="Travel_Rarely"/>
    <n v="1451"/>
    <x v="1"/>
    <n v="2"/>
    <n v="1"/>
    <s v="Life Sciences"/>
    <n v="1"/>
    <n v="1136"/>
    <n v="1"/>
    <s v="Male"/>
    <n v="67"/>
    <n v="2"/>
    <x v="1"/>
    <s v="Research Scientist"/>
    <n v="2"/>
    <s v="Married"/>
    <n v="3201"/>
    <n v="19911"/>
    <n v="0"/>
    <s v="Y"/>
    <s v="No"/>
    <s v="No"/>
    <n v="17"/>
    <n v="3"/>
    <n v="1"/>
    <n v="80"/>
    <n v="0"/>
    <n v="6"/>
    <s v="6-15"/>
    <n v="2"/>
    <n v="1"/>
    <n v="5"/>
    <n v="3"/>
    <n v="0"/>
    <n v="4"/>
    <s v="Below Avg"/>
    <n v="27.300613496932513"/>
    <s v="No"/>
    <s v="Low Risk"/>
  </r>
  <r>
    <n v="35"/>
    <x v="1"/>
    <s v="No"/>
    <s v="Travel_Frequently"/>
    <n v="1182"/>
    <x v="0"/>
    <n v="11"/>
    <n v="2"/>
    <s v="Marketing"/>
    <n v="1"/>
    <n v="1137"/>
    <n v="4"/>
    <s v="Male"/>
    <n v="54"/>
    <n v="3"/>
    <x v="0"/>
    <s v="Sales Executive"/>
    <n v="4"/>
    <s v="Divorced"/>
    <n v="4968"/>
    <n v="18500"/>
    <n v="1"/>
    <s v="Y"/>
    <s v="No"/>
    <s v="No"/>
    <n v="11"/>
    <n v="3"/>
    <n v="4"/>
    <n v="80"/>
    <n v="1"/>
    <n v="5"/>
    <s v="0-5"/>
    <n v="3"/>
    <n v="3"/>
    <n v="5"/>
    <n v="2"/>
    <n v="0"/>
    <n v="2"/>
    <s v="Below Avg"/>
    <n v="27.342549923195087"/>
    <s v="No"/>
    <s v="Low Risk"/>
  </r>
  <r>
    <n v="49"/>
    <x v="1"/>
    <s v="No"/>
    <s v="Travel_Rarely"/>
    <n v="174"/>
    <x v="0"/>
    <n v="8"/>
    <n v="4"/>
    <s v="Technical Degree"/>
    <n v="1"/>
    <n v="1138"/>
    <n v="4"/>
    <s v="Male"/>
    <n v="56"/>
    <n v="2"/>
    <x v="3"/>
    <s v="Sales Executive"/>
    <n v="2"/>
    <s v="Married"/>
    <n v="13120"/>
    <n v="11879"/>
    <n v="6"/>
    <s v="Y"/>
    <s v="No"/>
    <s v="No"/>
    <n v="17"/>
    <n v="3"/>
    <n v="2"/>
    <n v="80"/>
    <n v="1"/>
    <n v="22"/>
    <s v="&gt;15"/>
    <n v="3"/>
    <n v="3"/>
    <n v="9"/>
    <n v="8"/>
    <n v="2"/>
    <n v="3"/>
    <s v="Ok"/>
    <n v="27.384615384615387"/>
    <s v="No"/>
    <s v="Low Risk"/>
  </r>
  <r>
    <n v="34"/>
    <x v="1"/>
    <s v="No"/>
    <s v="Travel_Frequently"/>
    <n v="1003"/>
    <x v="1"/>
    <n v="2"/>
    <n v="2"/>
    <s v="Life Sciences"/>
    <n v="1"/>
    <n v="1140"/>
    <n v="4"/>
    <s v="Male"/>
    <n v="95"/>
    <n v="3"/>
    <x v="0"/>
    <s v="Manufacturing Director"/>
    <n v="3"/>
    <s v="Single"/>
    <n v="4033"/>
    <n v="15834"/>
    <n v="2"/>
    <s v="Y"/>
    <s v="No"/>
    <s v="No"/>
    <n v="11"/>
    <n v="3"/>
    <n v="4"/>
    <n v="80"/>
    <n v="0"/>
    <n v="5"/>
    <s v="0-5"/>
    <n v="3"/>
    <n v="2"/>
    <n v="3"/>
    <n v="2"/>
    <n v="0"/>
    <n v="2"/>
    <s v="Below Avg"/>
    <n v="27.426810477657938"/>
    <s v="No"/>
    <s v="Low Risk"/>
  </r>
  <r>
    <n v="29"/>
    <x v="1"/>
    <s v="No"/>
    <s v="Travel_Frequently"/>
    <n v="490"/>
    <x v="1"/>
    <n v="10"/>
    <n v="3"/>
    <s v="Life Sciences"/>
    <n v="1"/>
    <n v="1143"/>
    <n v="4"/>
    <s v="Female"/>
    <n v="61"/>
    <n v="3"/>
    <x v="1"/>
    <s v="Research Scientist"/>
    <n v="2"/>
    <s v="Divorced"/>
    <n v="3291"/>
    <n v="17940"/>
    <n v="0"/>
    <s v="Y"/>
    <s v="No"/>
    <s v="No"/>
    <n v="14"/>
    <n v="3"/>
    <n v="4"/>
    <n v="80"/>
    <n v="2"/>
    <n v="8"/>
    <s v="6-15"/>
    <n v="2"/>
    <n v="2"/>
    <n v="7"/>
    <n v="5"/>
    <n v="1"/>
    <n v="1"/>
    <s v="Below Avg"/>
    <n v="27.469135802469136"/>
    <s v="No"/>
    <s v="Low Risk"/>
  </r>
  <r>
    <n v="42"/>
    <x v="1"/>
    <s v="No"/>
    <s v="Travel_Rarely"/>
    <n v="188"/>
    <x v="1"/>
    <n v="29"/>
    <n v="3"/>
    <s v="Medical"/>
    <n v="1"/>
    <n v="1148"/>
    <n v="2"/>
    <s v="Male"/>
    <n v="56"/>
    <n v="1"/>
    <x v="0"/>
    <s v="Laboratory Technician"/>
    <n v="4"/>
    <s v="Single"/>
    <n v="4272"/>
    <n v="9558"/>
    <n v="4"/>
    <s v="Y"/>
    <s v="No"/>
    <s v="No"/>
    <n v="19"/>
    <n v="3"/>
    <n v="1"/>
    <n v="80"/>
    <n v="0"/>
    <n v="16"/>
    <s v="&gt;15"/>
    <n v="3"/>
    <n v="3"/>
    <n v="1"/>
    <n v="0"/>
    <n v="0"/>
    <n v="0"/>
    <s v="Below Avg"/>
    <n v="27.511591962905719"/>
    <s v="No"/>
    <s v="Low Risk"/>
  </r>
  <r>
    <n v="29"/>
    <x v="1"/>
    <s v="No"/>
    <s v="Travel_Rarely"/>
    <n v="718"/>
    <x v="1"/>
    <n v="8"/>
    <n v="1"/>
    <s v="Medical"/>
    <n v="1"/>
    <n v="1150"/>
    <n v="2"/>
    <s v="Male"/>
    <n v="79"/>
    <n v="2"/>
    <x v="0"/>
    <s v="Manufacturing Director"/>
    <n v="4"/>
    <s v="Married"/>
    <n v="5056"/>
    <n v="17689"/>
    <n v="1"/>
    <s v="Y"/>
    <s v="Yes"/>
    <s v="Yes"/>
    <n v="15"/>
    <n v="3"/>
    <n v="3"/>
    <n v="80"/>
    <n v="1"/>
    <n v="10"/>
    <s v="6-15"/>
    <n v="2"/>
    <n v="2"/>
    <n v="10"/>
    <n v="7"/>
    <n v="1"/>
    <n v="2"/>
    <s v="Below Avg"/>
    <n v="27.554179566563469"/>
    <s v="No"/>
    <s v="Low Risk"/>
  </r>
  <r>
    <n v="38"/>
    <x v="1"/>
    <s v="No"/>
    <s v="Travel_Rarely"/>
    <n v="433"/>
    <x v="2"/>
    <n v="1"/>
    <n v="3"/>
    <s v="Human Resources"/>
    <n v="1"/>
    <n v="1152"/>
    <n v="3"/>
    <s v="Male"/>
    <n v="37"/>
    <n v="4"/>
    <x v="1"/>
    <s v="Human Resources"/>
    <n v="3"/>
    <s v="Married"/>
    <n v="2844"/>
    <n v="6004"/>
    <n v="1"/>
    <s v="Y"/>
    <s v="No"/>
    <s v="No"/>
    <n v="13"/>
    <n v="3"/>
    <n v="4"/>
    <n v="80"/>
    <n v="1"/>
    <n v="7"/>
    <s v="6-15"/>
    <n v="2"/>
    <n v="4"/>
    <n v="7"/>
    <n v="6"/>
    <n v="5"/>
    <n v="0"/>
    <s v="Below Avg"/>
    <n v="27.596899224806204"/>
    <s v="No"/>
    <s v="Low Risk"/>
  </r>
  <r>
    <n v="28"/>
    <x v="1"/>
    <s v="No"/>
    <s v="Travel_Frequently"/>
    <n v="773"/>
    <x v="1"/>
    <n v="6"/>
    <n v="3"/>
    <s v="Life Sciences"/>
    <n v="1"/>
    <n v="1154"/>
    <n v="3"/>
    <s v="Male"/>
    <n v="39"/>
    <n v="2"/>
    <x v="1"/>
    <s v="Research Scientist"/>
    <n v="3"/>
    <s v="Divorced"/>
    <n v="2703"/>
    <n v="22088"/>
    <n v="1"/>
    <s v="Y"/>
    <s v="Yes"/>
    <s v="Yes"/>
    <n v="14"/>
    <n v="3"/>
    <n v="4"/>
    <n v="80"/>
    <n v="1"/>
    <n v="3"/>
    <s v="0-5"/>
    <n v="2"/>
    <n v="3"/>
    <n v="3"/>
    <n v="1"/>
    <n v="0"/>
    <n v="2"/>
    <s v="Below Avg"/>
    <n v="27.48447204968944"/>
    <s v="No"/>
    <s v="Low Risk"/>
  </r>
  <r>
    <n v="18"/>
    <x v="0"/>
    <s v="Yes"/>
    <s v="Non-Travel"/>
    <n v="247"/>
    <x v="1"/>
    <n v="8"/>
    <n v="1"/>
    <s v="Medical"/>
    <n v="1"/>
    <n v="1156"/>
    <n v="3"/>
    <s v="Male"/>
    <n v="80"/>
    <n v="3"/>
    <x v="1"/>
    <s v="Laboratory Technician"/>
    <n v="3"/>
    <s v="Single"/>
    <n v="1904"/>
    <n v="13556"/>
    <n v="1"/>
    <s v="Y"/>
    <s v="No"/>
    <s v="No"/>
    <n v="12"/>
    <n v="3"/>
    <n v="4"/>
    <n v="80"/>
    <n v="0"/>
    <n v="0"/>
    <s v="0-5"/>
    <n v="0"/>
    <n v="3"/>
    <n v="0"/>
    <n v="0"/>
    <n v="0"/>
    <n v="0"/>
    <s v="Below Avg"/>
    <n v="27.527216174183515"/>
    <s v="No"/>
    <s v="High Risk"/>
  </r>
  <r>
    <n v="33"/>
    <x v="0"/>
    <s v="Yes"/>
    <s v="Travel_Rarely"/>
    <n v="603"/>
    <x v="0"/>
    <n v="9"/>
    <n v="4"/>
    <s v="Marketing"/>
    <n v="1"/>
    <n v="1157"/>
    <n v="1"/>
    <s v="Female"/>
    <n v="77"/>
    <n v="3"/>
    <x v="0"/>
    <s v="Sales Executive"/>
    <n v="1"/>
    <s v="Single"/>
    <n v="8224"/>
    <n v="18385"/>
    <n v="0"/>
    <s v="Y"/>
    <s v="Yes"/>
    <s v="Yes"/>
    <n v="17"/>
    <n v="3"/>
    <n v="1"/>
    <n v="80"/>
    <n v="0"/>
    <n v="6"/>
    <s v="6-15"/>
    <n v="3"/>
    <n v="3"/>
    <n v="5"/>
    <n v="2"/>
    <n v="0"/>
    <n v="3"/>
    <s v="Ok"/>
    <n v="27.414330218068532"/>
    <s v="No"/>
    <s v="Low Risk"/>
  </r>
  <r>
    <n v="41"/>
    <x v="1"/>
    <s v="No"/>
    <s v="Travel_Rarely"/>
    <n v="167"/>
    <x v="1"/>
    <n v="12"/>
    <n v="4"/>
    <s v="Life Sciences"/>
    <n v="1"/>
    <n v="1158"/>
    <n v="2"/>
    <s v="Male"/>
    <n v="46"/>
    <n v="3"/>
    <x v="1"/>
    <s v="Laboratory Technician"/>
    <n v="4"/>
    <s v="Married"/>
    <n v="4766"/>
    <n v="9051"/>
    <n v="3"/>
    <s v="Y"/>
    <s v="Yes"/>
    <s v="Yes"/>
    <n v="11"/>
    <n v="3"/>
    <n v="1"/>
    <n v="80"/>
    <n v="1"/>
    <n v="6"/>
    <s v="6-15"/>
    <n v="4"/>
    <n v="3"/>
    <n v="1"/>
    <n v="0"/>
    <n v="0"/>
    <n v="0"/>
    <s v="Below Avg"/>
    <n v="27.457098283931359"/>
    <s v="No"/>
    <s v="Low Risk"/>
  </r>
  <r>
    <n v="31"/>
    <x v="0"/>
    <s v="Yes"/>
    <s v="Travel_Frequently"/>
    <n v="874"/>
    <x v="1"/>
    <n v="15"/>
    <n v="3"/>
    <s v="Medical"/>
    <n v="1"/>
    <n v="1160"/>
    <n v="3"/>
    <s v="Male"/>
    <n v="72"/>
    <n v="3"/>
    <x v="1"/>
    <s v="Laboratory Technician"/>
    <n v="3"/>
    <s v="Married"/>
    <n v="2610"/>
    <n v="6233"/>
    <n v="1"/>
    <s v="Y"/>
    <s v="No"/>
    <s v="No"/>
    <n v="12"/>
    <n v="3"/>
    <n v="3"/>
    <n v="80"/>
    <n v="1"/>
    <n v="2"/>
    <s v="0-5"/>
    <n v="5"/>
    <n v="2"/>
    <n v="2"/>
    <n v="2"/>
    <n v="2"/>
    <n v="2"/>
    <s v="Below Avg"/>
    <n v="27.34375"/>
    <s v="No"/>
    <s v="Low Risk"/>
  </r>
  <r>
    <n v="37"/>
    <x v="1"/>
    <s v="No"/>
    <s v="Travel_Rarely"/>
    <n v="367"/>
    <x v="1"/>
    <n v="25"/>
    <n v="2"/>
    <s v="Medical"/>
    <n v="1"/>
    <n v="1161"/>
    <n v="3"/>
    <s v="Female"/>
    <n v="52"/>
    <n v="2"/>
    <x v="0"/>
    <s v="Healthcare Representative"/>
    <n v="4"/>
    <s v="Divorced"/>
    <n v="5731"/>
    <n v="17171"/>
    <n v="7"/>
    <s v="Y"/>
    <s v="No"/>
    <s v="No"/>
    <n v="13"/>
    <n v="3"/>
    <n v="3"/>
    <n v="80"/>
    <n v="2"/>
    <n v="9"/>
    <s v="6-15"/>
    <n v="2"/>
    <n v="3"/>
    <n v="6"/>
    <n v="2"/>
    <n v="1"/>
    <n v="3"/>
    <s v="Below Avg"/>
    <n v="27.230046948356808"/>
    <s v="No"/>
    <s v="Low Risk"/>
  </r>
  <r>
    <n v="27"/>
    <x v="1"/>
    <s v="No"/>
    <s v="Travel_Rarely"/>
    <n v="199"/>
    <x v="1"/>
    <n v="6"/>
    <n v="3"/>
    <s v="Life Sciences"/>
    <n v="1"/>
    <n v="1162"/>
    <n v="4"/>
    <s v="Male"/>
    <n v="55"/>
    <n v="2"/>
    <x v="1"/>
    <s v="Research Scientist"/>
    <n v="3"/>
    <s v="Married"/>
    <n v="2539"/>
    <n v="7950"/>
    <n v="1"/>
    <s v="Y"/>
    <s v="No"/>
    <s v="No"/>
    <n v="13"/>
    <n v="3"/>
    <n v="3"/>
    <n v="80"/>
    <n v="1"/>
    <n v="4"/>
    <s v="0-5"/>
    <n v="0"/>
    <n v="3"/>
    <n v="4"/>
    <n v="2"/>
    <n v="2"/>
    <n v="2"/>
    <s v="Below Avg"/>
    <n v="27.27272727272727"/>
    <s v="No"/>
    <s v="Low Risk"/>
  </r>
  <r>
    <n v="34"/>
    <x v="1"/>
    <s v="No"/>
    <s v="Travel_Rarely"/>
    <n v="1400"/>
    <x v="0"/>
    <n v="9"/>
    <n v="1"/>
    <s v="Life Sciences"/>
    <n v="1"/>
    <n v="1163"/>
    <n v="2"/>
    <s v="Female"/>
    <n v="70"/>
    <n v="3"/>
    <x v="0"/>
    <s v="Sales Executive"/>
    <n v="3"/>
    <s v="Married"/>
    <n v="5714"/>
    <n v="5829"/>
    <n v="1"/>
    <s v="Y"/>
    <s v="No"/>
    <s v="No"/>
    <n v="20"/>
    <n v="4"/>
    <n v="1"/>
    <n v="80"/>
    <n v="0"/>
    <n v="6"/>
    <s v="6-15"/>
    <n v="3"/>
    <n v="2"/>
    <n v="6"/>
    <n v="5"/>
    <n v="1"/>
    <n v="3"/>
    <s v="Below Avg"/>
    <n v="27.315541601255887"/>
    <s v="No"/>
    <s v="Low Risk"/>
  </r>
  <r>
    <n v="35"/>
    <x v="1"/>
    <s v="No"/>
    <s v="Travel_Rarely"/>
    <n v="528"/>
    <x v="2"/>
    <n v="8"/>
    <n v="4"/>
    <s v="Technical Degree"/>
    <n v="1"/>
    <n v="1164"/>
    <n v="3"/>
    <s v="Male"/>
    <n v="100"/>
    <n v="3"/>
    <x v="1"/>
    <s v="Human Resources"/>
    <n v="3"/>
    <s v="Single"/>
    <n v="4323"/>
    <n v="7108"/>
    <n v="1"/>
    <s v="Y"/>
    <s v="No"/>
    <s v="No"/>
    <n v="17"/>
    <n v="3"/>
    <n v="2"/>
    <n v="80"/>
    <n v="0"/>
    <n v="6"/>
    <s v="6-15"/>
    <n v="2"/>
    <n v="1"/>
    <n v="5"/>
    <n v="4"/>
    <n v="1"/>
    <n v="4"/>
    <s v="Below Avg"/>
    <n v="27.358490566037734"/>
    <s v="No"/>
    <s v="Low Risk"/>
  </r>
  <r>
    <n v="29"/>
    <x v="0"/>
    <s v="Yes"/>
    <s v="Travel_Rarely"/>
    <n v="408"/>
    <x v="0"/>
    <n v="23"/>
    <n v="1"/>
    <s v="Life Sciences"/>
    <n v="1"/>
    <n v="1165"/>
    <n v="4"/>
    <s v="Female"/>
    <n v="45"/>
    <n v="2"/>
    <x v="2"/>
    <s v="Sales Executive"/>
    <n v="1"/>
    <s v="Married"/>
    <n v="7336"/>
    <n v="11162"/>
    <n v="1"/>
    <s v="Y"/>
    <s v="No"/>
    <s v="No"/>
    <n v="13"/>
    <n v="3"/>
    <n v="1"/>
    <n v="80"/>
    <n v="1"/>
    <n v="11"/>
    <s v="6-15"/>
    <n v="3"/>
    <n v="1"/>
    <n v="11"/>
    <n v="8"/>
    <n v="3"/>
    <n v="10"/>
    <s v="Ok"/>
    <n v="27.401574803149607"/>
    <s v="No"/>
    <s v="Low Risk"/>
  </r>
  <r>
    <n v="40"/>
    <x v="1"/>
    <s v="No"/>
    <s v="Travel_Frequently"/>
    <n v="593"/>
    <x v="1"/>
    <n v="9"/>
    <n v="4"/>
    <s v="Medical"/>
    <n v="1"/>
    <n v="1166"/>
    <n v="2"/>
    <s v="Female"/>
    <n v="88"/>
    <n v="3"/>
    <x v="2"/>
    <s v="Research Director"/>
    <n v="3"/>
    <s v="Single"/>
    <n v="13499"/>
    <n v="13782"/>
    <n v="9"/>
    <s v="Y"/>
    <s v="No"/>
    <s v="No"/>
    <n v="17"/>
    <n v="3"/>
    <n v="3"/>
    <n v="80"/>
    <n v="0"/>
    <n v="20"/>
    <s v="&gt;15"/>
    <n v="3"/>
    <n v="2"/>
    <n v="18"/>
    <n v="7"/>
    <n v="2"/>
    <n v="13"/>
    <s v="Ok"/>
    <n v="27.444794952681388"/>
    <s v="No"/>
    <s v="Low Risk"/>
  </r>
  <r>
    <n v="42"/>
    <x v="0"/>
    <s v="Yes"/>
    <s v="Travel_Frequently"/>
    <n v="481"/>
    <x v="0"/>
    <n v="12"/>
    <n v="3"/>
    <s v="Life Sciences"/>
    <n v="1"/>
    <n v="1167"/>
    <n v="3"/>
    <s v="Male"/>
    <n v="44"/>
    <n v="3"/>
    <x v="3"/>
    <s v="Sales Executive"/>
    <n v="1"/>
    <s v="Single"/>
    <n v="13758"/>
    <n v="2447"/>
    <n v="0"/>
    <s v="Y"/>
    <s v="Yes"/>
    <s v="Yes"/>
    <n v="12"/>
    <n v="3"/>
    <n v="2"/>
    <n v="80"/>
    <n v="0"/>
    <n v="22"/>
    <s v="&gt;15"/>
    <n v="2"/>
    <n v="2"/>
    <n v="21"/>
    <n v="9"/>
    <n v="13"/>
    <n v="14"/>
    <s v="Ok"/>
    <n v="27.488151658767773"/>
    <s v="No"/>
    <s v="Low Risk"/>
  </r>
  <r>
    <n v="42"/>
    <x v="1"/>
    <s v="No"/>
    <s v="Travel_Rarely"/>
    <n v="647"/>
    <x v="0"/>
    <n v="4"/>
    <n v="4"/>
    <s v="Marketing"/>
    <n v="1"/>
    <n v="1171"/>
    <n v="2"/>
    <s v="Male"/>
    <n v="45"/>
    <n v="3"/>
    <x v="0"/>
    <s v="Sales Executive"/>
    <n v="1"/>
    <s v="Single"/>
    <n v="5155"/>
    <n v="2253"/>
    <n v="7"/>
    <s v="Y"/>
    <s v="No"/>
    <s v="No"/>
    <n v="13"/>
    <n v="3"/>
    <n v="4"/>
    <n v="80"/>
    <n v="0"/>
    <n v="9"/>
    <s v="6-15"/>
    <n v="3"/>
    <n v="4"/>
    <n v="6"/>
    <n v="4"/>
    <n v="1"/>
    <n v="5"/>
    <s v="Below Avg"/>
    <n v="27.531645569620256"/>
    <s v="No"/>
    <s v="Low Risk"/>
  </r>
  <r>
    <n v="35"/>
    <x v="1"/>
    <s v="No"/>
    <s v="Travel_Rarely"/>
    <n v="982"/>
    <x v="1"/>
    <n v="1"/>
    <n v="4"/>
    <s v="Medical"/>
    <n v="1"/>
    <n v="1172"/>
    <n v="4"/>
    <s v="Male"/>
    <n v="58"/>
    <n v="2"/>
    <x v="1"/>
    <s v="Laboratory Technician"/>
    <n v="3"/>
    <s v="Married"/>
    <n v="2258"/>
    <n v="16340"/>
    <n v="6"/>
    <s v="Y"/>
    <s v="No"/>
    <s v="No"/>
    <n v="12"/>
    <n v="3"/>
    <n v="2"/>
    <n v="80"/>
    <n v="1"/>
    <n v="10"/>
    <s v="6-15"/>
    <n v="2"/>
    <n v="3"/>
    <n v="8"/>
    <n v="0"/>
    <n v="1"/>
    <n v="7"/>
    <s v="Below Avg"/>
    <n v="27.416798732171156"/>
    <s v="No"/>
    <s v="Low Risk"/>
  </r>
  <r>
    <n v="24"/>
    <x v="1"/>
    <s v="No"/>
    <s v="Travel_Rarely"/>
    <n v="477"/>
    <x v="1"/>
    <n v="24"/>
    <n v="3"/>
    <s v="Medical"/>
    <n v="1"/>
    <n v="1173"/>
    <n v="4"/>
    <s v="Male"/>
    <n v="49"/>
    <n v="3"/>
    <x v="1"/>
    <s v="Laboratory Technician"/>
    <n v="2"/>
    <s v="Single"/>
    <n v="3597"/>
    <n v="6409"/>
    <n v="8"/>
    <s v="Y"/>
    <s v="No"/>
    <s v="No"/>
    <n v="22"/>
    <n v="4"/>
    <n v="4"/>
    <n v="80"/>
    <n v="0"/>
    <n v="6"/>
    <s v="6-15"/>
    <n v="2"/>
    <n v="3"/>
    <n v="4"/>
    <n v="3"/>
    <n v="1"/>
    <n v="2"/>
    <s v="Below Avg"/>
    <n v="27.460317460317462"/>
    <s v="No"/>
    <s v="Low Risk"/>
  </r>
  <r>
    <n v="28"/>
    <x v="0"/>
    <s v="Yes"/>
    <s v="Travel_Rarely"/>
    <n v="1485"/>
    <x v="1"/>
    <n v="12"/>
    <n v="1"/>
    <s v="Life Sciences"/>
    <n v="1"/>
    <n v="1175"/>
    <n v="3"/>
    <s v="Female"/>
    <n v="79"/>
    <n v="3"/>
    <x v="1"/>
    <s v="Laboratory Technician"/>
    <n v="4"/>
    <s v="Married"/>
    <n v="2515"/>
    <n v="22955"/>
    <n v="1"/>
    <s v="Y"/>
    <s v="Yes"/>
    <s v="Yes"/>
    <n v="11"/>
    <n v="3"/>
    <n v="4"/>
    <n v="80"/>
    <n v="0"/>
    <n v="1"/>
    <s v="0-5"/>
    <n v="4"/>
    <n v="2"/>
    <n v="1"/>
    <n v="1"/>
    <n v="0"/>
    <n v="0"/>
    <s v="Below Avg"/>
    <n v="27.503974562798096"/>
    <s v="No"/>
    <s v="High Risk"/>
  </r>
  <r>
    <n v="26"/>
    <x v="1"/>
    <s v="No"/>
    <s v="Travel_Rarely"/>
    <n v="1384"/>
    <x v="1"/>
    <n v="3"/>
    <n v="4"/>
    <s v="Medical"/>
    <n v="1"/>
    <n v="1177"/>
    <n v="1"/>
    <s v="Male"/>
    <n v="82"/>
    <n v="4"/>
    <x v="1"/>
    <s v="Laboratory Technician"/>
    <n v="4"/>
    <s v="Married"/>
    <n v="4420"/>
    <n v="13421"/>
    <n v="1"/>
    <s v="Y"/>
    <s v="No"/>
    <s v="No"/>
    <n v="22"/>
    <n v="4"/>
    <n v="2"/>
    <n v="80"/>
    <n v="1"/>
    <n v="8"/>
    <s v="6-15"/>
    <n v="2"/>
    <n v="3"/>
    <n v="8"/>
    <n v="7"/>
    <n v="0"/>
    <n v="7"/>
    <s v="Below Avg"/>
    <n v="27.547770700636942"/>
    <s v="No"/>
    <s v="Low Risk"/>
  </r>
  <r>
    <n v="30"/>
    <x v="1"/>
    <s v="No"/>
    <s v="Travel_Rarely"/>
    <n v="852"/>
    <x v="0"/>
    <n v="10"/>
    <n v="3"/>
    <s v="Marketing"/>
    <n v="1"/>
    <n v="1179"/>
    <n v="3"/>
    <s v="Male"/>
    <n v="72"/>
    <n v="2"/>
    <x v="0"/>
    <s v="Sales Executive"/>
    <n v="3"/>
    <s v="Married"/>
    <n v="6578"/>
    <n v="2706"/>
    <n v="1"/>
    <s v="Y"/>
    <s v="No"/>
    <s v="No"/>
    <n v="18"/>
    <n v="3"/>
    <n v="1"/>
    <n v="80"/>
    <n v="1"/>
    <n v="10"/>
    <s v="6-15"/>
    <n v="3"/>
    <n v="3"/>
    <n v="10"/>
    <n v="3"/>
    <n v="1"/>
    <n v="4"/>
    <s v="Below Avg"/>
    <n v="27.432216905901118"/>
    <s v="No"/>
    <s v="Low Risk"/>
  </r>
  <r>
    <n v="40"/>
    <x v="1"/>
    <s v="No"/>
    <s v="Travel_Frequently"/>
    <n v="902"/>
    <x v="1"/>
    <n v="26"/>
    <n v="2"/>
    <s v="Medical"/>
    <n v="1"/>
    <n v="1180"/>
    <n v="3"/>
    <s v="Female"/>
    <n v="92"/>
    <n v="2"/>
    <x v="0"/>
    <s v="Research Scientist"/>
    <n v="4"/>
    <s v="Married"/>
    <n v="4422"/>
    <n v="21203"/>
    <n v="3"/>
    <s v="Y"/>
    <s v="Yes"/>
    <s v="Yes"/>
    <n v="13"/>
    <n v="3"/>
    <n v="4"/>
    <n v="80"/>
    <n v="1"/>
    <n v="16"/>
    <s v="&gt;15"/>
    <n v="3"/>
    <n v="1"/>
    <n v="1"/>
    <n v="1"/>
    <n v="0"/>
    <n v="0"/>
    <s v="Below Avg"/>
    <n v="27.476038338658149"/>
    <s v="No"/>
    <s v="Low Risk"/>
  </r>
  <r>
    <n v="35"/>
    <x v="1"/>
    <s v="No"/>
    <s v="Travel_Rarely"/>
    <n v="819"/>
    <x v="1"/>
    <n v="2"/>
    <n v="3"/>
    <s v="Life Sciences"/>
    <n v="1"/>
    <n v="1182"/>
    <n v="3"/>
    <s v="Male"/>
    <n v="44"/>
    <n v="2"/>
    <x v="2"/>
    <s v="Manufacturing Director"/>
    <n v="2"/>
    <s v="Divorced"/>
    <n v="10274"/>
    <n v="19588"/>
    <n v="2"/>
    <s v="Y"/>
    <s v="No"/>
    <s v="No"/>
    <n v="18"/>
    <n v="3"/>
    <n v="2"/>
    <n v="80"/>
    <n v="1"/>
    <n v="15"/>
    <s v="6-15"/>
    <n v="2"/>
    <n v="4"/>
    <n v="7"/>
    <n v="7"/>
    <n v="6"/>
    <n v="4"/>
    <s v="Ok"/>
    <n v="27.52"/>
    <s v="No"/>
    <s v="Low Risk"/>
  </r>
  <r>
    <n v="34"/>
    <x v="1"/>
    <s v="No"/>
    <s v="Travel_Frequently"/>
    <n v="669"/>
    <x v="1"/>
    <n v="1"/>
    <n v="3"/>
    <s v="Medical"/>
    <n v="1"/>
    <n v="1184"/>
    <n v="4"/>
    <s v="Male"/>
    <n v="97"/>
    <n v="2"/>
    <x v="0"/>
    <s v="Healthcare Representative"/>
    <n v="1"/>
    <s v="Single"/>
    <n v="5343"/>
    <n v="25755"/>
    <n v="0"/>
    <s v="Y"/>
    <s v="No"/>
    <s v="No"/>
    <n v="20"/>
    <n v="4"/>
    <n v="3"/>
    <n v="80"/>
    <n v="0"/>
    <n v="14"/>
    <s v="6-15"/>
    <n v="3"/>
    <n v="3"/>
    <n v="13"/>
    <n v="9"/>
    <n v="4"/>
    <n v="9"/>
    <s v="Below Avg"/>
    <n v="27.403846153846157"/>
    <s v="No"/>
    <s v="Low Risk"/>
  </r>
  <r>
    <n v="35"/>
    <x v="1"/>
    <s v="No"/>
    <s v="Travel_Frequently"/>
    <n v="636"/>
    <x v="1"/>
    <n v="4"/>
    <n v="4"/>
    <s v="Other"/>
    <n v="1"/>
    <n v="1185"/>
    <n v="4"/>
    <s v="Male"/>
    <n v="47"/>
    <n v="2"/>
    <x v="1"/>
    <s v="Laboratory Technician"/>
    <n v="4"/>
    <s v="Married"/>
    <n v="2376"/>
    <n v="26537"/>
    <n v="1"/>
    <s v="Y"/>
    <s v="No"/>
    <s v="No"/>
    <n v="13"/>
    <n v="3"/>
    <n v="2"/>
    <n v="80"/>
    <n v="1"/>
    <n v="2"/>
    <s v="0-5"/>
    <n v="2"/>
    <n v="4"/>
    <n v="2"/>
    <n v="2"/>
    <n v="2"/>
    <n v="2"/>
    <s v="Below Avg"/>
    <n v="27.447833065810595"/>
    <s v="No"/>
    <s v="Low Risk"/>
  </r>
  <r>
    <n v="43"/>
    <x v="0"/>
    <s v="Yes"/>
    <s v="Travel_Rarely"/>
    <n v="1372"/>
    <x v="0"/>
    <n v="9"/>
    <n v="3"/>
    <s v="Marketing"/>
    <n v="1"/>
    <n v="1188"/>
    <n v="1"/>
    <s v="Female"/>
    <n v="85"/>
    <n v="1"/>
    <x v="0"/>
    <s v="Sales Executive"/>
    <n v="3"/>
    <s v="Single"/>
    <n v="5346"/>
    <n v="9489"/>
    <n v="8"/>
    <s v="Y"/>
    <s v="No"/>
    <s v="No"/>
    <n v="13"/>
    <n v="3"/>
    <n v="2"/>
    <n v="80"/>
    <n v="0"/>
    <n v="7"/>
    <s v="6-15"/>
    <n v="2"/>
    <n v="2"/>
    <n v="4"/>
    <n v="3"/>
    <n v="1"/>
    <n v="3"/>
    <s v="Below Avg"/>
    <n v="27.491961414790993"/>
    <s v="No"/>
    <s v="Low Risk"/>
  </r>
  <r>
    <n v="32"/>
    <x v="1"/>
    <s v="No"/>
    <s v="Non-Travel"/>
    <n v="862"/>
    <x v="0"/>
    <n v="2"/>
    <n v="1"/>
    <s v="Life Sciences"/>
    <n v="1"/>
    <n v="1190"/>
    <n v="3"/>
    <s v="Female"/>
    <n v="76"/>
    <n v="3"/>
    <x v="1"/>
    <s v="Sales Representative"/>
    <n v="1"/>
    <s v="Divorced"/>
    <n v="2827"/>
    <n v="14947"/>
    <n v="1"/>
    <s v="Y"/>
    <s v="No"/>
    <s v="No"/>
    <n v="12"/>
    <n v="3"/>
    <n v="3"/>
    <n v="80"/>
    <n v="3"/>
    <n v="1"/>
    <s v="0-5"/>
    <n v="3"/>
    <n v="3"/>
    <n v="1"/>
    <n v="0"/>
    <n v="0"/>
    <n v="0"/>
    <s v="Below Avg"/>
    <n v="27.536231884057973"/>
    <s v="No"/>
    <s v="Low Risk"/>
  </r>
  <r>
    <n v="56"/>
    <x v="1"/>
    <s v="No"/>
    <s v="Travel_Rarely"/>
    <n v="718"/>
    <x v="1"/>
    <n v="4"/>
    <n v="4"/>
    <s v="Technical Degree"/>
    <n v="1"/>
    <n v="1191"/>
    <n v="4"/>
    <s v="Female"/>
    <n v="92"/>
    <n v="3"/>
    <x v="4"/>
    <s v="Manager"/>
    <n v="1"/>
    <s v="Divorced"/>
    <n v="19943"/>
    <n v="18575"/>
    <n v="4"/>
    <s v="Y"/>
    <s v="No"/>
    <s v="No"/>
    <n v="13"/>
    <n v="3"/>
    <n v="4"/>
    <n v="80"/>
    <n v="1"/>
    <n v="28"/>
    <s v="&gt;15"/>
    <n v="2"/>
    <n v="3"/>
    <n v="5"/>
    <n v="2"/>
    <n v="4"/>
    <n v="2"/>
    <s v="Ok"/>
    <n v="27.580645161290324"/>
    <s v="No"/>
    <s v="Low Risk"/>
  </r>
  <r>
    <n v="29"/>
    <x v="1"/>
    <s v="No"/>
    <s v="Travel_Rarely"/>
    <n v="1401"/>
    <x v="1"/>
    <n v="6"/>
    <n v="1"/>
    <s v="Medical"/>
    <n v="1"/>
    <n v="1192"/>
    <n v="2"/>
    <s v="Female"/>
    <n v="54"/>
    <n v="3"/>
    <x v="1"/>
    <s v="Laboratory Technician"/>
    <n v="4"/>
    <s v="Married"/>
    <n v="3131"/>
    <n v="26342"/>
    <n v="1"/>
    <s v="Y"/>
    <s v="No"/>
    <s v="No"/>
    <n v="13"/>
    <n v="3"/>
    <n v="1"/>
    <n v="80"/>
    <n v="1"/>
    <n v="10"/>
    <s v="6-15"/>
    <n v="5"/>
    <n v="3"/>
    <n v="10"/>
    <n v="8"/>
    <n v="0"/>
    <n v="8"/>
    <s v="Below Avg"/>
    <n v="27.625201938610662"/>
    <s v="No"/>
    <s v="Low Risk"/>
  </r>
  <r>
    <n v="19"/>
    <x v="1"/>
    <s v="No"/>
    <s v="Travel_Rarely"/>
    <n v="645"/>
    <x v="1"/>
    <n v="9"/>
    <n v="2"/>
    <s v="Life Sciences"/>
    <n v="1"/>
    <n v="1193"/>
    <n v="3"/>
    <s v="Male"/>
    <n v="54"/>
    <n v="3"/>
    <x v="1"/>
    <s v="Research Scientist"/>
    <n v="1"/>
    <s v="Single"/>
    <n v="2552"/>
    <n v="7172"/>
    <n v="1"/>
    <s v="Y"/>
    <s v="No"/>
    <s v="No"/>
    <n v="25"/>
    <n v="4"/>
    <n v="3"/>
    <n v="80"/>
    <n v="0"/>
    <n v="1"/>
    <s v="0-5"/>
    <n v="4"/>
    <n v="3"/>
    <n v="1"/>
    <n v="1"/>
    <n v="0"/>
    <n v="0"/>
    <s v="Below Avg"/>
    <n v="27.669902912621357"/>
    <s v="No"/>
    <s v="Low Risk"/>
  </r>
  <r>
    <n v="45"/>
    <x v="1"/>
    <s v="No"/>
    <s v="Travel_Rarely"/>
    <n v="1457"/>
    <x v="1"/>
    <n v="7"/>
    <n v="3"/>
    <s v="Medical"/>
    <n v="1"/>
    <n v="1195"/>
    <n v="1"/>
    <s v="Female"/>
    <n v="83"/>
    <n v="3"/>
    <x v="1"/>
    <s v="Research Scientist"/>
    <n v="3"/>
    <s v="Married"/>
    <n v="4477"/>
    <n v="20100"/>
    <n v="4"/>
    <s v="Y"/>
    <s v="Yes"/>
    <s v="Yes"/>
    <n v="19"/>
    <n v="3"/>
    <n v="3"/>
    <n v="80"/>
    <n v="1"/>
    <n v="7"/>
    <s v="6-15"/>
    <n v="2"/>
    <n v="2"/>
    <n v="3"/>
    <n v="2"/>
    <n v="0"/>
    <n v="2"/>
    <s v="Below Avg"/>
    <n v="27.71474878444084"/>
    <s v="No"/>
    <s v="Low Risk"/>
  </r>
  <r>
    <n v="37"/>
    <x v="1"/>
    <s v="No"/>
    <s v="Travel_Rarely"/>
    <n v="977"/>
    <x v="1"/>
    <n v="1"/>
    <n v="3"/>
    <s v="Life Sciences"/>
    <n v="1"/>
    <n v="1196"/>
    <n v="4"/>
    <s v="Female"/>
    <n v="56"/>
    <n v="2"/>
    <x v="0"/>
    <s v="Manufacturing Director"/>
    <n v="4"/>
    <s v="Married"/>
    <n v="6474"/>
    <n v="9961"/>
    <n v="1"/>
    <s v="Y"/>
    <s v="No"/>
    <s v="No"/>
    <n v="13"/>
    <n v="3"/>
    <n v="2"/>
    <n v="80"/>
    <n v="1"/>
    <n v="14"/>
    <s v="6-15"/>
    <n v="2"/>
    <n v="2"/>
    <n v="14"/>
    <n v="8"/>
    <n v="3"/>
    <n v="11"/>
    <s v="Ok"/>
    <n v="27.759740259740262"/>
    <s v="No"/>
    <s v="Low Risk"/>
  </r>
  <r>
    <n v="20"/>
    <x v="1"/>
    <s v="No"/>
    <s v="Travel_Rarely"/>
    <n v="805"/>
    <x v="1"/>
    <n v="3"/>
    <n v="3"/>
    <s v="Life Sciences"/>
    <n v="1"/>
    <n v="1198"/>
    <n v="1"/>
    <s v="Male"/>
    <n v="87"/>
    <n v="2"/>
    <x v="1"/>
    <s v="Laboratory Technician"/>
    <n v="3"/>
    <s v="Single"/>
    <n v="3033"/>
    <n v="12828"/>
    <n v="1"/>
    <s v="Y"/>
    <s v="No"/>
    <s v="No"/>
    <n v="12"/>
    <n v="3"/>
    <n v="1"/>
    <n v="80"/>
    <n v="0"/>
    <n v="2"/>
    <s v="0-5"/>
    <n v="2"/>
    <n v="2"/>
    <n v="2"/>
    <n v="2"/>
    <n v="1"/>
    <n v="2"/>
    <s v="Below Avg"/>
    <n v="27.64227642276423"/>
    <s v="No"/>
    <s v="Low Risk"/>
  </r>
  <r>
    <n v="44"/>
    <x v="0"/>
    <s v="Yes"/>
    <s v="Travel_Rarely"/>
    <n v="1097"/>
    <x v="1"/>
    <n v="10"/>
    <n v="4"/>
    <s v="Life Sciences"/>
    <n v="1"/>
    <n v="1200"/>
    <n v="3"/>
    <s v="Male"/>
    <n v="96"/>
    <n v="3"/>
    <x v="1"/>
    <s v="Research Scientist"/>
    <n v="3"/>
    <s v="Single"/>
    <n v="2936"/>
    <n v="10826"/>
    <n v="1"/>
    <s v="Y"/>
    <s v="Yes"/>
    <s v="Yes"/>
    <n v="11"/>
    <n v="3"/>
    <n v="3"/>
    <n v="80"/>
    <n v="0"/>
    <n v="6"/>
    <s v="6-15"/>
    <n v="4"/>
    <n v="3"/>
    <n v="6"/>
    <n v="4"/>
    <n v="0"/>
    <n v="2"/>
    <s v="Below Avg"/>
    <n v="27.687296416938111"/>
    <s v="No"/>
    <s v="Low Risk"/>
  </r>
  <r>
    <n v="53"/>
    <x v="1"/>
    <s v="No"/>
    <s v="Travel_Rarely"/>
    <n v="1223"/>
    <x v="1"/>
    <n v="7"/>
    <n v="2"/>
    <s v="Medical"/>
    <n v="1"/>
    <n v="1201"/>
    <n v="4"/>
    <s v="Female"/>
    <n v="50"/>
    <n v="3"/>
    <x v="4"/>
    <s v="Manager"/>
    <n v="3"/>
    <s v="Divorced"/>
    <n v="18606"/>
    <n v="18640"/>
    <n v="3"/>
    <s v="Y"/>
    <s v="No"/>
    <s v="No"/>
    <n v="18"/>
    <n v="3"/>
    <n v="2"/>
    <n v="80"/>
    <n v="1"/>
    <n v="26"/>
    <s v="&gt;15"/>
    <n v="6"/>
    <n v="3"/>
    <n v="7"/>
    <n v="7"/>
    <n v="4"/>
    <n v="7"/>
    <s v="Ok"/>
    <n v="27.732463295269167"/>
    <s v="No"/>
    <s v="Low Risk"/>
  </r>
  <r>
    <n v="29"/>
    <x v="1"/>
    <s v="No"/>
    <s v="Travel_Rarely"/>
    <n v="942"/>
    <x v="1"/>
    <n v="15"/>
    <n v="1"/>
    <s v="Life Sciences"/>
    <n v="1"/>
    <n v="1202"/>
    <n v="2"/>
    <s v="Female"/>
    <n v="69"/>
    <n v="1"/>
    <x v="1"/>
    <s v="Research Scientist"/>
    <n v="4"/>
    <s v="Married"/>
    <n v="2168"/>
    <n v="26933"/>
    <n v="0"/>
    <s v="Y"/>
    <s v="Yes"/>
    <s v="Yes"/>
    <n v="18"/>
    <n v="3"/>
    <n v="1"/>
    <n v="80"/>
    <n v="1"/>
    <n v="6"/>
    <s v="6-15"/>
    <n v="2"/>
    <n v="2"/>
    <n v="5"/>
    <n v="4"/>
    <n v="1"/>
    <n v="3"/>
    <s v="Below Avg"/>
    <n v="27.614379084967322"/>
    <s v="No"/>
    <s v="Low Risk"/>
  </r>
  <r>
    <n v="22"/>
    <x v="0"/>
    <s v="Yes"/>
    <s v="Travel_Frequently"/>
    <n v="1256"/>
    <x v="1"/>
    <n v="3"/>
    <n v="4"/>
    <s v="Life Sciences"/>
    <n v="1"/>
    <n v="1203"/>
    <n v="3"/>
    <s v="Male"/>
    <n v="48"/>
    <n v="2"/>
    <x v="1"/>
    <s v="Research Scientist"/>
    <n v="4"/>
    <s v="Married"/>
    <n v="2853"/>
    <n v="4223"/>
    <n v="0"/>
    <s v="Y"/>
    <s v="Yes"/>
    <s v="Yes"/>
    <n v="11"/>
    <n v="3"/>
    <n v="2"/>
    <n v="80"/>
    <n v="1"/>
    <n v="1"/>
    <s v="0-5"/>
    <n v="5"/>
    <n v="3"/>
    <n v="0"/>
    <n v="0"/>
    <n v="0"/>
    <n v="0"/>
    <s v="Below Avg"/>
    <n v="27.659574468085108"/>
    <s v="No"/>
    <s v="High Risk"/>
  </r>
  <r>
    <n v="46"/>
    <x v="1"/>
    <s v="No"/>
    <s v="Travel_Rarely"/>
    <n v="1402"/>
    <x v="0"/>
    <n v="2"/>
    <n v="3"/>
    <s v="Marketing"/>
    <n v="1"/>
    <n v="1204"/>
    <n v="3"/>
    <s v="Female"/>
    <n v="69"/>
    <n v="3"/>
    <x v="3"/>
    <s v="Manager"/>
    <n v="1"/>
    <s v="Married"/>
    <n v="17048"/>
    <n v="24097"/>
    <n v="8"/>
    <s v="Y"/>
    <s v="No"/>
    <s v="No"/>
    <n v="23"/>
    <n v="4"/>
    <n v="1"/>
    <n v="80"/>
    <n v="0"/>
    <n v="28"/>
    <s v="&gt;15"/>
    <n v="2"/>
    <n v="3"/>
    <n v="26"/>
    <n v="15"/>
    <n v="15"/>
    <n v="9"/>
    <s v="Ok"/>
    <n v="27.540983606557379"/>
    <s v="No"/>
    <s v="Low Risk"/>
  </r>
  <r>
    <n v="44"/>
    <x v="1"/>
    <s v="No"/>
    <s v="Non-Travel"/>
    <n v="111"/>
    <x v="1"/>
    <n v="17"/>
    <n v="3"/>
    <s v="Life Sciences"/>
    <n v="1"/>
    <n v="1206"/>
    <n v="4"/>
    <s v="Male"/>
    <n v="74"/>
    <n v="1"/>
    <x v="1"/>
    <s v="Research Scientist"/>
    <n v="3"/>
    <s v="Single"/>
    <n v="2290"/>
    <n v="4279"/>
    <n v="2"/>
    <s v="Y"/>
    <s v="No"/>
    <s v="No"/>
    <n v="13"/>
    <n v="3"/>
    <n v="4"/>
    <n v="80"/>
    <n v="0"/>
    <n v="6"/>
    <s v="6-15"/>
    <n v="3"/>
    <n v="3"/>
    <n v="0"/>
    <n v="0"/>
    <n v="0"/>
    <n v="0"/>
    <s v="Below Avg"/>
    <n v="27.42200328407225"/>
    <s v="No"/>
    <s v="Low Risk"/>
  </r>
  <r>
    <n v="33"/>
    <x v="1"/>
    <s v="No"/>
    <s v="Travel_Rarely"/>
    <n v="147"/>
    <x v="2"/>
    <n v="2"/>
    <n v="3"/>
    <s v="Human Resources"/>
    <n v="1"/>
    <n v="1207"/>
    <n v="2"/>
    <s v="Male"/>
    <n v="99"/>
    <n v="3"/>
    <x v="1"/>
    <s v="Human Resources"/>
    <n v="3"/>
    <s v="Married"/>
    <n v="3600"/>
    <n v="8429"/>
    <n v="1"/>
    <s v="Y"/>
    <s v="No"/>
    <s v="No"/>
    <n v="13"/>
    <n v="3"/>
    <n v="4"/>
    <n v="80"/>
    <n v="1"/>
    <n v="5"/>
    <s v="0-5"/>
    <n v="2"/>
    <n v="3"/>
    <n v="5"/>
    <n v="4"/>
    <n v="1"/>
    <n v="4"/>
    <s v="Below Avg"/>
    <n v="27.467105263157894"/>
    <s v="No"/>
    <s v="Low Risk"/>
  </r>
  <r>
    <n v="41"/>
    <x v="0"/>
    <s v="Yes"/>
    <s v="Non-Travel"/>
    <n v="906"/>
    <x v="1"/>
    <n v="5"/>
    <n v="2"/>
    <s v="Life Sciences"/>
    <n v="1"/>
    <n v="1210"/>
    <n v="1"/>
    <s v="Male"/>
    <n v="95"/>
    <n v="2"/>
    <x v="1"/>
    <s v="Research Scientist"/>
    <n v="1"/>
    <s v="Divorced"/>
    <n v="2107"/>
    <n v="20293"/>
    <n v="6"/>
    <s v="Y"/>
    <s v="No"/>
    <s v="No"/>
    <n v="17"/>
    <n v="3"/>
    <n v="1"/>
    <n v="80"/>
    <n v="1"/>
    <n v="5"/>
    <s v="0-5"/>
    <n v="2"/>
    <n v="1"/>
    <n v="1"/>
    <n v="0"/>
    <n v="0"/>
    <n v="0"/>
    <s v="Below Avg"/>
    <n v="27.512355848434929"/>
    <s v="No"/>
    <s v="High Risk"/>
  </r>
  <r>
    <n v="30"/>
    <x v="1"/>
    <s v="No"/>
    <s v="Travel_Rarely"/>
    <n v="1329"/>
    <x v="0"/>
    <n v="29"/>
    <n v="4"/>
    <s v="Life Sciences"/>
    <n v="1"/>
    <n v="1211"/>
    <n v="3"/>
    <s v="Male"/>
    <n v="61"/>
    <n v="3"/>
    <x v="0"/>
    <s v="Sales Executive"/>
    <n v="1"/>
    <s v="Divorced"/>
    <n v="4115"/>
    <n v="13192"/>
    <n v="8"/>
    <s v="Y"/>
    <s v="No"/>
    <s v="No"/>
    <n v="19"/>
    <n v="3"/>
    <n v="3"/>
    <n v="80"/>
    <n v="3"/>
    <n v="8"/>
    <s v="6-15"/>
    <n v="3"/>
    <n v="3"/>
    <n v="4"/>
    <n v="3"/>
    <n v="0"/>
    <n v="3"/>
    <s v="Below Avg"/>
    <n v="27.557755775577558"/>
    <s v="No"/>
    <s v="Low Risk"/>
  </r>
  <r>
    <n v="40"/>
    <x v="1"/>
    <s v="No"/>
    <s v="Travel_Frequently"/>
    <n v="1184"/>
    <x v="0"/>
    <n v="2"/>
    <n v="4"/>
    <s v="Medical"/>
    <n v="1"/>
    <n v="1212"/>
    <n v="2"/>
    <s v="Male"/>
    <n v="62"/>
    <n v="3"/>
    <x v="0"/>
    <s v="Sales Executive"/>
    <n v="2"/>
    <s v="Married"/>
    <n v="4327"/>
    <n v="25440"/>
    <n v="5"/>
    <s v="Y"/>
    <s v="No"/>
    <s v="No"/>
    <n v="12"/>
    <n v="3"/>
    <n v="4"/>
    <n v="80"/>
    <n v="3"/>
    <n v="5"/>
    <s v="0-5"/>
    <n v="2"/>
    <n v="3"/>
    <n v="0"/>
    <n v="0"/>
    <n v="0"/>
    <n v="0"/>
    <s v="Below Avg"/>
    <n v="27.603305785123965"/>
    <s v="No"/>
    <s v="Low Risk"/>
  </r>
  <r>
    <n v="50"/>
    <x v="1"/>
    <s v="No"/>
    <s v="Travel_Frequently"/>
    <n v="1421"/>
    <x v="1"/>
    <n v="2"/>
    <n v="3"/>
    <s v="Medical"/>
    <n v="1"/>
    <n v="1215"/>
    <n v="4"/>
    <s v="Female"/>
    <n v="30"/>
    <n v="3"/>
    <x v="3"/>
    <s v="Manager"/>
    <n v="1"/>
    <s v="Married"/>
    <n v="17856"/>
    <n v="9490"/>
    <n v="2"/>
    <s v="Y"/>
    <s v="No"/>
    <s v="No"/>
    <n v="22"/>
    <n v="4"/>
    <n v="3"/>
    <n v="80"/>
    <n v="1"/>
    <n v="32"/>
    <s v="&gt;15"/>
    <n v="3"/>
    <n v="3"/>
    <n v="2"/>
    <n v="2"/>
    <n v="2"/>
    <n v="2"/>
    <s v="Ok"/>
    <n v="27.649006622516559"/>
    <s v="No"/>
    <s v="Low Risk"/>
  </r>
  <r>
    <n v="28"/>
    <x v="1"/>
    <s v="No"/>
    <s v="Travel_Rarely"/>
    <n v="1179"/>
    <x v="1"/>
    <n v="19"/>
    <n v="4"/>
    <s v="Medical"/>
    <n v="1"/>
    <n v="1216"/>
    <n v="4"/>
    <s v="Male"/>
    <n v="78"/>
    <n v="2"/>
    <x v="1"/>
    <s v="Laboratory Technician"/>
    <n v="1"/>
    <s v="Married"/>
    <n v="3196"/>
    <n v="12449"/>
    <n v="1"/>
    <s v="Y"/>
    <s v="No"/>
    <s v="No"/>
    <n v="12"/>
    <n v="3"/>
    <n v="3"/>
    <n v="80"/>
    <n v="3"/>
    <n v="6"/>
    <s v="6-15"/>
    <n v="2"/>
    <n v="3"/>
    <n v="6"/>
    <n v="5"/>
    <n v="3"/>
    <n v="3"/>
    <s v="Below Avg"/>
    <n v="27.694859038142621"/>
    <s v="No"/>
    <s v="Low Risk"/>
  </r>
  <r>
    <n v="46"/>
    <x v="1"/>
    <s v="No"/>
    <s v="Travel_Rarely"/>
    <n v="1450"/>
    <x v="1"/>
    <n v="15"/>
    <n v="2"/>
    <s v="Life Sciences"/>
    <n v="1"/>
    <n v="1217"/>
    <n v="4"/>
    <s v="Male"/>
    <n v="52"/>
    <n v="3"/>
    <x v="4"/>
    <s v="Research Director"/>
    <n v="2"/>
    <s v="Married"/>
    <n v="19081"/>
    <n v="10849"/>
    <n v="5"/>
    <s v="Y"/>
    <s v="No"/>
    <s v="No"/>
    <n v="11"/>
    <n v="3"/>
    <n v="1"/>
    <n v="80"/>
    <n v="1"/>
    <n v="25"/>
    <s v="&gt;15"/>
    <n v="2"/>
    <n v="3"/>
    <n v="4"/>
    <n v="2"/>
    <n v="0"/>
    <n v="3"/>
    <s v="Ok"/>
    <n v="27.740863787375414"/>
    <s v="No"/>
    <s v="Low Risk"/>
  </r>
  <r>
    <n v="35"/>
    <x v="1"/>
    <s v="No"/>
    <s v="Travel_Rarely"/>
    <n v="1361"/>
    <x v="0"/>
    <n v="17"/>
    <n v="4"/>
    <s v="Life Sciences"/>
    <n v="1"/>
    <n v="1218"/>
    <n v="3"/>
    <s v="Male"/>
    <n v="94"/>
    <n v="3"/>
    <x v="0"/>
    <s v="Sales Executive"/>
    <n v="1"/>
    <s v="Married"/>
    <n v="8966"/>
    <n v="21026"/>
    <n v="3"/>
    <s v="Y"/>
    <s v="Yes"/>
    <s v="Yes"/>
    <n v="15"/>
    <n v="3"/>
    <n v="4"/>
    <n v="80"/>
    <n v="3"/>
    <n v="15"/>
    <s v="6-15"/>
    <n v="2"/>
    <n v="3"/>
    <n v="7"/>
    <n v="7"/>
    <n v="1"/>
    <n v="7"/>
    <s v="Ok"/>
    <n v="27.787021630615637"/>
    <s v="No"/>
    <s v="Low Risk"/>
  </r>
  <r>
    <n v="24"/>
    <x v="0"/>
    <s v="Yes"/>
    <s v="Travel_Rarely"/>
    <n v="984"/>
    <x v="1"/>
    <n v="17"/>
    <n v="2"/>
    <s v="Life Sciences"/>
    <n v="1"/>
    <n v="1219"/>
    <n v="4"/>
    <s v="Female"/>
    <n v="97"/>
    <n v="3"/>
    <x v="1"/>
    <s v="Laboratory Technician"/>
    <n v="2"/>
    <s v="Married"/>
    <n v="2210"/>
    <n v="3372"/>
    <n v="1"/>
    <s v="Y"/>
    <s v="No"/>
    <s v="No"/>
    <n v="13"/>
    <n v="3"/>
    <n v="1"/>
    <n v="80"/>
    <n v="1"/>
    <n v="1"/>
    <s v="0-5"/>
    <n v="3"/>
    <n v="1"/>
    <n v="1"/>
    <n v="0"/>
    <n v="0"/>
    <n v="0"/>
    <s v="Below Avg"/>
    <n v="27.833333333333332"/>
    <s v="No"/>
    <s v="High Risk"/>
  </r>
  <r>
    <n v="33"/>
    <x v="1"/>
    <s v="No"/>
    <s v="Travel_Frequently"/>
    <n v="1146"/>
    <x v="0"/>
    <n v="25"/>
    <n v="3"/>
    <s v="Medical"/>
    <n v="1"/>
    <n v="1220"/>
    <n v="2"/>
    <s v="Female"/>
    <n v="82"/>
    <n v="3"/>
    <x v="0"/>
    <s v="Sales Executive"/>
    <n v="3"/>
    <s v="Married"/>
    <n v="4539"/>
    <n v="4905"/>
    <n v="1"/>
    <s v="Y"/>
    <s v="No"/>
    <s v="No"/>
    <n v="12"/>
    <n v="3"/>
    <n v="1"/>
    <n v="80"/>
    <n v="1"/>
    <n v="10"/>
    <s v="6-15"/>
    <n v="3"/>
    <n v="2"/>
    <n v="10"/>
    <n v="7"/>
    <n v="0"/>
    <n v="1"/>
    <s v="Below Avg"/>
    <n v="27.712854757929883"/>
    <s v="No"/>
    <s v="Low Risk"/>
  </r>
  <r>
    <n v="36"/>
    <x v="1"/>
    <s v="No"/>
    <s v="Travel_Rarely"/>
    <n v="917"/>
    <x v="1"/>
    <n v="6"/>
    <n v="4"/>
    <s v="Life Sciences"/>
    <n v="1"/>
    <n v="1221"/>
    <n v="3"/>
    <s v="Male"/>
    <n v="60"/>
    <n v="1"/>
    <x v="1"/>
    <s v="Laboratory Technician"/>
    <n v="3"/>
    <s v="Divorced"/>
    <n v="2741"/>
    <n v="6865"/>
    <n v="1"/>
    <s v="Y"/>
    <s v="No"/>
    <s v="No"/>
    <n v="14"/>
    <n v="3"/>
    <n v="3"/>
    <n v="80"/>
    <n v="1"/>
    <n v="7"/>
    <s v="6-15"/>
    <n v="4"/>
    <n v="3"/>
    <n v="7"/>
    <n v="7"/>
    <n v="1"/>
    <n v="7"/>
    <s v="Below Avg"/>
    <n v="27.759197324414714"/>
    <s v="No"/>
    <s v="Low Risk"/>
  </r>
  <r>
    <n v="30"/>
    <x v="1"/>
    <s v="No"/>
    <s v="Travel_Rarely"/>
    <n v="853"/>
    <x v="1"/>
    <n v="7"/>
    <n v="4"/>
    <s v="Life Sciences"/>
    <n v="1"/>
    <n v="1224"/>
    <n v="3"/>
    <s v="Male"/>
    <n v="49"/>
    <n v="3"/>
    <x v="0"/>
    <s v="Laboratory Technician"/>
    <n v="3"/>
    <s v="Divorced"/>
    <n v="3491"/>
    <n v="11309"/>
    <n v="1"/>
    <s v="Y"/>
    <s v="No"/>
    <s v="No"/>
    <n v="13"/>
    <n v="3"/>
    <n v="1"/>
    <n v="80"/>
    <n v="3"/>
    <n v="10"/>
    <s v="6-15"/>
    <n v="4"/>
    <n v="2"/>
    <n v="10"/>
    <n v="7"/>
    <n v="8"/>
    <n v="9"/>
    <s v="Below Avg"/>
    <n v="27.805695142378561"/>
    <s v="No"/>
    <s v="Low Risk"/>
  </r>
  <r>
    <n v="44"/>
    <x v="1"/>
    <s v="No"/>
    <s v="Travel_Rarely"/>
    <n v="200"/>
    <x v="1"/>
    <n v="29"/>
    <n v="4"/>
    <s v="Other"/>
    <n v="1"/>
    <n v="1225"/>
    <n v="4"/>
    <s v="Male"/>
    <n v="32"/>
    <n v="3"/>
    <x v="0"/>
    <s v="Research Scientist"/>
    <n v="4"/>
    <s v="Single"/>
    <n v="4541"/>
    <n v="7744"/>
    <n v="1"/>
    <s v="Y"/>
    <s v="No"/>
    <s v="No"/>
    <n v="25"/>
    <n v="4"/>
    <n v="2"/>
    <n v="80"/>
    <n v="0"/>
    <n v="20"/>
    <s v="&gt;15"/>
    <n v="3"/>
    <n v="3"/>
    <n v="20"/>
    <n v="11"/>
    <n v="13"/>
    <n v="17"/>
    <s v="Below Avg"/>
    <n v="27.85234899328859"/>
    <s v="No"/>
    <s v="Low Risk"/>
  </r>
  <r>
    <n v="20"/>
    <x v="1"/>
    <s v="No"/>
    <s v="Travel_Rarely"/>
    <n v="654"/>
    <x v="0"/>
    <n v="21"/>
    <n v="3"/>
    <s v="Marketing"/>
    <n v="1"/>
    <n v="1226"/>
    <n v="3"/>
    <s v="Male"/>
    <n v="43"/>
    <n v="4"/>
    <x v="1"/>
    <s v="Sales Representative"/>
    <n v="4"/>
    <s v="Single"/>
    <n v="2678"/>
    <n v="5050"/>
    <n v="1"/>
    <s v="Y"/>
    <s v="No"/>
    <s v="No"/>
    <n v="17"/>
    <n v="3"/>
    <n v="4"/>
    <n v="80"/>
    <n v="0"/>
    <n v="2"/>
    <s v="0-5"/>
    <n v="2"/>
    <n v="3"/>
    <n v="2"/>
    <n v="1"/>
    <n v="2"/>
    <n v="2"/>
    <s v="Below Avg"/>
    <n v="27.899159663865547"/>
    <s v="No"/>
    <s v="Low Risk"/>
  </r>
  <r>
    <n v="46"/>
    <x v="1"/>
    <s v="No"/>
    <s v="Travel_Rarely"/>
    <n v="150"/>
    <x v="1"/>
    <n v="2"/>
    <n v="4"/>
    <s v="Technical Degree"/>
    <n v="1"/>
    <n v="1228"/>
    <n v="4"/>
    <s v="Male"/>
    <n v="60"/>
    <n v="3"/>
    <x v="0"/>
    <s v="Manufacturing Director"/>
    <n v="4"/>
    <s v="Divorced"/>
    <n v="7379"/>
    <n v="17433"/>
    <n v="2"/>
    <s v="Y"/>
    <s v="No"/>
    <s v="No"/>
    <n v="11"/>
    <n v="3"/>
    <n v="3"/>
    <n v="80"/>
    <n v="1"/>
    <n v="12"/>
    <s v="6-15"/>
    <n v="3"/>
    <n v="2"/>
    <n v="6"/>
    <n v="3"/>
    <n v="1"/>
    <n v="4"/>
    <s v="Ok"/>
    <n v="27.946127946127948"/>
    <s v="No"/>
    <s v="Low Risk"/>
  </r>
  <r>
    <n v="42"/>
    <x v="1"/>
    <s v="No"/>
    <s v="Non-Travel"/>
    <n v="179"/>
    <x v="2"/>
    <n v="2"/>
    <n v="5"/>
    <s v="Medical"/>
    <n v="1"/>
    <n v="1231"/>
    <n v="4"/>
    <s v="Male"/>
    <n v="79"/>
    <n v="4"/>
    <x v="0"/>
    <s v="Human Resources"/>
    <n v="1"/>
    <s v="Married"/>
    <n v="6272"/>
    <n v="12858"/>
    <n v="7"/>
    <s v="Y"/>
    <s v="No"/>
    <s v="No"/>
    <n v="16"/>
    <n v="3"/>
    <n v="1"/>
    <n v="80"/>
    <n v="1"/>
    <n v="10"/>
    <s v="6-15"/>
    <n v="3"/>
    <n v="4"/>
    <n v="4"/>
    <n v="3"/>
    <n v="0"/>
    <n v="3"/>
    <s v="Below Avg"/>
    <n v="27.99325463743676"/>
    <s v="No"/>
    <s v="Low Risk"/>
  </r>
  <r>
    <n v="60"/>
    <x v="1"/>
    <s v="No"/>
    <s v="Travel_Rarely"/>
    <n v="696"/>
    <x v="0"/>
    <n v="7"/>
    <n v="4"/>
    <s v="Marketing"/>
    <n v="1"/>
    <n v="1233"/>
    <n v="2"/>
    <s v="Male"/>
    <n v="52"/>
    <n v="4"/>
    <x v="0"/>
    <s v="Sales Executive"/>
    <n v="4"/>
    <s v="Divorced"/>
    <n v="5220"/>
    <n v="10893"/>
    <n v="0"/>
    <s v="Y"/>
    <s v="Yes"/>
    <s v="Yes"/>
    <n v="18"/>
    <n v="3"/>
    <n v="2"/>
    <n v="80"/>
    <n v="1"/>
    <n v="12"/>
    <s v="6-15"/>
    <n v="3"/>
    <n v="3"/>
    <n v="11"/>
    <n v="7"/>
    <n v="1"/>
    <n v="9"/>
    <s v="Below Avg"/>
    <n v="28.040540540540544"/>
    <s v="No"/>
    <s v="Low Risk"/>
  </r>
  <r>
    <n v="32"/>
    <x v="1"/>
    <s v="No"/>
    <s v="Travel_Frequently"/>
    <n v="116"/>
    <x v="1"/>
    <n v="13"/>
    <n v="3"/>
    <s v="Other"/>
    <n v="1"/>
    <n v="1234"/>
    <n v="3"/>
    <s v="Female"/>
    <n v="77"/>
    <n v="2"/>
    <x v="1"/>
    <s v="Laboratory Technician"/>
    <n v="2"/>
    <s v="Married"/>
    <n v="2743"/>
    <n v="7331"/>
    <n v="1"/>
    <s v="Y"/>
    <s v="No"/>
    <s v="No"/>
    <n v="20"/>
    <n v="4"/>
    <n v="3"/>
    <n v="80"/>
    <n v="1"/>
    <n v="2"/>
    <s v="0-5"/>
    <n v="2"/>
    <n v="3"/>
    <n v="2"/>
    <n v="2"/>
    <n v="2"/>
    <n v="2"/>
    <s v="Below Avg"/>
    <n v="28.087986463620979"/>
    <s v="No"/>
    <s v="Low Risk"/>
  </r>
  <r>
    <n v="32"/>
    <x v="1"/>
    <s v="No"/>
    <s v="Travel_Frequently"/>
    <n v="1316"/>
    <x v="1"/>
    <n v="2"/>
    <n v="2"/>
    <s v="Life Sciences"/>
    <n v="1"/>
    <n v="1235"/>
    <n v="4"/>
    <s v="Female"/>
    <n v="38"/>
    <n v="3"/>
    <x v="0"/>
    <s v="Research Scientist"/>
    <n v="3"/>
    <s v="Single"/>
    <n v="4998"/>
    <n v="2338"/>
    <n v="4"/>
    <s v="Y"/>
    <s v="Yes"/>
    <s v="Yes"/>
    <n v="14"/>
    <n v="3"/>
    <n v="4"/>
    <n v="80"/>
    <n v="0"/>
    <n v="10"/>
    <s v="6-15"/>
    <n v="2"/>
    <n v="3"/>
    <n v="8"/>
    <n v="7"/>
    <n v="0"/>
    <n v="7"/>
    <s v="Below Avg"/>
    <n v="27.966101694915253"/>
    <s v="No"/>
    <s v="Low Risk"/>
  </r>
  <r>
    <n v="36"/>
    <x v="1"/>
    <s v="No"/>
    <s v="Travel_Rarely"/>
    <n v="363"/>
    <x v="1"/>
    <n v="1"/>
    <n v="3"/>
    <s v="Technical Degree"/>
    <n v="1"/>
    <n v="1237"/>
    <n v="3"/>
    <s v="Female"/>
    <n v="77"/>
    <n v="1"/>
    <x v="2"/>
    <s v="Manufacturing Director"/>
    <n v="1"/>
    <s v="Divorced"/>
    <n v="10252"/>
    <n v="4235"/>
    <n v="2"/>
    <s v="Y"/>
    <s v="Yes"/>
    <s v="Yes"/>
    <n v="21"/>
    <n v="4"/>
    <n v="3"/>
    <n v="80"/>
    <n v="1"/>
    <n v="17"/>
    <s v="&gt;15"/>
    <n v="2"/>
    <n v="3"/>
    <n v="7"/>
    <n v="7"/>
    <n v="7"/>
    <n v="7"/>
    <s v="Ok"/>
    <n v="28.013582342954159"/>
    <s v="No"/>
    <s v="Low Risk"/>
  </r>
  <r>
    <n v="33"/>
    <x v="1"/>
    <s v="No"/>
    <s v="Travel_Rarely"/>
    <n v="117"/>
    <x v="1"/>
    <n v="9"/>
    <n v="3"/>
    <s v="Medical"/>
    <n v="1"/>
    <n v="1238"/>
    <n v="1"/>
    <s v="Male"/>
    <n v="60"/>
    <n v="3"/>
    <x v="1"/>
    <s v="Research Scientist"/>
    <n v="4"/>
    <s v="Married"/>
    <n v="2781"/>
    <n v="6311"/>
    <n v="0"/>
    <s v="Y"/>
    <s v="No"/>
    <s v="No"/>
    <n v="13"/>
    <n v="3"/>
    <n v="2"/>
    <n v="80"/>
    <n v="1"/>
    <n v="15"/>
    <s v="6-15"/>
    <n v="5"/>
    <n v="3"/>
    <n v="14"/>
    <n v="10"/>
    <n v="4"/>
    <n v="10"/>
    <s v="Below Avg"/>
    <n v="27.89115646258503"/>
    <s v="No"/>
    <s v="Low Risk"/>
  </r>
  <r>
    <n v="40"/>
    <x v="1"/>
    <s v="No"/>
    <s v="Travel_Rarely"/>
    <n v="107"/>
    <x v="0"/>
    <n v="10"/>
    <n v="3"/>
    <s v="Technical Degree"/>
    <n v="1"/>
    <n v="1239"/>
    <n v="2"/>
    <s v="Female"/>
    <n v="84"/>
    <n v="2"/>
    <x v="0"/>
    <s v="Sales Executive"/>
    <n v="2"/>
    <s v="Divorced"/>
    <n v="6852"/>
    <n v="11591"/>
    <n v="7"/>
    <s v="Y"/>
    <s v="No"/>
    <s v="No"/>
    <n v="12"/>
    <n v="3"/>
    <n v="2"/>
    <n v="80"/>
    <n v="1"/>
    <n v="7"/>
    <s v="6-15"/>
    <n v="2"/>
    <n v="4"/>
    <n v="5"/>
    <n v="1"/>
    <n v="1"/>
    <n v="3"/>
    <s v="Below Avg"/>
    <n v="27.768313458262352"/>
    <s v="No"/>
    <s v="Low Risk"/>
  </r>
  <r>
    <n v="25"/>
    <x v="1"/>
    <s v="No"/>
    <s v="Travel_Rarely"/>
    <n v="1356"/>
    <x v="0"/>
    <n v="10"/>
    <n v="4"/>
    <s v="Life Sciences"/>
    <n v="1"/>
    <n v="1240"/>
    <n v="3"/>
    <s v="Male"/>
    <n v="57"/>
    <n v="3"/>
    <x v="0"/>
    <s v="Sales Executive"/>
    <n v="4"/>
    <s v="Single"/>
    <n v="4950"/>
    <n v="20623"/>
    <n v="0"/>
    <s v="Y"/>
    <s v="No"/>
    <s v="No"/>
    <n v="14"/>
    <n v="3"/>
    <n v="2"/>
    <n v="80"/>
    <n v="0"/>
    <n v="5"/>
    <s v="0-5"/>
    <n v="4"/>
    <n v="3"/>
    <n v="4"/>
    <n v="3"/>
    <n v="1"/>
    <n v="1"/>
    <s v="Below Avg"/>
    <n v="27.815699658703068"/>
    <s v="No"/>
    <s v="Low Risk"/>
  </r>
  <r>
    <n v="30"/>
    <x v="1"/>
    <s v="No"/>
    <s v="Travel_Rarely"/>
    <n v="1465"/>
    <x v="1"/>
    <n v="1"/>
    <n v="3"/>
    <s v="Medical"/>
    <n v="1"/>
    <n v="1241"/>
    <n v="4"/>
    <s v="Male"/>
    <n v="63"/>
    <n v="3"/>
    <x v="1"/>
    <s v="Research Scientist"/>
    <n v="2"/>
    <s v="Married"/>
    <n v="3579"/>
    <n v="9369"/>
    <n v="0"/>
    <s v="Y"/>
    <s v="Yes"/>
    <s v="Yes"/>
    <n v="21"/>
    <n v="4"/>
    <n v="1"/>
    <n v="80"/>
    <n v="1"/>
    <n v="12"/>
    <s v="6-15"/>
    <n v="2"/>
    <n v="3"/>
    <n v="11"/>
    <n v="9"/>
    <n v="5"/>
    <n v="7"/>
    <s v="Below Avg"/>
    <n v="27.863247863247864"/>
    <s v="No"/>
    <s v="Low Risk"/>
  </r>
  <r>
    <n v="42"/>
    <x v="1"/>
    <s v="No"/>
    <s v="Travel_Frequently"/>
    <n v="458"/>
    <x v="1"/>
    <n v="26"/>
    <n v="5"/>
    <s v="Medical"/>
    <n v="1"/>
    <n v="1242"/>
    <n v="1"/>
    <s v="Female"/>
    <n v="60"/>
    <n v="3"/>
    <x v="2"/>
    <s v="Research Director"/>
    <n v="1"/>
    <s v="Married"/>
    <n v="13191"/>
    <n v="23281"/>
    <n v="3"/>
    <s v="Y"/>
    <s v="Yes"/>
    <s v="Yes"/>
    <n v="17"/>
    <n v="3"/>
    <n v="3"/>
    <n v="80"/>
    <n v="0"/>
    <n v="20"/>
    <s v="&gt;15"/>
    <n v="6"/>
    <n v="3"/>
    <n v="1"/>
    <n v="0"/>
    <n v="0"/>
    <n v="0"/>
    <s v="Ok"/>
    <n v="27.910958904109588"/>
    <s v="No"/>
    <s v="Low Risk"/>
  </r>
  <r>
    <n v="35"/>
    <x v="1"/>
    <s v="No"/>
    <s v="Non-Travel"/>
    <n v="1212"/>
    <x v="0"/>
    <n v="8"/>
    <n v="2"/>
    <s v="Marketing"/>
    <n v="1"/>
    <n v="1243"/>
    <n v="3"/>
    <s v="Female"/>
    <n v="78"/>
    <n v="2"/>
    <x v="2"/>
    <s v="Sales Executive"/>
    <n v="4"/>
    <s v="Married"/>
    <n v="10377"/>
    <n v="13755"/>
    <n v="4"/>
    <s v="Y"/>
    <s v="Yes"/>
    <s v="Yes"/>
    <n v="11"/>
    <n v="3"/>
    <n v="2"/>
    <n v="80"/>
    <n v="1"/>
    <n v="16"/>
    <s v="&gt;15"/>
    <n v="6"/>
    <n v="2"/>
    <n v="13"/>
    <n v="2"/>
    <n v="4"/>
    <n v="12"/>
    <s v="Ok"/>
    <n v="27.787307032590054"/>
    <s v="No"/>
    <s v="Low Risk"/>
  </r>
  <r>
    <n v="27"/>
    <x v="1"/>
    <s v="No"/>
    <s v="Travel_Rarely"/>
    <n v="1103"/>
    <x v="1"/>
    <n v="14"/>
    <n v="3"/>
    <s v="Life Sciences"/>
    <n v="1"/>
    <n v="1244"/>
    <n v="1"/>
    <s v="Male"/>
    <n v="42"/>
    <n v="3"/>
    <x v="1"/>
    <s v="Research Scientist"/>
    <n v="1"/>
    <s v="Married"/>
    <n v="2235"/>
    <n v="14377"/>
    <n v="1"/>
    <s v="Y"/>
    <s v="Yes"/>
    <s v="Yes"/>
    <n v="14"/>
    <n v="3"/>
    <n v="4"/>
    <n v="80"/>
    <n v="2"/>
    <n v="9"/>
    <s v="6-15"/>
    <n v="3"/>
    <n v="2"/>
    <n v="9"/>
    <n v="7"/>
    <n v="6"/>
    <n v="8"/>
    <s v="Below Avg"/>
    <n v="27.663230240549829"/>
    <s v="No"/>
    <s v="Low Risk"/>
  </r>
  <r>
    <n v="54"/>
    <x v="1"/>
    <s v="No"/>
    <s v="Travel_Frequently"/>
    <n v="966"/>
    <x v="1"/>
    <n v="1"/>
    <n v="4"/>
    <s v="Life Sciences"/>
    <n v="1"/>
    <n v="1245"/>
    <n v="4"/>
    <s v="Female"/>
    <n v="53"/>
    <n v="3"/>
    <x v="2"/>
    <s v="Manufacturing Director"/>
    <n v="3"/>
    <s v="Divorced"/>
    <n v="10502"/>
    <n v="9659"/>
    <n v="7"/>
    <s v="Y"/>
    <s v="No"/>
    <s v="No"/>
    <n v="17"/>
    <n v="3"/>
    <n v="1"/>
    <n v="80"/>
    <n v="1"/>
    <n v="33"/>
    <s v="&gt;15"/>
    <n v="2"/>
    <n v="1"/>
    <n v="5"/>
    <n v="4"/>
    <n v="1"/>
    <n v="4"/>
    <s v="Ok"/>
    <n v="27.538726333907054"/>
    <s v="No"/>
    <s v="Low Risk"/>
  </r>
  <r>
    <n v="44"/>
    <x v="1"/>
    <s v="No"/>
    <s v="Travel_Rarely"/>
    <n v="1117"/>
    <x v="1"/>
    <n v="2"/>
    <n v="1"/>
    <s v="Life Sciences"/>
    <n v="1"/>
    <n v="1246"/>
    <n v="1"/>
    <s v="Female"/>
    <n v="72"/>
    <n v="4"/>
    <x v="1"/>
    <s v="Research Scientist"/>
    <n v="4"/>
    <s v="Married"/>
    <n v="2011"/>
    <n v="19982"/>
    <n v="1"/>
    <s v="Y"/>
    <s v="No"/>
    <s v="No"/>
    <n v="13"/>
    <n v="3"/>
    <n v="4"/>
    <n v="80"/>
    <n v="1"/>
    <n v="10"/>
    <s v="6-15"/>
    <n v="5"/>
    <n v="3"/>
    <n v="10"/>
    <n v="5"/>
    <n v="7"/>
    <n v="7"/>
    <s v="Below Avg"/>
    <n v="27.413793103448274"/>
    <s v="No"/>
    <s v="Low Risk"/>
  </r>
  <r>
    <n v="19"/>
    <x v="0"/>
    <s v="Yes"/>
    <s v="Non-Travel"/>
    <n v="504"/>
    <x v="1"/>
    <n v="10"/>
    <n v="3"/>
    <s v="Medical"/>
    <n v="1"/>
    <n v="1248"/>
    <n v="1"/>
    <s v="Female"/>
    <n v="96"/>
    <n v="2"/>
    <x v="1"/>
    <s v="Research Scientist"/>
    <n v="2"/>
    <s v="Single"/>
    <n v="1859"/>
    <n v="6148"/>
    <n v="1"/>
    <s v="Y"/>
    <s v="Yes"/>
    <s v="Yes"/>
    <n v="25"/>
    <n v="4"/>
    <n v="2"/>
    <n v="80"/>
    <n v="0"/>
    <n v="1"/>
    <s v="0-5"/>
    <n v="2"/>
    <n v="4"/>
    <n v="1"/>
    <n v="1"/>
    <n v="0"/>
    <n v="0"/>
    <s v="Below Avg"/>
    <n v="27.461139896373055"/>
    <s v="No"/>
    <s v="High Risk"/>
  </r>
  <r>
    <n v="29"/>
    <x v="1"/>
    <s v="No"/>
    <s v="Travel_Rarely"/>
    <n v="1010"/>
    <x v="1"/>
    <n v="1"/>
    <n v="3"/>
    <s v="Life Sciences"/>
    <n v="1"/>
    <n v="1249"/>
    <n v="1"/>
    <s v="Female"/>
    <n v="97"/>
    <n v="3"/>
    <x v="1"/>
    <s v="Research Scientist"/>
    <n v="4"/>
    <s v="Divorced"/>
    <n v="3760"/>
    <n v="5598"/>
    <n v="1"/>
    <s v="Y"/>
    <s v="No"/>
    <s v="No"/>
    <n v="15"/>
    <n v="3"/>
    <n v="1"/>
    <n v="80"/>
    <n v="3"/>
    <n v="3"/>
    <s v="0-5"/>
    <n v="5"/>
    <n v="3"/>
    <n v="3"/>
    <n v="2"/>
    <n v="1"/>
    <n v="2"/>
    <s v="Below Avg"/>
    <n v="27.508650519031143"/>
    <s v="No"/>
    <s v="Low Risk"/>
  </r>
  <r>
    <n v="54"/>
    <x v="1"/>
    <s v="No"/>
    <s v="Travel_Rarely"/>
    <n v="685"/>
    <x v="1"/>
    <n v="3"/>
    <n v="3"/>
    <s v="Life Sciences"/>
    <n v="1"/>
    <n v="1250"/>
    <n v="4"/>
    <s v="Male"/>
    <n v="85"/>
    <n v="3"/>
    <x v="3"/>
    <s v="Research Director"/>
    <n v="4"/>
    <s v="Married"/>
    <n v="17779"/>
    <n v="23474"/>
    <n v="3"/>
    <s v="Y"/>
    <s v="No"/>
    <s v="No"/>
    <n v="14"/>
    <n v="3"/>
    <n v="1"/>
    <n v="80"/>
    <n v="0"/>
    <n v="36"/>
    <s v="&gt;15"/>
    <n v="2"/>
    <n v="3"/>
    <n v="10"/>
    <n v="9"/>
    <n v="0"/>
    <n v="9"/>
    <s v="Ok"/>
    <n v="27.383015597920281"/>
    <s v="No"/>
    <s v="Low Risk"/>
  </r>
  <r>
    <n v="31"/>
    <x v="1"/>
    <s v="No"/>
    <s v="Travel_Rarely"/>
    <n v="1332"/>
    <x v="1"/>
    <n v="11"/>
    <n v="2"/>
    <s v="Medical"/>
    <n v="1"/>
    <n v="1251"/>
    <n v="3"/>
    <s v="Male"/>
    <n v="80"/>
    <n v="3"/>
    <x v="0"/>
    <s v="Healthcare Representative"/>
    <n v="1"/>
    <s v="Married"/>
    <n v="6833"/>
    <n v="17089"/>
    <n v="1"/>
    <s v="Y"/>
    <s v="Yes"/>
    <s v="Yes"/>
    <n v="12"/>
    <n v="3"/>
    <n v="4"/>
    <n v="80"/>
    <n v="0"/>
    <n v="6"/>
    <s v="6-15"/>
    <n v="2"/>
    <n v="2"/>
    <n v="6"/>
    <n v="5"/>
    <n v="0"/>
    <n v="1"/>
    <s v="Ok"/>
    <n v="27.430555555555557"/>
    <s v="No"/>
    <s v="Low Risk"/>
  </r>
  <r>
    <n v="31"/>
    <x v="1"/>
    <s v="No"/>
    <s v="Travel_Rarely"/>
    <n v="1062"/>
    <x v="1"/>
    <n v="24"/>
    <n v="3"/>
    <s v="Medical"/>
    <n v="1"/>
    <n v="1252"/>
    <n v="3"/>
    <s v="Female"/>
    <n v="96"/>
    <n v="2"/>
    <x v="0"/>
    <s v="Healthcare Representative"/>
    <n v="1"/>
    <s v="Single"/>
    <n v="6812"/>
    <n v="17198"/>
    <n v="1"/>
    <s v="Y"/>
    <s v="No"/>
    <s v="No"/>
    <n v="19"/>
    <n v="3"/>
    <n v="2"/>
    <n v="80"/>
    <n v="0"/>
    <n v="10"/>
    <s v="6-15"/>
    <n v="2"/>
    <n v="3"/>
    <n v="10"/>
    <n v="9"/>
    <n v="1"/>
    <n v="8"/>
    <s v="Ok"/>
    <n v="27.478260869565219"/>
    <s v="No"/>
    <s v="Low Risk"/>
  </r>
  <r>
    <n v="59"/>
    <x v="1"/>
    <s v="No"/>
    <s v="Travel_Rarely"/>
    <n v="326"/>
    <x v="0"/>
    <n v="3"/>
    <n v="3"/>
    <s v="Life Sciences"/>
    <n v="1"/>
    <n v="1254"/>
    <n v="3"/>
    <s v="Female"/>
    <n v="48"/>
    <n v="2"/>
    <x v="0"/>
    <s v="Sales Executive"/>
    <n v="4"/>
    <s v="Single"/>
    <n v="5171"/>
    <n v="16490"/>
    <n v="5"/>
    <s v="Y"/>
    <s v="No"/>
    <s v="No"/>
    <n v="17"/>
    <n v="3"/>
    <n v="4"/>
    <n v="80"/>
    <n v="0"/>
    <n v="13"/>
    <s v="6-15"/>
    <n v="2"/>
    <n v="3"/>
    <n v="6"/>
    <n v="1"/>
    <n v="0"/>
    <n v="5"/>
    <s v="Below Avg"/>
    <n v="27.351916376306619"/>
    <s v="No"/>
    <s v="Low Risk"/>
  </r>
  <r>
    <n v="43"/>
    <x v="1"/>
    <s v="No"/>
    <s v="Travel_Rarely"/>
    <n v="920"/>
    <x v="1"/>
    <n v="3"/>
    <n v="3"/>
    <s v="Life Sciences"/>
    <n v="1"/>
    <n v="1255"/>
    <n v="3"/>
    <s v="Male"/>
    <n v="96"/>
    <n v="1"/>
    <x v="4"/>
    <s v="Research Director"/>
    <n v="4"/>
    <s v="Married"/>
    <n v="19740"/>
    <n v="18625"/>
    <n v="3"/>
    <s v="Y"/>
    <s v="No"/>
    <s v="No"/>
    <n v="14"/>
    <n v="3"/>
    <n v="2"/>
    <n v="80"/>
    <n v="1"/>
    <n v="25"/>
    <s v="&gt;15"/>
    <n v="2"/>
    <n v="3"/>
    <n v="8"/>
    <n v="7"/>
    <n v="0"/>
    <n v="7"/>
    <s v="Ok"/>
    <n v="27.399650959860384"/>
    <s v="No"/>
    <s v="Low Risk"/>
  </r>
  <r>
    <n v="49"/>
    <x v="1"/>
    <s v="No"/>
    <s v="Travel_Rarely"/>
    <n v="1098"/>
    <x v="1"/>
    <n v="4"/>
    <n v="2"/>
    <s v="Medical"/>
    <n v="1"/>
    <n v="1256"/>
    <n v="1"/>
    <s v="Male"/>
    <n v="85"/>
    <n v="2"/>
    <x v="4"/>
    <s v="Manager"/>
    <n v="3"/>
    <s v="Married"/>
    <n v="18711"/>
    <n v="12124"/>
    <n v="2"/>
    <s v="Y"/>
    <s v="No"/>
    <s v="No"/>
    <n v="13"/>
    <n v="3"/>
    <n v="3"/>
    <n v="80"/>
    <n v="1"/>
    <n v="23"/>
    <s v="&gt;15"/>
    <n v="2"/>
    <n v="4"/>
    <n v="1"/>
    <n v="0"/>
    <n v="0"/>
    <n v="0"/>
    <s v="Ok"/>
    <n v="27.447552447552447"/>
    <s v="No"/>
    <s v="Low Risk"/>
  </r>
  <r>
    <n v="36"/>
    <x v="1"/>
    <s v="No"/>
    <s v="Travel_Frequently"/>
    <n v="469"/>
    <x v="1"/>
    <n v="3"/>
    <n v="3"/>
    <s v="Technical Degree"/>
    <n v="1"/>
    <n v="1257"/>
    <n v="3"/>
    <s v="Male"/>
    <n v="46"/>
    <n v="3"/>
    <x v="1"/>
    <s v="Research Scientist"/>
    <n v="2"/>
    <s v="Married"/>
    <n v="3692"/>
    <n v="9256"/>
    <n v="1"/>
    <s v="Y"/>
    <s v="No"/>
    <s v="No"/>
    <n v="12"/>
    <n v="3"/>
    <n v="3"/>
    <n v="80"/>
    <n v="0"/>
    <n v="12"/>
    <s v="6-15"/>
    <n v="2"/>
    <n v="2"/>
    <n v="11"/>
    <n v="10"/>
    <n v="0"/>
    <n v="7"/>
    <s v="Below Avg"/>
    <n v="27.495621716287218"/>
    <s v="No"/>
    <s v="Low Risk"/>
  </r>
  <r>
    <n v="48"/>
    <x v="1"/>
    <s v="No"/>
    <s v="Travel_Rarely"/>
    <n v="969"/>
    <x v="1"/>
    <n v="2"/>
    <n v="2"/>
    <s v="Technical Degree"/>
    <n v="1"/>
    <n v="1258"/>
    <n v="4"/>
    <s v="Male"/>
    <n v="76"/>
    <n v="4"/>
    <x v="1"/>
    <s v="Laboratory Technician"/>
    <n v="2"/>
    <s v="Single"/>
    <n v="2559"/>
    <n v="16620"/>
    <n v="5"/>
    <s v="Y"/>
    <s v="No"/>
    <s v="No"/>
    <n v="11"/>
    <n v="3"/>
    <n v="3"/>
    <n v="80"/>
    <n v="0"/>
    <n v="7"/>
    <s v="6-15"/>
    <n v="4"/>
    <n v="2"/>
    <n v="1"/>
    <n v="0"/>
    <n v="0"/>
    <n v="0"/>
    <s v="Below Avg"/>
    <n v="27.543859649122808"/>
    <s v="No"/>
    <s v="Low Risk"/>
  </r>
  <r>
    <n v="27"/>
    <x v="1"/>
    <s v="No"/>
    <s v="Travel_Rarely"/>
    <n v="1167"/>
    <x v="1"/>
    <n v="4"/>
    <n v="2"/>
    <s v="Life Sciences"/>
    <n v="1"/>
    <n v="1259"/>
    <n v="1"/>
    <s v="Male"/>
    <n v="76"/>
    <n v="3"/>
    <x v="1"/>
    <s v="Research Scientist"/>
    <n v="3"/>
    <s v="Divorced"/>
    <n v="2517"/>
    <n v="3208"/>
    <n v="1"/>
    <s v="Y"/>
    <s v="No"/>
    <s v="No"/>
    <n v="11"/>
    <n v="3"/>
    <n v="2"/>
    <n v="80"/>
    <n v="3"/>
    <n v="5"/>
    <s v="0-5"/>
    <n v="2"/>
    <n v="3"/>
    <n v="5"/>
    <n v="3"/>
    <n v="0"/>
    <n v="3"/>
    <s v="Below Avg"/>
    <n v="27.592267135325134"/>
    <s v="No"/>
    <s v="Low Risk"/>
  </r>
  <r>
    <n v="29"/>
    <x v="1"/>
    <s v="No"/>
    <s v="Travel_Rarely"/>
    <n v="1329"/>
    <x v="1"/>
    <n v="7"/>
    <n v="3"/>
    <s v="Life Sciences"/>
    <n v="1"/>
    <n v="1260"/>
    <n v="3"/>
    <s v="Male"/>
    <n v="82"/>
    <n v="3"/>
    <x v="0"/>
    <s v="Healthcare Representative"/>
    <n v="4"/>
    <s v="Divorced"/>
    <n v="6623"/>
    <n v="4204"/>
    <n v="1"/>
    <s v="Y"/>
    <s v="Yes"/>
    <s v="Yes"/>
    <n v="11"/>
    <n v="3"/>
    <n v="2"/>
    <n v="80"/>
    <n v="2"/>
    <n v="6"/>
    <s v="6-15"/>
    <n v="2"/>
    <n v="3"/>
    <n v="6"/>
    <n v="0"/>
    <n v="1"/>
    <n v="0"/>
    <s v="Ok"/>
    <n v="27.640845070422536"/>
    <s v="No"/>
    <s v="Low Risk"/>
  </r>
  <r>
    <n v="48"/>
    <x v="1"/>
    <s v="No"/>
    <s v="Travel_Rarely"/>
    <n v="715"/>
    <x v="1"/>
    <n v="1"/>
    <n v="3"/>
    <s v="Life Sciences"/>
    <n v="1"/>
    <n v="1263"/>
    <n v="4"/>
    <s v="Male"/>
    <n v="76"/>
    <n v="2"/>
    <x v="4"/>
    <s v="Research Director"/>
    <n v="4"/>
    <s v="Single"/>
    <n v="18265"/>
    <n v="8733"/>
    <n v="6"/>
    <s v="Y"/>
    <s v="No"/>
    <s v="No"/>
    <n v="12"/>
    <n v="3"/>
    <n v="3"/>
    <n v="80"/>
    <n v="0"/>
    <n v="25"/>
    <s v="&gt;15"/>
    <n v="3"/>
    <n v="4"/>
    <n v="1"/>
    <n v="0"/>
    <n v="0"/>
    <n v="0"/>
    <s v="Ok"/>
    <n v="27.689594356261022"/>
    <s v="No"/>
    <s v="Low Risk"/>
  </r>
  <r>
    <n v="29"/>
    <x v="1"/>
    <s v="No"/>
    <s v="Travel_Rarely"/>
    <n v="694"/>
    <x v="1"/>
    <n v="1"/>
    <n v="3"/>
    <s v="Life Sciences"/>
    <n v="1"/>
    <n v="1264"/>
    <n v="4"/>
    <s v="Female"/>
    <n v="87"/>
    <n v="2"/>
    <x v="3"/>
    <s v="Research Director"/>
    <n v="4"/>
    <s v="Divorced"/>
    <n v="16124"/>
    <n v="3423"/>
    <n v="3"/>
    <s v="Y"/>
    <s v="No"/>
    <s v="No"/>
    <n v="14"/>
    <n v="3"/>
    <n v="2"/>
    <n v="80"/>
    <n v="2"/>
    <n v="9"/>
    <s v="6-15"/>
    <n v="2"/>
    <n v="2"/>
    <n v="7"/>
    <n v="7"/>
    <n v="1"/>
    <n v="7"/>
    <s v="Ok"/>
    <n v="27.561837455830389"/>
    <s v="No"/>
    <s v="Low Risk"/>
  </r>
  <r>
    <n v="34"/>
    <x v="1"/>
    <s v="No"/>
    <s v="Travel_Rarely"/>
    <n v="1320"/>
    <x v="1"/>
    <n v="20"/>
    <n v="3"/>
    <s v="Technical Degree"/>
    <n v="1"/>
    <n v="1265"/>
    <n v="3"/>
    <s v="Female"/>
    <n v="89"/>
    <n v="4"/>
    <x v="1"/>
    <s v="Research Scientist"/>
    <n v="3"/>
    <s v="Married"/>
    <n v="2585"/>
    <n v="21643"/>
    <n v="0"/>
    <s v="Y"/>
    <s v="No"/>
    <s v="No"/>
    <n v="17"/>
    <n v="3"/>
    <n v="4"/>
    <n v="80"/>
    <n v="0"/>
    <n v="2"/>
    <s v="0-5"/>
    <n v="5"/>
    <n v="2"/>
    <n v="1"/>
    <n v="0"/>
    <n v="0"/>
    <n v="0"/>
    <s v="Below Avg"/>
    <n v="27.610619469026549"/>
    <s v="No"/>
    <s v="Low Risk"/>
  </r>
  <r>
    <n v="44"/>
    <x v="1"/>
    <s v="No"/>
    <s v="Travel_Rarely"/>
    <n v="1099"/>
    <x v="0"/>
    <n v="5"/>
    <n v="3"/>
    <s v="Marketing"/>
    <n v="1"/>
    <n v="1267"/>
    <n v="2"/>
    <s v="Male"/>
    <n v="88"/>
    <n v="3"/>
    <x v="4"/>
    <s v="Manager"/>
    <n v="2"/>
    <s v="Married"/>
    <n v="18213"/>
    <n v="8751"/>
    <n v="7"/>
    <s v="Y"/>
    <s v="No"/>
    <s v="No"/>
    <n v="11"/>
    <n v="3"/>
    <n v="3"/>
    <n v="80"/>
    <n v="1"/>
    <n v="26"/>
    <s v="&gt;15"/>
    <n v="5"/>
    <n v="3"/>
    <n v="22"/>
    <n v="9"/>
    <n v="3"/>
    <n v="10"/>
    <s v="Ok"/>
    <n v="27.659574468085108"/>
    <s v="No"/>
    <s v="Low Risk"/>
  </r>
  <r>
    <n v="33"/>
    <x v="1"/>
    <s v="No"/>
    <s v="Travel_Rarely"/>
    <n v="536"/>
    <x v="0"/>
    <n v="10"/>
    <n v="5"/>
    <s v="Marketing"/>
    <n v="1"/>
    <n v="1268"/>
    <n v="4"/>
    <s v="Male"/>
    <n v="82"/>
    <n v="4"/>
    <x v="2"/>
    <s v="Sales Executive"/>
    <n v="3"/>
    <s v="Divorced"/>
    <n v="8380"/>
    <n v="21708"/>
    <n v="0"/>
    <s v="Y"/>
    <s v="Yes"/>
    <s v="Yes"/>
    <n v="14"/>
    <n v="3"/>
    <n v="4"/>
    <n v="80"/>
    <n v="2"/>
    <n v="10"/>
    <s v="6-15"/>
    <n v="3"/>
    <n v="3"/>
    <n v="9"/>
    <n v="8"/>
    <n v="0"/>
    <n v="8"/>
    <s v="Ok"/>
    <n v="27.708703374777976"/>
    <s v="No"/>
    <s v="Low Risk"/>
  </r>
  <r>
    <n v="19"/>
    <x v="1"/>
    <s v="No"/>
    <s v="Travel_Rarely"/>
    <n v="265"/>
    <x v="1"/>
    <n v="25"/>
    <n v="3"/>
    <s v="Life Sciences"/>
    <n v="1"/>
    <n v="1269"/>
    <n v="2"/>
    <s v="Female"/>
    <n v="57"/>
    <n v="4"/>
    <x v="1"/>
    <s v="Research Scientist"/>
    <n v="4"/>
    <s v="Single"/>
    <n v="2994"/>
    <n v="21221"/>
    <n v="1"/>
    <s v="Y"/>
    <s v="Yes"/>
    <s v="Yes"/>
    <n v="12"/>
    <n v="3"/>
    <n v="4"/>
    <n v="80"/>
    <n v="0"/>
    <n v="1"/>
    <s v="0-5"/>
    <n v="2"/>
    <n v="3"/>
    <n v="1"/>
    <n v="0"/>
    <n v="0"/>
    <n v="1"/>
    <s v="Below Avg"/>
    <n v="27.758007117437721"/>
    <s v="No"/>
    <s v="Low Risk"/>
  </r>
  <r>
    <n v="23"/>
    <x v="1"/>
    <s v="No"/>
    <s v="Travel_Rarely"/>
    <n v="373"/>
    <x v="1"/>
    <n v="1"/>
    <n v="2"/>
    <s v="Life Sciences"/>
    <n v="1"/>
    <n v="1270"/>
    <n v="4"/>
    <s v="Male"/>
    <n v="47"/>
    <n v="3"/>
    <x v="1"/>
    <s v="Research Scientist"/>
    <n v="3"/>
    <s v="Married"/>
    <n v="1223"/>
    <n v="16901"/>
    <n v="1"/>
    <s v="Y"/>
    <s v="No"/>
    <s v="No"/>
    <n v="22"/>
    <n v="4"/>
    <n v="4"/>
    <n v="80"/>
    <n v="1"/>
    <n v="1"/>
    <s v="0-5"/>
    <n v="2"/>
    <n v="3"/>
    <n v="1"/>
    <n v="0"/>
    <n v="0"/>
    <n v="1"/>
    <s v="Below Avg"/>
    <n v="27.629233511586452"/>
    <s v="No"/>
    <s v="Low Risk"/>
  </r>
  <r>
    <n v="25"/>
    <x v="0"/>
    <s v="Yes"/>
    <s v="Travel_Frequently"/>
    <n v="599"/>
    <x v="0"/>
    <n v="24"/>
    <n v="1"/>
    <s v="Life Sciences"/>
    <n v="1"/>
    <n v="1273"/>
    <n v="3"/>
    <s v="Male"/>
    <n v="73"/>
    <n v="1"/>
    <x v="1"/>
    <s v="Sales Representative"/>
    <n v="4"/>
    <s v="Single"/>
    <n v="1118"/>
    <n v="8040"/>
    <n v="1"/>
    <s v="Y"/>
    <s v="Yes"/>
    <s v="Yes"/>
    <n v="14"/>
    <n v="3"/>
    <n v="4"/>
    <n v="80"/>
    <n v="0"/>
    <n v="1"/>
    <s v="0-5"/>
    <n v="4"/>
    <n v="3"/>
    <n v="1"/>
    <n v="0"/>
    <n v="1"/>
    <n v="0"/>
    <s v="Below Avg"/>
    <n v="27.500000000000004"/>
    <s v="No"/>
    <s v="High Risk"/>
  </r>
  <r>
    <n v="26"/>
    <x v="1"/>
    <s v="No"/>
    <s v="Travel_Rarely"/>
    <n v="583"/>
    <x v="1"/>
    <n v="4"/>
    <n v="2"/>
    <s v="Life Sciences"/>
    <n v="1"/>
    <n v="1275"/>
    <n v="3"/>
    <s v="Male"/>
    <n v="53"/>
    <n v="3"/>
    <x v="1"/>
    <s v="Research Scientist"/>
    <n v="4"/>
    <s v="Single"/>
    <n v="2875"/>
    <n v="9973"/>
    <n v="1"/>
    <s v="Y"/>
    <s v="Yes"/>
    <s v="Yes"/>
    <n v="20"/>
    <n v="4"/>
    <n v="2"/>
    <n v="80"/>
    <n v="0"/>
    <n v="8"/>
    <s v="6-15"/>
    <n v="2"/>
    <n v="2"/>
    <n v="8"/>
    <n v="5"/>
    <n v="2"/>
    <n v="2"/>
    <s v="Below Avg"/>
    <n v="27.549194991055455"/>
    <s v="No"/>
    <s v="Low Risk"/>
  </r>
  <r>
    <n v="45"/>
    <x v="0"/>
    <s v="Yes"/>
    <s v="Travel_Rarely"/>
    <n v="1449"/>
    <x v="0"/>
    <n v="2"/>
    <n v="3"/>
    <s v="Marketing"/>
    <n v="1"/>
    <n v="1277"/>
    <n v="1"/>
    <s v="Female"/>
    <n v="94"/>
    <n v="1"/>
    <x v="4"/>
    <s v="Manager"/>
    <n v="2"/>
    <s v="Single"/>
    <n v="18824"/>
    <n v="2493"/>
    <n v="2"/>
    <s v="Y"/>
    <s v="Yes"/>
    <s v="Yes"/>
    <n v="16"/>
    <n v="3"/>
    <n v="1"/>
    <n v="80"/>
    <n v="0"/>
    <n v="26"/>
    <s v="&gt;15"/>
    <n v="2"/>
    <n v="3"/>
    <n v="24"/>
    <n v="10"/>
    <n v="1"/>
    <n v="11"/>
    <s v="Ok"/>
    <n v="27.419354838709676"/>
    <s v="No"/>
    <s v="Low Risk"/>
  </r>
  <r>
    <n v="55"/>
    <x v="1"/>
    <s v="No"/>
    <s v="Non-Travel"/>
    <n v="177"/>
    <x v="1"/>
    <n v="8"/>
    <n v="1"/>
    <s v="Medical"/>
    <n v="1"/>
    <n v="1278"/>
    <n v="4"/>
    <s v="Male"/>
    <n v="37"/>
    <n v="2"/>
    <x v="3"/>
    <s v="Healthcare Representative"/>
    <n v="2"/>
    <s v="Divorced"/>
    <n v="13577"/>
    <n v="25592"/>
    <n v="1"/>
    <s v="Y"/>
    <s v="Yes"/>
    <s v="Yes"/>
    <n v="15"/>
    <n v="3"/>
    <n v="4"/>
    <n v="80"/>
    <n v="1"/>
    <n v="34"/>
    <s v="&gt;15"/>
    <n v="3"/>
    <n v="3"/>
    <n v="33"/>
    <n v="9"/>
    <n v="15"/>
    <n v="0"/>
    <s v="Ok"/>
    <n v="27.289048473967686"/>
    <s v="No"/>
    <s v="Low Risk"/>
  </r>
  <r>
    <n v="21"/>
    <x v="0"/>
    <s v="Yes"/>
    <s v="Travel_Frequently"/>
    <n v="251"/>
    <x v="1"/>
    <n v="10"/>
    <n v="2"/>
    <s v="Life Sciences"/>
    <n v="1"/>
    <n v="1279"/>
    <n v="1"/>
    <s v="Female"/>
    <n v="45"/>
    <n v="2"/>
    <x v="1"/>
    <s v="Laboratory Technician"/>
    <n v="3"/>
    <s v="Single"/>
    <n v="2625"/>
    <n v="25308"/>
    <n v="1"/>
    <s v="Y"/>
    <s v="No"/>
    <s v="No"/>
    <n v="20"/>
    <n v="4"/>
    <n v="3"/>
    <n v="80"/>
    <n v="0"/>
    <n v="2"/>
    <s v="0-5"/>
    <n v="2"/>
    <n v="1"/>
    <n v="2"/>
    <n v="2"/>
    <n v="2"/>
    <n v="2"/>
    <s v="Below Avg"/>
    <n v="27.158273381294961"/>
    <s v="No"/>
    <s v="Low Risk"/>
  </r>
  <r>
    <n v="46"/>
    <x v="1"/>
    <s v="No"/>
    <s v="Travel_Rarely"/>
    <n v="168"/>
    <x v="0"/>
    <n v="4"/>
    <n v="2"/>
    <s v="Marketing"/>
    <n v="1"/>
    <n v="1280"/>
    <n v="4"/>
    <s v="Female"/>
    <n v="33"/>
    <n v="2"/>
    <x v="4"/>
    <s v="Manager"/>
    <n v="2"/>
    <s v="Married"/>
    <n v="18789"/>
    <n v="9946"/>
    <n v="2"/>
    <s v="Y"/>
    <s v="No"/>
    <s v="No"/>
    <n v="14"/>
    <n v="3"/>
    <n v="3"/>
    <n v="80"/>
    <n v="1"/>
    <n v="26"/>
    <s v="&gt;15"/>
    <n v="2"/>
    <n v="3"/>
    <n v="11"/>
    <n v="4"/>
    <n v="0"/>
    <n v="8"/>
    <s v="Ok"/>
    <n v="27.027027027027028"/>
    <s v="No"/>
    <s v="Low Risk"/>
  </r>
  <r>
    <n v="34"/>
    <x v="1"/>
    <s v="No"/>
    <s v="Travel_Rarely"/>
    <n v="131"/>
    <x v="0"/>
    <n v="2"/>
    <n v="3"/>
    <s v="Marketing"/>
    <n v="1"/>
    <n v="1281"/>
    <n v="3"/>
    <s v="Female"/>
    <n v="86"/>
    <n v="3"/>
    <x v="0"/>
    <s v="Sales Executive"/>
    <n v="1"/>
    <s v="Single"/>
    <n v="4538"/>
    <n v="6039"/>
    <n v="0"/>
    <s v="Y"/>
    <s v="Yes"/>
    <s v="Yes"/>
    <n v="12"/>
    <n v="3"/>
    <n v="4"/>
    <n v="80"/>
    <n v="0"/>
    <n v="4"/>
    <s v="0-5"/>
    <n v="3"/>
    <n v="3"/>
    <n v="3"/>
    <n v="2"/>
    <n v="0"/>
    <n v="2"/>
    <s v="Below Avg"/>
    <n v="27.075812274368232"/>
    <s v="No"/>
    <s v="Low Risk"/>
  </r>
  <r>
    <n v="51"/>
    <x v="1"/>
    <s v="No"/>
    <s v="Travel_Frequently"/>
    <n v="237"/>
    <x v="0"/>
    <n v="9"/>
    <n v="3"/>
    <s v="Life Sciences"/>
    <n v="1"/>
    <n v="1282"/>
    <n v="4"/>
    <s v="Male"/>
    <n v="83"/>
    <n v="3"/>
    <x v="4"/>
    <s v="Manager"/>
    <n v="2"/>
    <s v="Divorced"/>
    <n v="19847"/>
    <n v="19196"/>
    <n v="4"/>
    <s v="Y"/>
    <s v="Yes"/>
    <s v="Yes"/>
    <n v="24"/>
    <n v="4"/>
    <n v="1"/>
    <n v="80"/>
    <n v="1"/>
    <n v="31"/>
    <s v="&gt;15"/>
    <n v="5"/>
    <n v="2"/>
    <n v="29"/>
    <n v="10"/>
    <n v="11"/>
    <n v="10"/>
    <s v="Ok"/>
    <n v="27.124773960216999"/>
    <s v="No"/>
    <s v="Low Risk"/>
  </r>
  <r>
    <n v="59"/>
    <x v="1"/>
    <s v="No"/>
    <s v="Travel_Rarely"/>
    <n v="1429"/>
    <x v="1"/>
    <n v="18"/>
    <n v="4"/>
    <s v="Medical"/>
    <n v="1"/>
    <n v="1283"/>
    <n v="4"/>
    <s v="Male"/>
    <n v="67"/>
    <n v="3"/>
    <x v="2"/>
    <s v="Manufacturing Director"/>
    <n v="4"/>
    <s v="Single"/>
    <n v="10512"/>
    <n v="20002"/>
    <n v="6"/>
    <s v="Y"/>
    <s v="No"/>
    <s v="No"/>
    <n v="12"/>
    <n v="3"/>
    <n v="4"/>
    <n v="80"/>
    <n v="0"/>
    <n v="25"/>
    <s v="&gt;15"/>
    <n v="6"/>
    <n v="2"/>
    <n v="9"/>
    <n v="7"/>
    <n v="5"/>
    <n v="4"/>
    <s v="Ok"/>
    <n v="26.992753623188403"/>
    <s v="No"/>
    <s v="Low Risk"/>
  </r>
  <r>
    <n v="34"/>
    <x v="1"/>
    <s v="No"/>
    <s v="Travel_Frequently"/>
    <n v="135"/>
    <x v="1"/>
    <n v="19"/>
    <n v="3"/>
    <s v="Medical"/>
    <n v="1"/>
    <n v="1285"/>
    <n v="3"/>
    <s v="Female"/>
    <n v="46"/>
    <n v="3"/>
    <x v="0"/>
    <s v="Laboratory Technician"/>
    <n v="2"/>
    <s v="Divorced"/>
    <n v="4444"/>
    <n v="22534"/>
    <n v="4"/>
    <s v="Y"/>
    <s v="No"/>
    <s v="No"/>
    <n v="13"/>
    <n v="3"/>
    <n v="3"/>
    <n v="80"/>
    <n v="2"/>
    <n v="15"/>
    <s v="6-15"/>
    <n v="2"/>
    <n v="4"/>
    <n v="11"/>
    <n v="8"/>
    <n v="5"/>
    <n v="10"/>
    <s v="Below Avg"/>
    <n v="26.860254083484573"/>
    <s v="No"/>
    <s v="Low Risk"/>
  </r>
  <r>
    <n v="28"/>
    <x v="1"/>
    <s v="No"/>
    <s v="Travel_Frequently"/>
    <n v="791"/>
    <x v="1"/>
    <n v="1"/>
    <n v="4"/>
    <s v="Medical"/>
    <n v="1"/>
    <n v="1286"/>
    <n v="4"/>
    <s v="Male"/>
    <n v="44"/>
    <n v="3"/>
    <x v="1"/>
    <s v="Laboratory Technician"/>
    <n v="3"/>
    <s v="Single"/>
    <n v="2154"/>
    <n v="6842"/>
    <n v="0"/>
    <s v="Y"/>
    <s v="Yes"/>
    <s v="Yes"/>
    <n v="11"/>
    <n v="3"/>
    <n v="3"/>
    <n v="80"/>
    <n v="0"/>
    <n v="5"/>
    <s v="0-5"/>
    <n v="2"/>
    <n v="2"/>
    <n v="4"/>
    <n v="2"/>
    <n v="0"/>
    <n v="2"/>
    <s v="Below Avg"/>
    <n v="26.90909090909091"/>
    <s v="No"/>
    <s v="Low Risk"/>
  </r>
  <r>
    <n v="44"/>
    <x v="1"/>
    <s v="No"/>
    <s v="Travel_Rarely"/>
    <n v="1199"/>
    <x v="1"/>
    <n v="4"/>
    <n v="2"/>
    <s v="Life Sciences"/>
    <n v="1"/>
    <n v="1288"/>
    <n v="3"/>
    <s v="Male"/>
    <n v="92"/>
    <n v="4"/>
    <x v="4"/>
    <s v="Manager"/>
    <n v="1"/>
    <s v="Divorced"/>
    <n v="19190"/>
    <n v="17477"/>
    <n v="1"/>
    <s v="Y"/>
    <s v="No"/>
    <s v="No"/>
    <n v="14"/>
    <n v="3"/>
    <n v="4"/>
    <n v="80"/>
    <n v="2"/>
    <n v="26"/>
    <s v="&gt;15"/>
    <n v="4"/>
    <n v="2"/>
    <n v="25"/>
    <n v="9"/>
    <n v="14"/>
    <n v="13"/>
    <s v="Ok"/>
    <n v="26.958105646630237"/>
    <s v="No"/>
    <s v="Low Risk"/>
  </r>
  <r>
    <n v="34"/>
    <x v="1"/>
    <s v="No"/>
    <s v="Travel_Frequently"/>
    <n v="648"/>
    <x v="2"/>
    <n v="11"/>
    <n v="3"/>
    <s v="Life Sciences"/>
    <n v="1"/>
    <n v="1289"/>
    <n v="3"/>
    <s v="Male"/>
    <n v="56"/>
    <n v="2"/>
    <x v="0"/>
    <s v="Human Resources"/>
    <n v="2"/>
    <s v="Married"/>
    <n v="4490"/>
    <n v="21833"/>
    <n v="4"/>
    <s v="Y"/>
    <s v="No"/>
    <s v="No"/>
    <n v="11"/>
    <n v="3"/>
    <n v="4"/>
    <n v="80"/>
    <n v="2"/>
    <n v="14"/>
    <s v="6-15"/>
    <n v="5"/>
    <n v="4"/>
    <n v="10"/>
    <n v="9"/>
    <n v="1"/>
    <n v="8"/>
    <s v="Below Avg"/>
    <n v="26.824817518248175"/>
    <s v="No"/>
    <s v="Low Risk"/>
  </r>
  <r>
    <n v="35"/>
    <x v="1"/>
    <s v="No"/>
    <s v="Travel_Rarely"/>
    <n v="735"/>
    <x v="1"/>
    <n v="6"/>
    <n v="1"/>
    <s v="Life Sciences"/>
    <n v="1"/>
    <n v="1291"/>
    <n v="3"/>
    <s v="Male"/>
    <n v="66"/>
    <n v="3"/>
    <x v="1"/>
    <s v="Research Scientist"/>
    <n v="3"/>
    <s v="Married"/>
    <n v="3506"/>
    <n v="6020"/>
    <n v="0"/>
    <s v="Y"/>
    <s v="Yes"/>
    <s v="Yes"/>
    <n v="14"/>
    <n v="3"/>
    <n v="4"/>
    <n v="80"/>
    <n v="0"/>
    <n v="4"/>
    <s v="0-5"/>
    <n v="3"/>
    <n v="3"/>
    <n v="3"/>
    <n v="2"/>
    <n v="2"/>
    <n v="2"/>
    <s v="Below Avg"/>
    <n v="26.87385740402194"/>
    <s v="No"/>
    <s v="Low Risk"/>
  </r>
  <r>
    <n v="42"/>
    <x v="1"/>
    <s v="No"/>
    <s v="Travel_Rarely"/>
    <n v="603"/>
    <x v="1"/>
    <n v="7"/>
    <n v="4"/>
    <s v="Medical"/>
    <n v="1"/>
    <n v="1292"/>
    <n v="2"/>
    <s v="Female"/>
    <n v="78"/>
    <n v="4"/>
    <x v="0"/>
    <s v="Research Scientist"/>
    <n v="2"/>
    <s v="Married"/>
    <n v="2372"/>
    <n v="5628"/>
    <n v="6"/>
    <s v="Y"/>
    <s v="Yes"/>
    <s v="Yes"/>
    <n v="16"/>
    <n v="3"/>
    <n v="4"/>
    <n v="80"/>
    <n v="0"/>
    <n v="18"/>
    <s v="&gt;15"/>
    <n v="2"/>
    <n v="3"/>
    <n v="1"/>
    <n v="0"/>
    <n v="0"/>
    <n v="0"/>
    <s v="Below Avg"/>
    <n v="26.923076923076923"/>
    <s v="No"/>
    <s v="Low Risk"/>
  </r>
  <r>
    <n v="43"/>
    <x v="1"/>
    <s v="No"/>
    <s v="Travel_Rarely"/>
    <n v="531"/>
    <x v="0"/>
    <n v="4"/>
    <n v="4"/>
    <s v="Marketing"/>
    <n v="1"/>
    <n v="1293"/>
    <n v="4"/>
    <s v="Female"/>
    <n v="56"/>
    <n v="2"/>
    <x v="2"/>
    <s v="Sales Executive"/>
    <n v="4"/>
    <s v="Single"/>
    <n v="10231"/>
    <n v="20364"/>
    <n v="3"/>
    <s v="Y"/>
    <s v="No"/>
    <s v="No"/>
    <n v="14"/>
    <n v="3"/>
    <n v="4"/>
    <n v="80"/>
    <n v="0"/>
    <n v="23"/>
    <s v="&gt;15"/>
    <n v="3"/>
    <n v="4"/>
    <n v="21"/>
    <n v="7"/>
    <n v="15"/>
    <n v="17"/>
    <s v="Ok"/>
    <n v="26.788990825688074"/>
    <s v="No"/>
    <s v="Low Risk"/>
  </r>
  <r>
    <n v="36"/>
    <x v="1"/>
    <s v="No"/>
    <s v="Travel_Rarely"/>
    <n v="429"/>
    <x v="1"/>
    <n v="2"/>
    <n v="4"/>
    <s v="Life Sciences"/>
    <n v="1"/>
    <n v="1294"/>
    <n v="3"/>
    <s v="Female"/>
    <n v="53"/>
    <n v="3"/>
    <x v="0"/>
    <s v="Manufacturing Director"/>
    <n v="2"/>
    <s v="Single"/>
    <n v="5410"/>
    <n v="2323"/>
    <n v="9"/>
    <s v="Y"/>
    <s v="Yes"/>
    <s v="Yes"/>
    <n v="11"/>
    <n v="3"/>
    <n v="4"/>
    <n v="80"/>
    <n v="0"/>
    <n v="18"/>
    <s v="&gt;15"/>
    <n v="2"/>
    <n v="3"/>
    <n v="16"/>
    <n v="14"/>
    <n v="5"/>
    <n v="12"/>
    <s v="Below Avg"/>
    <n v="26.65441176470588"/>
    <s v="No"/>
    <s v="Low Risk"/>
  </r>
  <r>
    <n v="44"/>
    <x v="0"/>
    <s v="Yes"/>
    <s v="Travel_Rarely"/>
    <n v="621"/>
    <x v="1"/>
    <n v="15"/>
    <n v="3"/>
    <s v="Medical"/>
    <n v="1"/>
    <n v="1295"/>
    <n v="1"/>
    <s v="Female"/>
    <n v="73"/>
    <n v="3"/>
    <x v="2"/>
    <s v="Healthcare Representative"/>
    <n v="4"/>
    <s v="Married"/>
    <n v="7978"/>
    <n v="14075"/>
    <n v="1"/>
    <s v="Y"/>
    <s v="No"/>
    <s v="No"/>
    <n v="11"/>
    <n v="3"/>
    <n v="4"/>
    <n v="80"/>
    <n v="1"/>
    <n v="10"/>
    <s v="6-15"/>
    <n v="2"/>
    <n v="3"/>
    <n v="10"/>
    <n v="7"/>
    <n v="0"/>
    <n v="5"/>
    <s v="Ok"/>
    <n v="26.703499079189687"/>
    <s v="No"/>
    <s v="Low Risk"/>
  </r>
  <r>
    <n v="28"/>
    <x v="1"/>
    <s v="No"/>
    <s v="Travel_Frequently"/>
    <n v="193"/>
    <x v="1"/>
    <n v="2"/>
    <n v="3"/>
    <s v="Life Sciences"/>
    <n v="1"/>
    <n v="1296"/>
    <n v="4"/>
    <s v="Male"/>
    <n v="52"/>
    <n v="2"/>
    <x v="1"/>
    <s v="Laboratory Technician"/>
    <n v="4"/>
    <s v="Married"/>
    <n v="3867"/>
    <n v="14222"/>
    <n v="1"/>
    <s v="Y"/>
    <s v="Yes"/>
    <s v="Yes"/>
    <n v="12"/>
    <n v="3"/>
    <n v="2"/>
    <n v="80"/>
    <n v="1"/>
    <n v="2"/>
    <s v="0-5"/>
    <n v="2"/>
    <n v="3"/>
    <n v="2"/>
    <n v="2"/>
    <n v="2"/>
    <n v="2"/>
    <s v="Below Avg"/>
    <n v="26.568265682656829"/>
    <s v="No"/>
    <s v="Low Risk"/>
  </r>
  <r>
    <n v="51"/>
    <x v="1"/>
    <s v="No"/>
    <s v="Travel_Frequently"/>
    <n v="968"/>
    <x v="1"/>
    <n v="6"/>
    <n v="2"/>
    <s v="Medical"/>
    <n v="1"/>
    <n v="1297"/>
    <n v="2"/>
    <s v="Female"/>
    <n v="40"/>
    <n v="2"/>
    <x v="1"/>
    <s v="Laboratory Technician"/>
    <n v="3"/>
    <s v="Single"/>
    <n v="2838"/>
    <n v="4257"/>
    <n v="0"/>
    <s v="Y"/>
    <s v="No"/>
    <s v="No"/>
    <n v="14"/>
    <n v="3"/>
    <n v="2"/>
    <n v="80"/>
    <n v="0"/>
    <n v="8"/>
    <s v="6-15"/>
    <n v="6"/>
    <n v="2"/>
    <n v="7"/>
    <n v="0"/>
    <n v="7"/>
    <n v="7"/>
    <s v="Below Avg"/>
    <n v="26.617375231053604"/>
    <s v="No"/>
    <s v="Low Risk"/>
  </r>
  <r>
    <n v="30"/>
    <x v="1"/>
    <s v="No"/>
    <s v="Non-Travel"/>
    <n v="879"/>
    <x v="1"/>
    <n v="9"/>
    <n v="2"/>
    <s v="Medical"/>
    <n v="1"/>
    <n v="1298"/>
    <n v="3"/>
    <s v="Female"/>
    <n v="72"/>
    <n v="3"/>
    <x v="0"/>
    <s v="Manufacturing Director"/>
    <n v="3"/>
    <s v="Single"/>
    <n v="4695"/>
    <n v="12858"/>
    <n v="7"/>
    <s v="Y"/>
    <s v="Yes"/>
    <s v="Yes"/>
    <n v="18"/>
    <n v="3"/>
    <n v="3"/>
    <n v="80"/>
    <n v="0"/>
    <n v="10"/>
    <s v="6-15"/>
    <n v="3"/>
    <n v="3"/>
    <n v="8"/>
    <n v="4"/>
    <n v="1"/>
    <n v="7"/>
    <s v="Below Avg"/>
    <n v="26.481481481481485"/>
    <s v="No"/>
    <s v="Low Risk"/>
  </r>
  <r>
    <n v="29"/>
    <x v="0"/>
    <s v="Yes"/>
    <s v="Travel_Rarely"/>
    <n v="806"/>
    <x v="1"/>
    <n v="7"/>
    <n v="3"/>
    <s v="Technical Degree"/>
    <n v="1"/>
    <n v="1299"/>
    <n v="2"/>
    <s v="Female"/>
    <n v="39"/>
    <n v="3"/>
    <x v="1"/>
    <s v="Laboratory Technician"/>
    <n v="3"/>
    <s v="Divorced"/>
    <n v="3339"/>
    <n v="17285"/>
    <n v="3"/>
    <s v="Y"/>
    <s v="Yes"/>
    <s v="Yes"/>
    <n v="13"/>
    <n v="3"/>
    <n v="1"/>
    <n v="80"/>
    <n v="2"/>
    <n v="10"/>
    <s v="6-15"/>
    <n v="2"/>
    <n v="3"/>
    <n v="7"/>
    <n v="7"/>
    <n v="7"/>
    <n v="7"/>
    <s v="Below Avg"/>
    <n v="26.530612244897959"/>
    <s v="No"/>
    <s v="Low Risk"/>
  </r>
  <r>
    <n v="28"/>
    <x v="1"/>
    <s v="No"/>
    <s v="Travel_Rarely"/>
    <n v="640"/>
    <x v="1"/>
    <n v="1"/>
    <n v="3"/>
    <s v="Technical Degree"/>
    <n v="1"/>
    <n v="1301"/>
    <n v="4"/>
    <s v="Male"/>
    <n v="84"/>
    <n v="3"/>
    <x v="1"/>
    <s v="Research Scientist"/>
    <n v="1"/>
    <s v="Single"/>
    <n v="2080"/>
    <n v="4732"/>
    <n v="2"/>
    <s v="Y"/>
    <s v="No"/>
    <s v="No"/>
    <n v="11"/>
    <n v="3"/>
    <n v="2"/>
    <n v="80"/>
    <n v="0"/>
    <n v="5"/>
    <s v="0-5"/>
    <n v="2"/>
    <n v="2"/>
    <n v="3"/>
    <n v="2"/>
    <n v="1"/>
    <n v="2"/>
    <s v="Below Avg"/>
    <n v="26.394052044609666"/>
    <s v="No"/>
    <s v="Low Risk"/>
  </r>
  <r>
    <n v="25"/>
    <x v="1"/>
    <s v="No"/>
    <s v="Travel_Rarely"/>
    <n v="266"/>
    <x v="1"/>
    <n v="1"/>
    <n v="3"/>
    <s v="Medical"/>
    <n v="1"/>
    <n v="1303"/>
    <n v="4"/>
    <s v="Female"/>
    <n v="40"/>
    <n v="3"/>
    <x v="1"/>
    <s v="Research Scientist"/>
    <n v="2"/>
    <s v="Single"/>
    <n v="2096"/>
    <n v="18830"/>
    <n v="1"/>
    <s v="Y"/>
    <s v="No"/>
    <s v="No"/>
    <n v="18"/>
    <n v="3"/>
    <n v="4"/>
    <n v="80"/>
    <n v="0"/>
    <n v="2"/>
    <s v="0-5"/>
    <n v="3"/>
    <n v="2"/>
    <n v="2"/>
    <n v="2"/>
    <n v="2"/>
    <n v="1"/>
    <s v="Below Avg"/>
    <n v="26.256983240223462"/>
    <s v="No"/>
    <s v="Low Risk"/>
  </r>
  <r>
    <n v="32"/>
    <x v="1"/>
    <s v="No"/>
    <s v="Travel_Rarely"/>
    <n v="604"/>
    <x v="0"/>
    <n v="8"/>
    <n v="3"/>
    <s v="Medical"/>
    <n v="1"/>
    <n v="1304"/>
    <n v="3"/>
    <s v="Male"/>
    <n v="56"/>
    <n v="4"/>
    <x v="0"/>
    <s v="Sales Executive"/>
    <n v="4"/>
    <s v="Married"/>
    <n v="6209"/>
    <n v="11693"/>
    <n v="1"/>
    <s v="Y"/>
    <s v="No"/>
    <s v="No"/>
    <n v="15"/>
    <n v="3"/>
    <n v="3"/>
    <n v="80"/>
    <n v="2"/>
    <n v="10"/>
    <s v="6-15"/>
    <n v="4"/>
    <n v="4"/>
    <n v="10"/>
    <n v="7"/>
    <n v="0"/>
    <n v="8"/>
    <s v="Below Avg"/>
    <n v="26.305970149253731"/>
    <s v="No"/>
    <s v="Low Risk"/>
  </r>
  <r>
    <n v="45"/>
    <x v="1"/>
    <s v="No"/>
    <s v="Travel_Frequently"/>
    <n v="364"/>
    <x v="1"/>
    <n v="25"/>
    <n v="3"/>
    <s v="Medical"/>
    <n v="1"/>
    <n v="1306"/>
    <n v="2"/>
    <s v="Female"/>
    <n v="83"/>
    <n v="3"/>
    <x v="4"/>
    <s v="Manager"/>
    <n v="2"/>
    <s v="Single"/>
    <n v="18061"/>
    <n v="13035"/>
    <n v="3"/>
    <s v="Y"/>
    <s v="No"/>
    <s v="No"/>
    <n v="22"/>
    <n v="4"/>
    <n v="3"/>
    <n v="80"/>
    <n v="0"/>
    <n v="22"/>
    <s v="&gt;15"/>
    <n v="4"/>
    <n v="3"/>
    <n v="0"/>
    <n v="0"/>
    <n v="0"/>
    <n v="0"/>
    <s v="Ok"/>
    <n v="26.355140186915886"/>
    <s v="No"/>
    <s v="Low Risk"/>
  </r>
  <r>
    <n v="39"/>
    <x v="1"/>
    <s v="No"/>
    <s v="Travel_Rarely"/>
    <n v="412"/>
    <x v="1"/>
    <n v="13"/>
    <n v="4"/>
    <s v="Medical"/>
    <n v="1"/>
    <n v="1307"/>
    <n v="3"/>
    <s v="Female"/>
    <n v="94"/>
    <n v="2"/>
    <x v="3"/>
    <s v="Manager"/>
    <n v="2"/>
    <s v="Divorced"/>
    <n v="17123"/>
    <n v="17334"/>
    <n v="6"/>
    <s v="Y"/>
    <s v="Yes"/>
    <s v="Yes"/>
    <n v="13"/>
    <n v="3"/>
    <n v="4"/>
    <n v="80"/>
    <n v="2"/>
    <n v="21"/>
    <s v="&gt;15"/>
    <n v="4"/>
    <n v="3"/>
    <n v="19"/>
    <n v="9"/>
    <n v="15"/>
    <n v="2"/>
    <s v="Ok"/>
    <n v="26.40449438202247"/>
    <s v="No"/>
    <s v="Low Risk"/>
  </r>
  <r>
    <n v="58"/>
    <x v="1"/>
    <s v="No"/>
    <s v="Travel_Rarely"/>
    <n v="848"/>
    <x v="1"/>
    <n v="23"/>
    <n v="4"/>
    <s v="Life Sciences"/>
    <n v="1"/>
    <n v="1308"/>
    <n v="1"/>
    <s v="Male"/>
    <n v="88"/>
    <n v="3"/>
    <x v="1"/>
    <s v="Research Scientist"/>
    <n v="3"/>
    <s v="Divorced"/>
    <n v="2372"/>
    <n v="26076"/>
    <n v="1"/>
    <s v="Y"/>
    <s v="No"/>
    <s v="No"/>
    <n v="12"/>
    <n v="3"/>
    <n v="4"/>
    <n v="80"/>
    <n v="2"/>
    <n v="2"/>
    <s v="0-5"/>
    <n v="3"/>
    <n v="3"/>
    <n v="2"/>
    <n v="2"/>
    <n v="2"/>
    <n v="2"/>
    <s v="Below Avg"/>
    <n v="26.454033771106943"/>
    <s v="No"/>
    <s v="Low Risk"/>
  </r>
  <r>
    <n v="32"/>
    <x v="0"/>
    <s v="Yes"/>
    <s v="Travel_Rarely"/>
    <n v="1089"/>
    <x v="1"/>
    <n v="7"/>
    <n v="2"/>
    <s v="Life Sciences"/>
    <n v="1"/>
    <n v="1309"/>
    <n v="4"/>
    <s v="Male"/>
    <n v="79"/>
    <n v="3"/>
    <x v="0"/>
    <s v="Laboratory Technician"/>
    <n v="3"/>
    <s v="Married"/>
    <n v="4883"/>
    <n v="22845"/>
    <n v="1"/>
    <s v="Y"/>
    <s v="No"/>
    <s v="No"/>
    <n v="18"/>
    <n v="3"/>
    <n v="1"/>
    <n v="80"/>
    <n v="1"/>
    <n v="10"/>
    <s v="6-15"/>
    <n v="3"/>
    <n v="3"/>
    <n v="10"/>
    <n v="4"/>
    <n v="1"/>
    <n v="1"/>
    <s v="Below Avg"/>
    <n v="26.315789473684209"/>
    <s v="No"/>
    <s v="Low Risk"/>
  </r>
  <r>
    <n v="39"/>
    <x v="0"/>
    <s v="Yes"/>
    <s v="Travel_Rarely"/>
    <n v="360"/>
    <x v="1"/>
    <n v="23"/>
    <n v="3"/>
    <s v="Medical"/>
    <n v="1"/>
    <n v="1310"/>
    <n v="3"/>
    <s v="Male"/>
    <n v="93"/>
    <n v="3"/>
    <x v="1"/>
    <s v="Research Scientist"/>
    <n v="1"/>
    <s v="Single"/>
    <n v="3904"/>
    <n v="22154"/>
    <n v="0"/>
    <s v="Y"/>
    <s v="No"/>
    <s v="No"/>
    <n v="13"/>
    <n v="3"/>
    <n v="1"/>
    <n v="80"/>
    <n v="0"/>
    <n v="6"/>
    <s v="6-15"/>
    <n v="2"/>
    <n v="3"/>
    <n v="5"/>
    <n v="2"/>
    <n v="0"/>
    <n v="3"/>
    <s v="Below Avg"/>
    <n v="26.365348399246702"/>
    <s v="No"/>
    <s v="Low Risk"/>
  </r>
  <r>
    <n v="30"/>
    <x v="1"/>
    <s v="No"/>
    <s v="Travel_Rarely"/>
    <n v="1138"/>
    <x v="1"/>
    <n v="6"/>
    <n v="3"/>
    <s v="Technical Degree"/>
    <n v="1"/>
    <n v="1311"/>
    <n v="1"/>
    <s v="Female"/>
    <n v="48"/>
    <n v="2"/>
    <x v="0"/>
    <s v="Laboratory Technician"/>
    <n v="4"/>
    <s v="Married"/>
    <n v="4627"/>
    <n v="23631"/>
    <n v="0"/>
    <s v="Y"/>
    <s v="No"/>
    <s v="No"/>
    <n v="12"/>
    <n v="3"/>
    <n v="1"/>
    <n v="80"/>
    <n v="1"/>
    <n v="10"/>
    <s v="6-15"/>
    <n v="6"/>
    <n v="3"/>
    <n v="9"/>
    <n v="2"/>
    <n v="6"/>
    <n v="7"/>
    <s v="Below Avg"/>
    <n v="26.415094339622641"/>
    <s v="No"/>
    <s v="Low Risk"/>
  </r>
  <r>
    <n v="36"/>
    <x v="1"/>
    <s v="No"/>
    <s v="Travel_Rarely"/>
    <n v="325"/>
    <x v="1"/>
    <n v="10"/>
    <n v="4"/>
    <s v="Technical Degree"/>
    <n v="1"/>
    <n v="1312"/>
    <n v="4"/>
    <s v="Female"/>
    <n v="63"/>
    <n v="3"/>
    <x v="2"/>
    <s v="Healthcare Representative"/>
    <n v="3"/>
    <s v="Married"/>
    <n v="7094"/>
    <n v="5747"/>
    <n v="3"/>
    <s v="Y"/>
    <s v="No"/>
    <s v="No"/>
    <n v="12"/>
    <n v="3"/>
    <n v="1"/>
    <n v="80"/>
    <n v="0"/>
    <n v="10"/>
    <s v="6-15"/>
    <n v="0"/>
    <n v="3"/>
    <n v="7"/>
    <n v="7"/>
    <n v="1"/>
    <n v="7"/>
    <s v="Ok"/>
    <n v="26.465028355387521"/>
    <s v="No"/>
    <s v="Low Risk"/>
  </r>
  <r>
    <n v="46"/>
    <x v="1"/>
    <s v="No"/>
    <s v="Travel_Rarely"/>
    <n v="991"/>
    <x v="2"/>
    <n v="1"/>
    <n v="2"/>
    <s v="Life Sciences"/>
    <n v="1"/>
    <n v="1314"/>
    <n v="4"/>
    <s v="Female"/>
    <n v="44"/>
    <n v="3"/>
    <x v="1"/>
    <s v="Human Resources"/>
    <n v="1"/>
    <s v="Single"/>
    <n v="3423"/>
    <n v="22957"/>
    <n v="6"/>
    <s v="Y"/>
    <s v="No"/>
    <s v="No"/>
    <n v="12"/>
    <n v="3"/>
    <n v="3"/>
    <n v="80"/>
    <n v="0"/>
    <n v="10"/>
    <s v="6-15"/>
    <n v="3"/>
    <n v="4"/>
    <n v="7"/>
    <n v="6"/>
    <n v="5"/>
    <n v="7"/>
    <s v="Below Avg"/>
    <n v="26.515151515151516"/>
    <s v="No"/>
    <s v="Low Risk"/>
  </r>
  <r>
    <n v="28"/>
    <x v="1"/>
    <s v="No"/>
    <s v="Non-Travel"/>
    <n v="1476"/>
    <x v="1"/>
    <n v="1"/>
    <n v="3"/>
    <s v="Life Sciences"/>
    <n v="1"/>
    <n v="1315"/>
    <n v="3"/>
    <s v="Female"/>
    <n v="55"/>
    <n v="1"/>
    <x v="0"/>
    <s v="Laboratory Technician"/>
    <n v="4"/>
    <s v="Married"/>
    <n v="6674"/>
    <n v="16392"/>
    <n v="0"/>
    <s v="Y"/>
    <s v="No"/>
    <s v="No"/>
    <n v="11"/>
    <n v="3"/>
    <n v="1"/>
    <n v="80"/>
    <n v="3"/>
    <n v="10"/>
    <s v="6-15"/>
    <n v="6"/>
    <n v="3"/>
    <n v="9"/>
    <n v="8"/>
    <n v="7"/>
    <n v="5"/>
    <s v="Ok"/>
    <n v="26.565464895635671"/>
    <s v="No"/>
    <s v="Low Risk"/>
  </r>
  <r>
    <n v="50"/>
    <x v="1"/>
    <s v="No"/>
    <s v="Travel_Rarely"/>
    <n v="1322"/>
    <x v="1"/>
    <n v="28"/>
    <n v="3"/>
    <s v="Life Sciences"/>
    <n v="1"/>
    <n v="1317"/>
    <n v="4"/>
    <s v="Female"/>
    <n v="43"/>
    <n v="3"/>
    <x v="3"/>
    <s v="Research Director"/>
    <n v="1"/>
    <s v="Married"/>
    <n v="16880"/>
    <n v="22422"/>
    <n v="4"/>
    <s v="Y"/>
    <s v="Yes"/>
    <s v="Yes"/>
    <n v="11"/>
    <n v="3"/>
    <n v="2"/>
    <n v="80"/>
    <n v="0"/>
    <n v="25"/>
    <s v="&gt;15"/>
    <n v="2"/>
    <n v="3"/>
    <n v="3"/>
    <n v="2"/>
    <n v="1"/>
    <n v="2"/>
    <s v="Ok"/>
    <n v="26.615969581749049"/>
    <s v="No"/>
    <s v="Low Risk"/>
  </r>
  <r>
    <n v="40"/>
    <x v="0"/>
    <s v="Yes"/>
    <s v="Travel_Rarely"/>
    <n v="299"/>
    <x v="0"/>
    <n v="25"/>
    <n v="4"/>
    <s v="Marketing"/>
    <n v="1"/>
    <n v="1318"/>
    <n v="4"/>
    <s v="Male"/>
    <n v="57"/>
    <n v="2"/>
    <x v="2"/>
    <s v="Sales Executive"/>
    <n v="2"/>
    <s v="Single"/>
    <n v="9094"/>
    <n v="17235"/>
    <n v="2"/>
    <s v="Y"/>
    <s v="Yes"/>
    <s v="Yes"/>
    <n v="12"/>
    <n v="3"/>
    <n v="3"/>
    <n v="80"/>
    <n v="0"/>
    <n v="9"/>
    <s v="6-15"/>
    <n v="2"/>
    <n v="3"/>
    <n v="5"/>
    <n v="4"/>
    <n v="1"/>
    <n v="0"/>
    <s v="Ok"/>
    <n v="26.666666666666668"/>
    <s v="No"/>
    <s v="Low Risk"/>
  </r>
  <r>
    <n v="52"/>
    <x v="0"/>
    <s v="Yes"/>
    <s v="Travel_Rarely"/>
    <n v="1030"/>
    <x v="0"/>
    <n v="5"/>
    <n v="3"/>
    <s v="Life Sciences"/>
    <n v="1"/>
    <n v="1319"/>
    <n v="2"/>
    <s v="Male"/>
    <n v="64"/>
    <n v="3"/>
    <x v="2"/>
    <s v="Sales Executive"/>
    <n v="2"/>
    <s v="Single"/>
    <n v="8446"/>
    <n v="21534"/>
    <n v="9"/>
    <s v="Y"/>
    <s v="Yes"/>
    <s v="Yes"/>
    <n v="19"/>
    <n v="3"/>
    <n v="3"/>
    <n v="80"/>
    <n v="0"/>
    <n v="10"/>
    <s v="6-15"/>
    <n v="2"/>
    <n v="2"/>
    <n v="8"/>
    <n v="7"/>
    <n v="7"/>
    <n v="7"/>
    <s v="Ok"/>
    <n v="26.52671755725191"/>
    <s v="No"/>
    <s v="Low Risk"/>
  </r>
  <r>
    <n v="30"/>
    <x v="1"/>
    <s v="No"/>
    <s v="Travel_Rarely"/>
    <n v="634"/>
    <x v="1"/>
    <n v="17"/>
    <n v="4"/>
    <s v="Medical"/>
    <n v="1"/>
    <n v="1321"/>
    <n v="2"/>
    <s v="Female"/>
    <n v="95"/>
    <n v="3"/>
    <x v="2"/>
    <s v="Manager"/>
    <n v="1"/>
    <s v="Married"/>
    <n v="11916"/>
    <n v="25927"/>
    <n v="1"/>
    <s v="Y"/>
    <s v="Yes"/>
    <s v="Yes"/>
    <n v="23"/>
    <n v="4"/>
    <n v="4"/>
    <n v="80"/>
    <n v="2"/>
    <n v="9"/>
    <s v="6-15"/>
    <n v="2"/>
    <n v="3"/>
    <n v="9"/>
    <n v="1"/>
    <n v="0"/>
    <n v="8"/>
    <s v="Ok"/>
    <n v="26.38623326959847"/>
    <s v="No"/>
    <s v="Low Risk"/>
  </r>
  <r>
    <n v="39"/>
    <x v="1"/>
    <s v="No"/>
    <s v="Travel_Rarely"/>
    <n v="524"/>
    <x v="1"/>
    <n v="18"/>
    <n v="2"/>
    <s v="Life Sciences"/>
    <n v="1"/>
    <n v="1322"/>
    <n v="1"/>
    <s v="Male"/>
    <n v="32"/>
    <n v="3"/>
    <x v="0"/>
    <s v="Manufacturing Director"/>
    <n v="3"/>
    <s v="Single"/>
    <n v="4534"/>
    <n v="13352"/>
    <n v="0"/>
    <s v="Y"/>
    <s v="No"/>
    <s v="No"/>
    <n v="11"/>
    <n v="3"/>
    <n v="1"/>
    <n v="80"/>
    <n v="0"/>
    <n v="9"/>
    <s v="6-15"/>
    <n v="6"/>
    <n v="3"/>
    <n v="8"/>
    <n v="7"/>
    <n v="1"/>
    <n v="7"/>
    <s v="Below Avg"/>
    <n v="26.245210727969347"/>
    <s v="No"/>
    <s v="Low Risk"/>
  </r>
  <r>
    <n v="31"/>
    <x v="1"/>
    <s v="No"/>
    <s v="Non-Travel"/>
    <n v="587"/>
    <x v="0"/>
    <n v="2"/>
    <n v="4"/>
    <s v="Life Sciences"/>
    <n v="1"/>
    <n v="1324"/>
    <n v="4"/>
    <s v="Female"/>
    <n v="57"/>
    <n v="3"/>
    <x v="2"/>
    <s v="Sales Executive"/>
    <n v="3"/>
    <s v="Divorced"/>
    <n v="9852"/>
    <n v="8935"/>
    <n v="1"/>
    <s v="Y"/>
    <s v="Yes"/>
    <s v="Yes"/>
    <n v="19"/>
    <n v="3"/>
    <n v="1"/>
    <n v="80"/>
    <n v="1"/>
    <n v="10"/>
    <s v="6-15"/>
    <n v="5"/>
    <n v="2"/>
    <n v="10"/>
    <n v="8"/>
    <n v="9"/>
    <n v="6"/>
    <s v="Ok"/>
    <n v="26.103646833013432"/>
    <s v="No"/>
    <s v="Low Risk"/>
  </r>
  <r>
    <n v="41"/>
    <x v="1"/>
    <s v="No"/>
    <s v="Non-Travel"/>
    <n v="256"/>
    <x v="0"/>
    <n v="10"/>
    <n v="2"/>
    <s v="Medical"/>
    <n v="1"/>
    <n v="1329"/>
    <n v="3"/>
    <s v="Male"/>
    <n v="40"/>
    <n v="1"/>
    <x v="0"/>
    <s v="Sales Executive"/>
    <n v="2"/>
    <s v="Single"/>
    <n v="6151"/>
    <n v="22074"/>
    <n v="1"/>
    <s v="Y"/>
    <s v="No"/>
    <s v="No"/>
    <n v="13"/>
    <n v="3"/>
    <n v="1"/>
    <n v="80"/>
    <n v="0"/>
    <n v="19"/>
    <s v="&gt;15"/>
    <n v="4"/>
    <n v="3"/>
    <n v="19"/>
    <n v="2"/>
    <n v="11"/>
    <n v="9"/>
    <s v="Below Avg"/>
    <n v="26.153846153846157"/>
    <s v="No"/>
    <s v="Low Risk"/>
  </r>
  <r>
    <n v="31"/>
    <x v="0"/>
    <s v="Yes"/>
    <s v="Travel_Frequently"/>
    <n v="1060"/>
    <x v="0"/>
    <n v="1"/>
    <n v="3"/>
    <s v="Life Sciences"/>
    <n v="1"/>
    <n v="1331"/>
    <n v="4"/>
    <s v="Female"/>
    <n v="54"/>
    <n v="3"/>
    <x v="1"/>
    <s v="Sales Representative"/>
    <n v="2"/>
    <s v="Single"/>
    <n v="2302"/>
    <n v="8319"/>
    <n v="1"/>
    <s v="Y"/>
    <s v="Yes"/>
    <s v="Yes"/>
    <n v="11"/>
    <n v="3"/>
    <n v="1"/>
    <n v="80"/>
    <n v="0"/>
    <n v="3"/>
    <s v="0-5"/>
    <n v="2"/>
    <n v="4"/>
    <n v="3"/>
    <n v="2"/>
    <n v="2"/>
    <n v="2"/>
    <s v="Below Avg"/>
    <n v="26.011560693641616"/>
    <s v="No"/>
    <s v="Low Risk"/>
  </r>
  <r>
    <n v="44"/>
    <x v="0"/>
    <s v="Yes"/>
    <s v="Travel_Rarely"/>
    <n v="935"/>
    <x v="1"/>
    <n v="3"/>
    <n v="3"/>
    <s v="Life Sciences"/>
    <n v="1"/>
    <n v="1333"/>
    <n v="1"/>
    <s v="Male"/>
    <n v="89"/>
    <n v="3"/>
    <x v="1"/>
    <s v="Laboratory Technician"/>
    <n v="1"/>
    <s v="Married"/>
    <n v="2362"/>
    <n v="14669"/>
    <n v="4"/>
    <s v="Y"/>
    <s v="No"/>
    <s v="No"/>
    <n v="12"/>
    <n v="3"/>
    <n v="3"/>
    <n v="80"/>
    <n v="0"/>
    <n v="10"/>
    <s v="6-15"/>
    <n v="4"/>
    <n v="4"/>
    <n v="3"/>
    <n v="2"/>
    <n v="1"/>
    <n v="2"/>
    <s v="Below Avg"/>
    <n v="26.061776061776058"/>
    <s v="No"/>
    <s v="Low Risk"/>
  </r>
  <r>
    <n v="42"/>
    <x v="1"/>
    <s v="No"/>
    <s v="Non-Travel"/>
    <n v="495"/>
    <x v="1"/>
    <n v="2"/>
    <n v="1"/>
    <s v="Life Sciences"/>
    <n v="1"/>
    <n v="1334"/>
    <n v="3"/>
    <s v="Male"/>
    <n v="37"/>
    <n v="3"/>
    <x v="3"/>
    <s v="Manager"/>
    <n v="3"/>
    <s v="Married"/>
    <n v="17861"/>
    <n v="26582"/>
    <n v="0"/>
    <s v="Y"/>
    <s v="Yes"/>
    <s v="Yes"/>
    <n v="13"/>
    <n v="3"/>
    <n v="4"/>
    <n v="80"/>
    <n v="0"/>
    <n v="21"/>
    <s v="&gt;15"/>
    <n v="3"/>
    <n v="2"/>
    <n v="20"/>
    <n v="8"/>
    <n v="2"/>
    <n v="10"/>
    <s v="Ok"/>
    <n v="25.918762088974855"/>
    <s v="No"/>
    <s v="Low Risk"/>
  </r>
  <r>
    <n v="55"/>
    <x v="1"/>
    <s v="No"/>
    <s v="Travel_Rarely"/>
    <n v="282"/>
    <x v="1"/>
    <n v="2"/>
    <n v="2"/>
    <s v="Medical"/>
    <n v="1"/>
    <n v="1336"/>
    <n v="4"/>
    <s v="Female"/>
    <n v="58"/>
    <n v="1"/>
    <x v="4"/>
    <s v="Manager"/>
    <n v="3"/>
    <s v="Married"/>
    <n v="19187"/>
    <n v="6992"/>
    <n v="4"/>
    <s v="Y"/>
    <s v="No"/>
    <s v="No"/>
    <n v="14"/>
    <n v="3"/>
    <n v="4"/>
    <n v="80"/>
    <n v="1"/>
    <n v="23"/>
    <s v="&gt;15"/>
    <n v="5"/>
    <n v="3"/>
    <n v="19"/>
    <n v="9"/>
    <n v="9"/>
    <n v="11"/>
    <s v="Ok"/>
    <n v="25.968992248062015"/>
    <s v="No"/>
    <s v="Low Risk"/>
  </r>
  <r>
    <n v="56"/>
    <x v="1"/>
    <s v="No"/>
    <s v="Travel_Rarely"/>
    <n v="206"/>
    <x v="2"/>
    <n v="8"/>
    <n v="4"/>
    <s v="Life Sciences"/>
    <n v="1"/>
    <n v="1338"/>
    <n v="4"/>
    <s v="Male"/>
    <n v="99"/>
    <n v="3"/>
    <x v="4"/>
    <s v="Manager"/>
    <n v="2"/>
    <s v="Single"/>
    <n v="19717"/>
    <n v="4022"/>
    <n v="6"/>
    <s v="Y"/>
    <s v="No"/>
    <s v="No"/>
    <n v="14"/>
    <n v="3"/>
    <n v="1"/>
    <n v="80"/>
    <n v="0"/>
    <n v="36"/>
    <s v="&gt;15"/>
    <n v="4"/>
    <n v="3"/>
    <n v="7"/>
    <n v="3"/>
    <n v="7"/>
    <n v="7"/>
    <s v="Ok"/>
    <n v="25.825242718446599"/>
    <s v="No"/>
    <s v="Low Risk"/>
  </r>
  <r>
    <n v="40"/>
    <x v="1"/>
    <s v="No"/>
    <s v="Non-Travel"/>
    <n v="458"/>
    <x v="1"/>
    <n v="16"/>
    <n v="2"/>
    <s v="Life Sciences"/>
    <n v="1"/>
    <n v="1340"/>
    <n v="3"/>
    <s v="Male"/>
    <n v="74"/>
    <n v="3"/>
    <x v="1"/>
    <s v="Research Scientist"/>
    <n v="3"/>
    <s v="Divorced"/>
    <n v="3544"/>
    <n v="8532"/>
    <n v="9"/>
    <s v="Y"/>
    <s v="No"/>
    <s v="No"/>
    <n v="16"/>
    <n v="3"/>
    <n v="2"/>
    <n v="80"/>
    <n v="1"/>
    <n v="6"/>
    <s v="6-15"/>
    <n v="0"/>
    <n v="3"/>
    <n v="4"/>
    <n v="2"/>
    <n v="0"/>
    <n v="0"/>
    <s v="Below Avg"/>
    <n v="25.875486381322961"/>
    <s v="No"/>
    <s v="Low Risk"/>
  </r>
  <r>
    <n v="34"/>
    <x v="1"/>
    <s v="No"/>
    <s v="Travel_Rarely"/>
    <n v="943"/>
    <x v="1"/>
    <n v="9"/>
    <n v="3"/>
    <s v="Life Sciences"/>
    <n v="1"/>
    <n v="1344"/>
    <n v="4"/>
    <s v="Male"/>
    <n v="86"/>
    <n v="3"/>
    <x v="2"/>
    <s v="Healthcare Representative"/>
    <n v="4"/>
    <s v="Divorced"/>
    <n v="8500"/>
    <n v="5494"/>
    <n v="0"/>
    <s v="Y"/>
    <s v="No"/>
    <s v="No"/>
    <n v="11"/>
    <n v="3"/>
    <n v="4"/>
    <n v="80"/>
    <n v="1"/>
    <n v="10"/>
    <s v="6-15"/>
    <n v="0"/>
    <n v="2"/>
    <n v="9"/>
    <n v="7"/>
    <n v="1"/>
    <n v="6"/>
    <s v="Ok"/>
    <n v="25.925925925925924"/>
    <s v="No"/>
    <s v="Low Risk"/>
  </r>
  <r>
    <n v="40"/>
    <x v="1"/>
    <s v="No"/>
    <s v="Travel_Rarely"/>
    <n v="523"/>
    <x v="1"/>
    <n v="2"/>
    <n v="3"/>
    <s v="Life Sciences"/>
    <n v="1"/>
    <n v="1346"/>
    <n v="3"/>
    <s v="Male"/>
    <n v="98"/>
    <n v="3"/>
    <x v="0"/>
    <s v="Research Scientist"/>
    <n v="4"/>
    <s v="Single"/>
    <n v="4661"/>
    <n v="22455"/>
    <n v="1"/>
    <s v="Y"/>
    <s v="No"/>
    <s v="No"/>
    <n v="13"/>
    <n v="3"/>
    <n v="3"/>
    <n v="80"/>
    <n v="0"/>
    <n v="9"/>
    <s v="6-15"/>
    <n v="4"/>
    <n v="3"/>
    <n v="9"/>
    <n v="8"/>
    <n v="8"/>
    <n v="8"/>
    <s v="Below Avg"/>
    <n v="25.9765625"/>
    <s v="No"/>
    <s v="Low Risk"/>
  </r>
  <r>
    <n v="41"/>
    <x v="1"/>
    <s v="No"/>
    <s v="Travel_Frequently"/>
    <n v="1018"/>
    <x v="0"/>
    <n v="1"/>
    <n v="3"/>
    <s v="Marketing"/>
    <n v="1"/>
    <n v="1349"/>
    <n v="3"/>
    <s v="Female"/>
    <n v="66"/>
    <n v="3"/>
    <x v="0"/>
    <s v="Sales Executive"/>
    <n v="1"/>
    <s v="Divorced"/>
    <n v="4103"/>
    <n v="4297"/>
    <n v="0"/>
    <s v="Y"/>
    <s v="No"/>
    <s v="No"/>
    <n v="17"/>
    <n v="3"/>
    <n v="4"/>
    <n v="80"/>
    <n v="1"/>
    <n v="10"/>
    <s v="6-15"/>
    <n v="2"/>
    <n v="3"/>
    <n v="9"/>
    <n v="3"/>
    <n v="1"/>
    <n v="7"/>
    <s v="Below Avg"/>
    <n v="26.027397260273972"/>
    <s v="No"/>
    <s v="Low Risk"/>
  </r>
  <r>
    <n v="35"/>
    <x v="1"/>
    <s v="No"/>
    <s v="Travel_Frequently"/>
    <n v="482"/>
    <x v="1"/>
    <n v="4"/>
    <n v="4"/>
    <s v="Life Sciences"/>
    <n v="1"/>
    <n v="1350"/>
    <n v="3"/>
    <s v="Male"/>
    <n v="87"/>
    <n v="3"/>
    <x v="0"/>
    <s v="Research Scientist"/>
    <n v="3"/>
    <s v="Single"/>
    <n v="4249"/>
    <n v="2690"/>
    <n v="1"/>
    <s v="Y"/>
    <s v="Yes"/>
    <s v="Yes"/>
    <n v="11"/>
    <n v="3"/>
    <n v="2"/>
    <n v="80"/>
    <n v="0"/>
    <n v="9"/>
    <s v="6-15"/>
    <n v="3"/>
    <n v="3"/>
    <n v="9"/>
    <n v="6"/>
    <n v="1"/>
    <n v="1"/>
    <s v="Below Avg"/>
    <n v="26.078431372549023"/>
    <s v="No"/>
    <s v="Low Risk"/>
  </r>
  <r>
    <n v="51"/>
    <x v="1"/>
    <s v="No"/>
    <s v="Travel_Rarely"/>
    <n v="770"/>
    <x v="2"/>
    <n v="5"/>
    <n v="3"/>
    <s v="Life Sciences"/>
    <n v="1"/>
    <n v="1352"/>
    <n v="3"/>
    <s v="Male"/>
    <n v="84"/>
    <n v="3"/>
    <x v="3"/>
    <s v="Manager"/>
    <n v="2"/>
    <s v="Divorced"/>
    <n v="14026"/>
    <n v="17588"/>
    <n v="1"/>
    <s v="Y"/>
    <s v="Yes"/>
    <s v="Yes"/>
    <n v="11"/>
    <n v="3"/>
    <n v="2"/>
    <n v="80"/>
    <n v="1"/>
    <n v="33"/>
    <s v="&gt;15"/>
    <n v="2"/>
    <n v="3"/>
    <n v="33"/>
    <n v="9"/>
    <n v="0"/>
    <n v="10"/>
    <s v="Ok"/>
    <n v="26.129666011787815"/>
    <s v="No"/>
    <s v="Low Risk"/>
  </r>
  <r>
    <n v="38"/>
    <x v="1"/>
    <s v="No"/>
    <s v="Travel_Rarely"/>
    <n v="1009"/>
    <x v="0"/>
    <n v="2"/>
    <n v="2"/>
    <s v="Life Sciences"/>
    <n v="1"/>
    <n v="1355"/>
    <n v="2"/>
    <s v="Female"/>
    <n v="31"/>
    <n v="3"/>
    <x v="0"/>
    <s v="Sales Executive"/>
    <n v="1"/>
    <s v="Divorced"/>
    <n v="6893"/>
    <n v="19461"/>
    <n v="3"/>
    <s v="Y"/>
    <s v="No"/>
    <s v="No"/>
    <n v="15"/>
    <n v="3"/>
    <n v="4"/>
    <n v="80"/>
    <n v="1"/>
    <n v="11"/>
    <s v="6-15"/>
    <n v="3"/>
    <n v="3"/>
    <n v="7"/>
    <n v="7"/>
    <n v="1"/>
    <n v="7"/>
    <s v="Ok"/>
    <n v="25.984251968503933"/>
    <s v="No"/>
    <s v="Low Risk"/>
  </r>
  <r>
    <n v="34"/>
    <x v="1"/>
    <s v="No"/>
    <s v="Travel_Rarely"/>
    <n v="507"/>
    <x v="0"/>
    <n v="15"/>
    <n v="2"/>
    <s v="Medical"/>
    <n v="1"/>
    <n v="1356"/>
    <n v="3"/>
    <s v="Female"/>
    <n v="66"/>
    <n v="3"/>
    <x v="0"/>
    <s v="Sales Executive"/>
    <n v="1"/>
    <s v="Single"/>
    <n v="6125"/>
    <n v="23553"/>
    <n v="1"/>
    <s v="Y"/>
    <s v="No"/>
    <s v="No"/>
    <n v="12"/>
    <n v="3"/>
    <n v="4"/>
    <n v="80"/>
    <n v="0"/>
    <n v="10"/>
    <s v="6-15"/>
    <n v="6"/>
    <n v="4"/>
    <n v="10"/>
    <n v="8"/>
    <n v="9"/>
    <n v="6"/>
    <s v="Below Avg"/>
    <n v="25.838264299802759"/>
    <s v="No"/>
    <s v="Low Risk"/>
  </r>
  <r>
    <n v="25"/>
    <x v="1"/>
    <s v="No"/>
    <s v="Travel_Rarely"/>
    <n v="882"/>
    <x v="1"/>
    <n v="19"/>
    <n v="1"/>
    <s v="Medical"/>
    <n v="1"/>
    <n v="1358"/>
    <n v="4"/>
    <s v="Male"/>
    <n v="67"/>
    <n v="3"/>
    <x v="1"/>
    <s v="Laboratory Technician"/>
    <n v="4"/>
    <s v="Married"/>
    <n v="3669"/>
    <n v="9075"/>
    <n v="3"/>
    <s v="Y"/>
    <s v="No"/>
    <s v="No"/>
    <n v="11"/>
    <n v="3"/>
    <n v="3"/>
    <n v="80"/>
    <n v="3"/>
    <n v="7"/>
    <s v="6-15"/>
    <n v="6"/>
    <n v="2"/>
    <n v="3"/>
    <n v="2"/>
    <n v="1"/>
    <n v="2"/>
    <s v="Below Avg"/>
    <n v="25.889328063241106"/>
    <s v="No"/>
    <s v="Low Risk"/>
  </r>
  <r>
    <n v="58"/>
    <x v="0"/>
    <s v="Yes"/>
    <s v="Travel_Rarely"/>
    <n v="601"/>
    <x v="1"/>
    <n v="7"/>
    <n v="4"/>
    <s v="Medical"/>
    <n v="1"/>
    <n v="1360"/>
    <n v="3"/>
    <s v="Female"/>
    <n v="53"/>
    <n v="2"/>
    <x v="2"/>
    <s v="Manufacturing Director"/>
    <n v="1"/>
    <s v="Married"/>
    <n v="10008"/>
    <n v="12023"/>
    <n v="7"/>
    <s v="Y"/>
    <s v="Yes"/>
    <s v="Yes"/>
    <n v="14"/>
    <n v="3"/>
    <n v="4"/>
    <n v="80"/>
    <n v="0"/>
    <n v="31"/>
    <s v="&gt;15"/>
    <n v="0"/>
    <n v="2"/>
    <n v="10"/>
    <n v="9"/>
    <n v="5"/>
    <n v="9"/>
    <s v="Ok"/>
    <n v="25.940594059405942"/>
    <s v="No"/>
    <s v="Low Risk"/>
  </r>
  <r>
    <n v="40"/>
    <x v="1"/>
    <s v="No"/>
    <s v="Travel_Rarely"/>
    <n v="329"/>
    <x v="1"/>
    <n v="1"/>
    <n v="4"/>
    <s v="Life Sciences"/>
    <n v="1"/>
    <n v="1361"/>
    <n v="2"/>
    <s v="Male"/>
    <n v="88"/>
    <n v="3"/>
    <x v="1"/>
    <s v="Laboratory Technician"/>
    <n v="2"/>
    <s v="Married"/>
    <n v="2387"/>
    <n v="6762"/>
    <n v="3"/>
    <s v="Y"/>
    <s v="No"/>
    <s v="No"/>
    <n v="22"/>
    <n v="4"/>
    <n v="3"/>
    <n v="80"/>
    <n v="1"/>
    <n v="7"/>
    <s v="6-15"/>
    <n v="3"/>
    <n v="3"/>
    <n v="4"/>
    <n v="2"/>
    <n v="0"/>
    <n v="3"/>
    <s v="Below Avg"/>
    <n v="25.992063492063494"/>
    <s v="No"/>
    <s v="Low Risk"/>
  </r>
  <r>
    <n v="36"/>
    <x v="1"/>
    <s v="No"/>
    <s v="Travel_Frequently"/>
    <n v="607"/>
    <x v="0"/>
    <n v="7"/>
    <n v="3"/>
    <s v="Marketing"/>
    <n v="1"/>
    <n v="1362"/>
    <n v="1"/>
    <s v="Female"/>
    <n v="83"/>
    <n v="4"/>
    <x v="0"/>
    <s v="Sales Executive"/>
    <n v="1"/>
    <s v="Married"/>
    <n v="4639"/>
    <n v="2261"/>
    <n v="2"/>
    <s v="Y"/>
    <s v="No"/>
    <s v="No"/>
    <n v="16"/>
    <n v="3"/>
    <n v="4"/>
    <n v="80"/>
    <n v="1"/>
    <n v="17"/>
    <s v="&gt;15"/>
    <n v="2"/>
    <n v="2"/>
    <n v="15"/>
    <n v="7"/>
    <n v="6"/>
    <n v="13"/>
    <s v="Below Avg"/>
    <n v="25.844930417495032"/>
    <s v="No"/>
    <s v="Low Risk"/>
  </r>
  <r>
    <n v="48"/>
    <x v="1"/>
    <s v="No"/>
    <s v="Travel_Rarely"/>
    <n v="855"/>
    <x v="1"/>
    <n v="4"/>
    <n v="3"/>
    <s v="Life Sciences"/>
    <n v="1"/>
    <n v="1363"/>
    <n v="4"/>
    <s v="Male"/>
    <n v="54"/>
    <n v="3"/>
    <x v="2"/>
    <s v="Manufacturing Director"/>
    <n v="4"/>
    <s v="Single"/>
    <n v="7898"/>
    <n v="18706"/>
    <n v="1"/>
    <s v="Y"/>
    <s v="No"/>
    <s v="No"/>
    <n v="11"/>
    <n v="3"/>
    <n v="3"/>
    <n v="80"/>
    <n v="0"/>
    <n v="11"/>
    <s v="6-15"/>
    <n v="2"/>
    <n v="3"/>
    <n v="10"/>
    <n v="9"/>
    <n v="0"/>
    <n v="8"/>
    <s v="Ok"/>
    <n v="25.89641434262948"/>
    <s v="No"/>
    <s v="Low Risk"/>
  </r>
  <r>
    <n v="27"/>
    <x v="1"/>
    <s v="No"/>
    <s v="Travel_Rarely"/>
    <n v="1291"/>
    <x v="0"/>
    <n v="11"/>
    <n v="3"/>
    <s v="Medical"/>
    <n v="1"/>
    <n v="1364"/>
    <n v="3"/>
    <s v="Female"/>
    <n v="98"/>
    <n v="4"/>
    <x v="1"/>
    <s v="Sales Representative"/>
    <n v="4"/>
    <s v="Married"/>
    <n v="2534"/>
    <n v="6527"/>
    <n v="8"/>
    <s v="Y"/>
    <s v="No"/>
    <s v="No"/>
    <n v="14"/>
    <n v="3"/>
    <n v="2"/>
    <n v="80"/>
    <n v="1"/>
    <n v="5"/>
    <s v="0-5"/>
    <n v="4"/>
    <n v="3"/>
    <n v="1"/>
    <n v="0"/>
    <n v="0"/>
    <n v="0"/>
    <s v="Below Avg"/>
    <n v="25.948103792415168"/>
    <s v="No"/>
    <s v="Low Risk"/>
  </r>
  <r>
    <n v="51"/>
    <x v="1"/>
    <s v="No"/>
    <s v="Travel_Rarely"/>
    <n v="1405"/>
    <x v="1"/>
    <n v="11"/>
    <n v="2"/>
    <s v="Technical Degree"/>
    <n v="1"/>
    <n v="1367"/>
    <n v="4"/>
    <s v="Female"/>
    <n v="82"/>
    <n v="2"/>
    <x v="3"/>
    <s v="Manufacturing Director"/>
    <n v="2"/>
    <s v="Single"/>
    <n v="13142"/>
    <n v="24439"/>
    <n v="3"/>
    <s v="Y"/>
    <s v="No"/>
    <s v="No"/>
    <n v="16"/>
    <n v="3"/>
    <n v="2"/>
    <n v="80"/>
    <n v="0"/>
    <n v="29"/>
    <s v="&gt;15"/>
    <n v="1"/>
    <n v="2"/>
    <n v="5"/>
    <n v="2"/>
    <n v="0"/>
    <n v="3"/>
    <s v="Ok"/>
    <n v="26"/>
    <s v="No"/>
    <s v="Low Risk"/>
  </r>
  <r>
    <n v="18"/>
    <x v="1"/>
    <s v="No"/>
    <s v="Non-Travel"/>
    <n v="1124"/>
    <x v="1"/>
    <n v="1"/>
    <n v="3"/>
    <s v="Life Sciences"/>
    <n v="1"/>
    <n v="1368"/>
    <n v="4"/>
    <s v="Female"/>
    <n v="97"/>
    <n v="3"/>
    <x v="1"/>
    <s v="Laboratory Technician"/>
    <n v="4"/>
    <s v="Single"/>
    <n v="1611"/>
    <n v="19305"/>
    <n v="1"/>
    <s v="Y"/>
    <s v="No"/>
    <s v="No"/>
    <n v="15"/>
    <n v="3"/>
    <n v="3"/>
    <n v="80"/>
    <n v="0"/>
    <n v="0"/>
    <s v="0-5"/>
    <n v="5"/>
    <n v="4"/>
    <n v="0"/>
    <n v="0"/>
    <n v="0"/>
    <n v="0"/>
    <s v="Below Avg"/>
    <n v="26.052104208416832"/>
    <s v="No"/>
    <s v="Low Risk"/>
  </r>
  <r>
    <n v="35"/>
    <x v="1"/>
    <s v="No"/>
    <s v="Travel_Rarely"/>
    <n v="817"/>
    <x v="1"/>
    <n v="1"/>
    <n v="3"/>
    <s v="Medical"/>
    <n v="1"/>
    <n v="1369"/>
    <n v="4"/>
    <s v="Female"/>
    <n v="60"/>
    <n v="2"/>
    <x v="0"/>
    <s v="Laboratory Technician"/>
    <n v="4"/>
    <s v="Married"/>
    <n v="5363"/>
    <n v="10846"/>
    <n v="0"/>
    <s v="Y"/>
    <s v="No"/>
    <s v="No"/>
    <n v="12"/>
    <n v="3"/>
    <n v="2"/>
    <n v="80"/>
    <n v="1"/>
    <n v="10"/>
    <s v="6-15"/>
    <n v="0"/>
    <n v="3"/>
    <n v="9"/>
    <n v="7"/>
    <n v="0"/>
    <n v="0"/>
    <s v="Below Avg"/>
    <n v="26.104417670682732"/>
    <s v="No"/>
    <s v="Low Risk"/>
  </r>
  <r>
    <n v="27"/>
    <x v="1"/>
    <s v="No"/>
    <s v="Travel_Frequently"/>
    <n v="793"/>
    <x v="0"/>
    <n v="2"/>
    <n v="1"/>
    <s v="Life Sciences"/>
    <n v="1"/>
    <n v="1371"/>
    <n v="4"/>
    <s v="Male"/>
    <n v="43"/>
    <n v="1"/>
    <x v="0"/>
    <s v="Sales Executive"/>
    <n v="4"/>
    <s v="Single"/>
    <n v="5071"/>
    <n v="20392"/>
    <n v="3"/>
    <s v="Y"/>
    <s v="No"/>
    <s v="No"/>
    <n v="20"/>
    <n v="4"/>
    <n v="2"/>
    <n v="80"/>
    <n v="0"/>
    <n v="8"/>
    <s v="6-15"/>
    <n v="3"/>
    <n v="3"/>
    <n v="6"/>
    <n v="2"/>
    <n v="0"/>
    <n v="0"/>
    <s v="Below Avg"/>
    <n v="26.156941649899395"/>
    <s v="No"/>
    <s v="Low Risk"/>
  </r>
  <r>
    <n v="55"/>
    <x v="0"/>
    <s v="Yes"/>
    <s v="Travel_Rarely"/>
    <n v="267"/>
    <x v="0"/>
    <n v="13"/>
    <n v="4"/>
    <s v="Marketing"/>
    <n v="1"/>
    <n v="1372"/>
    <n v="1"/>
    <s v="Male"/>
    <n v="85"/>
    <n v="4"/>
    <x v="3"/>
    <s v="Sales Executive"/>
    <n v="3"/>
    <s v="Single"/>
    <n v="13695"/>
    <n v="9277"/>
    <n v="6"/>
    <s v="Y"/>
    <s v="Yes"/>
    <s v="Yes"/>
    <n v="17"/>
    <n v="3"/>
    <n v="3"/>
    <n v="80"/>
    <n v="0"/>
    <n v="24"/>
    <s v="&gt;15"/>
    <n v="2"/>
    <n v="2"/>
    <n v="19"/>
    <n v="7"/>
    <n v="3"/>
    <n v="8"/>
    <s v="Ok"/>
    <n v="26.209677419354836"/>
    <s v="No"/>
    <s v="Low Risk"/>
  </r>
  <r>
    <n v="56"/>
    <x v="1"/>
    <s v="No"/>
    <s v="Travel_Rarely"/>
    <n v="1369"/>
    <x v="1"/>
    <n v="23"/>
    <n v="3"/>
    <s v="Life Sciences"/>
    <n v="1"/>
    <n v="1373"/>
    <n v="4"/>
    <s v="Male"/>
    <n v="68"/>
    <n v="3"/>
    <x v="3"/>
    <s v="Manufacturing Director"/>
    <n v="2"/>
    <s v="Married"/>
    <n v="13402"/>
    <n v="18235"/>
    <n v="4"/>
    <s v="Y"/>
    <s v="Yes"/>
    <s v="Yes"/>
    <n v="12"/>
    <n v="3"/>
    <n v="1"/>
    <n v="80"/>
    <n v="1"/>
    <n v="33"/>
    <s v="&gt;15"/>
    <n v="0"/>
    <n v="3"/>
    <n v="19"/>
    <n v="16"/>
    <n v="15"/>
    <n v="9"/>
    <s v="Ok"/>
    <n v="26.262626262626267"/>
    <s v="No"/>
    <s v="Low Risk"/>
  </r>
  <r>
    <n v="34"/>
    <x v="1"/>
    <s v="No"/>
    <s v="Non-Travel"/>
    <n v="999"/>
    <x v="1"/>
    <n v="26"/>
    <n v="1"/>
    <s v="Technical Degree"/>
    <n v="1"/>
    <n v="1374"/>
    <n v="1"/>
    <s v="Female"/>
    <n v="92"/>
    <n v="2"/>
    <x v="1"/>
    <s v="Research Scientist"/>
    <n v="3"/>
    <s v="Divorced"/>
    <n v="2029"/>
    <n v="15891"/>
    <n v="1"/>
    <s v="Y"/>
    <s v="No"/>
    <s v="No"/>
    <n v="20"/>
    <n v="4"/>
    <n v="3"/>
    <n v="80"/>
    <n v="3"/>
    <n v="5"/>
    <s v="0-5"/>
    <n v="2"/>
    <n v="3"/>
    <n v="5"/>
    <n v="4"/>
    <n v="0"/>
    <n v="0"/>
    <s v="Below Avg"/>
    <n v="26.113360323886642"/>
    <s v="No"/>
    <s v="Low Risk"/>
  </r>
  <r>
    <n v="40"/>
    <x v="1"/>
    <s v="No"/>
    <s v="Travel_Rarely"/>
    <n v="1202"/>
    <x v="1"/>
    <n v="2"/>
    <n v="1"/>
    <s v="Medical"/>
    <n v="1"/>
    <n v="1375"/>
    <n v="2"/>
    <s v="Female"/>
    <n v="89"/>
    <n v="4"/>
    <x v="0"/>
    <s v="Healthcare Representative"/>
    <n v="3"/>
    <s v="Divorced"/>
    <n v="6377"/>
    <n v="13888"/>
    <n v="5"/>
    <s v="Y"/>
    <s v="No"/>
    <s v="No"/>
    <n v="20"/>
    <n v="4"/>
    <n v="2"/>
    <n v="80"/>
    <n v="3"/>
    <n v="15"/>
    <s v="6-15"/>
    <n v="0"/>
    <n v="3"/>
    <n v="12"/>
    <n v="11"/>
    <n v="11"/>
    <n v="8"/>
    <s v="Ok"/>
    <n v="25.963488843813387"/>
    <s v="No"/>
    <s v="Low Risk"/>
  </r>
  <r>
    <n v="34"/>
    <x v="1"/>
    <s v="No"/>
    <s v="Travel_Rarely"/>
    <n v="285"/>
    <x v="1"/>
    <n v="29"/>
    <n v="3"/>
    <s v="Medical"/>
    <n v="1"/>
    <n v="1377"/>
    <n v="2"/>
    <s v="Male"/>
    <n v="86"/>
    <n v="3"/>
    <x v="0"/>
    <s v="Laboratory Technician"/>
    <n v="3"/>
    <s v="Married"/>
    <n v="5429"/>
    <n v="17491"/>
    <n v="4"/>
    <s v="Y"/>
    <s v="No"/>
    <s v="No"/>
    <n v="13"/>
    <n v="3"/>
    <n v="1"/>
    <n v="80"/>
    <n v="2"/>
    <n v="10"/>
    <s v="6-15"/>
    <n v="1"/>
    <n v="3"/>
    <n v="8"/>
    <n v="7"/>
    <n v="7"/>
    <n v="7"/>
    <s v="Below Avg"/>
    <n v="26.016260162601629"/>
    <s v="No"/>
    <s v="Low Risk"/>
  </r>
  <r>
    <n v="31"/>
    <x v="0"/>
    <s v="Yes"/>
    <s v="Travel_Frequently"/>
    <n v="703"/>
    <x v="0"/>
    <n v="2"/>
    <n v="3"/>
    <s v="Life Sciences"/>
    <n v="1"/>
    <n v="1379"/>
    <n v="3"/>
    <s v="Female"/>
    <n v="90"/>
    <n v="2"/>
    <x v="1"/>
    <s v="Sales Representative"/>
    <n v="4"/>
    <s v="Single"/>
    <n v="2785"/>
    <n v="11882"/>
    <n v="7"/>
    <s v="Y"/>
    <s v="No"/>
    <s v="No"/>
    <n v="14"/>
    <n v="3"/>
    <n v="3"/>
    <n v="80"/>
    <n v="0"/>
    <n v="3"/>
    <s v="0-5"/>
    <n v="3"/>
    <n v="4"/>
    <n v="1"/>
    <n v="0"/>
    <n v="0"/>
    <n v="0"/>
    <s v="Below Avg"/>
    <n v="26.069246435845212"/>
    <s v="No"/>
    <s v="High Risk"/>
  </r>
  <r>
    <n v="35"/>
    <x v="0"/>
    <s v="Yes"/>
    <s v="Travel_Frequently"/>
    <n v="662"/>
    <x v="0"/>
    <n v="18"/>
    <n v="4"/>
    <s v="Marketing"/>
    <n v="1"/>
    <n v="1380"/>
    <n v="4"/>
    <s v="Female"/>
    <n v="67"/>
    <n v="3"/>
    <x v="0"/>
    <s v="Sales Executive"/>
    <n v="3"/>
    <s v="Married"/>
    <n v="4614"/>
    <n v="23288"/>
    <n v="0"/>
    <s v="Y"/>
    <s v="Yes"/>
    <s v="Yes"/>
    <n v="18"/>
    <n v="3"/>
    <n v="3"/>
    <n v="80"/>
    <n v="1"/>
    <n v="5"/>
    <s v="0-5"/>
    <n v="0"/>
    <n v="2"/>
    <n v="4"/>
    <n v="2"/>
    <n v="3"/>
    <n v="2"/>
    <s v="Below Avg"/>
    <n v="26.122448979591837"/>
    <s v="No"/>
    <s v="Low Risk"/>
  </r>
  <r>
    <n v="38"/>
    <x v="1"/>
    <s v="No"/>
    <s v="Travel_Frequently"/>
    <n v="693"/>
    <x v="1"/>
    <n v="7"/>
    <n v="3"/>
    <s v="Life Sciences"/>
    <n v="1"/>
    <n v="1382"/>
    <n v="4"/>
    <s v="Male"/>
    <n v="57"/>
    <n v="4"/>
    <x v="1"/>
    <s v="Research Scientist"/>
    <n v="3"/>
    <s v="Divorced"/>
    <n v="2610"/>
    <n v="15748"/>
    <n v="1"/>
    <s v="Y"/>
    <s v="No"/>
    <s v="No"/>
    <n v="11"/>
    <n v="3"/>
    <n v="4"/>
    <n v="80"/>
    <n v="3"/>
    <n v="4"/>
    <s v="0-5"/>
    <n v="2"/>
    <n v="3"/>
    <n v="4"/>
    <n v="2"/>
    <n v="0"/>
    <n v="3"/>
    <s v="Below Avg"/>
    <n v="26.175869120654401"/>
    <s v="No"/>
    <s v="Low Risk"/>
  </r>
  <r>
    <n v="34"/>
    <x v="1"/>
    <s v="No"/>
    <s v="Travel_Rarely"/>
    <n v="404"/>
    <x v="1"/>
    <n v="2"/>
    <n v="4"/>
    <s v="Technical Degree"/>
    <n v="1"/>
    <n v="1383"/>
    <n v="3"/>
    <s v="Female"/>
    <n v="98"/>
    <n v="3"/>
    <x v="0"/>
    <s v="Healthcare Representative"/>
    <n v="4"/>
    <s v="Single"/>
    <n v="6687"/>
    <n v="6163"/>
    <n v="1"/>
    <s v="Y"/>
    <s v="No"/>
    <s v="No"/>
    <n v="11"/>
    <n v="3"/>
    <n v="4"/>
    <n v="80"/>
    <n v="0"/>
    <n v="14"/>
    <s v="6-15"/>
    <n v="2"/>
    <n v="4"/>
    <n v="14"/>
    <n v="11"/>
    <n v="4"/>
    <n v="11"/>
    <s v="Ok"/>
    <n v="26.024590163934423"/>
    <s v="No"/>
    <s v="Low Risk"/>
  </r>
  <r>
    <n v="28"/>
    <x v="1"/>
    <s v="No"/>
    <s v="Travel_Rarely"/>
    <n v="736"/>
    <x v="0"/>
    <n v="26"/>
    <n v="3"/>
    <s v="Life Sciences"/>
    <n v="1"/>
    <n v="1387"/>
    <n v="3"/>
    <s v="Male"/>
    <n v="48"/>
    <n v="2"/>
    <x v="0"/>
    <s v="Sales Executive"/>
    <n v="1"/>
    <s v="Married"/>
    <n v="4724"/>
    <n v="24232"/>
    <n v="1"/>
    <s v="Y"/>
    <s v="No"/>
    <s v="No"/>
    <n v="11"/>
    <n v="3"/>
    <n v="3"/>
    <n v="80"/>
    <n v="1"/>
    <n v="5"/>
    <s v="0-5"/>
    <n v="0"/>
    <n v="3"/>
    <n v="5"/>
    <n v="3"/>
    <n v="0"/>
    <n v="4"/>
    <s v="Below Avg"/>
    <n v="26.078028747433262"/>
    <s v="No"/>
    <s v="Low Risk"/>
  </r>
  <r>
    <n v="31"/>
    <x v="0"/>
    <s v="Yes"/>
    <s v="Travel_Rarely"/>
    <n v="330"/>
    <x v="1"/>
    <n v="22"/>
    <n v="4"/>
    <s v="Medical"/>
    <n v="1"/>
    <n v="1389"/>
    <n v="4"/>
    <s v="Male"/>
    <n v="98"/>
    <n v="3"/>
    <x v="0"/>
    <s v="Manufacturing Director"/>
    <n v="3"/>
    <s v="Married"/>
    <n v="6179"/>
    <n v="21057"/>
    <n v="1"/>
    <s v="Y"/>
    <s v="Yes"/>
    <s v="Yes"/>
    <n v="15"/>
    <n v="3"/>
    <n v="4"/>
    <n v="80"/>
    <n v="2"/>
    <n v="10"/>
    <s v="6-15"/>
    <n v="3"/>
    <n v="2"/>
    <n v="10"/>
    <n v="2"/>
    <n v="6"/>
    <n v="7"/>
    <s v="Ok"/>
    <n v="26.13168724279835"/>
    <s v="No"/>
    <s v="Low Risk"/>
  </r>
  <r>
    <n v="39"/>
    <x v="1"/>
    <s v="No"/>
    <s v="Travel_Rarely"/>
    <n v="1498"/>
    <x v="0"/>
    <n v="21"/>
    <n v="4"/>
    <s v="Life Sciences"/>
    <n v="1"/>
    <n v="1390"/>
    <n v="1"/>
    <s v="Male"/>
    <n v="44"/>
    <n v="2"/>
    <x v="0"/>
    <s v="Sales Executive"/>
    <n v="4"/>
    <s v="Married"/>
    <n v="6120"/>
    <n v="3567"/>
    <n v="3"/>
    <s v="Y"/>
    <s v="Yes"/>
    <s v="Yes"/>
    <n v="12"/>
    <n v="3"/>
    <n v="4"/>
    <n v="80"/>
    <n v="2"/>
    <n v="8"/>
    <s v="6-15"/>
    <n v="2"/>
    <n v="4"/>
    <n v="5"/>
    <n v="4"/>
    <n v="1"/>
    <n v="4"/>
    <s v="Below Avg"/>
    <n v="26.185567010309281"/>
    <s v="No"/>
    <s v="Low Risk"/>
  </r>
  <r>
    <n v="51"/>
    <x v="1"/>
    <s v="No"/>
    <s v="Travel_Frequently"/>
    <n v="541"/>
    <x v="0"/>
    <n v="2"/>
    <n v="3"/>
    <s v="Marketing"/>
    <n v="1"/>
    <n v="1391"/>
    <n v="2"/>
    <s v="Male"/>
    <n v="52"/>
    <n v="3"/>
    <x v="2"/>
    <s v="Sales Executive"/>
    <n v="2"/>
    <s v="Married"/>
    <n v="10596"/>
    <n v="15395"/>
    <n v="2"/>
    <s v="Y"/>
    <s v="No"/>
    <s v="No"/>
    <n v="11"/>
    <n v="3"/>
    <n v="2"/>
    <n v="80"/>
    <n v="0"/>
    <n v="14"/>
    <s v="6-15"/>
    <n v="5"/>
    <n v="3"/>
    <n v="4"/>
    <n v="2"/>
    <n v="3"/>
    <n v="2"/>
    <s v="Ok"/>
    <n v="26.033057851239672"/>
    <s v="No"/>
    <s v="Low Risk"/>
  </r>
  <r>
    <n v="41"/>
    <x v="1"/>
    <s v="No"/>
    <s v="Travel_Frequently"/>
    <n v="1200"/>
    <x v="1"/>
    <n v="22"/>
    <n v="3"/>
    <s v="Life Sciences"/>
    <n v="1"/>
    <n v="1392"/>
    <n v="4"/>
    <s v="Female"/>
    <n v="75"/>
    <n v="3"/>
    <x v="0"/>
    <s v="Research Scientist"/>
    <n v="4"/>
    <s v="Divorced"/>
    <n v="5467"/>
    <n v="13953"/>
    <n v="3"/>
    <s v="Y"/>
    <s v="Yes"/>
    <s v="Yes"/>
    <n v="14"/>
    <n v="3"/>
    <n v="1"/>
    <n v="80"/>
    <n v="2"/>
    <n v="12"/>
    <s v="6-15"/>
    <n v="4"/>
    <n v="2"/>
    <n v="6"/>
    <n v="2"/>
    <n v="3"/>
    <n v="3"/>
    <s v="Below Avg"/>
    <n v="25.879917184265011"/>
    <s v="No"/>
    <s v="Low Risk"/>
  </r>
  <r>
    <n v="37"/>
    <x v="1"/>
    <s v="No"/>
    <s v="Travel_Rarely"/>
    <n v="1439"/>
    <x v="1"/>
    <n v="4"/>
    <n v="1"/>
    <s v="Life Sciences"/>
    <n v="1"/>
    <n v="1394"/>
    <n v="3"/>
    <s v="Male"/>
    <n v="54"/>
    <n v="3"/>
    <x v="1"/>
    <s v="Research Scientist"/>
    <n v="3"/>
    <s v="Married"/>
    <n v="2996"/>
    <n v="5182"/>
    <n v="7"/>
    <s v="Y"/>
    <s v="Yes"/>
    <s v="Yes"/>
    <n v="15"/>
    <n v="3"/>
    <n v="4"/>
    <n v="80"/>
    <n v="0"/>
    <n v="8"/>
    <s v="6-15"/>
    <n v="2"/>
    <n v="3"/>
    <n v="6"/>
    <n v="4"/>
    <n v="1"/>
    <n v="3"/>
    <s v="Below Avg"/>
    <n v="25.933609958506228"/>
    <s v="No"/>
    <s v="Low Risk"/>
  </r>
  <r>
    <n v="33"/>
    <x v="1"/>
    <s v="No"/>
    <s v="Travel_Frequently"/>
    <n v="1111"/>
    <x v="0"/>
    <n v="5"/>
    <n v="1"/>
    <s v="Life Sciences"/>
    <n v="1"/>
    <n v="1395"/>
    <n v="2"/>
    <s v="Male"/>
    <n v="61"/>
    <n v="3"/>
    <x v="0"/>
    <s v="Sales Executive"/>
    <n v="4"/>
    <s v="Married"/>
    <n v="9998"/>
    <n v="19293"/>
    <n v="6"/>
    <s v="Y"/>
    <s v="No"/>
    <s v="No"/>
    <n v="13"/>
    <n v="3"/>
    <n v="1"/>
    <n v="80"/>
    <n v="0"/>
    <n v="8"/>
    <s v="6-15"/>
    <n v="2"/>
    <n v="4"/>
    <n v="5"/>
    <n v="4"/>
    <n v="1"/>
    <n v="2"/>
    <s v="Ok"/>
    <n v="25.779625779625782"/>
    <s v="No"/>
    <s v="Low Risk"/>
  </r>
  <r>
    <n v="32"/>
    <x v="1"/>
    <s v="No"/>
    <s v="Travel_Rarely"/>
    <n v="499"/>
    <x v="0"/>
    <n v="2"/>
    <n v="1"/>
    <s v="Marketing"/>
    <n v="1"/>
    <n v="1396"/>
    <n v="3"/>
    <s v="Male"/>
    <n v="36"/>
    <n v="3"/>
    <x v="0"/>
    <s v="Sales Executive"/>
    <n v="2"/>
    <s v="Married"/>
    <n v="4078"/>
    <n v="20497"/>
    <n v="0"/>
    <s v="Y"/>
    <s v="Yes"/>
    <s v="Yes"/>
    <n v="13"/>
    <n v="3"/>
    <n v="1"/>
    <n v="80"/>
    <n v="3"/>
    <n v="4"/>
    <s v="0-5"/>
    <n v="3"/>
    <n v="2"/>
    <n v="3"/>
    <n v="2"/>
    <n v="1"/>
    <n v="2"/>
    <s v="Below Avg"/>
    <n v="25.624999999999996"/>
    <s v="No"/>
    <s v="Low Risk"/>
  </r>
  <r>
    <n v="39"/>
    <x v="1"/>
    <s v="No"/>
    <s v="Non-Travel"/>
    <n v="1485"/>
    <x v="1"/>
    <n v="25"/>
    <n v="2"/>
    <s v="Life Sciences"/>
    <n v="1"/>
    <n v="1397"/>
    <n v="3"/>
    <s v="Male"/>
    <n v="71"/>
    <n v="3"/>
    <x v="2"/>
    <s v="Healthcare Representative"/>
    <n v="3"/>
    <s v="Married"/>
    <n v="10920"/>
    <n v="3449"/>
    <n v="3"/>
    <s v="Y"/>
    <s v="No"/>
    <s v="No"/>
    <n v="21"/>
    <n v="4"/>
    <n v="2"/>
    <n v="80"/>
    <n v="1"/>
    <n v="13"/>
    <s v="6-15"/>
    <n v="2"/>
    <n v="3"/>
    <n v="6"/>
    <n v="4"/>
    <n v="0"/>
    <n v="5"/>
    <s v="Ok"/>
    <n v="25.678496868475992"/>
    <s v="No"/>
    <s v="Low Risk"/>
  </r>
  <r>
    <n v="25"/>
    <x v="1"/>
    <s v="No"/>
    <s v="Travel_Rarely"/>
    <n v="1372"/>
    <x v="0"/>
    <n v="18"/>
    <n v="1"/>
    <s v="Life Sciences"/>
    <n v="1"/>
    <n v="1399"/>
    <n v="1"/>
    <s v="Male"/>
    <n v="93"/>
    <n v="4"/>
    <x v="0"/>
    <s v="Sales Executive"/>
    <n v="3"/>
    <s v="Married"/>
    <n v="6232"/>
    <n v="12477"/>
    <n v="2"/>
    <s v="Y"/>
    <s v="No"/>
    <s v="No"/>
    <n v="11"/>
    <n v="3"/>
    <n v="2"/>
    <n v="80"/>
    <n v="0"/>
    <n v="6"/>
    <s v="6-15"/>
    <n v="3"/>
    <n v="2"/>
    <n v="3"/>
    <n v="2"/>
    <n v="1"/>
    <n v="2"/>
    <s v="Below Avg"/>
    <n v="25.523012552301257"/>
    <s v="No"/>
    <s v="Low Risk"/>
  </r>
  <r>
    <n v="52"/>
    <x v="1"/>
    <s v="No"/>
    <s v="Travel_Frequently"/>
    <n v="322"/>
    <x v="1"/>
    <n v="28"/>
    <n v="2"/>
    <s v="Medical"/>
    <n v="1"/>
    <n v="1401"/>
    <n v="4"/>
    <s v="Female"/>
    <n v="59"/>
    <n v="4"/>
    <x v="3"/>
    <s v="Manufacturing Director"/>
    <n v="3"/>
    <s v="Married"/>
    <n v="13247"/>
    <n v="9731"/>
    <n v="2"/>
    <s v="Y"/>
    <s v="Yes"/>
    <s v="Yes"/>
    <n v="11"/>
    <n v="3"/>
    <n v="2"/>
    <n v="80"/>
    <n v="1"/>
    <n v="24"/>
    <s v="&gt;15"/>
    <n v="3"/>
    <n v="2"/>
    <n v="5"/>
    <n v="3"/>
    <n v="0"/>
    <n v="2"/>
    <s v="Ok"/>
    <n v="25.576519916142558"/>
    <s v="No"/>
    <s v="Low Risk"/>
  </r>
  <r>
    <n v="43"/>
    <x v="1"/>
    <s v="No"/>
    <s v="Travel_Rarely"/>
    <n v="930"/>
    <x v="1"/>
    <n v="6"/>
    <n v="3"/>
    <s v="Medical"/>
    <n v="1"/>
    <n v="1402"/>
    <n v="1"/>
    <s v="Female"/>
    <n v="73"/>
    <n v="2"/>
    <x v="0"/>
    <s v="Research Scientist"/>
    <n v="3"/>
    <s v="Single"/>
    <n v="4081"/>
    <n v="20003"/>
    <n v="1"/>
    <s v="Y"/>
    <s v="Yes"/>
    <s v="Yes"/>
    <n v="14"/>
    <n v="3"/>
    <n v="1"/>
    <n v="80"/>
    <n v="0"/>
    <n v="20"/>
    <s v="&gt;15"/>
    <n v="3"/>
    <n v="1"/>
    <n v="20"/>
    <n v="7"/>
    <n v="1"/>
    <n v="8"/>
    <s v="Below Avg"/>
    <n v="25.630252100840334"/>
    <s v="No"/>
    <s v="Low Risk"/>
  </r>
  <r>
    <n v="27"/>
    <x v="1"/>
    <s v="No"/>
    <s v="Travel_Rarely"/>
    <n v="205"/>
    <x v="0"/>
    <n v="10"/>
    <n v="3"/>
    <s v="Marketing"/>
    <n v="1"/>
    <n v="1403"/>
    <n v="4"/>
    <s v="Female"/>
    <n v="98"/>
    <n v="2"/>
    <x v="0"/>
    <s v="Sales Executive"/>
    <n v="4"/>
    <s v="Married"/>
    <n v="5769"/>
    <n v="7100"/>
    <n v="1"/>
    <s v="Y"/>
    <s v="Yes"/>
    <s v="Yes"/>
    <n v="11"/>
    <n v="3"/>
    <n v="4"/>
    <n v="80"/>
    <n v="0"/>
    <n v="6"/>
    <s v="6-15"/>
    <n v="3"/>
    <n v="3"/>
    <n v="6"/>
    <n v="2"/>
    <n v="4"/>
    <n v="4"/>
    <s v="Below Avg"/>
    <n v="25.473684210526315"/>
    <s v="No"/>
    <s v="Low Risk"/>
  </r>
  <r>
    <n v="27"/>
    <x v="0"/>
    <s v="Yes"/>
    <s v="Travel_Rarely"/>
    <n v="135"/>
    <x v="1"/>
    <n v="17"/>
    <n v="4"/>
    <s v="Life Sciences"/>
    <n v="1"/>
    <n v="1405"/>
    <n v="4"/>
    <s v="Female"/>
    <n v="51"/>
    <n v="3"/>
    <x v="1"/>
    <s v="Research Scientist"/>
    <n v="3"/>
    <s v="Single"/>
    <n v="2394"/>
    <n v="25681"/>
    <n v="1"/>
    <s v="Y"/>
    <s v="Yes"/>
    <s v="Yes"/>
    <n v="13"/>
    <n v="3"/>
    <n v="4"/>
    <n v="80"/>
    <n v="0"/>
    <n v="8"/>
    <s v="6-15"/>
    <n v="2"/>
    <n v="3"/>
    <n v="8"/>
    <n v="2"/>
    <n v="7"/>
    <n v="7"/>
    <s v="Below Avg"/>
    <n v="25.316455696202532"/>
    <s v="No"/>
    <s v="Low Risk"/>
  </r>
  <r>
    <n v="26"/>
    <x v="1"/>
    <s v="No"/>
    <s v="Travel_Rarely"/>
    <n v="683"/>
    <x v="1"/>
    <n v="2"/>
    <n v="1"/>
    <s v="Medical"/>
    <n v="1"/>
    <n v="1407"/>
    <n v="1"/>
    <s v="Male"/>
    <n v="36"/>
    <n v="2"/>
    <x v="1"/>
    <s v="Research Scientist"/>
    <n v="4"/>
    <s v="Single"/>
    <n v="3904"/>
    <n v="4050"/>
    <n v="0"/>
    <s v="Y"/>
    <s v="No"/>
    <s v="No"/>
    <n v="12"/>
    <n v="3"/>
    <n v="4"/>
    <n v="80"/>
    <n v="0"/>
    <n v="5"/>
    <s v="0-5"/>
    <n v="2"/>
    <n v="3"/>
    <n v="4"/>
    <n v="3"/>
    <n v="1"/>
    <n v="1"/>
    <s v="Below Avg"/>
    <n v="25.158562367864697"/>
    <s v="No"/>
    <s v="Low Risk"/>
  </r>
  <r>
    <n v="42"/>
    <x v="1"/>
    <s v="No"/>
    <s v="Travel_Rarely"/>
    <n v="1147"/>
    <x v="2"/>
    <n v="10"/>
    <n v="3"/>
    <s v="Human Resources"/>
    <n v="1"/>
    <n v="1408"/>
    <n v="3"/>
    <s v="Female"/>
    <n v="31"/>
    <n v="3"/>
    <x v="3"/>
    <s v="Manager"/>
    <n v="1"/>
    <s v="Married"/>
    <n v="16799"/>
    <n v="16616"/>
    <n v="0"/>
    <s v="Y"/>
    <s v="No"/>
    <s v="No"/>
    <n v="14"/>
    <n v="3"/>
    <n v="3"/>
    <n v="80"/>
    <n v="1"/>
    <n v="21"/>
    <s v="&gt;15"/>
    <n v="5"/>
    <n v="3"/>
    <n v="20"/>
    <n v="7"/>
    <n v="0"/>
    <n v="9"/>
    <s v="Ok"/>
    <n v="25"/>
    <s v="No"/>
    <s v="Low Risk"/>
  </r>
  <r>
    <n v="52"/>
    <x v="1"/>
    <s v="No"/>
    <s v="Travel_Rarely"/>
    <n v="258"/>
    <x v="1"/>
    <n v="8"/>
    <n v="4"/>
    <s v="Other"/>
    <n v="1"/>
    <n v="1409"/>
    <n v="3"/>
    <s v="Female"/>
    <n v="54"/>
    <n v="3"/>
    <x v="1"/>
    <s v="Laboratory Technician"/>
    <n v="1"/>
    <s v="Married"/>
    <n v="2950"/>
    <n v="17363"/>
    <n v="9"/>
    <s v="Y"/>
    <s v="No"/>
    <s v="No"/>
    <n v="13"/>
    <n v="3"/>
    <n v="3"/>
    <n v="80"/>
    <n v="0"/>
    <n v="12"/>
    <s v="6-15"/>
    <n v="2"/>
    <n v="1"/>
    <n v="5"/>
    <n v="4"/>
    <n v="0"/>
    <n v="4"/>
    <s v="Below Avg"/>
    <n v="25.053078556263269"/>
    <s v="No"/>
    <s v="Low Risk"/>
  </r>
  <r>
    <n v="37"/>
    <x v="1"/>
    <s v="No"/>
    <s v="Travel_Rarely"/>
    <n v="1462"/>
    <x v="1"/>
    <n v="11"/>
    <n v="3"/>
    <s v="Medical"/>
    <n v="1"/>
    <n v="1411"/>
    <n v="1"/>
    <s v="Female"/>
    <n v="94"/>
    <n v="3"/>
    <x v="1"/>
    <s v="Laboratory Technician"/>
    <n v="3"/>
    <s v="Single"/>
    <n v="3629"/>
    <n v="19106"/>
    <n v="4"/>
    <s v="Y"/>
    <s v="No"/>
    <s v="No"/>
    <n v="18"/>
    <n v="3"/>
    <n v="1"/>
    <n v="80"/>
    <n v="0"/>
    <n v="8"/>
    <s v="6-15"/>
    <n v="6"/>
    <n v="3"/>
    <n v="3"/>
    <n v="2"/>
    <n v="0"/>
    <n v="2"/>
    <s v="Below Avg"/>
    <n v="25.106382978723403"/>
    <s v="No"/>
    <s v="Low Risk"/>
  </r>
  <r>
    <n v="35"/>
    <x v="1"/>
    <s v="No"/>
    <s v="Travel_Frequently"/>
    <n v="200"/>
    <x v="1"/>
    <n v="18"/>
    <n v="2"/>
    <s v="Life Sciences"/>
    <n v="1"/>
    <n v="1412"/>
    <n v="3"/>
    <s v="Male"/>
    <n v="60"/>
    <n v="3"/>
    <x v="2"/>
    <s v="Manufacturing Director"/>
    <n v="4"/>
    <s v="Single"/>
    <n v="9362"/>
    <n v="19944"/>
    <n v="2"/>
    <s v="Y"/>
    <s v="No"/>
    <s v="No"/>
    <n v="11"/>
    <n v="3"/>
    <n v="3"/>
    <n v="80"/>
    <n v="0"/>
    <n v="10"/>
    <s v="6-15"/>
    <n v="2"/>
    <n v="3"/>
    <n v="2"/>
    <n v="2"/>
    <n v="2"/>
    <n v="2"/>
    <s v="Ok"/>
    <n v="25.159914712153519"/>
    <s v="No"/>
    <s v="Low Risk"/>
  </r>
  <r>
    <n v="25"/>
    <x v="1"/>
    <s v="No"/>
    <s v="Travel_Rarely"/>
    <n v="949"/>
    <x v="1"/>
    <n v="1"/>
    <n v="3"/>
    <s v="Technical Degree"/>
    <n v="1"/>
    <n v="1415"/>
    <n v="1"/>
    <s v="Male"/>
    <n v="81"/>
    <n v="3"/>
    <x v="1"/>
    <s v="Laboratory Technician"/>
    <n v="4"/>
    <s v="Married"/>
    <n v="3229"/>
    <n v="4910"/>
    <n v="4"/>
    <s v="Y"/>
    <s v="No"/>
    <s v="No"/>
    <n v="11"/>
    <n v="3"/>
    <n v="2"/>
    <n v="80"/>
    <n v="1"/>
    <n v="7"/>
    <s v="6-15"/>
    <n v="2"/>
    <n v="2"/>
    <n v="3"/>
    <n v="2"/>
    <n v="0"/>
    <n v="2"/>
    <s v="Below Avg"/>
    <n v="25.213675213675213"/>
    <s v="No"/>
    <s v="Low Risk"/>
  </r>
  <r>
    <n v="26"/>
    <x v="1"/>
    <s v="No"/>
    <s v="Travel_Rarely"/>
    <n v="652"/>
    <x v="1"/>
    <n v="7"/>
    <n v="3"/>
    <s v="Other"/>
    <n v="1"/>
    <n v="1417"/>
    <n v="3"/>
    <s v="Male"/>
    <n v="100"/>
    <n v="4"/>
    <x v="1"/>
    <s v="Laboratory Technician"/>
    <n v="1"/>
    <s v="Single"/>
    <n v="3578"/>
    <n v="23577"/>
    <n v="0"/>
    <s v="Y"/>
    <s v="No"/>
    <s v="No"/>
    <n v="12"/>
    <n v="3"/>
    <n v="4"/>
    <n v="80"/>
    <n v="0"/>
    <n v="8"/>
    <s v="6-15"/>
    <n v="2"/>
    <n v="3"/>
    <n v="7"/>
    <n v="7"/>
    <n v="0"/>
    <n v="7"/>
    <s v="Below Avg"/>
    <n v="25.267665952890795"/>
    <s v="No"/>
    <s v="Low Risk"/>
  </r>
  <r>
    <n v="29"/>
    <x v="1"/>
    <s v="No"/>
    <s v="Travel_Rarely"/>
    <n v="332"/>
    <x v="2"/>
    <n v="17"/>
    <n v="3"/>
    <s v="Other"/>
    <n v="1"/>
    <n v="1419"/>
    <n v="2"/>
    <s v="Male"/>
    <n v="51"/>
    <n v="2"/>
    <x v="2"/>
    <s v="Human Resources"/>
    <n v="1"/>
    <s v="Single"/>
    <n v="7988"/>
    <n v="9769"/>
    <n v="1"/>
    <s v="Y"/>
    <s v="No"/>
    <s v="No"/>
    <n v="13"/>
    <n v="3"/>
    <n v="1"/>
    <n v="80"/>
    <n v="0"/>
    <n v="10"/>
    <s v="6-15"/>
    <n v="3"/>
    <n v="2"/>
    <n v="10"/>
    <n v="9"/>
    <n v="0"/>
    <n v="9"/>
    <s v="Ok"/>
    <n v="25.321888412017167"/>
    <s v="No"/>
    <s v="Low Risk"/>
  </r>
  <r>
    <n v="49"/>
    <x v="0"/>
    <s v="Yes"/>
    <s v="Travel_Frequently"/>
    <n v="1475"/>
    <x v="1"/>
    <n v="28"/>
    <n v="2"/>
    <s v="Life Sciences"/>
    <n v="1"/>
    <n v="1420"/>
    <n v="1"/>
    <s v="Male"/>
    <n v="97"/>
    <n v="2"/>
    <x v="0"/>
    <s v="Laboratory Technician"/>
    <n v="1"/>
    <s v="Single"/>
    <n v="4284"/>
    <n v="22710"/>
    <n v="3"/>
    <s v="Y"/>
    <s v="No"/>
    <s v="No"/>
    <n v="20"/>
    <n v="4"/>
    <n v="1"/>
    <n v="80"/>
    <n v="0"/>
    <n v="20"/>
    <s v="&gt;15"/>
    <n v="2"/>
    <n v="3"/>
    <n v="4"/>
    <n v="3"/>
    <n v="1"/>
    <n v="3"/>
    <s v="Below Avg"/>
    <n v="25.376344086021508"/>
    <s v="No"/>
    <s v="Low Risk"/>
  </r>
  <r>
    <n v="29"/>
    <x v="0"/>
    <s v="Yes"/>
    <s v="Travel_Frequently"/>
    <n v="337"/>
    <x v="1"/>
    <n v="14"/>
    <n v="1"/>
    <s v="Other"/>
    <n v="1"/>
    <n v="1421"/>
    <n v="3"/>
    <s v="Female"/>
    <n v="84"/>
    <n v="3"/>
    <x v="2"/>
    <s v="Healthcare Representative"/>
    <n v="4"/>
    <s v="Single"/>
    <n v="7553"/>
    <n v="22930"/>
    <n v="0"/>
    <s v="Y"/>
    <s v="Yes"/>
    <s v="Yes"/>
    <n v="12"/>
    <n v="3"/>
    <n v="1"/>
    <n v="80"/>
    <n v="0"/>
    <n v="9"/>
    <s v="6-15"/>
    <n v="1"/>
    <n v="3"/>
    <n v="8"/>
    <n v="7"/>
    <n v="7"/>
    <n v="7"/>
    <s v="Ok"/>
    <n v="25.431034482758619"/>
    <s v="No"/>
    <s v="Low Risk"/>
  </r>
  <r>
    <n v="54"/>
    <x v="1"/>
    <s v="No"/>
    <s v="Travel_Rarely"/>
    <n v="971"/>
    <x v="1"/>
    <n v="1"/>
    <n v="3"/>
    <s v="Medical"/>
    <n v="1"/>
    <n v="1422"/>
    <n v="4"/>
    <s v="Female"/>
    <n v="54"/>
    <n v="3"/>
    <x v="3"/>
    <s v="Research Director"/>
    <n v="4"/>
    <s v="Single"/>
    <n v="17328"/>
    <n v="5652"/>
    <n v="6"/>
    <s v="Y"/>
    <s v="No"/>
    <s v="No"/>
    <n v="19"/>
    <n v="3"/>
    <n v="4"/>
    <n v="80"/>
    <n v="0"/>
    <n v="29"/>
    <s v="&gt;15"/>
    <n v="3"/>
    <n v="2"/>
    <n v="20"/>
    <n v="7"/>
    <n v="12"/>
    <n v="7"/>
    <s v="Ok"/>
    <n v="25.485961123110151"/>
    <s v="No"/>
    <s v="Low Risk"/>
  </r>
  <r>
    <n v="58"/>
    <x v="1"/>
    <s v="No"/>
    <s v="Travel_Rarely"/>
    <n v="1055"/>
    <x v="1"/>
    <n v="1"/>
    <n v="3"/>
    <s v="Medical"/>
    <n v="1"/>
    <n v="1423"/>
    <n v="4"/>
    <s v="Female"/>
    <n v="76"/>
    <n v="3"/>
    <x v="4"/>
    <s v="Research Director"/>
    <n v="1"/>
    <s v="Married"/>
    <n v="19701"/>
    <n v="22456"/>
    <n v="3"/>
    <s v="Y"/>
    <s v="Yes"/>
    <s v="Yes"/>
    <n v="21"/>
    <n v="4"/>
    <n v="3"/>
    <n v="80"/>
    <n v="1"/>
    <n v="32"/>
    <s v="&gt;15"/>
    <n v="3"/>
    <n v="3"/>
    <n v="9"/>
    <n v="8"/>
    <n v="1"/>
    <n v="5"/>
    <s v="Ok"/>
    <n v="25.324675324675322"/>
    <s v="No"/>
    <s v="Low Risk"/>
  </r>
  <r>
    <n v="55"/>
    <x v="1"/>
    <s v="No"/>
    <s v="Travel_Rarely"/>
    <n v="1136"/>
    <x v="1"/>
    <n v="1"/>
    <n v="4"/>
    <s v="Medical"/>
    <n v="1"/>
    <n v="1424"/>
    <n v="2"/>
    <s v="Male"/>
    <n v="81"/>
    <n v="4"/>
    <x v="3"/>
    <s v="Research Director"/>
    <n v="4"/>
    <s v="Divorced"/>
    <n v="14732"/>
    <n v="12414"/>
    <n v="2"/>
    <s v="Y"/>
    <s v="No"/>
    <s v="No"/>
    <n v="13"/>
    <n v="3"/>
    <n v="4"/>
    <n v="80"/>
    <n v="2"/>
    <n v="31"/>
    <s v="&gt;15"/>
    <n v="4"/>
    <n v="4"/>
    <n v="7"/>
    <n v="7"/>
    <n v="0"/>
    <n v="0"/>
    <s v="Ok"/>
    <n v="25.379609544468547"/>
    <s v="No"/>
    <s v="Low Risk"/>
  </r>
  <r>
    <n v="36"/>
    <x v="1"/>
    <s v="No"/>
    <s v="Travel_Rarely"/>
    <n v="1174"/>
    <x v="0"/>
    <n v="3"/>
    <n v="4"/>
    <s v="Marketing"/>
    <n v="1"/>
    <n v="1425"/>
    <n v="1"/>
    <s v="Female"/>
    <n v="99"/>
    <n v="3"/>
    <x v="0"/>
    <s v="Sales Executive"/>
    <n v="2"/>
    <s v="Single"/>
    <n v="9278"/>
    <n v="20763"/>
    <n v="3"/>
    <s v="Y"/>
    <s v="Yes"/>
    <s v="Yes"/>
    <n v="16"/>
    <n v="3"/>
    <n v="4"/>
    <n v="80"/>
    <n v="0"/>
    <n v="15"/>
    <s v="6-15"/>
    <n v="3"/>
    <n v="3"/>
    <n v="5"/>
    <n v="4"/>
    <n v="0"/>
    <n v="1"/>
    <s v="Ok"/>
    <n v="25.217391304347824"/>
    <s v="No"/>
    <s v="Low Risk"/>
  </r>
  <r>
    <n v="31"/>
    <x v="0"/>
    <s v="Yes"/>
    <s v="Travel_Frequently"/>
    <n v="667"/>
    <x v="0"/>
    <n v="1"/>
    <n v="4"/>
    <s v="Life Sciences"/>
    <n v="1"/>
    <n v="1427"/>
    <n v="2"/>
    <s v="Female"/>
    <n v="50"/>
    <n v="1"/>
    <x v="1"/>
    <s v="Sales Representative"/>
    <n v="3"/>
    <s v="Single"/>
    <n v="1359"/>
    <n v="16154"/>
    <n v="1"/>
    <s v="Y"/>
    <s v="No"/>
    <s v="No"/>
    <n v="12"/>
    <n v="3"/>
    <n v="2"/>
    <n v="80"/>
    <n v="0"/>
    <n v="1"/>
    <s v="0-5"/>
    <n v="3"/>
    <n v="3"/>
    <n v="1"/>
    <n v="0"/>
    <n v="0"/>
    <n v="0"/>
    <s v="Below Avg"/>
    <n v="25.272331154684096"/>
    <s v="No"/>
    <s v="High Risk"/>
  </r>
  <r>
    <n v="30"/>
    <x v="1"/>
    <s v="No"/>
    <s v="Travel_Rarely"/>
    <n v="855"/>
    <x v="0"/>
    <n v="7"/>
    <n v="4"/>
    <s v="Marketing"/>
    <n v="1"/>
    <n v="1428"/>
    <n v="4"/>
    <s v="Female"/>
    <n v="73"/>
    <n v="3"/>
    <x v="0"/>
    <s v="Sales Executive"/>
    <n v="1"/>
    <s v="Divorced"/>
    <n v="4779"/>
    <n v="12761"/>
    <n v="7"/>
    <s v="Y"/>
    <s v="No"/>
    <s v="No"/>
    <n v="14"/>
    <n v="3"/>
    <n v="2"/>
    <n v="80"/>
    <n v="2"/>
    <n v="8"/>
    <s v="6-15"/>
    <n v="3"/>
    <n v="3"/>
    <n v="3"/>
    <n v="2"/>
    <n v="0"/>
    <n v="2"/>
    <s v="Below Avg"/>
    <n v="25.109170305676855"/>
    <s v="No"/>
    <s v="Low Risk"/>
  </r>
  <r>
    <n v="31"/>
    <x v="1"/>
    <s v="No"/>
    <s v="Travel_Rarely"/>
    <n v="182"/>
    <x v="1"/>
    <n v="8"/>
    <n v="5"/>
    <s v="Life Sciences"/>
    <n v="1"/>
    <n v="1430"/>
    <n v="1"/>
    <s v="Female"/>
    <n v="93"/>
    <n v="3"/>
    <x v="3"/>
    <s v="Research Director"/>
    <n v="2"/>
    <s v="Single"/>
    <n v="16422"/>
    <n v="8847"/>
    <n v="3"/>
    <s v="Y"/>
    <s v="No"/>
    <s v="No"/>
    <n v="11"/>
    <n v="3"/>
    <n v="3"/>
    <n v="80"/>
    <n v="0"/>
    <n v="9"/>
    <s v="6-15"/>
    <n v="3"/>
    <n v="4"/>
    <n v="3"/>
    <n v="2"/>
    <n v="1"/>
    <n v="0"/>
    <s v="Ok"/>
    <n v="25.164113785557984"/>
    <s v="No"/>
    <s v="Low Risk"/>
  </r>
  <r>
    <n v="34"/>
    <x v="1"/>
    <s v="No"/>
    <s v="Travel_Frequently"/>
    <n v="560"/>
    <x v="1"/>
    <n v="1"/>
    <n v="4"/>
    <s v="Other"/>
    <n v="1"/>
    <n v="1431"/>
    <n v="4"/>
    <s v="Male"/>
    <n v="91"/>
    <n v="3"/>
    <x v="1"/>
    <s v="Research Scientist"/>
    <n v="1"/>
    <s v="Divorced"/>
    <n v="2996"/>
    <n v="20284"/>
    <n v="5"/>
    <s v="Y"/>
    <s v="No"/>
    <s v="No"/>
    <n v="14"/>
    <n v="3"/>
    <n v="3"/>
    <n v="80"/>
    <n v="2"/>
    <n v="10"/>
    <s v="6-15"/>
    <n v="2"/>
    <n v="3"/>
    <n v="4"/>
    <n v="3"/>
    <n v="1"/>
    <n v="3"/>
    <s v="Below Avg"/>
    <n v="25.219298245614034"/>
    <s v="No"/>
    <s v="Low Risk"/>
  </r>
  <r>
    <n v="31"/>
    <x v="0"/>
    <s v="Yes"/>
    <s v="Travel_Rarely"/>
    <n v="202"/>
    <x v="1"/>
    <n v="8"/>
    <n v="3"/>
    <s v="Life Sciences"/>
    <n v="1"/>
    <n v="1433"/>
    <n v="1"/>
    <s v="Female"/>
    <n v="34"/>
    <n v="2"/>
    <x v="1"/>
    <s v="Research Scientist"/>
    <n v="2"/>
    <s v="Single"/>
    <n v="1261"/>
    <n v="22262"/>
    <n v="1"/>
    <s v="Y"/>
    <s v="No"/>
    <s v="No"/>
    <n v="12"/>
    <n v="3"/>
    <n v="3"/>
    <n v="80"/>
    <n v="0"/>
    <n v="1"/>
    <s v="0-5"/>
    <n v="3"/>
    <n v="4"/>
    <n v="1"/>
    <n v="0"/>
    <n v="0"/>
    <n v="0"/>
    <s v="Below Avg"/>
    <n v="25.274725274725274"/>
    <s v="No"/>
    <s v="High Risk"/>
  </r>
  <r>
    <n v="27"/>
    <x v="1"/>
    <s v="No"/>
    <s v="Travel_Rarely"/>
    <n v="1377"/>
    <x v="1"/>
    <n v="11"/>
    <n v="1"/>
    <s v="Life Sciences"/>
    <n v="1"/>
    <n v="1434"/>
    <n v="2"/>
    <s v="Male"/>
    <n v="91"/>
    <n v="3"/>
    <x v="1"/>
    <s v="Laboratory Technician"/>
    <n v="1"/>
    <s v="Married"/>
    <n v="2099"/>
    <n v="7679"/>
    <n v="0"/>
    <s v="Y"/>
    <s v="No"/>
    <s v="No"/>
    <n v="14"/>
    <n v="3"/>
    <n v="2"/>
    <n v="80"/>
    <n v="0"/>
    <n v="6"/>
    <s v="6-15"/>
    <n v="3"/>
    <n v="4"/>
    <n v="5"/>
    <n v="0"/>
    <n v="1"/>
    <n v="4"/>
    <s v="Below Avg"/>
    <n v="25.330396475770929"/>
    <s v="No"/>
    <s v="Low Risk"/>
  </r>
  <r>
    <n v="36"/>
    <x v="1"/>
    <s v="No"/>
    <s v="Travel_Rarely"/>
    <n v="172"/>
    <x v="1"/>
    <n v="4"/>
    <n v="4"/>
    <s v="Life Sciences"/>
    <n v="1"/>
    <n v="1435"/>
    <n v="1"/>
    <s v="Male"/>
    <n v="37"/>
    <n v="2"/>
    <x v="0"/>
    <s v="Laboratory Technician"/>
    <n v="4"/>
    <s v="Single"/>
    <n v="5810"/>
    <n v="22604"/>
    <n v="1"/>
    <s v="Y"/>
    <s v="No"/>
    <s v="No"/>
    <n v="16"/>
    <n v="3"/>
    <n v="3"/>
    <n v="80"/>
    <n v="0"/>
    <n v="10"/>
    <s v="6-15"/>
    <n v="2"/>
    <n v="2"/>
    <n v="10"/>
    <n v="4"/>
    <n v="1"/>
    <n v="8"/>
    <s v="Below Avg"/>
    <n v="25.386313465783665"/>
    <s v="No"/>
    <s v="Low Risk"/>
  </r>
  <r>
    <n v="36"/>
    <x v="1"/>
    <s v="No"/>
    <s v="Travel_Rarely"/>
    <n v="329"/>
    <x v="0"/>
    <n v="16"/>
    <n v="4"/>
    <s v="Marketing"/>
    <n v="1"/>
    <n v="1436"/>
    <n v="3"/>
    <s v="Female"/>
    <n v="98"/>
    <n v="2"/>
    <x v="0"/>
    <s v="Sales Executive"/>
    <n v="1"/>
    <s v="Married"/>
    <n v="5647"/>
    <n v="13494"/>
    <n v="4"/>
    <s v="Y"/>
    <s v="No"/>
    <s v="No"/>
    <n v="13"/>
    <n v="3"/>
    <n v="1"/>
    <n v="80"/>
    <n v="2"/>
    <n v="11"/>
    <s v="6-15"/>
    <n v="3"/>
    <n v="2"/>
    <n v="3"/>
    <n v="2"/>
    <n v="0"/>
    <n v="2"/>
    <s v="Below Avg"/>
    <n v="25.442477876106196"/>
    <s v="No"/>
    <s v="Low Risk"/>
  </r>
  <r>
    <n v="47"/>
    <x v="1"/>
    <s v="No"/>
    <s v="Travel_Rarely"/>
    <n v="465"/>
    <x v="1"/>
    <n v="1"/>
    <n v="3"/>
    <s v="Technical Degree"/>
    <n v="1"/>
    <n v="1438"/>
    <n v="1"/>
    <s v="Male"/>
    <n v="74"/>
    <n v="3"/>
    <x v="1"/>
    <s v="Research Scientist"/>
    <n v="4"/>
    <s v="Married"/>
    <n v="3420"/>
    <n v="10205"/>
    <n v="7"/>
    <s v="Y"/>
    <s v="No"/>
    <s v="No"/>
    <n v="12"/>
    <n v="3"/>
    <n v="3"/>
    <n v="80"/>
    <n v="1"/>
    <n v="17"/>
    <s v="&gt;15"/>
    <n v="2"/>
    <n v="2"/>
    <n v="6"/>
    <n v="5"/>
    <n v="1"/>
    <n v="2"/>
    <s v="Below Avg"/>
    <n v="25.49889135254989"/>
    <s v="No"/>
    <s v="Low Risk"/>
  </r>
  <r>
    <n v="25"/>
    <x v="0"/>
    <s v="Yes"/>
    <s v="Travel_Rarely"/>
    <n v="383"/>
    <x v="0"/>
    <n v="9"/>
    <n v="2"/>
    <s v="Life Sciences"/>
    <n v="1"/>
    <n v="1439"/>
    <n v="1"/>
    <s v="Male"/>
    <n v="68"/>
    <n v="2"/>
    <x v="1"/>
    <s v="Sales Representative"/>
    <n v="1"/>
    <s v="Married"/>
    <n v="4400"/>
    <n v="15182"/>
    <n v="3"/>
    <s v="Y"/>
    <s v="No"/>
    <s v="No"/>
    <n v="12"/>
    <n v="3"/>
    <n v="1"/>
    <n v="80"/>
    <n v="0"/>
    <n v="6"/>
    <s v="6-15"/>
    <n v="2"/>
    <n v="3"/>
    <n v="3"/>
    <n v="2"/>
    <n v="2"/>
    <n v="2"/>
    <s v="Below Avg"/>
    <n v="25.555555555555554"/>
    <s v="No"/>
    <s v="Low Risk"/>
  </r>
  <r>
    <n v="37"/>
    <x v="1"/>
    <s v="No"/>
    <s v="Non-Travel"/>
    <n v="1413"/>
    <x v="1"/>
    <n v="5"/>
    <n v="2"/>
    <s v="Technical Degree"/>
    <n v="1"/>
    <n v="1440"/>
    <n v="3"/>
    <s v="Male"/>
    <n v="84"/>
    <n v="4"/>
    <x v="1"/>
    <s v="Laboratory Technician"/>
    <n v="3"/>
    <s v="Single"/>
    <n v="3500"/>
    <n v="25470"/>
    <n v="0"/>
    <s v="Y"/>
    <s v="No"/>
    <s v="No"/>
    <n v="14"/>
    <n v="3"/>
    <n v="1"/>
    <n v="80"/>
    <n v="0"/>
    <n v="7"/>
    <s v="6-15"/>
    <n v="2"/>
    <n v="1"/>
    <n v="6"/>
    <n v="5"/>
    <n v="1"/>
    <n v="3"/>
    <s v="Below Avg"/>
    <n v="25.612472160356347"/>
    <s v="No"/>
    <s v="Low Risk"/>
  </r>
  <r>
    <n v="56"/>
    <x v="1"/>
    <s v="No"/>
    <s v="Travel_Rarely"/>
    <n v="1255"/>
    <x v="1"/>
    <n v="1"/>
    <n v="2"/>
    <s v="Life Sciences"/>
    <n v="1"/>
    <n v="1441"/>
    <n v="1"/>
    <s v="Female"/>
    <n v="90"/>
    <n v="3"/>
    <x v="1"/>
    <s v="Research Scientist"/>
    <n v="1"/>
    <s v="Married"/>
    <n v="2066"/>
    <n v="10494"/>
    <n v="2"/>
    <s v="Y"/>
    <s v="No"/>
    <s v="No"/>
    <n v="22"/>
    <n v="4"/>
    <n v="4"/>
    <n v="80"/>
    <n v="1"/>
    <n v="5"/>
    <s v="0-5"/>
    <n v="3"/>
    <n v="4"/>
    <n v="3"/>
    <n v="2"/>
    <n v="1"/>
    <n v="0"/>
    <s v="Below Avg"/>
    <n v="25.669642857142854"/>
    <s v="No"/>
    <s v="Low Risk"/>
  </r>
  <r>
    <n v="47"/>
    <x v="1"/>
    <s v="No"/>
    <s v="Travel_Rarely"/>
    <n v="359"/>
    <x v="1"/>
    <n v="2"/>
    <n v="4"/>
    <s v="Medical"/>
    <n v="1"/>
    <n v="1443"/>
    <n v="1"/>
    <s v="Female"/>
    <n v="82"/>
    <n v="3"/>
    <x v="3"/>
    <s v="Research Director"/>
    <n v="3"/>
    <s v="Married"/>
    <n v="17169"/>
    <n v="26703"/>
    <n v="3"/>
    <s v="Y"/>
    <s v="No"/>
    <s v="No"/>
    <n v="19"/>
    <n v="3"/>
    <n v="2"/>
    <n v="80"/>
    <n v="2"/>
    <n v="26"/>
    <s v="&gt;15"/>
    <n v="2"/>
    <n v="4"/>
    <n v="20"/>
    <n v="17"/>
    <n v="5"/>
    <n v="6"/>
    <s v="Ok"/>
    <n v="25.727069351230426"/>
    <s v="No"/>
    <s v="Low Risk"/>
  </r>
  <r>
    <n v="24"/>
    <x v="1"/>
    <s v="No"/>
    <s v="Travel_Rarely"/>
    <n v="1476"/>
    <x v="0"/>
    <n v="4"/>
    <n v="1"/>
    <s v="Medical"/>
    <n v="1"/>
    <n v="1445"/>
    <n v="4"/>
    <s v="Female"/>
    <n v="42"/>
    <n v="3"/>
    <x v="0"/>
    <s v="Sales Executive"/>
    <n v="3"/>
    <s v="Married"/>
    <n v="4162"/>
    <n v="15211"/>
    <n v="1"/>
    <s v="Y"/>
    <s v="Yes"/>
    <s v="Yes"/>
    <n v="12"/>
    <n v="3"/>
    <n v="3"/>
    <n v="80"/>
    <n v="2"/>
    <n v="5"/>
    <s v="0-5"/>
    <n v="3"/>
    <n v="3"/>
    <n v="5"/>
    <n v="4"/>
    <n v="0"/>
    <n v="3"/>
    <s v="Below Avg"/>
    <n v="25.784753363228702"/>
    <s v="No"/>
    <s v="Low Risk"/>
  </r>
  <r>
    <n v="32"/>
    <x v="1"/>
    <s v="No"/>
    <s v="Travel_Rarely"/>
    <n v="601"/>
    <x v="0"/>
    <n v="7"/>
    <n v="5"/>
    <s v="Marketing"/>
    <n v="1"/>
    <n v="1446"/>
    <n v="4"/>
    <s v="Male"/>
    <n v="97"/>
    <n v="3"/>
    <x v="0"/>
    <s v="Sales Executive"/>
    <n v="4"/>
    <s v="Married"/>
    <n v="9204"/>
    <n v="23343"/>
    <n v="4"/>
    <s v="Y"/>
    <s v="No"/>
    <s v="No"/>
    <n v="12"/>
    <n v="3"/>
    <n v="3"/>
    <n v="80"/>
    <n v="1"/>
    <n v="7"/>
    <s v="6-15"/>
    <n v="3"/>
    <n v="2"/>
    <n v="4"/>
    <n v="3"/>
    <n v="0"/>
    <n v="3"/>
    <s v="Ok"/>
    <n v="25.842696629213485"/>
    <s v="No"/>
    <s v="Low Risk"/>
  </r>
  <r>
    <n v="34"/>
    <x v="1"/>
    <s v="No"/>
    <s v="Travel_Rarely"/>
    <n v="401"/>
    <x v="1"/>
    <n v="1"/>
    <n v="3"/>
    <s v="Life Sciences"/>
    <n v="1"/>
    <n v="1447"/>
    <n v="4"/>
    <s v="Female"/>
    <n v="86"/>
    <n v="2"/>
    <x v="1"/>
    <s v="Laboratory Technician"/>
    <n v="2"/>
    <s v="Married"/>
    <n v="3294"/>
    <n v="3708"/>
    <n v="5"/>
    <s v="Y"/>
    <s v="No"/>
    <s v="No"/>
    <n v="17"/>
    <n v="3"/>
    <n v="1"/>
    <n v="80"/>
    <n v="1"/>
    <n v="7"/>
    <s v="6-15"/>
    <n v="2"/>
    <n v="2"/>
    <n v="5"/>
    <n v="4"/>
    <n v="0"/>
    <n v="2"/>
    <s v="Below Avg"/>
    <n v="25.675675675675674"/>
    <s v="No"/>
    <s v="Low Risk"/>
  </r>
  <r>
    <n v="41"/>
    <x v="1"/>
    <s v="No"/>
    <s v="Travel_Rarely"/>
    <n v="1283"/>
    <x v="1"/>
    <n v="5"/>
    <n v="5"/>
    <s v="Medical"/>
    <n v="1"/>
    <n v="1448"/>
    <n v="2"/>
    <s v="Male"/>
    <n v="90"/>
    <n v="4"/>
    <x v="1"/>
    <s v="Research Scientist"/>
    <n v="3"/>
    <s v="Married"/>
    <n v="2127"/>
    <n v="5561"/>
    <n v="2"/>
    <s v="Y"/>
    <s v="Yes"/>
    <s v="Yes"/>
    <n v="12"/>
    <n v="3"/>
    <n v="1"/>
    <n v="80"/>
    <n v="0"/>
    <n v="7"/>
    <s v="6-15"/>
    <n v="5"/>
    <n v="2"/>
    <n v="4"/>
    <n v="2"/>
    <n v="0"/>
    <n v="3"/>
    <s v="Below Avg"/>
    <n v="25.733634311512414"/>
    <s v="No"/>
    <s v="Low Risk"/>
  </r>
  <r>
    <n v="40"/>
    <x v="1"/>
    <s v="No"/>
    <s v="Non-Travel"/>
    <n v="663"/>
    <x v="1"/>
    <n v="9"/>
    <n v="4"/>
    <s v="Other"/>
    <n v="1"/>
    <n v="1449"/>
    <n v="3"/>
    <s v="Male"/>
    <n v="81"/>
    <n v="3"/>
    <x v="0"/>
    <s v="Laboratory Technician"/>
    <n v="3"/>
    <s v="Divorced"/>
    <n v="3975"/>
    <n v="23099"/>
    <n v="3"/>
    <s v="Y"/>
    <s v="No"/>
    <s v="No"/>
    <n v="11"/>
    <n v="3"/>
    <n v="3"/>
    <n v="80"/>
    <n v="2"/>
    <n v="11"/>
    <s v="6-15"/>
    <n v="2"/>
    <n v="4"/>
    <n v="8"/>
    <n v="7"/>
    <n v="0"/>
    <n v="7"/>
    <s v="Below Avg"/>
    <n v="25.791855203619914"/>
    <s v="No"/>
    <s v="Low Risk"/>
  </r>
  <r>
    <n v="31"/>
    <x v="1"/>
    <s v="No"/>
    <s v="Travel_Rarely"/>
    <n v="326"/>
    <x v="0"/>
    <n v="8"/>
    <n v="2"/>
    <s v="Life Sciences"/>
    <n v="1"/>
    <n v="1453"/>
    <n v="1"/>
    <s v="Male"/>
    <n v="31"/>
    <n v="3"/>
    <x v="2"/>
    <s v="Sales Executive"/>
    <n v="4"/>
    <s v="Divorced"/>
    <n v="10793"/>
    <n v="8386"/>
    <n v="1"/>
    <s v="Y"/>
    <s v="No"/>
    <s v="No"/>
    <n v="18"/>
    <n v="3"/>
    <n v="1"/>
    <n v="80"/>
    <n v="1"/>
    <n v="13"/>
    <s v="6-15"/>
    <n v="5"/>
    <n v="3"/>
    <n v="13"/>
    <n v="7"/>
    <n v="9"/>
    <n v="9"/>
    <s v="Ok"/>
    <n v="25.623582766439913"/>
    <s v="No"/>
    <s v="Low Risk"/>
  </r>
  <r>
    <n v="46"/>
    <x v="0"/>
    <s v="Yes"/>
    <s v="Travel_Rarely"/>
    <n v="377"/>
    <x v="0"/>
    <n v="9"/>
    <n v="3"/>
    <s v="Marketing"/>
    <n v="1"/>
    <n v="1457"/>
    <n v="1"/>
    <s v="Male"/>
    <n v="52"/>
    <n v="3"/>
    <x v="2"/>
    <s v="Sales Executive"/>
    <n v="4"/>
    <s v="Divorced"/>
    <n v="10096"/>
    <n v="15986"/>
    <n v="4"/>
    <s v="Y"/>
    <s v="No"/>
    <s v="No"/>
    <n v="11"/>
    <n v="3"/>
    <n v="1"/>
    <n v="80"/>
    <n v="1"/>
    <n v="28"/>
    <s v="&gt;15"/>
    <n v="1"/>
    <n v="4"/>
    <n v="7"/>
    <n v="7"/>
    <n v="4"/>
    <n v="3"/>
    <s v="Ok"/>
    <n v="25.681818181818183"/>
    <s v="No"/>
    <s v="Low Risk"/>
  </r>
  <r>
    <n v="39"/>
    <x v="0"/>
    <s v="Yes"/>
    <s v="Non-Travel"/>
    <n v="592"/>
    <x v="1"/>
    <n v="2"/>
    <n v="3"/>
    <s v="Life Sciences"/>
    <n v="1"/>
    <n v="1458"/>
    <n v="1"/>
    <s v="Female"/>
    <n v="54"/>
    <n v="2"/>
    <x v="1"/>
    <s v="Laboratory Technician"/>
    <n v="1"/>
    <s v="Single"/>
    <n v="3646"/>
    <n v="17181"/>
    <n v="2"/>
    <s v="Y"/>
    <s v="Yes"/>
    <s v="Yes"/>
    <n v="23"/>
    <n v="4"/>
    <n v="2"/>
    <n v="80"/>
    <n v="0"/>
    <n v="11"/>
    <s v="6-15"/>
    <n v="2"/>
    <n v="4"/>
    <n v="1"/>
    <n v="0"/>
    <n v="0"/>
    <n v="0"/>
    <s v="Below Avg"/>
    <n v="25.740318906605925"/>
    <s v="No"/>
    <s v="High Risk"/>
  </r>
  <r>
    <n v="31"/>
    <x v="0"/>
    <s v="Yes"/>
    <s v="Travel_Frequently"/>
    <n v="1445"/>
    <x v="1"/>
    <n v="1"/>
    <n v="5"/>
    <s v="Life Sciences"/>
    <n v="1"/>
    <n v="1459"/>
    <n v="3"/>
    <s v="Female"/>
    <n v="100"/>
    <n v="4"/>
    <x v="2"/>
    <s v="Manufacturing Director"/>
    <n v="2"/>
    <s v="Single"/>
    <n v="7446"/>
    <n v="8931"/>
    <n v="1"/>
    <s v="Y"/>
    <s v="No"/>
    <s v="No"/>
    <n v="11"/>
    <n v="3"/>
    <n v="1"/>
    <n v="80"/>
    <n v="0"/>
    <n v="10"/>
    <s v="6-15"/>
    <n v="2"/>
    <n v="3"/>
    <n v="10"/>
    <n v="8"/>
    <n v="4"/>
    <n v="7"/>
    <s v="Ok"/>
    <n v="25.799086757990867"/>
    <s v="No"/>
    <s v="Low Risk"/>
  </r>
  <r>
    <n v="45"/>
    <x v="1"/>
    <s v="No"/>
    <s v="Travel_Rarely"/>
    <n v="1038"/>
    <x v="1"/>
    <n v="20"/>
    <n v="3"/>
    <s v="Medical"/>
    <n v="1"/>
    <n v="1460"/>
    <n v="2"/>
    <s v="Male"/>
    <n v="95"/>
    <n v="1"/>
    <x v="2"/>
    <s v="Healthcare Representative"/>
    <n v="1"/>
    <s v="Divorced"/>
    <n v="10851"/>
    <n v="19863"/>
    <n v="2"/>
    <s v="Y"/>
    <s v="Yes"/>
    <s v="Yes"/>
    <n v="18"/>
    <n v="3"/>
    <n v="2"/>
    <n v="80"/>
    <n v="1"/>
    <n v="24"/>
    <s v="&gt;15"/>
    <n v="2"/>
    <n v="3"/>
    <n v="7"/>
    <n v="7"/>
    <n v="0"/>
    <n v="7"/>
    <s v="Ok"/>
    <n v="25.629290617848969"/>
    <s v="No"/>
    <s v="Low Risk"/>
  </r>
  <r>
    <n v="31"/>
    <x v="1"/>
    <s v="No"/>
    <s v="Travel_Rarely"/>
    <n v="1398"/>
    <x v="2"/>
    <n v="8"/>
    <n v="2"/>
    <s v="Medical"/>
    <n v="1"/>
    <n v="1461"/>
    <n v="4"/>
    <s v="Female"/>
    <n v="96"/>
    <n v="4"/>
    <x v="1"/>
    <s v="Human Resources"/>
    <n v="2"/>
    <s v="Single"/>
    <n v="2109"/>
    <n v="24609"/>
    <n v="9"/>
    <s v="Y"/>
    <s v="No"/>
    <s v="No"/>
    <n v="18"/>
    <n v="3"/>
    <n v="4"/>
    <n v="80"/>
    <n v="0"/>
    <n v="8"/>
    <s v="6-15"/>
    <n v="3"/>
    <n v="3"/>
    <n v="3"/>
    <n v="2"/>
    <n v="0"/>
    <n v="2"/>
    <s v="Below Avg"/>
    <n v="25.688073394495415"/>
    <s v="No"/>
    <s v="Low Risk"/>
  </r>
  <r>
    <n v="31"/>
    <x v="0"/>
    <s v="Yes"/>
    <s v="Travel_Frequently"/>
    <n v="523"/>
    <x v="1"/>
    <n v="2"/>
    <n v="3"/>
    <s v="Life Sciences"/>
    <n v="1"/>
    <n v="1464"/>
    <n v="2"/>
    <s v="Male"/>
    <n v="94"/>
    <n v="3"/>
    <x v="1"/>
    <s v="Laboratory Technician"/>
    <n v="4"/>
    <s v="Married"/>
    <n v="3722"/>
    <n v="21081"/>
    <n v="6"/>
    <s v="Y"/>
    <s v="Yes"/>
    <s v="Yes"/>
    <n v="13"/>
    <n v="3"/>
    <n v="3"/>
    <n v="80"/>
    <n v="1"/>
    <n v="7"/>
    <s v="6-15"/>
    <n v="2"/>
    <n v="1"/>
    <n v="2"/>
    <n v="2"/>
    <n v="2"/>
    <n v="2"/>
    <s v="Below Avg"/>
    <n v="25.517241379310345"/>
    <s v="No"/>
    <s v="Low Risk"/>
  </r>
  <r>
    <n v="45"/>
    <x v="1"/>
    <s v="No"/>
    <s v="Travel_Rarely"/>
    <n v="1448"/>
    <x v="1"/>
    <n v="29"/>
    <n v="3"/>
    <s v="Technical Degree"/>
    <n v="1"/>
    <n v="1465"/>
    <n v="2"/>
    <s v="Male"/>
    <n v="55"/>
    <n v="3"/>
    <x v="2"/>
    <s v="Manufacturing Director"/>
    <n v="4"/>
    <s v="Married"/>
    <n v="9380"/>
    <n v="14720"/>
    <n v="4"/>
    <s v="Y"/>
    <s v="Yes"/>
    <s v="Yes"/>
    <n v="18"/>
    <n v="3"/>
    <n v="4"/>
    <n v="80"/>
    <n v="2"/>
    <n v="10"/>
    <s v="6-15"/>
    <n v="4"/>
    <n v="4"/>
    <n v="3"/>
    <n v="1"/>
    <n v="1"/>
    <n v="2"/>
    <s v="Ok"/>
    <n v="25.576036866359448"/>
    <s v="No"/>
    <s v="Low Risk"/>
  </r>
  <r>
    <n v="48"/>
    <x v="1"/>
    <s v="No"/>
    <s v="Travel_Rarely"/>
    <n v="1221"/>
    <x v="0"/>
    <n v="7"/>
    <n v="3"/>
    <s v="Marketing"/>
    <n v="1"/>
    <n v="1466"/>
    <n v="3"/>
    <s v="Male"/>
    <n v="96"/>
    <n v="3"/>
    <x v="0"/>
    <s v="Sales Executive"/>
    <n v="1"/>
    <s v="Divorced"/>
    <n v="5486"/>
    <n v="24795"/>
    <n v="4"/>
    <s v="Y"/>
    <s v="No"/>
    <s v="No"/>
    <n v="11"/>
    <n v="3"/>
    <n v="1"/>
    <n v="80"/>
    <n v="3"/>
    <n v="15"/>
    <s v="6-15"/>
    <n v="3"/>
    <n v="3"/>
    <n v="2"/>
    <n v="2"/>
    <n v="2"/>
    <n v="2"/>
    <s v="Below Avg"/>
    <n v="25.404157043879909"/>
    <s v="No"/>
    <s v="Low Risk"/>
  </r>
  <r>
    <n v="34"/>
    <x v="0"/>
    <s v="Yes"/>
    <s v="Travel_Rarely"/>
    <n v="1107"/>
    <x v="2"/>
    <n v="9"/>
    <n v="4"/>
    <s v="Technical Degree"/>
    <n v="1"/>
    <n v="1467"/>
    <n v="1"/>
    <s v="Female"/>
    <n v="52"/>
    <n v="3"/>
    <x v="1"/>
    <s v="Human Resources"/>
    <n v="3"/>
    <s v="Married"/>
    <n v="2742"/>
    <n v="3072"/>
    <n v="1"/>
    <s v="Y"/>
    <s v="No"/>
    <s v="No"/>
    <n v="15"/>
    <n v="3"/>
    <n v="4"/>
    <n v="80"/>
    <n v="0"/>
    <n v="2"/>
    <s v="0-5"/>
    <n v="0"/>
    <n v="3"/>
    <n v="2"/>
    <n v="2"/>
    <n v="2"/>
    <n v="2"/>
    <s v="Below Avg"/>
    <n v="25.231481481481481"/>
    <s v="No"/>
    <s v="Low Risk"/>
  </r>
  <r>
    <n v="40"/>
    <x v="1"/>
    <s v="No"/>
    <s v="Non-Travel"/>
    <n v="218"/>
    <x v="1"/>
    <n v="8"/>
    <n v="1"/>
    <s v="Medical"/>
    <n v="1"/>
    <n v="1468"/>
    <n v="4"/>
    <s v="Male"/>
    <n v="55"/>
    <n v="2"/>
    <x v="2"/>
    <s v="Research Director"/>
    <n v="2"/>
    <s v="Divorced"/>
    <n v="13757"/>
    <n v="25178"/>
    <n v="2"/>
    <s v="Y"/>
    <s v="No"/>
    <s v="No"/>
    <n v="11"/>
    <n v="3"/>
    <n v="3"/>
    <n v="80"/>
    <n v="1"/>
    <n v="16"/>
    <s v="&gt;15"/>
    <n v="5"/>
    <n v="3"/>
    <n v="9"/>
    <n v="8"/>
    <n v="4"/>
    <n v="8"/>
    <s v="Ok"/>
    <n v="25.290023201856147"/>
    <s v="No"/>
    <s v="Low Risk"/>
  </r>
  <r>
    <n v="28"/>
    <x v="1"/>
    <s v="No"/>
    <s v="Travel_Rarely"/>
    <n v="866"/>
    <x v="0"/>
    <n v="5"/>
    <n v="3"/>
    <s v="Medical"/>
    <n v="1"/>
    <n v="1469"/>
    <n v="4"/>
    <s v="Male"/>
    <n v="84"/>
    <n v="3"/>
    <x v="0"/>
    <s v="Sales Executive"/>
    <n v="1"/>
    <s v="Single"/>
    <n v="8463"/>
    <n v="23490"/>
    <n v="0"/>
    <s v="Y"/>
    <s v="No"/>
    <s v="No"/>
    <n v="18"/>
    <n v="3"/>
    <n v="4"/>
    <n v="80"/>
    <n v="0"/>
    <n v="6"/>
    <s v="6-15"/>
    <n v="4"/>
    <n v="3"/>
    <n v="5"/>
    <n v="4"/>
    <n v="1"/>
    <n v="3"/>
    <s v="Ok"/>
    <n v="25.348837209302328"/>
    <s v="No"/>
    <s v="Low Risk"/>
  </r>
  <r>
    <n v="44"/>
    <x v="1"/>
    <s v="No"/>
    <s v="Non-Travel"/>
    <n v="981"/>
    <x v="1"/>
    <n v="5"/>
    <n v="3"/>
    <s v="Life Sciences"/>
    <n v="1"/>
    <n v="1471"/>
    <n v="3"/>
    <s v="Male"/>
    <n v="90"/>
    <n v="2"/>
    <x v="1"/>
    <s v="Laboratory Technician"/>
    <n v="3"/>
    <s v="Single"/>
    <n v="3162"/>
    <n v="7973"/>
    <n v="3"/>
    <s v="Y"/>
    <s v="No"/>
    <s v="No"/>
    <n v="14"/>
    <n v="3"/>
    <n v="4"/>
    <n v="80"/>
    <n v="0"/>
    <n v="7"/>
    <s v="6-15"/>
    <n v="5"/>
    <n v="3"/>
    <n v="5"/>
    <n v="2"/>
    <n v="0"/>
    <n v="3"/>
    <s v="Below Avg"/>
    <n v="25.407925407925408"/>
    <s v="No"/>
    <s v="Low Risk"/>
  </r>
  <r>
    <n v="53"/>
    <x v="1"/>
    <s v="No"/>
    <s v="Travel_Rarely"/>
    <n v="447"/>
    <x v="1"/>
    <n v="2"/>
    <n v="3"/>
    <s v="Medical"/>
    <n v="1"/>
    <n v="1472"/>
    <n v="4"/>
    <s v="Male"/>
    <n v="39"/>
    <n v="4"/>
    <x v="3"/>
    <s v="Research Director"/>
    <n v="2"/>
    <s v="Single"/>
    <n v="16598"/>
    <n v="19764"/>
    <n v="4"/>
    <s v="Y"/>
    <s v="No"/>
    <s v="No"/>
    <n v="12"/>
    <n v="3"/>
    <n v="2"/>
    <n v="80"/>
    <n v="0"/>
    <n v="35"/>
    <s v="&gt;15"/>
    <n v="2"/>
    <n v="2"/>
    <n v="9"/>
    <n v="8"/>
    <n v="8"/>
    <n v="8"/>
    <s v="Ok"/>
    <n v="25.467289719626169"/>
    <s v="No"/>
    <s v="Low Risk"/>
  </r>
  <r>
    <n v="49"/>
    <x v="1"/>
    <s v="No"/>
    <s v="Travel_Rarely"/>
    <n v="1495"/>
    <x v="1"/>
    <n v="5"/>
    <n v="4"/>
    <s v="Technical Degree"/>
    <n v="1"/>
    <n v="1473"/>
    <n v="1"/>
    <s v="Male"/>
    <n v="96"/>
    <n v="3"/>
    <x v="0"/>
    <s v="Healthcare Representative"/>
    <n v="3"/>
    <s v="Married"/>
    <n v="6651"/>
    <n v="21534"/>
    <n v="2"/>
    <s v="Y"/>
    <s v="No"/>
    <s v="No"/>
    <n v="14"/>
    <n v="3"/>
    <n v="2"/>
    <n v="80"/>
    <n v="1"/>
    <n v="20"/>
    <s v="&gt;15"/>
    <n v="0"/>
    <n v="2"/>
    <n v="3"/>
    <n v="2"/>
    <n v="1"/>
    <n v="2"/>
    <s v="Ok"/>
    <n v="25.526932084309134"/>
    <s v="No"/>
    <s v="Low Risk"/>
  </r>
  <r>
    <n v="40"/>
    <x v="1"/>
    <s v="No"/>
    <s v="Travel_Rarely"/>
    <n v="896"/>
    <x v="1"/>
    <n v="2"/>
    <n v="3"/>
    <s v="Medical"/>
    <n v="1"/>
    <n v="1474"/>
    <n v="3"/>
    <s v="Male"/>
    <n v="68"/>
    <n v="3"/>
    <x v="1"/>
    <s v="Research Scientist"/>
    <n v="3"/>
    <s v="Divorced"/>
    <n v="2345"/>
    <n v="8045"/>
    <n v="2"/>
    <s v="Y"/>
    <s v="No"/>
    <s v="No"/>
    <n v="14"/>
    <n v="3"/>
    <n v="3"/>
    <n v="80"/>
    <n v="1"/>
    <n v="8"/>
    <s v="6-15"/>
    <n v="3"/>
    <n v="4"/>
    <n v="3"/>
    <n v="1"/>
    <n v="1"/>
    <n v="2"/>
    <s v="Below Avg"/>
    <n v="25.586854460093893"/>
    <s v="No"/>
    <s v="Low Risk"/>
  </r>
  <r>
    <n v="44"/>
    <x v="1"/>
    <s v="No"/>
    <s v="Travel_Rarely"/>
    <n v="1467"/>
    <x v="1"/>
    <n v="20"/>
    <n v="3"/>
    <s v="Life Sciences"/>
    <n v="1"/>
    <n v="1475"/>
    <n v="4"/>
    <s v="Male"/>
    <n v="49"/>
    <n v="3"/>
    <x v="1"/>
    <s v="Research Scientist"/>
    <n v="2"/>
    <s v="Single"/>
    <n v="3420"/>
    <n v="21158"/>
    <n v="1"/>
    <s v="Y"/>
    <s v="No"/>
    <s v="No"/>
    <n v="13"/>
    <n v="3"/>
    <n v="3"/>
    <n v="80"/>
    <n v="0"/>
    <n v="6"/>
    <s v="6-15"/>
    <n v="3"/>
    <n v="2"/>
    <n v="5"/>
    <n v="2"/>
    <n v="1"/>
    <n v="3"/>
    <s v="Below Avg"/>
    <n v="25.647058823529413"/>
    <s v="No"/>
    <s v="Low Risk"/>
  </r>
  <r>
    <n v="33"/>
    <x v="1"/>
    <s v="No"/>
    <s v="Travel_Frequently"/>
    <n v="430"/>
    <x v="0"/>
    <n v="7"/>
    <n v="3"/>
    <s v="Medical"/>
    <n v="1"/>
    <n v="1477"/>
    <n v="4"/>
    <s v="Male"/>
    <n v="54"/>
    <n v="3"/>
    <x v="0"/>
    <s v="Sales Executive"/>
    <n v="1"/>
    <s v="Married"/>
    <n v="4373"/>
    <n v="17456"/>
    <n v="0"/>
    <s v="Y"/>
    <s v="No"/>
    <s v="No"/>
    <n v="14"/>
    <n v="3"/>
    <n v="1"/>
    <n v="80"/>
    <n v="2"/>
    <n v="5"/>
    <s v="0-5"/>
    <n v="2"/>
    <n v="3"/>
    <n v="4"/>
    <n v="3"/>
    <n v="0"/>
    <n v="3"/>
    <s v="Below Avg"/>
    <n v="25.707547169811324"/>
    <s v="No"/>
    <s v="Low Risk"/>
  </r>
  <r>
    <n v="34"/>
    <x v="1"/>
    <s v="No"/>
    <s v="Travel_Rarely"/>
    <n v="1326"/>
    <x v="0"/>
    <n v="3"/>
    <n v="3"/>
    <s v="Other"/>
    <n v="1"/>
    <n v="1478"/>
    <n v="4"/>
    <s v="Male"/>
    <n v="81"/>
    <n v="1"/>
    <x v="0"/>
    <s v="Sales Executive"/>
    <n v="1"/>
    <s v="Single"/>
    <n v="4759"/>
    <n v="15891"/>
    <n v="3"/>
    <s v="Y"/>
    <s v="No"/>
    <s v="No"/>
    <n v="18"/>
    <n v="3"/>
    <n v="4"/>
    <n v="80"/>
    <n v="0"/>
    <n v="15"/>
    <s v="6-15"/>
    <n v="2"/>
    <n v="3"/>
    <n v="13"/>
    <n v="9"/>
    <n v="3"/>
    <n v="12"/>
    <s v="Below Avg"/>
    <n v="25.768321513002363"/>
    <s v="No"/>
    <s v="Low Risk"/>
  </r>
  <r>
    <n v="30"/>
    <x v="1"/>
    <s v="No"/>
    <s v="Travel_Rarely"/>
    <n v="1358"/>
    <x v="0"/>
    <n v="16"/>
    <n v="1"/>
    <s v="Life Sciences"/>
    <n v="1"/>
    <n v="1479"/>
    <n v="4"/>
    <s v="Male"/>
    <n v="96"/>
    <n v="3"/>
    <x v="0"/>
    <s v="Sales Executive"/>
    <n v="3"/>
    <s v="Married"/>
    <n v="5301"/>
    <n v="2939"/>
    <n v="8"/>
    <s v="Y"/>
    <s v="No"/>
    <s v="No"/>
    <n v="15"/>
    <n v="3"/>
    <n v="3"/>
    <n v="80"/>
    <n v="2"/>
    <n v="4"/>
    <s v="0-5"/>
    <n v="2"/>
    <n v="2"/>
    <n v="2"/>
    <n v="1"/>
    <n v="2"/>
    <n v="2"/>
    <s v="Below Avg"/>
    <n v="25.829383886255926"/>
    <s v="No"/>
    <s v="Low Risk"/>
  </r>
  <r>
    <n v="42"/>
    <x v="1"/>
    <s v="No"/>
    <s v="Travel_Frequently"/>
    <n v="748"/>
    <x v="1"/>
    <n v="9"/>
    <n v="2"/>
    <s v="Medical"/>
    <n v="1"/>
    <n v="1480"/>
    <n v="1"/>
    <s v="Female"/>
    <n v="74"/>
    <n v="3"/>
    <x v="1"/>
    <s v="Laboratory Technician"/>
    <n v="4"/>
    <s v="Single"/>
    <n v="3673"/>
    <n v="16458"/>
    <n v="1"/>
    <s v="Y"/>
    <s v="No"/>
    <s v="No"/>
    <n v="13"/>
    <n v="3"/>
    <n v="3"/>
    <n v="80"/>
    <n v="0"/>
    <n v="12"/>
    <s v="6-15"/>
    <n v="3"/>
    <n v="3"/>
    <n v="12"/>
    <n v="9"/>
    <n v="5"/>
    <n v="8"/>
    <s v="Below Avg"/>
    <n v="25.890736342042754"/>
    <s v="No"/>
    <s v="Low Risk"/>
  </r>
  <r>
    <n v="44"/>
    <x v="1"/>
    <s v="No"/>
    <s v="Travel_Frequently"/>
    <n v="383"/>
    <x v="0"/>
    <n v="1"/>
    <n v="5"/>
    <s v="Marketing"/>
    <n v="1"/>
    <n v="1481"/>
    <n v="1"/>
    <s v="Female"/>
    <n v="79"/>
    <n v="3"/>
    <x v="0"/>
    <s v="Sales Executive"/>
    <n v="3"/>
    <s v="Married"/>
    <n v="4768"/>
    <n v="9282"/>
    <n v="7"/>
    <s v="Y"/>
    <s v="No"/>
    <s v="No"/>
    <n v="12"/>
    <n v="3"/>
    <n v="3"/>
    <n v="80"/>
    <n v="1"/>
    <n v="11"/>
    <s v="6-15"/>
    <n v="4"/>
    <n v="2"/>
    <n v="1"/>
    <n v="0"/>
    <n v="0"/>
    <n v="0"/>
    <s v="Below Avg"/>
    <n v="25.952380952380956"/>
    <s v="No"/>
    <s v="Low Risk"/>
  </r>
  <r>
    <n v="30"/>
    <x v="1"/>
    <s v="No"/>
    <s v="Non-Travel"/>
    <n v="990"/>
    <x v="1"/>
    <n v="7"/>
    <n v="3"/>
    <s v="Technical Degree"/>
    <n v="1"/>
    <n v="1482"/>
    <n v="3"/>
    <s v="Male"/>
    <n v="64"/>
    <n v="3"/>
    <x v="1"/>
    <s v="Research Scientist"/>
    <n v="3"/>
    <s v="Divorced"/>
    <n v="1274"/>
    <n v="7152"/>
    <n v="1"/>
    <s v="Y"/>
    <s v="No"/>
    <s v="No"/>
    <n v="13"/>
    <n v="3"/>
    <n v="2"/>
    <n v="80"/>
    <n v="2"/>
    <n v="1"/>
    <s v="0-5"/>
    <n v="2"/>
    <n v="2"/>
    <n v="1"/>
    <n v="0"/>
    <n v="0"/>
    <n v="0"/>
    <s v="Below Avg"/>
    <n v="26.014319809069214"/>
    <s v="No"/>
    <s v="Low Risk"/>
  </r>
  <r>
    <n v="57"/>
    <x v="1"/>
    <s v="No"/>
    <s v="Travel_Rarely"/>
    <n v="405"/>
    <x v="1"/>
    <n v="1"/>
    <n v="2"/>
    <s v="Life Sciences"/>
    <n v="1"/>
    <n v="1483"/>
    <n v="2"/>
    <s v="Male"/>
    <n v="93"/>
    <n v="4"/>
    <x v="0"/>
    <s v="Research Scientist"/>
    <n v="3"/>
    <s v="Married"/>
    <n v="4900"/>
    <n v="2721"/>
    <n v="0"/>
    <s v="Y"/>
    <s v="No"/>
    <s v="No"/>
    <n v="24"/>
    <n v="4"/>
    <n v="1"/>
    <n v="80"/>
    <n v="1"/>
    <n v="13"/>
    <s v="6-15"/>
    <n v="2"/>
    <n v="2"/>
    <n v="12"/>
    <n v="9"/>
    <n v="2"/>
    <n v="8"/>
    <s v="Below Avg"/>
    <n v="26.076555023923444"/>
    <s v="No"/>
    <s v="Low Risk"/>
  </r>
  <r>
    <n v="49"/>
    <x v="1"/>
    <s v="No"/>
    <s v="Travel_Rarely"/>
    <n v="1490"/>
    <x v="1"/>
    <n v="7"/>
    <n v="4"/>
    <s v="Life Sciences"/>
    <n v="1"/>
    <n v="1484"/>
    <n v="3"/>
    <s v="Male"/>
    <n v="35"/>
    <n v="3"/>
    <x v="2"/>
    <s v="Healthcare Representative"/>
    <n v="2"/>
    <s v="Divorced"/>
    <n v="10466"/>
    <n v="20948"/>
    <n v="3"/>
    <s v="Y"/>
    <s v="No"/>
    <s v="No"/>
    <n v="14"/>
    <n v="3"/>
    <n v="2"/>
    <n v="80"/>
    <n v="2"/>
    <n v="29"/>
    <s v="&gt;15"/>
    <n v="3"/>
    <n v="3"/>
    <n v="8"/>
    <n v="7"/>
    <n v="0"/>
    <n v="7"/>
    <s v="Ok"/>
    <n v="26.139088729016784"/>
    <s v="No"/>
    <s v="Low Risk"/>
  </r>
  <r>
    <n v="34"/>
    <x v="1"/>
    <s v="No"/>
    <s v="Travel_Frequently"/>
    <n v="829"/>
    <x v="1"/>
    <n v="15"/>
    <n v="3"/>
    <s v="Medical"/>
    <n v="1"/>
    <n v="1485"/>
    <n v="2"/>
    <s v="Male"/>
    <n v="71"/>
    <n v="3"/>
    <x v="3"/>
    <s v="Research Director"/>
    <n v="1"/>
    <s v="Divorced"/>
    <n v="17007"/>
    <n v="11929"/>
    <n v="7"/>
    <s v="Y"/>
    <s v="No"/>
    <s v="No"/>
    <n v="14"/>
    <n v="3"/>
    <n v="4"/>
    <n v="80"/>
    <n v="2"/>
    <n v="16"/>
    <s v="&gt;15"/>
    <n v="3"/>
    <n v="2"/>
    <n v="14"/>
    <n v="8"/>
    <n v="6"/>
    <n v="9"/>
    <s v="Ok"/>
    <n v="26.201923076923077"/>
    <s v="No"/>
    <s v="Low Risk"/>
  </r>
  <r>
    <n v="28"/>
    <x v="0"/>
    <s v="Yes"/>
    <s v="Travel_Frequently"/>
    <n v="1496"/>
    <x v="0"/>
    <n v="1"/>
    <n v="3"/>
    <s v="Technical Degree"/>
    <n v="1"/>
    <n v="1486"/>
    <n v="1"/>
    <s v="Male"/>
    <n v="92"/>
    <n v="3"/>
    <x v="1"/>
    <s v="Sales Representative"/>
    <n v="3"/>
    <s v="Married"/>
    <n v="2909"/>
    <n v="15747"/>
    <n v="3"/>
    <s v="Y"/>
    <s v="No"/>
    <s v="No"/>
    <n v="15"/>
    <n v="3"/>
    <n v="4"/>
    <n v="80"/>
    <n v="1"/>
    <n v="5"/>
    <s v="0-5"/>
    <n v="3"/>
    <n v="4"/>
    <n v="3"/>
    <n v="2"/>
    <n v="1"/>
    <n v="2"/>
    <s v="Below Avg"/>
    <n v="26.265060240963855"/>
    <s v="No"/>
    <s v="Low Risk"/>
  </r>
  <r>
    <n v="29"/>
    <x v="0"/>
    <s v="Yes"/>
    <s v="Travel_Frequently"/>
    <n v="115"/>
    <x v="0"/>
    <n v="13"/>
    <n v="3"/>
    <s v="Technical Degree"/>
    <n v="1"/>
    <n v="1487"/>
    <n v="1"/>
    <s v="Female"/>
    <n v="51"/>
    <n v="3"/>
    <x v="0"/>
    <s v="Sales Executive"/>
    <n v="2"/>
    <s v="Single"/>
    <n v="5765"/>
    <n v="17485"/>
    <n v="5"/>
    <s v="Y"/>
    <s v="No"/>
    <s v="No"/>
    <n v="11"/>
    <n v="3"/>
    <n v="1"/>
    <n v="80"/>
    <n v="0"/>
    <n v="7"/>
    <s v="6-15"/>
    <n v="4"/>
    <n v="1"/>
    <n v="5"/>
    <n v="3"/>
    <n v="0"/>
    <n v="0"/>
    <s v="Below Avg"/>
    <n v="26.328502415458939"/>
    <s v="No"/>
    <s v="Low Risk"/>
  </r>
  <r>
    <n v="34"/>
    <x v="0"/>
    <s v="Yes"/>
    <s v="Travel_Rarely"/>
    <n v="790"/>
    <x v="0"/>
    <n v="24"/>
    <n v="4"/>
    <s v="Medical"/>
    <n v="1"/>
    <n v="1489"/>
    <n v="1"/>
    <s v="Female"/>
    <n v="40"/>
    <n v="2"/>
    <x v="0"/>
    <s v="Sales Executive"/>
    <n v="2"/>
    <s v="Single"/>
    <n v="4599"/>
    <n v="7815"/>
    <n v="0"/>
    <s v="Y"/>
    <s v="Yes"/>
    <s v="Yes"/>
    <n v="23"/>
    <n v="4"/>
    <n v="3"/>
    <n v="80"/>
    <n v="0"/>
    <n v="16"/>
    <s v="&gt;15"/>
    <n v="2"/>
    <n v="4"/>
    <n v="15"/>
    <n v="9"/>
    <n v="10"/>
    <n v="10"/>
    <s v="Below Avg"/>
    <n v="26.392251815980629"/>
    <s v="No"/>
    <s v="Low Risk"/>
  </r>
  <r>
    <n v="35"/>
    <x v="1"/>
    <s v="No"/>
    <s v="Travel_Rarely"/>
    <n v="660"/>
    <x v="0"/>
    <n v="7"/>
    <n v="1"/>
    <s v="Life Sciences"/>
    <n v="1"/>
    <n v="1492"/>
    <n v="4"/>
    <s v="Male"/>
    <n v="76"/>
    <n v="3"/>
    <x v="1"/>
    <s v="Sales Representative"/>
    <n v="3"/>
    <s v="Married"/>
    <n v="2404"/>
    <n v="16192"/>
    <n v="1"/>
    <s v="Y"/>
    <s v="No"/>
    <s v="No"/>
    <n v="13"/>
    <n v="3"/>
    <n v="1"/>
    <n v="80"/>
    <n v="1"/>
    <n v="1"/>
    <s v="0-5"/>
    <n v="3"/>
    <n v="3"/>
    <n v="1"/>
    <n v="0"/>
    <n v="0"/>
    <n v="0"/>
    <s v="Below Avg"/>
    <n v="26.456310679611651"/>
    <s v="No"/>
    <s v="Low Risk"/>
  </r>
  <r>
    <n v="24"/>
    <x v="0"/>
    <s v="Yes"/>
    <s v="Travel_Frequently"/>
    <n v="381"/>
    <x v="1"/>
    <n v="9"/>
    <n v="3"/>
    <s v="Medical"/>
    <n v="1"/>
    <n v="1494"/>
    <n v="2"/>
    <s v="Male"/>
    <n v="89"/>
    <n v="3"/>
    <x v="1"/>
    <s v="Laboratory Technician"/>
    <n v="1"/>
    <s v="Single"/>
    <n v="3172"/>
    <n v="16998"/>
    <n v="2"/>
    <s v="Y"/>
    <s v="Yes"/>
    <s v="Yes"/>
    <n v="11"/>
    <n v="3"/>
    <n v="3"/>
    <n v="80"/>
    <n v="0"/>
    <n v="4"/>
    <s v="0-5"/>
    <n v="2"/>
    <n v="2"/>
    <n v="0"/>
    <n v="0"/>
    <n v="0"/>
    <n v="0"/>
    <s v="Below Avg"/>
    <n v="26.277372262773724"/>
    <s v="No"/>
    <s v="High Risk"/>
  </r>
  <r>
    <n v="24"/>
    <x v="1"/>
    <s v="No"/>
    <s v="Non-Travel"/>
    <n v="830"/>
    <x v="0"/>
    <n v="13"/>
    <n v="2"/>
    <s v="Life Sciences"/>
    <n v="1"/>
    <n v="1495"/>
    <n v="4"/>
    <s v="Female"/>
    <n v="78"/>
    <n v="3"/>
    <x v="1"/>
    <s v="Sales Representative"/>
    <n v="2"/>
    <s v="Married"/>
    <n v="2033"/>
    <n v="7103"/>
    <n v="1"/>
    <s v="Y"/>
    <s v="No"/>
    <s v="No"/>
    <n v="13"/>
    <n v="3"/>
    <n v="3"/>
    <n v="80"/>
    <n v="1"/>
    <n v="1"/>
    <s v="0-5"/>
    <n v="2"/>
    <n v="3"/>
    <n v="1"/>
    <n v="0"/>
    <n v="0"/>
    <n v="0"/>
    <s v="Below Avg"/>
    <n v="26.341463414634148"/>
    <s v="No"/>
    <s v="Low Risk"/>
  </r>
  <r>
    <n v="44"/>
    <x v="1"/>
    <s v="No"/>
    <s v="Travel_Frequently"/>
    <n v="1193"/>
    <x v="1"/>
    <n v="2"/>
    <n v="1"/>
    <s v="Medical"/>
    <n v="1"/>
    <n v="1496"/>
    <n v="2"/>
    <s v="Male"/>
    <n v="86"/>
    <n v="3"/>
    <x v="2"/>
    <s v="Manufacturing Director"/>
    <n v="3"/>
    <s v="Single"/>
    <n v="10209"/>
    <n v="19719"/>
    <n v="5"/>
    <s v="Y"/>
    <s v="Yes"/>
    <s v="Yes"/>
    <n v="18"/>
    <n v="3"/>
    <n v="2"/>
    <n v="80"/>
    <n v="0"/>
    <n v="16"/>
    <s v="&gt;15"/>
    <n v="2"/>
    <n v="2"/>
    <n v="2"/>
    <n v="2"/>
    <n v="2"/>
    <n v="2"/>
    <s v="Ok"/>
    <n v="26.161369193154034"/>
    <s v="No"/>
    <s v="Low Risk"/>
  </r>
  <r>
    <n v="29"/>
    <x v="1"/>
    <s v="No"/>
    <s v="Travel_Rarely"/>
    <n v="1246"/>
    <x v="0"/>
    <n v="19"/>
    <n v="3"/>
    <s v="Life Sciences"/>
    <n v="1"/>
    <n v="1497"/>
    <n v="3"/>
    <s v="Male"/>
    <n v="77"/>
    <n v="2"/>
    <x v="0"/>
    <s v="Sales Executive"/>
    <n v="3"/>
    <s v="Divorced"/>
    <n v="8620"/>
    <n v="23757"/>
    <n v="1"/>
    <s v="Y"/>
    <s v="No"/>
    <s v="No"/>
    <n v="14"/>
    <n v="3"/>
    <n v="3"/>
    <n v="80"/>
    <n v="2"/>
    <n v="10"/>
    <s v="6-15"/>
    <n v="3"/>
    <n v="3"/>
    <n v="10"/>
    <n v="7"/>
    <n v="0"/>
    <n v="4"/>
    <s v="Ok"/>
    <n v="26.225490196078432"/>
    <s v="No"/>
    <s v="Low Risk"/>
  </r>
  <r>
    <n v="30"/>
    <x v="1"/>
    <s v="No"/>
    <s v="Travel_Rarely"/>
    <n v="330"/>
    <x v="2"/>
    <n v="1"/>
    <n v="3"/>
    <s v="Life Sciences"/>
    <n v="1"/>
    <n v="1499"/>
    <n v="3"/>
    <s v="Male"/>
    <n v="46"/>
    <n v="3"/>
    <x v="1"/>
    <s v="Human Resources"/>
    <n v="3"/>
    <s v="Divorced"/>
    <n v="2064"/>
    <n v="15428"/>
    <n v="0"/>
    <s v="Y"/>
    <s v="No"/>
    <s v="No"/>
    <n v="21"/>
    <n v="4"/>
    <n v="1"/>
    <n v="80"/>
    <n v="1"/>
    <n v="6"/>
    <s v="6-15"/>
    <n v="3"/>
    <n v="4"/>
    <n v="5"/>
    <n v="3"/>
    <n v="1"/>
    <n v="3"/>
    <s v="Below Avg"/>
    <n v="26.044226044226043"/>
    <s v="No"/>
    <s v="Low Risk"/>
  </r>
  <r>
    <n v="55"/>
    <x v="1"/>
    <s v="No"/>
    <s v="Travel_Rarely"/>
    <n v="1229"/>
    <x v="1"/>
    <n v="4"/>
    <n v="4"/>
    <s v="Life Sciences"/>
    <n v="1"/>
    <n v="1501"/>
    <n v="4"/>
    <s v="Male"/>
    <n v="30"/>
    <n v="3"/>
    <x v="0"/>
    <s v="Healthcare Representative"/>
    <n v="3"/>
    <s v="Married"/>
    <n v="4035"/>
    <n v="16143"/>
    <n v="0"/>
    <s v="Y"/>
    <s v="Yes"/>
    <s v="Yes"/>
    <n v="16"/>
    <n v="3"/>
    <n v="2"/>
    <n v="80"/>
    <n v="0"/>
    <n v="4"/>
    <s v="0-5"/>
    <n v="2"/>
    <n v="3"/>
    <n v="3"/>
    <n v="2"/>
    <n v="1"/>
    <n v="2"/>
    <s v="Below Avg"/>
    <n v="26.108374384236456"/>
    <s v="No"/>
    <s v="Low Risk"/>
  </r>
  <r>
    <n v="33"/>
    <x v="1"/>
    <s v="No"/>
    <s v="Travel_Rarely"/>
    <n v="1099"/>
    <x v="1"/>
    <n v="4"/>
    <n v="4"/>
    <s v="Medical"/>
    <n v="1"/>
    <n v="1502"/>
    <n v="1"/>
    <s v="Female"/>
    <n v="82"/>
    <n v="2"/>
    <x v="1"/>
    <s v="Laboratory Technician"/>
    <n v="2"/>
    <s v="Married"/>
    <n v="3838"/>
    <n v="8192"/>
    <n v="8"/>
    <s v="Y"/>
    <s v="No"/>
    <s v="No"/>
    <n v="11"/>
    <n v="3"/>
    <n v="4"/>
    <n v="80"/>
    <n v="0"/>
    <n v="8"/>
    <s v="6-15"/>
    <n v="5"/>
    <n v="3"/>
    <n v="5"/>
    <n v="4"/>
    <n v="0"/>
    <n v="2"/>
    <s v="Below Avg"/>
    <n v="26.172839506172842"/>
    <s v="No"/>
    <s v="Low Risk"/>
  </r>
  <r>
    <n v="47"/>
    <x v="1"/>
    <s v="No"/>
    <s v="Travel_Rarely"/>
    <n v="571"/>
    <x v="0"/>
    <n v="14"/>
    <n v="3"/>
    <s v="Medical"/>
    <n v="1"/>
    <n v="1503"/>
    <n v="3"/>
    <s v="Female"/>
    <n v="78"/>
    <n v="3"/>
    <x v="0"/>
    <s v="Sales Executive"/>
    <n v="3"/>
    <s v="Married"/>
    <n v="4591"/>
    <n v="24200"/>
    <n v="3"/>
    <s v="Y"/>
    <s v="Yes"/>
    <s v="Yes"/>
    <n v="17"/>
    <n v="3"/>
    <n v="3"/>
    <n v="80"/>
    <n v="1"/>
    <n v="11"/>
    <s v="6-15"/>
    <n v="4"/>
    <n v="2"/>
    <n v="5"/>
    <n v="4"/>
    <n v="1"/>
    <n v="2"/>
    <s v="Below Avg"/>
    <n v="25.990099009900991"/>
    <s v="No"/>
    <s v="Low Risk"/>
  </r>
  <r>
    <n v="28"/>
    <x v="0"/>
    <s v="Yes"/>
    <s v="Travel_Frequently"/>
    <n v="289"/>
    <x v="1"/>
    <n v="2"/>
    <n v="2"/>
    <s v="Medical"/>
    <n v="1"/>
    <n v="1504"/>
    <n v="3"/>
    <s v="Male"/>
    <n v="38"/>
    <n v="2"/>
    <x v="1"/>
    <s v="Laboratory Technician"/>
    <n v="1"/>
    <s v="Single"/>
    <n v="2561"/>
    <n v="5355"/>
    <n v="7"/>
    <s v="Y"/>
    <s v="No"/>
    <s v="No"/>
    <n v="11"/>
    <n v="3"/>
    <n v="3"/>
    <n v="80"/>
    <n v="0"/>
    <n v="8"/>
    <s v="6-15"/>
    <n v="2"/>
    <n v="2"/>
    <n v="0"/>
    <n v="0"/>
    <n v="0"/>
    <n v="0"/>
    <s v="Below Avg"/>
    <n v="26.054590570719604"/>
    <s v="No"/>
    <s v="High Risk"/>
  </r>
  <r>
    <n v="28"/>
    <x v="1"/>
    <s v="No"/>
    <s v="Travel_Rarely"/>
    <n v="1423"/>
    <x v="1"/>
    <n v="1"/>
    <n v="3"/>
    <s v="Life Sciences"/>
    <n v="1"/>
    <n v="1506"/>
    <n v="1"/>
    <s v="Male"/>
    <n v="72"/>
    <n v="2"/>
    <x v="1"/>
    <s v="Research Scientist"/>
    <n v="3"/>
    <s v="Divorced"/>
    <n v="1563"/>
    <n v="12530"/>
    <n v="1"/>
    <s v="Y"/>
    <s v="No"/>
    <s v="No"/>
    <n v="14"/>
    <n v="3"/>
    <n v="4"/>
    <n v="80"/>
    <n v="1"/>
    <n v="1"/>
    <s v="0-5"/>
    <n v="2"/>
    <n v="1"/>
    <n v="1"/>
    <n v="0"/>
    <n v="0"/>
    <n v="0"/>
    <s v="Below Avg"/>
    <n v="25.870646766169152"/>
    <s v="No"/>
    <s v="Low Risk"/>
  </r>
  <r>
    <n v="28"/>
    <x v="1"/>
    <s v="No"/>
    <s v="Travel_Frequently"/>
    <n v="467"/>
    <x v="0"/>
    <n v="7"/>
    <n v="3"/>
    <s v="Life Sciences"/>
    <n v="1"/>
    <n v="1507"/>
    <n v="3"/>
    <s v="Male"/>
    <n v="55"/>
    <n v="3"/>
    <x v="0"/>
    <s v="Sales Executive"/>
    <n v="1"/>
    <s v="Single"/>
    <n v="4898"/>
    <n v="11827"/>
    <n v="0"/>
    <s v="Y"/>
    <s v="No"/>
    <s v="No"/>
    <n v="14"/>
    <n v="3"/>
    <n v="4"/>
    <n v="80"/>
    <n v="0"/>
    <n v="5"/>
    <s v="0-5"/>
    <n v="5"/>
    <n v="3"/>
    <n v="4"/>
    <n v="2"/>
    <n v="1"/>
    <n v="3"/>
    <s v="Below Avg"/>
    <n v="25.935162094763093"/>
    <s v="No"/>
    <s v="Low Risk"/>
  </r>
  <r>
    <n v="49"/>
    <x v="1"/>
    <s v="No"/>
    <s v="Travel_Rarely"/>
    <n v="271"/>
    <x v="1"/>
    <n v="3"/>
    <n v="2"/>
    <s v="Medical"/>
    <n v="1"/>
    <n v="1509"/>
    <n v="3"/>
    <s v="Female"/>
    <n v="43"/>
    <n v="2"/>
    <x v="0"/>
    <s v="Laboratory Technician"/>
    <n v="1"/>
    <s v="Married"/>
    <n v="4789"/>
    <n v="23070"/>
    <n v="4"/>
    <s v="Y"/>
    <s v="No"/>
    <s v="No"/>
    <n v="25"/>
    <n v="4"/>
    <n v="1"/>
    <n v="80"/>
    <n v="1"/>
    <n v="10"/>
    <s v="6-15"/>
    <n v="3"/>
    <n v="3"/>
    <n v="3"/>
    <n v="2"/>
    <n v="1"/>
    <n v="2"/>
    <s v="Below Avg"/>
    <n v="26"/>
    <s v="No"/>
    <s v="Low Risk"/>
  </r>
  <r>
    <n v="29"/>
    <x v="1"/>
    <s v="No"/>
    <s v="Travel_Frequently"/>
    <n v="410"/>
    <x v="1"/>
    <n v="2"/>
    <n v="1"/>
    <s v="Life Sciences"/>
    <n v="1"/>
    <n v="1513"/>
    <n v="4"/>
    <s v="Female"/>
    <n v="97"/>
    <n v="3"/>
    <x v="1"/>
    <s v="Laboratory Technician"/>
    <n v="2"/>
    <s v="Married"/>
    <n v="3180"/>
    <n v="4668"/>
    <n v="0"/>
    <s v="Y"/>
    <s v="No"/>
    <s v="No"/>
    <n v="13"/>
    <n v="3"/>
    <n v="3"/>
    <n v="80"/>
    <n v="3"/>
    <n v="4"/>
    <s v="0-5"/>
    <n v="3"/>
    <n v="3"/>
    <n v="3"/>
    <n v="2"/>
    <n v="0"/>
    <n v="2"/>
    <s v="Below Avg"/>
    <n v="26.065162907268167"/>
    <s v="No"/>
    <s v="Low Risk"/>
  </r>
  <r>
    <n v="28"/>
    <x v="1"/>
    <s v="No"/>
    <s v="Travel_Rarely"/>
    <n v="1083"/>
    <x v="1"/>
    <n v="29"/>
    <n v="1"/>
    <s v="Life Sciences"/>
    <n v="1"/>
    <n v="1514"/>
    <n v="3"/>
    <s v="Male"/>
    <n v="96"/>
    <n v="1"/>
    <x v="0"/>
    <s v="Manufacturing Director"/>
    <n v="2"/>
    <s v="Married"/>
    <n v="6549"/>
    <n v="3173"/>
    <n v="1"/>
    <s v="Y"/>
    <s v="No"/>
    <s v="No"/>
    <n v="14"/>
    <n v="3"/>
    <n v="2"/>
    <n v="80"/>
    <n v="2"/>
    <n v="8"/>
    <s v="6-15"/>
    <n v="2"/>
    <n v="2"/>
    <n v="8"/>
    <n v="6"/>
    <n v="1"/>
    <n v="7"/>
    <s v="Ok"/>
    <n v="26.13065326633166"/>
    <s v="No"/>
    <s v="Low Risk"/>
  </r>
  <r>
    <n v="33"/>
    <x v="1"/>
    <s v="No"/>
    <s v="Travel_Rarely"/>
    <n v="516"/>
    <x v="1"/>
    <n v="8"/>
    <n v="5"/>
    <s v="Life Sciences"/>
    <n v="1"/>
    <n v="1515"/>
    <n v="4"/>
    <s v="Male"/>
    <n v="69"/>
    <n v="3"/>
    <x v="0"/>
    <s v="Healthcare Representative"/>
    <n v="3"/>
    <s v="Single"/>
    <n v="6388"/>
    <n v="22049"/>
    <n v="2"/>
    <s v="Y"/>
    <s v="Yes"/>
    <s v="Yes"/>
    <n v="17"/>
    <n v="3"/>
    <n v="1"/>
    <n v="80"/>
    <n v="0"/>
    <n v="14"/>
    <s v="6-15"/>
    <n v="6"/>
    <n v="3"/>
    <n v="0"/>
    <n v="0"/>
    <n v="0"/>
    <n v="0"/>
    <s v="Ok"/>
    <n v="26.196473551637279"/>
    <s v="No"/>
    <s v="Low Risk"/>
  </r>
  <r>
    <n v="32"/>
    <x v="1"/>
    <s v="No"/>
    <s v="Travel_Rarely"/>
    <n v="495"/>
    <x v="1"/>
    <n v="10"/>
    <n v="3"/>
    <s v="Medical"/>
    <n v="1"/>
    <n v="1516"/>
    <n v="3"/>
    <s v="Male"/>
    <n v="64"/>
    <n v="3"/>
    <x v="2"/>
    <s v="Manager"/>
    <n v="4"/>
    <s v="Single"/>
    <n v="11244"/>
    <n v="21072"/>
    <n v="2"/>
    <s v="Y"/>
    <s v="No"/>
    <s v="No"/>
    <n v="25"/>
    <n v="4"/>
    <n v="2"/>
    <n v="80"/>
    <n v="0"/>
    <n v="10"/>
    <s v="6-15"/>
    <n v="5"/>
    <n v="4"/>
    <n v="5"/>
    <n v="2"/>
    <n v="0"/>
    <n v="0"/>
    <s v="Ok"/>
    <n v="26.262626262626267"/>
    <s v="No"/>
    <s v="Low Risk"/>
  </r>
  <r>
    <n v="54"/>
    <x v="1"/>
    <s v="No"/>
    <s v="Travel_Frequently"/>
    <n v="1050"/>
    <x v="1"/>
    <n v="11"/>
    <n v="4"/>
    <s v="Medical"/>
    <n v="1"/>
    <n v="1520"/>
    <n v="2"/>
    <s v="Female"/>
    <n v="87"/>
    <n v="3"/>
    <x v="3"/>
    <s v="Manager"/>
    <n v="4"/>
    <s v="Divorced"/>
    <n v="16032"/>
    <n v="24456"/>
    <n v="3"/>
    <s v="Y"/>
    <s v="No"/>
    <s v="No"/>
    <n v="20"/>
    <n v="4"/>
    <n v="1"/>
    <n v="80"/>
    <n v="1"/>
    <n v="26"/>
    <s v="&gt;15"/>
    <n v="2"/>
    <n v="3"/>
    <n v="14"/>
    <n v="9"/>
    <n v="1"/>
    <n v="12"/>
    <s v="Ok"/>
    <n v="26.075949367088608"/>
    <s v="No"/>
    <s v="Low Risk"/>
  </r>
  <r>
    <n v="29"/>
    <x v="0"/>
    <s v="Yes"/>
    <s v="Travel_Rarely"/>
    <n v="224"/>
    <x v="1"/>
    <n v="1"/>
    <n v="4"/>
    <s v="Technical Degree"/>
    <n v="1"/>
    <n v="1522"/>
    <n v="1"/>
    <s v="Male"/>
    <n v="100"/>
    <n v="2"/>
    <x v="1"/>
    <s v="Research Scientist"/>
    <n v="1"/>
    <s v="Single"/>
    <n v="2362"/>
    <n v="7568"/>
    <n v="6"/>
    <s v="Y"/>
    <s v="No"/>
    <s v="No"/>
    <n v="13"/>
    <n v="3"/>
    <n v="3"/>
    <n v="80"/>
    <n v="0"/>
    <n v="11"/>
    <s v="6-15"/>
    <n v="2"/>
    <n v="1"/>
    <n v="9"/>
    <n v="7"/>
    <n v="0"/>
    <n v="7"/>
    <s v="Below Avg"/>
    <n v="26.142131979695431"/>
    <s v="No"/>
    <s v="Low Risk"/>
  </r>
  <r>
    <n v="44"/>
    <x v="1"/>
    <s v="No"/>
    <s v="Travel_Rarely"/>
    <n v="136"/>
    <x v="1"/>
    <n v="28"/>
    <n v="3"/>
    <s v="Life Sciences"/>
    <n v="1"/>
    <n v="1523"/>
    <n v="4"/>
    <s v="Male"/>
    <n v="32"/>
    <n v="3"/>
    <x v="3"/>
    <s v="Research Director"/>
    <n v="1"/>
    <s v="Married"/>
    <n v="16328"/>
    <n v="22074"/>
    <n v="3"/>
    <s v="Y"/>
    <s v="No"/>
    <s v="No"/>
    <n v="13"/>
    <n v="3"/>
    <n v="3"/>
    <n v="80"/>
    <n v="1"/>
    <n v="24"/>
    <s v="&gt;15"/>
    <n v="1"/>
    <n v="4"/>
    <n v="20"/>
    <n v="6"/>
    <n v="14"/>
    <n v="17"/>
    <s v="Ok"/>
    <n v="26.208651399491096"/>
    <s v="No"/>
    <s v="Low Risk"/>
  </r>
  <r>
    <n v="39"/>
    <x v="1"/>
    <s v="No"/>
    <s v="Travel_Rarely"/>
    <n v="1089"/>
    <x v="1"/>
    <n v="6"/>
    <n v="3"/>
    <s v="Life Sciences"/>
    <n v="1"/>
    <n v="1525"/>
    <n v="2"/>
    <s v="Female"/>
    <n v="32"/>
    <n v="3"/>
    <x v="2"/>
    <s v="Manufacturing Director"/>
    <n v="2"/>
    <s v="Single"/>
    <n v="8376"/>
    <n v="9150"/>
    <n v="4"/>
    <s v="Y"/>
    <s v="No"/>
    <s v="No"/>
    <n v="18"/>
    <n v="3"/>
    <n v="4"/>
    <n v="80"/>
    <n v="0"/>
    <n v="9"/>
    <s v="6-15"/>
    <n v="3"/>
    <n v="3"/>
    <n v="2"/>
    <n v="0"/>
    <n v="2"/>
    <n v="2"/>
    <s v="Ok"/>
    <n v="26.27551020408163"/>
    <s v="No"/>
    <s v="Low Risk"/>
  </r>
  <r>
    <n v="46"/>
    <x v="1"/>
    <s v="No"/>
    <s v="Travel_Rarely"/>
    <n v="228"/>
    <x v="0"/>
    <n v="3"/>
    <n v="3"/>
    <s v="Life Sciences"/>
    <n v="1"/>
    <n v="1527"/>
    <n v="3"/>
    <s v="Female"/>
    <n v="51"/>
    <n v="3"/>
    <x v="3"/>
    <s v="Manager"/>
    <n v="2"/>
    <s v="Married"/>
    <n v="16606"/>
    <n v="11380"/>
    <n v="8"/>
    <s v="Y"/>
    <s v="No"/>
    <s v="No"/>
    <n v="12"/>
    <n v="3"/>
    <n v="4"/>
    <n v="80"/>
    <n v="1"/>
    <n v="23"/>
    <s v="&gt;15"/>
    <n v="2"/>
    <n v="4"/>
    <n v="13"/>
    <n v="12"/>
    <n v="5"/>
    <n v="1"/>
    <s v="Ok"/>
    <n v="26.342710997442452"/>
    <s v="No"/>
    <s v="Low Risk"/>
  </r>
  <r>
    <n v="35"/>
    <x v="1"/>
    <s v="No"/>
    <s v="Travel_Rarely"/>
    <n v="1029"/>
    <x v="1"/>
    <n v="16"/>
    <n v="3"/>
    <s v="Life Sciences"/>
    <n v="1"/>
    <n v="1529"/>
    <n v="4"/>
    <s v="Female"/>
    <n v="91"/>
    <n v="2"/>
    <x v="2"/>
    <s v="Healthcare Representative"/>
    <n v="2"/>
    <s v="Single"/>
    <n v="8606"/>
    <n v="21195"/>
    <n v="1"/>
    <s v="Y"/>
    <s v="No"/>
    <s v="No"/>
    <n v="19"/>
    <n v="3"/>
    <n v="4"/>
    <n v="80"/>
    <n v="0"/>
    <n v="11"/>
    <s v="6-15"/>
    <n v="3"/>
    <n v="1"/>
    <n v="11"/>
    <n v="8"/>
    <n v="3"/>
    <n v="3"/>
    <s v="Ok"/>
    <n v="26.410256410256412"/>
    <s v="No"/>
    <s v="Low Risk"/>
  </r>
  <r>
    <n v="23"/>
    <x v="1"/>
    <s v="No"/>
    <s v="Travel_Rarely"/>
    <n v="507"/>
    <x v="1"/>
    <n v="20"/>
    <n v="1"/>
    <s v="Life Sciences"/>
    <n v="1"/>
    <n v="1533"/>
    <n v="1"/>
    <s v="Male"/>
    <n v="97"/>
    <n v="3"/>
    <x v="0"/>
    <s v="Laboratory Technician"/>
    <n v="3"/>
    <s v="Single"/>
    <n v="2272"/>
    <n v="24812"/>
    <n v="0"/>
    <s v="Y"/>
    <s v="No"/>
    <s v="No"/>
    <n v="14"/>
    <n v="3"/>
    <n v="2"/>
    <n v="80"/>
    <n v="0"/>
    <n v="5"/>
    <s v="0-5"/>
    <n v="2"/>
    <n v="3"/>
    <n v="4"/>
    <n v="3"/>
    <n v="1"/>
    <n v="2"/>
    <s v="Below Avg"/>
    <n v="26.47814910025707"/>
    <s v="No"/>
    <s v="Low Risk"/>
  </r>
  <r>
    <n v="40"/>
    <x v="0"/>
    <s v="Yes"/>
    <s v="Travel_Rarely"/>
    <n v="676"/>
    <x v="1"/>
    <n v="9"/>
    <n v="4"/>
    <s v="Life Sciences"/>
    <n v="1"/>
    <n v="1534"/>
    <n v="4"/>
    <s v="Male"/>
    <n v="86"/>
    <n v="3"/>
    <x v="1"/>
    <s v="Laboratory Technician"/>
    <n v="1"/>
    <s v="Single"/>
    <n v="2018"/>
    <n v="21831"/>
    <n v="3"/>
    <s v="Y"/>
    <s v="No"/>
    <s v="No"/>
    <n v="14"/>
    <n v="3"/>
    <n v="2"/>
    <n v="80"/>
    <n v="0"/>
    <n v="15"/>
    <s v="6-15"/>
    <n v="3"/>
    <n v="1"/>
    <n v="5"/>
    <n v="4"/>
    <n v="1"/>
    <n v="0"/>
    <s v="Below Avg"/>
    <n v="26.546391752577321"/>
    <s v="No"/>
    <s v="Low Risk"/>
  </r>
  <r>
    <n v="34"/>
    <x v="1"/>
    <s v="No"/>
    <s v="Travel_Rarely"/>
    <n v="971"/>
    <x v="0"/>
    <n v="1"/>
    <n v="3"/>
    <s v="Technical Degree"/>
    <n v="1"/>
    <n v="1535"/>
    <n v="4"/>
    <s v="Male"/>
    <n v="64"/>
    <n v="2"/>
    <x v="2"/>
    <s v="Sales Executive"/>
    <n v="3"/>
    <s v="Married"/>
    <n v="7083"/>
    <n v="12288"/>
    <n v="1"/>
    <s v="Y"/>
    <s v="Yes"/>
    <s v="Yes"/>
    <n v="14"/>
    <n v="3"/>
    <n v="4"/>
    <n v="80"/>
    <n v="0"/>
    <n v="10"/>
    <s v="6-15"/>
    <n v="3"/>
    <n v="3"/>
    <n v="10"/>
    <n v="9"/>
    <n v="8"/>
    <n v="6"/>
    <s v="Ok"/>
    <n v="26.614987080103358"/>
    <s v="No"/>
    <s v="Low Risk"/>
  </r>
  <r>
    <n v="31"/>
    <x v="0"/>
    <s v="Yes"/>
    <s v="Travel_Frequently"/>
    <n v="561"/>
    <x v="1"/>
    <n v="3"/>
    <n v="3"/>
    <s v="Life Sciences"/>
    <n v="1"/>
    <n v="1537"/>
    <n v="4"/>
    <s v="Female"/>
    <n v="33"/>
    <n v="3"/>
    <x v="1"/>
    <s v="Research Scientist"/>
    <n v="3"/>
    <s v="Single"/>
    <n v="4084"/>
    <n v="4156"/>
    <n v="1"/>
    <s v="Y"/>
    <s v="No"/>
    <s v="No"/>
    <n v="12"/>
    <n v="3"/>
    <n v="1"/>
    <n v="80"/>
    <n v="0"/>
    <n v="7"/>
    <s v="6-15"/>
    <n v="2"/>
    <n v="1"/>
    <n v="7"/>
    <n v="2"/>
    <n v="7"/>
    <n v="7"/>
    <s v="Below Avg"/>
    <n v="26.683937823834196"/>
    <s v="No"/>
    <s v="Low Risk"/>
  </r>
  <r>
    <n v="50"/>
    <x v="1"/>
    <s v="No"/>
    <s v="Travel_Frequently"/>
    <n v="333"/>
    <x v="1"/>
    <n v="22"/>
    <n v="5"/>
    <s v="Medical"/>
    <n v="1"/>
    <n v="1539"/>
    <n v="3"/>
    <s v="Male"/>
    <n v="88"/>
    <n v="1"/>
    <x v="3"/>
    <s v="Research Director"/>
    <n v="4"/>
    <s v="Single"/>
    <n v="14411"/>
    <n v="24450"/>
    <n v="1"/>
    <s v="Y"/>
    <s v="Yes"/>
    <s v="Yes"/>
    <n v="13"/>
    <n v="3"/>
    <n v="4"/>
    <n v="80"/>
    <n v="0"/>
    <n v="32"/>
    <s v="&gt;15"/>
    <n v="2"/>
    <n v="3"/>
    <n v="32"/>
    <n v="6"/>
    <n v="13"/>
    <n v="9"/>
    <s v="Ok"/>
    <n v="26.493506493506491"/>
    <s v="No"/>
    <s v="Low Risk"/>
  </r>
  <r>
    <n v="34"/>
    <x v="1"/>
    <s v="No"/>
    <s v="Travel_Rarely"/>
    <n v="1440"/>
    <x v="0"/>
    <n v="7"/>
    <n v="2"/>
    <s v="Technical Degree"/>
    <n v="1"/>
    <n v="1541"/>
    <n v="2"/>
    <s v="Male"/>
    <n v="55"/>
    <n v="3"/>
    <x v="1"/>
    <s v="Sales Representative"/>
    <n v="3"/>
    <s v="Married"/>
    <n v="2308"/>
    <n v="4944"/>
    <n v="0"/>
    <s v="Y"/>
    <s v="Yes"/>
    <s v="Yes"/>
    <n v="25"/>
    <n v="4"/>
    <n v="2"/>
    <n v="80"/>
    <n v="1"/>
    <n v="12"/>
    <s v="6-15"/>
    <n v="4"/>
    <n v="3"/>
    <n v="11"/>
    <n v="10"/>
    <n v="5"/>
    <n v="7"/>
    <s v="Below Avg"/>
    <n v="26.5625"/>
    <s v="No"/>
    <s v="Low Risk"/>
  </r>
  <r>
    <n v="42"/>
    <x v="1"/>
    <s v="No"/>
    <s v="Travel_Rarely"/>
    <n v="1210"/>
    <x v="1"/>
    <n v="2"/>
    <n v="3"/>
    <s v="Medical"/>
    <n v="1"/>
    <n v="1542"/>
    <n v="3"/>
    <s v="Male"/>
    <n v="68"/>
    <n v="2"/>
    <x v="1"/>
    <s v="Laboratory Technician"/>
    <n v="2"/>
    <s v="Married"/>
    <n v="4841"/>
    <n v="24052"/>
    <n v="4"/>
    <s v="Y"/>
    <s v="No"/>
    <s v="No"/>
    <n v="14"/>
    <n v="3"/>
    <n v="2"/>
    <n v="80"/>
    <n v="1"/>
    <n v="4"/>
    <s v="0-5"/>
    <n v="3"/>
    <n v="3"/>
    <n v="1"/>
    <n v="0"/>
    <n v="0"/>
    <n v="0"/>
    <s v="Below Avg"/>
    <n v="26.370757180156655"/>
    <s v="No"/>
    <s v="Low Risk"/>
  </r>
  <r>
    <n v="37"/>
    <x v="1"/>
    <s v="No"/>
    <s v="Travel_Rarely"/>
    <n v="674"/>
    <x v="1"/>
    <n v="13"/>
    <n v="3"/>
    <s v="Medical"/>
    <n v="1"/>
    <n v="1543"/>
    <n v="1"/>
    <s v="Male"/>
    <n v="47"/>
    <n v="3"/>
    <x v="0"/>
    <s v="Research Scientist"/>
    <n v="4"/>
    <s v="Married"/>
    <n v="4285"/>
    <n v="3031"/>
    <n v="1"/>
    <s v="Y"/>
    <s v="No"/>
    <s v="No"/>
    <n v="17"/>
    <n v="3"/>
    <n v="1"/>
    <n v="80"/>
    <n v="0"/>
    <n v="10"/>
    <s v="6-15"/>
    <n v="2"/>
    <n v="3"/>
    <n v="10"/>
    <n v="8"/>
    <n v="3"/>
    <n v="7"/>
    <s v="Below Avg"/>
    <n v="26.178010471204189"/>
    <s v="No"/>
    <s v="Low Risk"/>
  </r>
  <r>
    <n v="29"/>
    <x v="1"/>
    <s v="No"/>
    <s v="Travel_Rarely"/>
    <n v="441"/>
    <x v="1"/>
    <n v="8"/>
    <n v="1"/>
    <s v="Other"/>
    <n v="1"/>
    <n v="1544"/>
    <n v="3"/>
    <s v="Female"/>
    <n v="39"/>
    <n v="1"/>
    <x v="0"/>
    <s v="Healthcare Representative"/>
    <n v="1"/>
    <s v="Married"/>
    <n v="9715"/>
    <n v="7288"/>
    <n v="3"/>
    <s v="Y"/>
    <s v="No"/>
    <s v="No"/>
    <n v="13"/>
    <n v="3"/>
    <n v="3"/>
    <n v="80"/>
    <n v="1"/>
    <n v="9"/>
    <s v="6-15"/>
    <n v="3"/>
    <n v="3"/>
    <n v="7"/>
    <n v="7"/>
    <n v="0"/>
    <n v="7"/>
    <s v="Ok"/>
    <n v="26.246719160104988"/>
    <s v="No"/>
    <s v="Low Risk"/>
  </r>
  <r>
    <n v="33"/>
    <x v="1"/>
    <s v="No"/>
    <s v="Travel_Rarely"/>
    <n v="575"/>
    <x v="1"/>
    <n v="25"/>
    <n v="3"/>
    <s v="Life Sciences"/>
    <n v="1"/>
    <n v="1545"/>
    <n v="4"/>
    <s v="Male"/>
    <n v="44"/>
    <n v="2"/>
    <x v="0"/>
    <s v="Manufacturing Director"/>
    <n v="2"/>
    <s v="Single"/>
    <n v="4320"/>
    <n v="24152"/>
    <n v="1"/>
    <s v="Y"/>
    <s v="No"/>
    <s v="No"/>
    <n v="13"/>
    <n v="3"/>
    <n v="4"/>
    <n v="80"/>
    <n v="0"/>
    <n v="5"/>
    <s v="0-5"/>
    <n v="2"/>
    <n v="3"/>
    <n v="5"/>
    <n v="3"/>
    <n v="0"/>
    <n v="2"/>
    <s v="Below Avg"/>
    <n v="26.315789473684209"/>
    <s v="No"/>
    <s v="Low Risk"/>
  </r>
  <r>
    <n v="45"/>
    <x v="1"/>
    <s v="No"/>
    <s v="Travel_Rarely"/>
    <n v="950"/>
    <x v="1"/>
    <n v="28"/>
    <n v="3"/>
    <s v="Technical Degree"/>
    <n v="1"/>
    <n v="1546"/>
    <n v="4"/>
    <s v="Male"/>
    <n v="97"/>
    <n v="3"/>
    <x v="1"/>
    <s v="Research Scientist"/>
    <n v="4"/>
    <s v="Married"/>
    <n v="2132"/>
    <n v="4585"/>
    <n v="4"/>
    <s v="Y"/>
    <s v="No"/>
    <s v="No"/>
    <n v="20"/>
    <n v="4"/>
    <n v="4"/>
    <n v="80"/>
    <n v="1"/>
    <n v="8"/>
    <s v="6-15"/>
    <n v="3"/>
    <n v="3"/>
    <n v="5"/>
    <n v="4"/>
    <n v="0"/>
    <n v="3"/>
    <s v="Below Avg"/>
    <n v="26.385224274406333"/>
    <s v="No"/>
    <s v="Low Risk"/>
  </r>
  <r>
    <n v="42"/>
    <x v="1"/>
    <s v="No"/>
    <s v="Travel_Frequently"/>
    <n v="288"/>
    <x v="1"/>
    <n v="2"/>
    <n v="3"/>
    <s v="Life Sciences"/>
    <n v="1"/>
    <n v="1547"/>
    <n v="4"/>
    <s v="Male"/>
    <n v="40"/>
    <n v="3"/>
    <x v="2"/>
    <s v="Healthcare Representative"/>
    <n v="4"/>
    <s v="Married"/>
    <n v="10124"/>
    <n v="18611"/>
    <n v="2"/>
    <s v="Y"/>
    <s v="Yes"/>
    <s v="Yes"/>
    <n v="14"/>
    <n v="3"/>
    <n v="3"/>
    <n v="80"/>
    <n v="1"/>
    <n v="24"/>
    <s v="&gt;15"/>
    <n v="3"/>
    <n v="1"/>
    <n v="20"/>
    <n v="8"/>
    <n v="13"/>
    <n v="9"/>
    <s v="Ok"/>
    <n v="26.455026455026452"/>
    <s v="No"/>
    <s v="Low Risk"/>
  </r>
  <r>
    <n v="40"/>
    <x v="1"/>
    <s v="No"/>
    <s v="Travel_Rarely"/>
    <n v="1342"/>
    <x v="0"/>
    <n v="9"/>
    <n v="2"/>
    <s v="Medical"/>
    <n v="1"/>
    <n v="1548"/>
    <n v="1"/>
    <s v="Male"/>
    <n v="47"/>
    <n v="3"/>
    <x v="0"/>
    <s v="Sales Executive"/>
    <n v="1"/>
    <s v="Married"/>
    <n v="5473"/>
    <n v="19345"/>
    <n v="0"/>
    <s v="Y"/>
    <s v="No"/>
    <s v="No"/>
    <n v="12"/>
    <n v="3"/>
    <n v="4"/>
    <n v="80"/>
    <n v="0"/>
    <n v="9"/>
    <s v="6-15"/>
    <n v="5"/>
    <n v="4"/>
    <n v="8"/>
    <n v="4"/>
    <n v="7"/>
    <n v="1"/>
    <s v="Below Avg"/>
    <n v="26.525198938992045"/>
    <s v="No"/>
    <s v="Low Risk"/>
  </r>
  <r>
    <n v="33"/>
    <x v="1"/>
    <s v="No"/>
    <s v="Travel_Rarely"/>
    <n v="589"/>
    <x v="1"/>
    <n v="28"/>
    <n v="4"/>
    <s v="Life Sciences"/>
    <n v="1"/>
    <n v="1549"/>
    <n v="2"/>
    <s v="Male"/>
    <n v="79"/>
    <n v="3"/>
    <x v="0"/>
    <s v="Laboratory Technician"/>
    <n v="3"/>
    <s v="Married"/>
    <n v="5207"/>
    <n v="22949"/>
    <n v="1"/>
    <s v="Y"/>
    <s v="Yes"/>
    <s v="Yes"/>
    <n v="12"/>
    <n v="3"/>
    <n v="2"/>
    <n v="80"/>
    <n v="1"/>
    <n v="15"/>
    <s v="6-15"/>
    <n v="3"/>
    <n v="3"/>
    <n v="15"/>
    <n v="14"/>
    <n v="5"/>
    <n v="7"/>
    <s v="Below Avg"/>
    <n v="26.329787234042552"/>
    <s v="No"/>
    <s v="Low Risk"/>
  </r>
  <r>
    <n v="40"/>
    <x v="1"/>
    <s v="No"/>
    <s v="Travel_Rarely"/>
    <n v="898"/>
    <x v="2"/>
    <n v="6"/>
    <n v="2"/>
    <s v="Medical"/>
    <n v="1"/>
    <n v="1550"/>
    <n v="3"/>
    <s v="Male"/>
    <n v="38"/>
    <n v="3"/>
    <x v="3"/>
    <s v="Manager"/>
    <n v="4"/>
    <s v="Single"/>
    <n v="16437"/>
    <n v="17381"/>
    <n v="1"/>
    <s v="Y"/>
    <s v="Yes"/>
    <s v="Yes"/>
    <n v="21"/>
    <n v="4"/>
    <n v="4"/>
    <n v="80"/>
    <n v="0"/>
    <n v="21"/>
    <s v="&gt;15"/>
    <n v="2"/>
    <n v="3"/>
    <n v="21"/>
    <n v="7"/>
    <n v="7"/>
    <n v="7"/>
    <s v="Ok"/>
    <n v="26.400000000000002"/>
    <s v="No"/>
    <s v="Low Risk"/>
  </r>
  <r>
    <n v="24"/>
    <x v="1"/>
    <s v="No"/>
    <s v="Travel_Rarely"/>
    <n v="350"/>
    <x v="1"/>
    <n v="21"/>
    <n v="2"/>
    <s v="Technical Degree"/>
    <n v="1"/>
    <n v="1551"/>
    <n v="3"/>
    <s v="Male"/>
    <n v="57"/>
    <n v="2"/>
    <x v="1"/>
    <s v="Laboratory Technician"/>
    <n v="1"/>
    <s v="Divorced"/>
    <n v="2296"/>
    <n v="10036"/>
    <n v="0"/>
    <s v="Y"/>
    <s v="No"/>
    <s v="No"/>
    <n v="14"/>
    <n v="3"/>
    <n v="2"/>
    <n v="80"/>
    <n v="3"/>
    <n v="2"/>
    <s v="0-5"/>
    <n v="3"/>
    <n v="3"/>
    <n v="1"/>
    <n v="1"/>
    <n v="0"/>
    <n v="0"/>
    <s v="Below Avg"/>
    <n v="26.203208556149733"/>
    <s v="No"/>
    <s v="Low Risk"/>
  </r>
  <r>
    <n v="40"/>
    <x v="1"/>
    <s v="No"/>
    <s v="Non-Travel"/>
    <n v="1142"/>
    <x v="1"/>
    <n v="8"/>
    <n v="2"/>
    <s v="Life Sciences"/>
    <n v="1"/>
    <n v="1552"/>
    <n v="4"/>
    <s v="Male"/>
    <n v="72"/>
    <n v="3"/>
    <x v="0"/>
    <s v="Healthcare Representative"/>
    <n v="4"/>
    <s v="Divorced"/>
    <n v="4069"/>
    <n v="8841"/>
    <n v="3"/>
    <s v="Y"/>
    <s v="Yes"/>
    <s v="Yes"/>
    <n v="18"/>
    <n v="3"/>
    <n v="3"/>
    <n v="80"/>
    <n v="0"/>
    <n v="8"/>
    <s v="6-15"/>
    <n v="2"/>
    <n v="3"/>
    <n v="2"/>
    <n v="2"/>
    <n v="2"/>
    <n v="2"/>
    <s v="Below Avg"/>
    <n v="26.005361930294907"/>
    <s v="No"/>
    <s v="Low Risk"/>
  </r>
  <r>
    <n v="45"/>
    <x v="1"/>
    <s v="No"/>
    <s v="Travel_Rarely"/>
    <n v="538"/>
    <x v="1"/>
    <n v="1"/>
    <n v="4"/>
    <s v="Technical Degree"/>
    <n v="1"/>
    <n v="1553"/>
    <n v="1"/>
    <s v="Male"/>
    <n v="66"/>
    <n v="3"/>
    <x v="2"/>
    <s v="Healthcare Representative"/>
    <n v="2"/>
    <s v="Divorced"/>
    <n v="7441"/>
    <n v="20933"/>
    <n v="1"/>
    <s v="Y"/>
    <s v="No"/>
    <s v="No"/>
    <n v="12"/>
    <n v="3"/>
    <n v="1"/>
    <n v="80"/>
    <n v="3"/>
    <n v="10"/>
    <s v="6-15"/>
    <n v="4"/>
    <n v="3"/>
    <n v="10"/>
    <n v="8"/>
    <n v="7"/>
    <n v="7"/>
    <s v="Ok"/>
    <n v="26.0752688172043"/>
    <s v="No"/>
    <s v="Low Risk"/>
  </r>
  <r>
    <n v="35"/>
    <x v="1"/>
    <s v="No"/>
    <s v="Travel_Rarely"/>
    <n v="1402"/>
    <x v="0"/>
    <n v="28"/>
    <n v="4"/>
    <s v="Life Sciences"/>
    <n v="1"/>
    <n v="1554"/>
    <n v="2"/>
    <s v="Female"/>
    <n v="98"/>
    <n v="2"/>
    <x v="1"/>
    <s v="Sales Representative"/>
    <n v="3"/>
    <s v="Married"/>
    <n v="2430"/>
    <n v="26204"/>
    <n v="0"/>
    <s v="Y"/>
    <s v="No"/>
    <s v="No"/>
    <n v="23"/>
    <n v="4"/>
    <n v="1"/>
    <n v="80"/>
    <n v="2"/>
    <n v="6"/>
    <s v="6-15"/>
    <n v="5"/>
    <n v="3"/>
    <n v="5"/>
    <n v="3"/>
    <n v="4"/>
    <n v="2"/>
    <s v="Below Avg"/>
    <n v="25.876010781671159"/>
    <s v="No"/>
    <s v="Low Risk"/>
  </r>
  <r>
    <n v="32"/>
    <x v="1"/>
    <s v="No"/>
    <s v="Travel_Rarely"/>
    <n v="824"/>
    <x v="1"/>
    <n v="5"/>
    <n v="2"/>
    <s v="Life Sciences"/>
    <n v="1"/>
    <n v="1555"/>
    <n v="4"/>
    <s v="Female"/>
    <n v="67"/>
    <n v="2"/>
    <x v="0"/>
    <s v="Research Scientist"/>
    <n v="2"/>
    <s v="Married"/>
    <n v="5878"/>
    <n v="15624"/>
    <n v="3"/>
    <s v="Y"/>
    <s v="No"/>
    <s v="No"/>
    <n v="12"/>
    <n v="3"/>
    <n v="1"/>
    <n v="80"/>
    <n v="1"/>
    <n v="12"/>
    <s v="6-15"/>
    <n v="2"/>
    <n v="3"/>
    <n v="7"/>
    <n v="1"/>
    <n v="2"/>
    <n v="5"/>
    <s v="Below Avg"/>
    <n v="25.945945945945947"/>
    <s v="No"/>
    <s v="Low Risk"/>
  </r>
  <r>
    <n v="36"/>
    <x v="1"/>
    <s v="No"/>
    <s v="Travel_Rarely"/>
    <n v="1157"/>
    <x v="0"/>
    <n v="2"/>
    <n v="4"/>
    <s v="Life Sciences"/>
    <n v="1"/>
    <n v="1556"/>
    <n v="3"/>
    <s v="Male"/>
    <n v="70"/>
    <n v="3"/>
    <x v="1"/>
    <s v="Sales Representative"/>
    <n v="4"/>
    <s v="Single"/>
    <n v="2644"/>
    <n v="17001"/>
    <n v="3"/>
    <s v="Y"/>
    <s v="Yes"/>
    <s v="Yes"/>
    <n v="21"/>
    <n v="4"/>
    <n v="4"/>
    <n v="80"/>
    <n v="0"/>
    <n v="7"/>
    <s v="6-15"/>
    <n v="3"/>
    <n v="2"/>
    <n v="3"/>
    <n v="2"/>
    <n v="1"/>
    <n v="2"/>
    <s v="Below Avg"/>
    <n v="26.016260162601629"/>
    <s v="No"/>
    <s v="Low Risk"/>
  </r>
  <r>
    <n v="48"/>
    <x v="1"/>
    <s v="No"/>
    <s v="Travel_Rarely"/>
    <n v="492"/>
    <x v="0"/>
    <n v="16"/>
    <n v="4"/>
    <s v="Life Sciences"/>
    <n v="1"/>
    <n v="1557"/>
    <n v="3"/>
    <s v="Female"/>
    <n v="96"/>
    <n v="3"/>
    <x v="0"/>
    <s v="Sales Executive"/>
    <n v="3"/>
    <s v="Divorced"/>
    <n v="6439"/>
    <n v="13693"/>
    <n v="8"/>
    <s v="Y"/>
    <s v="No"/>
    <s v="No"/>
    <n v="14"/>
    <n v="3"/>
    <n v="3"/>
    <n v="80"/>
    <n v="1"/>
    <n v="18"/>
    <s v="&gt;15"/>
    <n v="2"/>
    <n v="3"/>
    <n v="8"/>
    <n v="7"/>
    <n v="7"/>
    <n v="7"/>
    <s v="Below Avg"/>
    <n v="26.086956521739129"/>
    <s v="No"/>
    <s v="Low Risk"/>
  </r>
  <r>
    <n v="29"/>
    <x v="1"/>
    <s v="No"/>
    <s v="Travel_Rarely"/>
    <n v="598"/>
    <x v="1"/>
    <n v="9"/>
    <n v="3"/>
    <s v="Life Sciences"/>
    <n v="1"/>
    <n v="1558"/>
    <n v="3"/>
    <s v="Male"/>
    <n v="91"/>
    <n v="4"/>
    <x v="1"/>
    <s v="Research Scientist"/>
    <n v="3"/>
    <s v="Married"/>
    <n v="2451"/>
    <n v="22376"/>
    <n v="6"/>
    <s v="Y"/>
    <s v="No"/>
    <s v="No"/>
    <n v="18"/>
    <n v="3"/>
    <n v="1"/>
    <n v="80"/>
    <n v="2"/>
    <n v="5"/>
    <s v="0-5"/>
    <n v="2"/>
    <n v="2"/>
    <n v="1"/>
    <n v="0"/>
    <n v="0"/>
    <n v="0"/>
    <s v="Below Avg"/>
    <n v="25.885558583106267"/>
    <s v="No"/>
    <s v="Low Risk"/>
  </r>
  <r>
    <n v="33"/>
    <x v="1"/>
    <s v="No"/>
    <s v="Travel_Rarely"/>
    <n v="1242"/>
    <x v="0"/>
    <n v="8"/>
    <n v="4"/>
    <s v="Life Sciences"/>
    <n v="1"/>
    <n v="1560"/>
    <n v="1"/>
    <s v="Male"/>
    <n v="46"/>
    <n v="3"/>
    <x v="0"/>
    <s v="Sales Executive"/>
    <n v="1"/>
    <s v="Married"/>
    <n v="6392"/>
    <n v="10589"/>
    <n v="2"/>
    <s v="Y"/>
    <s v="No"/>
    <s v="No"/>
    <n v="13"/>
    <n v="3"/>
    <n v="4"/>
    <n v="80"/>
    <n v="1"/>
    <n v="8"/>
    <s v="6-15"/>
    <n v="6"/>
    <n v="1"/>
    <n v="2"/>
    <n v="2"/>
    <n v="2"/>
    <n v="2"/>
    <s v="Below Avg"/>
    <n v="25.956284153005466"/>
    <s v="No"/>
    <s v="Low Risk"/>
  </r>
  <r>
    <n v="30"/>
    <x v="0"/>
    <s v="Yes"/>
    <s v="Travel_Rarely"/>
    <n v="740"/>
    <x v="0"/>
    <n v="1"/>
    <n v="3"/>
    <s v="Life Sciences"/>
    <n v="1"/>
    <n v="1562"/>
    <n v="2"/>
    <s v="Male"/>
    <n v="64"/>
    <n v="2"/>
    <x v="0"/>
    <s v="Sales Executive"/>
    <n v="1"/>
    <s v="Married"/>
    <n v="9714"/>
    <n v="5323"/>
    <n v="1"/>
    <s v="Y"/>
    <s v="No"/>
    <s v="No"/>
    <n v="11"/>
    <n v="3"/>
    <n v="4"/>
    <n v="80"/>
    <n v="1"/>
    <n v="10"/>
    <s v="6-15"/>
    <n v="4"/>
    <n v="3"/>
    <n v="10"/>
    <n v="8"/>
    <n v="6"/>
    <n v="7"/>
    <s v="Ok"/>
    <n v="26.027397260273972"/>
    <s v="No"/>
    <s v="Low Risk"/>
  </r>
  <r>
    <n v="38"/>
    <x v="1"/>
    <s v="No"/>
    <s v="Travel_Frequently"/>
    <n v="888"/>
    <x v="2"/>
    <n v="10"/>
    <n v="4"/>
    <s v="Human Resources"/>
    <n v="1"/>
    <n v="1563"/>
    <n v="3"/>
    <s v="Male"/>
    <n v="71"/>
    <n v="3"/>
    <x v="0"/>
    <s v="Human Resources"/>
    <n v="3"/>
    <s v="Married"/>
    <n v="6077"/>
    <n v="14814"/>
    <n v="3"/>
    <s v="Y"/>
    <s v="No"/>
    <s v="No"/>
    <n v="11"/>
    <n v="3"/>
    <n v="3"/>
    <n v="80"/>
    <n v="0"/>
    <n v="10"/>
    <s v="6-15"/>
    <n v="2"/>
    <n v="3"/>
    <n v="6"/>
    <n v="3"/>
    <n v="1"/>
    <n v="2"/>
    <s v="Ok"/>
    <n v="26.098901098901102"/>
    <s v="No"/>
    <s v="Low Risk"/>
  </r>
  <r>
    <n v="35"/>
    <x v="1"/>
    <s v="No"/>
    <s v="Travel_Rarely"/>
    <n v="992"/>
    <x v="1"/>
    <n v="1"/>
    <n v="3"/>
    <s v="Medical"/>
    <n v="1"/>
    <n v="1564"/>
    <n v="4"/>
    <s v="Male"/>
    <n v="68"/>
    <n v="2"/>
    <x v="1"/>
    <s v="Laboratory Technician"/>
    <n v="1"/>
    <s v="Single"/>
    <n v="2450"/>
    <n v="21731"/>
    <n v="1"/>
    <s v="Y"/>
    <s v="No"/>
    <s v="No"/>
    <n v="19"/>
    <n v="3"/>
    <n v="2"/>
    <n v="80"/>
    <n v="0"/>
    <n v="3"/>
    <s v="0-5"/>
    <n v="3"/>
    <n v="3"/>
    <n v="3"/>
    <n v="0"/>
    <n v="1"/>
    <n v="2"/>
    <s v="Below Avg"/>
    <n v="26.170798898071624"/>
    <s v="No"/>
    <s v="Low Risk"/>
  </r>
  <r>
    <n v="30"/>
    <x v="1"/>
    <s v="No"/>
    <s v="Travel_Rarely"/>
    <n v="1288"/>
    <x v="0"/>
    <n v="29"/>
    <n v="4"/>
    <s v="Technical Degree"/>
    <n v="1"/>
    <n v="1568"/>
    <n v="3"/>
    <s v="Male"/>
    <n v="33"/>
    <n v="3"/>
    <x v="2"/>
    <s v="Sales Executive"/>
    <n v="2"/>
    <s v="Married"/>
    <n v="9250"/>
    <n v="17799"/>
    <n v="3"/>
    <s v="Y"/>
    <s v="No"/>
    <s v="No"/>
    <n v="12"/>
    <n v="3"/>
    <n v="2"/>
    <n v="80"/>
    <n v="1"/>
    <n v="9"/>
    <s v="6-15"/>
    <n v="3"/>
    <n v="3"/>
    <n v="4"/>
    <n v="2"/>
    <n v="1"/>
    <n v="3"/>
    <s v="Ok"/>
    <n v="26.243093922651934"/>
    <s v="No"/>
    <s v="Low Risk"/>
  </r>
  <r>
    <n v="35"/>
    <x v="0"/>
    <s v="Yes"/>
    <s v="Travel_Rarely"/>
    <n v="104"/>
    <x v="1"/>
    <n v="2"/>
    <n v="3"/>
    <s v="Life Sciences"/>
    <n v="1"/>
    <n v="1569"/>
    <n v="1"/>
    <s v="Female"/>
    <n v="69"/>
    <n v="3"/>
    <x v="1"/>
    <s v="Laboratory Technician"/>
    <n v="1"/>
    <s v="Divorced"/>
    <n v="2074"/>
    <n v="26619"/>
    <n v="1"/>
    <s v="Y"/>
    <s v="Yes"/>
    <s v="Yes"/>
    <n v="12"/>
    <n v="3"/>
    <n v="4"/>
    <n v="80"/>
    <n v="1"/>
    <n v="1"/>
    <s v="0-5"/>
    <n v="2"/>
    <n v="3"/>
    <n v="1"/>
    <n v="0"/>
    <n v="0"/>
    <n v="0"/>
    <s v="Below Avg"/>
    <n v="26.315789473684209"/>
    <s v="No"/>
    <s v="High Risk"/>
  </r>
  <r>
    <n v="53"/>
    <x v="0"/>
    <s v="Yes"/>
    <s v="Travel_Rarely"/>
    <n v="607"/>
    <x v="1"/>
    <n v="2"/>
    <n v="5"/>
    <s v="Technical Degree"/>
    <n v="1"/>
    <n v="1572"/>
    <n v="3"/>
    <s v="Female"/>
    <n v="78"/>
    <n v="2"/>
    <x v="2"/>
    <s v="Manufacturing Director"/>
    <n v="4"/>
    <s v="Married"/>
    <n v="10169"/>
    <n v="14618"/>
    <n v="0"/>
    <s v="Y"/>
    <s v="No"/>
    <s v="No"/>
    <n v="16"/>
    <n v="3"/>
    <n v="2"/>
    <n v="80"/>
    <n v="1"/>
    <n v="34"/>
    <s v="&gt;15"/>
    <n v="4"/>
    <n v="3"/>
    <n v="33"/>
    <n v="7"/>
    <n v="1"/>
    <n v="9"/>
    <s v="Ok"/>
    <n v="26.388888888888889"/>
    <s v="No"/>
    <s v="Low Risk"/>
  </r>
  <r>
    <n v="38"/>
    <x v="0"/>
    <s v="Yes"/>
    <s v="Travel_Rarely"/>
    <n v="903"/>
    <x v="1"/>
    <n v="2"/>
    <n v="3"/>
    <s v="Medical"/>
    <n v="1"/>
    <n v="1573"/>
    <n v="3"/>
    <s v="Male"/>
    <n v="81"/>
    <n v="3"/>
    <x v="0"/>
    <s v="Manufacturing Director"/>
    <n v="2"/>
    <s v="Married"/>
    <n v="4855"/>
    <n v="7653"/>
    <n v="4"/>
    <s v="Y"/>
    <s v="No"/>
    <s v="No"/>
    <n v="11"/>
    <n v="3"/>
    <n v="1"/>
    <n v="80"/>
    <n v="2"/>
    <n v="7"/>
    <s v="6-15"/>
    <n v="2"/>
    <n v="3"/>
    <n v="5"/>
    <n v="2"/>
    <n v="1"/>
    <n v="4"/>
    <s v="Below Avg"/>
    <n v="26.18384401114206"/>
    <s v="No"/>
    <s v="Low Risk"/>
  </r>
  <r>
    <n v="32"/>
    <x v="1"/>
    <s v="No"/>
    <s v="Non-Travel"/>
    <n v="1200"/>
    <x v="1"/>
    <n v="1"/>
    <n v="4"/>
    <s v="Technical Degree"/>
    <n v="1"/>
    <n v="1574"/>
    <n v="4"/>
    <s v="Male"/>
    <n v="62"/>
    <n v="3"/>
    <x v="0"/>
    <s v="Research Scientist"/>
    <n v="1"/>
    <s v="Married"/>
    <n v="4087"/>
    <n v="25174"/>
    <n v="4"/>
    <s v="Y"/>
    <s v="No"/>
    <s v="No"/>
    <n v="14"/>
    <n v="3"/>
    <n v="2"/>
    <n v="80"/>
    <n v="1"/>
    <n v="9"/>
    <s v="6-15"/>
    <n v="3"/>
    <n v="2"/>
    <n v="6"/>
    <n v="5"/>
    <n v="1"/>
    <n v="2"/>
    <s v="Below Avg"/>
    <n v="26.256983240223462"/>
    <s v="No"/>
    <s v="Low Risk"/>
  </r>
  <r>
    <n v="48"/>
    <x v="1"/>
    <s v="No"/>
    <s v="Travel_Rarely"/>
    <n v="1108"/>
    <x v="1"/>
    <n v="15"/>
    <n v="4"/>
    <s v="Other"/>
    <n v="1"/>
    <n v="1576"/>
    <n v="3"/>
    <s v="Female"/>
    <n v="65"/>
    <n v="3"/>
    <x v="1"/>
    <s v="Research Scientist"/>
    <n v="1"/>
    <s v="Married"/>
    <n v="2367"/>
    <n v="16530"/>
    <n v="8"/>
    <s v="Y"/>
    <s v="No"/>
    <s v="No"/>
    <n v="12"/>
    <n v="3"/>
    <n v="4"/>
    <n v="80"/>
    <n v="1"/>
    <n v="10"/>
    <s v="6-15"/>
    <n v="3"/>
    <n v="2"/>
    <n v="8"/>
    <n v="2"/>
    <n v="7"/>
    <n v="6"/>
    <s v="Below Avg"/>
    <n v="26.330532212885156"/>
    <s v="No"/>
    <s v="Low Risk"/>
  </r>
  <r>
    <n v="34"/>
    <x v="1"/>
    <s v="No"/>
    <s v="Travel_Rarely"/>
    <n v="479"/>
    <x v="1"/>
    <n v="7"/>
    <n v="4"/>
    <s v="Medical"/>
    <n v="1"/>
    <n v="1577"/>
    <n v="1"/>
    <s v="Male"/>
    <n v="35"/>
    <n v="3"/>
    <x v="1"/>
    <s v="Research Scientist"/>
    <n v="4"/>
    <s v="Single"/>
    <n v="2972"/>
    <n v="22061"/>
    <n v="1"/>
    <s v="Y"/>
    <s v="No"/>
    <s v="No"/>
    <n v="13"/>
    <n v="3"/>
    <n v="3"/>
    <n v="80"/>
    <n v="0"/>
    <n v="1"/>
    <s v="0-5"/>
    <n v="4"/>
    <n v="1"/>
    <n v="1"/>
    <n v="0"/>
    <n v="0"/>
    <n v="0"/>
    <s v="Below Avg"/>
    <n v="26.40449438202247"/>
    <s v="No"/>
    <s v="Low Risk"/>
  </r>
  <r>
    <n v="55"/>
    <x v="1"/>
    <s v="No"/>
    <s v="Travel_Rarely"/>
    <n v="685"/>
    <x v="0"/>
    <n v="26"/>
    <n v="5"/>
    <s v="Marketing"/>
    <n v="1"/>
    <n v="1578"/>
    <n v="3"/>
    <s v="Male"/>
    <n v="60"/>
    <n v="2"/>
    <x v="4"/>
    <s v="Manager"/>
    <n v="4"/>
    <s v="Married"/>
    <n v="19586"/>
    <n v="23037"/>
    <n v="1"/>
    <s v="Y"/>
    <s v="No"/>
    <s v="No"/>
    <n v="21"/>
    <n v="4"/>
    <n v="3"/>
    <n v="80"/>
    <n v="1"/>
    <n v="36"/>
    <s v="&gt;15"/>
    <n v="3"/>
    <n v="3"/>
    <n v="36"/>
    <n v="6"/>
    <n v="2"/>
    <n v="13"/>
    <s v="Ok"/>
    <n v="26.478873239436616"/>
    <s v="No"/>
    <s v="Low Risk"/>
  </r>
  <r>
    <n v="34"/>
    <x v="1"/>
    <s v="No"/>
    <s v="Travel_Rarely"/>
    <n v="1351"/>
    <x v="1"/>
    <n v="1"/>
    <n v="4"/>
    <s v="Life Sciences"/>
    <n v="1"/>
    <n v="1580"/>
    <n v="2"/>
    <s v="Male"/>
    <n v="45"/>
    <n v="3"/>
    <x v="0"/>
    <s v="Research Scientist"/>
    <n v="4"/>
    <s v="Married"/>
    <n v="5484"/>
    <n v="13008"/>
    <n v="9"/>
    <s v="Y"/>
    <s v="No"/>
    <s v="No"/>
    <n v="17"/>
    <n v="3"/>
    <n v="2"/>
    <n v="80"/>
    <n v="1"/>
    <n v="9"/>
    <s v="6-15"/>
    <n v="3"/>
    <n v="2"/>
    <n v="2"/>
    <n v="2"/>
    <n v="2"/>
    <n v="1"/>
    <s v="Below Avg"/>
    <n v="26.55367231638418"/>
    <s v="No"/>
    <s v="Low Risk"/>
  </r>
  <r>
    <n v="26"/>
    <x v="1"/>
    <s v="No"/>
    <s v="Travel_Rarely"/>
    <n v="474"/>
    <x v="1"/>
    <n v="3"/>
    <n v="3"/>
    <s v="Life Sciences"/>
    <n v="1"/>
    <n v="1581"/>
    <n v="1"/>
    <s v="Female"/>
    <n v="89"/>
    <n v="3"/>
    <x v="1"/>
    <s v="Research Scientist"/>
    <n v="4"/>
    <s v="Married"/>
    <n v="2061"/>
    <n v="11133"/>
    <n v="1"/>
    <s v="Y"/>
    <s v="No"/>
    <s v="No"/>
    <n v="21"/>
    <n v="4"/>
    <n v="1"/>
    <n v="80"/>
    <n v="0"/>
    <n v="1"/>
    <s v="0-5"/>
    <n v="5"/>
    <n v="3"/>
    <n v="1"/>
    <n v="0"/>
    <n v="0"/>
    <n v="0"/>
    <s v="Below Avg"/>
    <n v="26.628895184135974"/>
    <s v="No"/>
    <s v="Low Risk"/>
  </r>
  <r>
    <n v="38"/>
    <x v="1"/>
    <s v="No"/>
    <s v="Travel_Rarely"/>
    <n v="1245"/>
    <x v="0"/>
    <n v="14"/>
    <n v="3"/>
    <s v="Life Sciences"/>
    <n v="1"/>
    <n v="1582"/>
    <n v="3"/>
    <s v="Male"/>
    <n v="80"/>
    <n v="3"/>
    <x v="0"/>
    <s v="Sales Executive"/>
    <n v="2"/>
    <s v="Married"/>
    <n v="9924"/>
    <n v="12355"/>
    <n v="0"/>
    <s v="Y"/>
    <s v="No"/>
    <s v="No"/>
    <n v="11"/>
    <n v="3"/>
    <n v="4"/>
    <n v="80"/>
    <n v="1"/>
    <n v="10"/>
    <s v="6-15"/>
    <n v="3"/>
    <n v="3"/>
    <n v="9"/>
    <n v="8"/>
    <n v="7"/>
    <n v="7"/>
    <s v="Ok"/>
    <n v="26.704545454545453"/>
    <s v="No"/>
    <s v="Low Risk"/>
  </r>
  <r>
    <n v="38"/>
    <x v="1"/>
    <s v="No"/>
    <s v="Travel_Rarely"/>
    <n v="437"/>
    <x v="0"/>
    <n v="16"/>
    <n v="3"/>
    <s v="Life Sciences"/>
    <n v="1"/>
    <n v="1583"/>
    <n v="2"/>
    <s v="Female"/>
    <n v="90"/>
    <n v="3"/>
    <x v="0"/>
    <s v="Sales Executive"/>
    <n v="2"/>
    <s v="Single"/>
    <n v="4198"/>
    <n v="16379"/>
    <n v="2"/>
    <s v="Y"/>
    <s v="No"/>
    <s v="No"/>
    <n v="12"/>
    <n v="3"/>
    <n v="2"/>
    <n v="80"/>
    <n v="0"/>
    <n v="8"/>
    <s v="6-15"/>
    <n v="5"/>
    <n v="4"/>
    <n v="3"/>
    <n v="2"/>
    <n v="1"/>
    <n v="2"/>
    <s v="Below Avg"/>
    <n v="26.780626780626783"/>
    <s v="No"/>
    <s v="Low Risk"/>
  </r>
  <r>
    <n v="36"/>
    <x v="1"/>
    <s v="No"/>
    <s v="Travel_Rarely"/>
    <n v="884"/>
    <x v="0"/>
    <n v="1"/>
    <n v="4"/>
    <s v="Life Sciences"/>
    <n v="1"/>
    <n v="1585"/>
    <n v="2"/>
    <s v="Female"/>
    <n v="73"/>
    <n v="3"/>
    <x v="0"/>
    <s v="Sales Executive"/>
    <n v="3"/>
    <s v="Single"/>
    <n v="6815"/>
    <n v="21447"/>
    <n v="6"/>
    <s v="Y"/>
    <s v="No"/>
    <s v="No"/>
    <n v="13"/>
    <n v="3"/>
    <n v="1"/>
    <n v="80"/>
    <n v="0"/>
    <n v="15"/>
    <s v="6-15"/>
    <n v="5"/>
    <n v="3"/>
    <n v="1"/>
    <n v="0"/>
    <n v="0"/>
    <n v="0"/>
    <s v="Ok"/>
    <n v="26.857142857142858"/>
    <s v="No"/>
    <s v="Low Risk"/>
  </r>
  <r>
    <n v="29"/>
    <x v="1"/>
    <s v="No"/>
    <s v="Travel_Rarely"/>
    <n v="1370"/>
    <x v="1"/>
    <n v="3"/>
    <n v="1"/>
    <s v="Medical"/>
    <n v="1"/>
    <n v="1586"/>
    <n v="2"/>
    <s v="Male"/>
    <n v="87"/>
    <n v="3"/>
    <x v="1"/>
    <s v="Laboratory Technician"/>
    <n v="1"/>
    <s v="Single"/>
    <n v="4723"/>
    <n v="16213"/>
    <n v="1"/>
    <s v="Y"/>
    <s v="Yes"/>
    <s v="Yes"/>
    <n v="18"/>
    <n v="3"/>
    <n v="4"/>
    <n v="80"/>
    <n v="0"/>
    <n v="10"/>
    <s v="6-15"/>
    <n v="3"/>
    <n v="3"/>
    <n v="10"/>
    <n v="9"/>
    <n v="1"/>
    <n v="5"/>
    <s v="Below Avg"/>
    <n v="26.93409742120344"/>
    <s v="No"/>
    <s v="Low Risk"/>
  </r>
  <r>
    <n v="35"/>
    <x v="1"/>
    <s v="No"/>
    <s v="Travel_Rarely"/>
    <n v="670"/>
    <x v="1"/>
    <n v="10"/>
    <n v="4"/>
    <s v="Medical"/>
    <n v="1"/>
    <n v="1587"/>
    <n v="1"/>
    <s v="Female"/>
    <n v="51"/>
    <n v="3"/>
    <x v="0"/>
    <s v="Healthcare Representative"/>
    <n v="3"/>
    <s v="Single"/>
    <n v="6142"/>
    <n v="4223"/>
    <n v="3"/>
    <s v="Y"/>
    <s v="Yes"/>
    <s v="Yes"/>
    <n v="16"/>
    <n v="3"/>
    <n v="3"/>
    <n v="80"/>
    <n v="0"/>
    <n v="10"/>
    <s v="6-15"/>
    <n v="4"/>
    <n v="3"/>
    <n v="5"/>
    <n v="2"/>
    <n v="0"/>
    <n v="4"/>
    <s v="Ok"/>
    <n v="27.011494252873565"/>
    <s v="No"/>
    <s v="Low Risk"/>
  </r>
  <r>
    <n v="39"/>
    <x v="1"/>
    <s v="No"/>
    <s v="Travel_Rarely"/>
    <n v="1462"/>
    <x v="0"/>
    <n v="6"/>
    <n v="3"/>
    <s v="Medical"/>
    <n v="1"/>
    <n v="1588"/>
    <n v="4"/>
    <s v="Male"/>
    <n v="38"/>
    <n v="4"/>
    <x v="2"/>
    <s v="Sales Executive"/>
    <n v="3"/>
    <s v="Married"/>
    <n v="8237"/>
    <n v="4658"/>
    <n v="2"/>
    <s v="Y"/>
    <s v="No"/>
    <s v="No"/>
    <n v="11"/>
    <n v="3"/>
    <n v="1"/>
    <n v="80"/>
    <n v="1"/>
    <n v="11"/>
    <s v="6-15"/>
    <n v="3"/>
    <n v="3"/>
    <n v="7"/>
    <n v="6"/>
    <n v="7"/>
    <n v="6"/>
    <s v="Ok"/>
    <n v="26.801152737752158"/>
    <s v="No"/>
    <s v="Low Risk"/>
  </r>
  <r>
    <n v="29"/>
    <x v="1"/>
    <s v="No"/>
    <s v="Travel_Frequently"/>
    <n v="995"/>
    <x v="1"/>
    <n v="2"/>
    <n v="1"/>
    <s v="Life Sciences"/>
    <n v="1"/>
    <n v="1590"/>
    <n v="1"/>
    <s v="Male"/>
    <n v="87"/>
    <n v="3"/>
    <x v="0"/>
    <s v="Healthcare Representative"/>
    <n v="4"/>
    <s v="Divorced"/>
    <n v="8853"/>
    <n v="24483"/>
    <n v="1"/>
    <s v="Y"/>
    <s v="No"/>
    <s v="No"/>
    <n v="19"/>
    <n v="3"/>
    <n v="4"/>
    <n v="80"/>
    <n v="1"/>
    <n v="6"/>
    <s v="6-15"/>
    <n v="0"/>
    <n v="4"/>
    <n v="6"/>
    <n v="4"/>
    <n v="1"/>
    <n v="3"/>
    <s v="Ok"/>
    <n v="26.589595375722542"/>
    <s v="No"/>
    <s v="Low Risk"/>
  </r>
  <r>
    <n v="50"/>
    <x v="1"/>
    <s v="No"/>
    <s v="Travel_Rarely"/>
    <n v="264"/>
    <x v="0"/>
    <n v="9"/>
    <n v="3"/>
    <s v="Marketing"/>
    <n v="1"/>
    <n v="1591"/>
    <n v="3"/>
    <s v="Male"/>
    <n v="59"/>
    <n v="3"/>
    <x v="4"/>
    <s v="Manager"/>
    <n v="3"/>
    <s v="Married"/>
    <n v="19331"/>
    <n v="19519"/>
    <n v="4"/>
    <s v="Y"/>
    <s v="Yes"/>
    <s v="Yes"/>
    <n v="16"/>
    <n v="3"/>
    <n v="3"/>
    <n v="80"/>
    <n v="1"/>
    <n v="27"/>
    <s v="&gt;15"/>
    <n v="2"/>
    <n v="3"/>
    <n v="1"/>
    <n v="0"/>
    <n v="0"/>
    <n v="0"/>
    <s v="Ok"/>
    <n v="26.666666666666668"/>
    <s v="No"/>
    <s v="Low Risk"/>
  </r>
  <r>
    <n v="23"/>
    <x v="1"/>
    <s v="No"/>
    <s v="Travel_Rarely"/>
    <n v="977"/>
    <x v="1"/>
    <n v="10"/>
    <n v="3"/>
    <s v="Technical Degree"/>
    <n v="1"/>
    <n v="1592"/>
    <n v="4"/>
    <s v="Male"/>
    <n v="45"/>
    <n v="4"/>
    <x v="1"/>
    <s v="Research Scientist"/>
    <n v="3"/>
    <s v="Married"/>
    <n v="2073"/>
    <n v="12826"/>
    <n v="2"/>
    <s v="Y"/>
    <s v="No"/>
    <s v="No"/>
    <n v="16"/>
    <n v="3"/>
    <n v="4"/>
    <n v="80"/>
    <n v="1"/>
    <n v="4"/>
    <s v="0-5"/>
    <n v="2"/>
    <n v="3"/>
    <n v="2"/>
    <n v="2"/>
    <n v="2"/>
    <n v="2"/>
    <s v="Below Avg"/>
    <n v="26.744186046511626"/>
    <s v="No"/>
    <s v="Low Risk"/>
  </r>
  <r>
    <n v="36"/>
    <x v="1"/>
    <s v="No"/>
    <s v="Travel_Frequently"/>
    <n v="1302"/>
    <x v="1"/>
    <n v="6"/>
    <n v="4"/>
    <s v="Life Sciences"/>
    <n v="1"/>
    <n v="1594"/>
    <n v="1"/>
    <s v="Male"/>
    <n v="80"/>
    <n v="4"/>
    <x v="0"/>
    <s v="Laboratory Technician"/>
    <n v="1"/>
    <s v="Married"/>
    <n v="5562"/>
    <n v="19711"/>
    <n v="3"/>
    <s v="Y"/>
    <s v="Yes"/>
    <s v="Yes"/>
    <n v="13"/>
    <n v="3"/>
    <n v="4"/>
    <n v="80"/>
    <n v="1"/>
    <n v="9"/>
    <s v="6-15"/>
    <n v="3"/>
    <n v="3"/>
    <n v="3"/>
    <n v="2"/>
    <n v="0"/>
    <n v="2"/>
    <s v="Below Avg"/>
    <n v="26.530612244897959"/>
    <s v="No"/>
    <s v="Low Risk"/>
  </r>
  <r>
    <n v="42"/>
    <x v="1"/>
    <s v="No"/>
    <s v="Travel_Rarely"/>
    <n v="1059"/>
    <x v="1"/>
    <n v="9"/>
    <n v="2"/>
    <s v="Other"/>
    <n v="1"/>
    <n v="1595"/>
    <n v="4"/>
    <s v="Male"/>
    <n v="93"/>
    <n v="2"/>
    <x v="4"/>
    <s v="Manager"/>
    <n v="4"/>
    <s v="Single"/>
    <n v="19613"/>
    <n v="26362"/>
    <n v="8"/>
    <s v="Y"/>
    <s v="No"/>
    <s v="No"/>
    <n v="22"/>
    <n v="4"/>
    <n v="4"/>
    <n v="80"/>
    <n v="0"/>
    <n v="24"/>
    <s v="&gt;15"/>
    <n v="2"/>
    <n v="3"/>
    <n v="1"/>
    <n v="0"/>
    <n v="0"/>
    <n v="1"/>
    <s v="Ok"/>
    <n v="26.608187134502927"/>
    <s v="No"/>
    <s v="Low Risk"/>
  </r>
  <r>
    <n v="35"/>
    <x v="1"/>
    <s v="No"/>
    <s v="Travel_Rarely"/>
    <n v="750"/>
    <x v="1"/>
    <n v="28"/>
    <n v="3"/>
    <s v="Life Sciences"/>
    <n v="1"/>
    <n v="1596"/>
    <n v="2"/>
    <s v="Male"/>
    <n v="46"/>
    <n v="4"/>
    <x v="0"/>
    <s v="Laboratory Technician"/>
    <n v="3"/>
    <s v="Married"/>
    <n v="3407"/>
    <n v="25348"/>
    <n v="1"/>
    <s v="Y"/>
    <s v="No"/>
    <s v="No"/>
    <n v="17"/>
    <n v="3"/>
    <n v="4"/>
    <n v="80"/>
    <n v="2"/>
    <n v="10"/>
    <s v="6-15"/>
    <n v="3"/>
    <n v="2"/>
    <n v="10"/>
    <n v="9"/>
    <n v="6"/>
    <n v="8"/>
    <s v="Below Avg"/>
    <n v="26.392961876832842"/>
    <s v="No"/>
    <s v="Low Risk"/>
  </r>
  <r>
    <n v="34"/>
    <x v="1"/>
    <s v="No"/>
    <s v="Travel_Frequently"/>
    <n v="653"/>
    <x v="1"/>
    <n v="10"/>
    <n v="4"/>
    <s v="Technical Degree"/>
    <n v="1"/>
    <n v="1597"/>
    <n v="4"/>
    <s v="Male"/>
    <n v="92"/>
    <n v="2"/>
    <x v="0"/>
    <s v="Healthcare Representative"/>
    <n v="3"/>
    <s v="Married"/>
    <n v="5063"/>
    <n v="15332"/>
    <n v="1"/>
    <s v="Y"/>
    <s v="No"/>
    <s v="No"/>
    <n v="14"/>
    <n v="3"/>
    <n v="2"/>
    <n v="80"/>
    <n v="1"/>
    <n v="8"/>
    <s v="6-15"/>
    <n v="3"/>
    <n v="2"/>
    <n v="8"/>
    <n v="2"/>
    <n v="7"/>
    <n v="7"/>
    <s v="Below Avg"/>
    <n v="26.47058823529412"/>
    <s v="No"/>
    <s v="Low Risk"/>
  </r>
  <r>
    <n v="40"/>
    <x v="1"/>
    <s v="No"/>
    <s v="Travel_Rarely"/>
    <n v="118"/>
    <x v="0"/>
    <n v="14"/>
    <n v="2"/>
    <s v="Life Sciences"/>
    <n v="1"/>
    <n v="1598"/>
    <n v="4"/>
    <s v="Female"/>
    <n v="84"/>
    <n v="3"/>
    <x v="0"/>
    <s v="Sales Executive"/>
    <n v="1"/>
    <s v="Married"/>
    <n v="4639"/>
    <n v="11262"/>
    <n v="1"/>
    <s v="Y"/>
    <s v="No"/>
    <s v="No"/>
    <n v="15"/>
    <n v="3"/>
    <n v="3"/>
    <n v="80"/>
    <n v="1"/>
    <n v="5"/>
    <s v="0-5"/>
    <n v="2"/>
    <n v="3"/>
    <n v="5"/>
    <n v="4"/>
    <n v="1"/>
    <n v="2"/>
    <s v="Below Avg"/>
    <n v="26.548672566371685"/>
    <s v="No"/>
    <s v="Low Risk"/>
  </r>
  <r>
    <n v="43"/>
    <x v="1"/>
    <s v="No"/>
    <s v="Travel_Rarely"/>
    <n v="990"/>
    <x v="1"/>
    <n v="27"/>
    <n v="3"/>
    <s v="Technical Degree"/>
    <n v="1"/>
    <n v="1599"/>
    <n v="4"/>
    <s v="Male"/>
    <n v="87"/>
    <n v="4"/>
    <x v="1"/>
    <s v="Laboratory Technician"/>
    <n v="2"/>
    <s v="Divorced"/>
    <n v="4876"/>
    <n v="5855"/>
    <n v="5"/>
    <s v="Y"/>
    <s v="No"/>
    <s v="No"/>
    <n v="12"/>
    <n v="3"/>
    <n v="3"/>
    <n v="80"/>
    <n v="1"/>
    <n v="8"/>
    <s v="6-15"/>
    <n v="0"/>
    <n v="3"/>
    <n v="6"/>
    <n v="4"/>
    <n v="0"/>
    <n v="2"/>
    <s v="Below Avg"/>
    <n v="26.627218934911244"/>
    <s v="No"/>
    <s v="Low Risk"/>
  </r>
  <r>
    <n v="35"/>
    <x v="1"/>
    <s v="No"/>
    <s v="Travel_Rarely"/>
    <n v="1349"/>
    <x v="1"/>
    <n v="7"/>
    <n v="2"/>
    <s v="Life Sciences"/>
    <n v="1"/>
    <n v="1601"/>
    <n v="3"/>
    <s v="Male"/>
    <n v="63"/>
    <n v="2"/>
    <x v="1"/>
    <s v="Laboratory Technician"/>
    <n v="4"/>
    <s v="Married"/>
    <n v="2690"/>
    <n v="7713"/>
    <n v="1"/>
    <s v="Y"/>
    <s v="No"/>
    <s v="No"/>
    <n v="18"/>
    <n v="3"/>
    <n v="4"/>
    <n v="80"/>
    <n v="1"/>
    <n v="1"/>
    <s v="0-5"/>
    <n v="5"/>
    <n v="2"/>
    <n v="1"/>
    <n v="0"/>
    <n v="0"/>
    <n v="1"/>
    <s v="Below Avg"/>
    <n v="26.706231454005934"/>
    <s v="No"/>
    <s v="Low Risk"/>
  </r>
  <r>
    <n v="46"/>
    <x v="1"/>
    <s v="No"/>
    <s v="Travel_Rarely"/>
    <n v="563"/>
    <x v="0"/>
    <n v="1"/>
    <n v="4"/>
    <s v="Life Sciences"/>
    <n v="1"/>
    <n v="1602"/>
    <n v="4"/>
    <s v="Male"/>
    <n v="56"/>
    <n v="4"/>
    <x v="3"/>
    <s v="Manager"/>
    <n v="1"/>
    <s v="Single"/>
    <n v="17567"/>
    <n v="3156"/>
    <n v="1"/>
    <s v="Y"/>
    <s v="No"/>
    <s v="No"/>
    <n v="15"/>
    <n v="3"/>
    <n v="2"/>
    <n v="80"/>
    <n v="0"/>
    <n v="27"/>
    <s v="&gt;15"/>
    <n v="5"/>
    <n v="1"/>
    <n v="26"/>
    <n v="0"/>
    <n v="0"/>
    <n v="12"/>
    <s v="Ok"/>
    <n v="26.785714285714285"/>
    <s v="No"/>
    <s v="Low Risk"/>
  </r>
  <r>
    <n v="28"/>
    <x v="0"/>
    <s v="Yes"/>
    <s v="Travel_Rarely"/>
    <n v="329"/>
    <x v="1"/>
    <n v="24"/>
    <n v="3"/>
    <s v="Medical"/>
    <n v="1"/>
    <n v="1604"/>
    <n v="3"/>
    <s v="Male"/>
    <n v="51"/>
    <n v="3"/>
    <x v="1"/>
    <s v="Laboratory Technician"/>
    <n v="2"/>
    <s v="Married"/>
    <n v="2408"/>
    <n v="7324"/>
    <n v="1"/>
    <s v="Y"/>
    <s v="Yes"/>
    <s v="Yes"/>
    <n v="17"/>
    <n v="3"/>
    <n v="3"/>
    <n v="80"/>
    <n v="3"/>
    <n v="1"/>
    <s v="0-5"/>
    <n v="3"/>
    <n v="3"/>
    <n v="1"/>
    <n v="1"/>
    <n v="0"/>
    <n v="0"/>
    <s v="Below Avg"/>
    <n v="26.865671641791046"/>
    <s v="No"/>
    <s v="High Risk"/>
  </r>
  <r>
    <n v="22"/>
    <x v="1"/>
    <s v="No"/>
    <s v="Non-Travel"/>
    <n v="457"/>
    <x v="1"/>
    <n v="26"/>
    <n v="2"/>
    <s v="Other"/>
    <n v="1"/>
    <n v="1605"/>
    <n v="2"/>
    <s v="Female"/>
    <n v="85"/>
    <n v="2"/>
    <x v="1"/>
    <s v="Research Scientist"/>
    <n v="3"/>
    <s v="Married"/>
    <n v="2814"/>
    <n v="10293"/>
    <n v="1"/>
    <s v="Y"/>
    <s v="Yes"/>
    <s v="Yes"/>
    <n v="14"/>
    <n v="3"/>
    <n v="2"/>
    <n v="80"/>
    <n v="0"/>
    <n v="4"/>
    <s v="0-5"/>
    <n v="2"/>
    <n v="2"/>
    <n v="4"/>
    <n v="2"/>
    <n v="1"/>
    <n v="3"/>
    <s v="Below Avg"/>
    <n v="26.946107784431138"/>
    <s v="No"/>
    <s v="Low Risk"/>
  </r>
  <r>
    <n v="50"/>
    <x v="1"/>
    <s v="No"/>
    <s v="Travel_Frequently"/>
    <n v="1234"/>
    <x v="1"/>
    <n v="20"/>
    <n v="5"/>
    <s v="Medical"/>
    <n v="1"/>
    <n v="1606"/>
    <n v="2"/>
    <s v="Male"/>
    <n v="41"/>
    <n v="3"/>
    <x v="3"/>
    <s v="Healthcare Representative"/>
    <n v="3"/>
    <s v="Married"/>
    <n v="11245"/>
    <n v="20689"/>
    <n v="2"/>
    <s v="Y"/>
    <s v="Yes"/>
    <s v="Yes"/>
    <n v="15"/>
    <n v="3"/>
    <n v="3"/>
    <n v="80"/>
    <n v="1"/>
    <n v="32"/>
    <s v="&gt;15"/>
    <n v="3"/>
    <n v="3"/>
    <n v="30"/>
    <n v="8"/>
    <n v="12"/>
    <n v="13"/>
    <s v="Ok"/>
    <n v="26.726726726726728"/>
    <s v="No"/>
    <s v="Low Risk"/>
  </r>
  <r>
    <n v="32"/>
    <x v="1"/>
    <s v="No"/>
    <s v="Travel_Rarely"/>
    <n v="634"/>
    <x v="1"/>
    <n v="5"/>
    <n v="4"/>
    <s v="Other"/>
    <n v="1"/>
    <n v="1607"/>
    <n v="2"/>
    <s v="Female"/>
    <n v="35"/>
    <n v="4"/>
    <x v="1"/>
    <s v="Research Scientist"/>
    <n v="4"/>
    <s v="Married"/>
    <n v="3312"/>
    <n v="18783"/>
    <n v="3"/>
    <s v="Y"/>
    <s v="No"/>
    <s v="No"/>
    <n v="17"/>
    <n v="3"/>
    <n v="4"/>
    <n v="80"/>
    <n v="2"/>
    <n v="6"/>
    <s v="6-15"/>
    <n v="3"/>
    <n v="3"/>
    <n v="3"/>
    <n v="2"/>
    <n v="0"/>
    <n v="2"/>
    <s v="Below Avg"/>
    <n v="26.506024096385545"/>
    <s v="No"/>
    <s v="Low Risk"/>
  </r>
  <r>
    <n v="44"/>
    <x v="1"/>
    <s v="No"/>
    <s v="Travel_Rarely"/>
    <n v="1313"/>
    <x v="1"/>
    <n v="7"/>
    <n v="3"/>
    <s v="Medical"/>
    <n v="1"/>
    <n v="1608"/>
    <n v="2"/>
    <s v="Female"/>
    <n v="31"/>
    <n v="3"/>
    <x v="4"/>
    <s v="Research Director"/>
    <n v="4"/>
    <s v="Divorced"/>
    <n v="19049"/>
    <n v="3549"/>
    <n v="0"/>
    <s v="Y"/>
    <s v="Yes"/>
    <s v="Yes"/>
    <n v="14"/>
    <n v="3"/>
    <n v="4"/>
    <n v="80"/>
    <n v="1"/>
    <n v="23"/>
    <s v="&gt;15"/>
    <n v="4"/>
    <n v="2"/>
    <n v="22"/>
    <n v="7"/>
    <n v="1"/>
    <n v="10"/>
    <s v="Ok"/>
    <n v="26.283987915407852"/>
    <s v="No"/>
    <s v="Low Risk"/>
  </r>
  <r>
    <n v="30"/>
    <x v="1"/>
    <s v="No"/>
    <s v="Travel_Rarely"/>
    <n v="241"/>
    <x v="1"/>
    <n v="7"/>
    <n v="3"/>
    <s v="Medical"/>
    <n v="1"/>
    <n v="1609"/>
    <n v="2"/>
    <s v="Male"/>
    <n v="48"/>
    <n v="2"/>
    <x v="1"/>
    <s v="Research Scientist"/>
    <n v="2"/>
    <s v="Married"/>
    <n v="2141"/>
    <n v="5348"/>
    <n v="1"/>
    <s v="Y"/>
    <s v="No"/>
    <s v="No"/>
    <n v="12"/>
    <n v="3"/>
    <n v="2"/>
    <n v="80"/>
    <n v="1"/>
    <n v="6"/>
    <s v="6-15"/>
    <n v="3"/>
    <n v="2"/>
    <n v="6"/>
    <n v="4"/>
    <n v="1"/>
    <n v="1"/>
    <s v="Below Avg"/>
    <n v="26.36363636363636"/>
    <s v="No"/>
    <s v="Low Risk"/>
  </r>
  <r>
    <n v="45"/>
    <x v="1"/>
    <s v="No"/>
    <s v="Travel_Rarely"/>
    <n v="1015"/>
    <x v="1"/>
    <n v="5"/>
    <n v="5"/>
    <s v="Medical"/>
    <n v="1"/>
    <n v="1611"/>
    <n v="3"/>
    <s v="Female"/>
    <n v="50"/>
    <n v="1"/>
    <x v="0"/>
    <s v="Laboratory Technician"/>
    <n v="1"/>
    <s v="Single"/>
    <n v="5769"/>
    <n v="23447"/>
    <n v="1"/>
    <s v="Y"/>
    <s v="Yes"/>
    <s v="Yes"/>
    <n v="14"/>
    <n v="3"/>
    <n v="1"/>
    <n v="80"/>
    <n v="0"/>
    <n v="10"/>
    <s v="6-15"/>
    <n v="3"/>
    <n v="3"/>
    <n v="10"/>
    <n v="7"/>
    <n v="1"/>
    <n v="4"/>
    <s v="Below Avg"/>
    <n v="26.13981762917933"/>
    <s v="No"/>
    <s v="Low Risk"/>
  </r>
  <r>
    <n v="45"/>
    <x v="1"/>
    <s v="No"/>
    <s v="Non-Travel"/>
    <n v="336"/>
    <x v="0"/>
    <n v="26"/>
    <n v="3"/>
    <s v="Marketing"/>
    <n v="1"/>
    <n v="1612"/>
    <n v="1"/>
    <s v="Male"/>
    <n v="52"/>
    <n v="2"/>
    <x v="0"/>
    <s v="Sales Executive"/>
    <n v="1"/>
    <s v="Married"/>
    <n v="4385"/>
    <n v="24162"/>
    <n v="1"/>
    <s v="Y"/>
    <s v="No"/>
    <s v="No"/>
    <n v="15"/>
    <n v="3"/>
    <n v="1"/>
    <n v="80"/>
    <n v="1"/>
    <n v="10"/>
    <s v="6-15"/>
    <n v="2"/>
    <n v="3"/>
    <n v="10"/>
    <n v="7"/>
    <n v="4"/>
    <n v="5"/>
    <s v="Below Avg"/>
    <n v="26.219512195121951"/>
    <s v="No"/>
    <s v="Low Risk"/>
  </r>
  <r>
    <n v="31"/>
    <x v="1"/>
    <s v="No"/>
    <s v="Travel_Frequently"/>
    <n v="715"/>
    <x v="0"/>
    <n v="2"/>
    <n v="4"/>
    <s v="Other"/>
    <n v="1"/>
    <n v="1613"/>
    <n v="4"/>
    <s v="Male"/>
    <n v="54"/>
    <n v="3"/>
    <x v="0"/>
    <s v="Sales Executive"/>
    <n v="1"/>
    <s v="Single"/>
    <n v="5332"/>
    <n v="21602"/>
    <n v="7"/>
    <s v="Y"/>
    <s v="No"/>
    <s v="No"/>
    <n v="13"/>
    <n v="3"/>
    <n v="4"/>
    <n v="80"/>
    <n v="0"/>
    <n v="10"/>
    <s v="6-15"/>
    <n v="3"/>
    <n v="3"/>
    <n v="5"/>
    <n v="2"/>
    <n v="0"/>
    <n v="3"/>
    <s v="Below Avg"/>
    <n v="25.993883792048926"/>
    <s v="No"/>
    <s v="Low Risk"/>
  </r>
  <r>
    <n v="36"/>
    <x v="1"/>
    <s v="No"/>
    <s v="Travel_Rarely"/>
    <n v="559"/>
    <x v="1"/>
    <n v="12"/>
    <n v="4"/>
    <s v="Life Sciences"/>
    <n v="1"/>
    <n v="1614"/>
    <n v="3"/>
    <s v="Female"/>
    <n v="76"/>
    <n v="3"/>
    <x v="0"/>
    <s v="Manufacturing Director"/>
    <n v="3"/>
    <s v="Married"/>
    <n v="4663"/>
    <n v="12421"/>
    <n v="9"/>
    <s v="Y"/>
    <s v="Yes"/>
    <s v="Yes"/>
    <n v="12"/>
    <n v="3"/>
    <n v="2"/>
    <n v="80"/>
    <n v="2"/>
    <n v="7"/>
    <s v="6-15"/>
    <n v="2"/>
    <n v="3"/>
    <n v="3"/>
    <n v="2"/>
    <n v="1"/>
    <n v="1"/>
    <s v="Below Avg"/>
    <n v="26.073619631901838"/>
    <s v="No"/>
    <s v="Low Risk"/>
  </r>
  <r>
    <n v="34"/>
    <x v="1"/>
    <s v="No"/>
    <s v="Travel_Frequently"/>
    <n v="426"/>
    <x v="1"/>
    <n v="10"/>
    <n v="4"/>
    <s v="Life Sciences"/>
    <n v="1"/>
    <n v="1615"/>
    <n v="3"/>
    <s v="Male"/>
    <n v="42"/>
    <n v="4"/>
    <x v="0"/>
    <s v="Manufacturing Director"/>
    <n v="4"/>
    <s v="Divorced"/>
    <n v="4724"/>
    <n v="17000"/>
    <n v="1"/>
    <s v="Y"/>
    <s v="No"/>
    <s v="No"/>
    <n v="13"/>
    <n v="3"/>
    <n v="1"/>
    <n v="80"/>
    <n v="1"/>
    <n v="9"/>
    <s v="6-15"/>
    <n v="3"/>
    <n v="3"/>
    <n v="9"/>
    <n v="7"/>
    <n v="7"/>
    <n v="2"/>
    <s v="Below Avg"/>
    <n v="26.153846153846157"/>
    <s v="No"/>
    <s v="Low Risk"/>
  </r>
  <r>
    <n v="49"/>
    <x v="1"/>
    <s v="No"/>
    <s v="Travel_Rarely"/>
    <n v="722"/>
    <x v="1"/>
    <n v="25"/>
    <n v="4"/>
    <s v="Life Sciences"/>
    <n v="1"/>
    <n v="1617"/>
    <n v="3"/>
    <s v="Female"/>
    <n v="84"/>
    <n v="3"/>
    <x v="1"/>
    <s v="Laboratory Technician"/>
    <n v="1"/>
    <s v="Married"/>
    <n v="3211"/>
    <n v="22102"/>
    <n v="1"/>
    <s v="Y"/>
    <s v="No"/>
    <s v="No"/>
    <n v="14"/>
    <n v="3"/>
    <n v="4"/>
    <n v="80"/>
    <n v="1"/>
    <n v="10"/>
    <s v="6-15"/>
    <n v="3"/>
    <n v="2"/>
    <n v="9"/>
    <n v="6"/>
    <n v="1"/>
    <n v="4"/>
    <s v="Below Avg"/>
    <n v="25.925925925925924"/>
    <s v="No"/>
    <s v="Low Risk"/>
  </r>
  <r>
    <n v="39"/>
    <x v="1"/>
    <s v="No"/>
    <s v="Travel_Rarely"/>
    <n v="1387"/>
    <x v="1"/>
    <n v="10"/>
    <n v="5"/>
    <s v="Medical"/>
    <n v="1"/>
    <n v="1618"/>
    <n v="2"/>
    <s v="Male"/>
    <n v="76"/>
    <n v="3"/>
    <x v="0"/>
    <s v="Manufacturing Director"/>
    <n v="1"/>
    <s v="Married"/>
    <n v="5377"/>
    <n v="3835"/>
    <n v="2"/>
    <s v="Y"/>
    <s v="No"/>
    <s v="No"/>
    <n v="13"/>
    <n v="3"/>
    <n v="4"/>
    <n v="80"/>
    <n v="3"/>
    <n v="10"/>
    <s v="6-15"/>
    <n v="3"/>
    <n v="3"/>
    <n v="7"/>
    <n v="7"/>
    <n v="7"/>
    <n v="7"/>
    <s v="Below Avg"/>
    <n v="26.006191950464398"/>
    <s v="No"/>
    <s v="Low Risk"/>
  </r>
  <r>
    <n v="27"/>
    <x v="1"/>
    <s v="No"/>
    <s v="Travel_Rarely"/>
    <n v="1302"/>
    <x v="1"/>
    <n v="19"/>
    <n v="3"/>
    <s v="Other"/>
    <n v="1"/>
    <n v="1619"/>
    <n v="4"/>
    <s v="Male"/>
    <n v="67"/>
    <n v="2"/>
    <x v="1"/>
    <s v="Laboratory Technician"/>
    <n v="1"/>
    <s v="Divorced"/>
    <n v="4066"/>
    <n v="16290"/>
    <n v="1"/>
    <s v="Y"/>
    <s v="No"/>
    <s v="No"/>
    <n v="11"/>
    <n v="3"/>
    <n v="1"/>
    <n v="80"/>
    <n v="2"/>
    <n v="7"/>
    <s v="6-15"/>
    <n v="3"/>
    <n v="3"/>
    <n v="7"/>
    <n v="7"/>
    <n v="0"/>
    <n v="7"/>
    <s v="Below Avg"/>
    <n v="26.086956521739129"/>
    <s v="No"/>
    <s v="Low Risk"/>
  </r>
  <r>
    <n v="35"/>
    <x v="1"/>
    <s v="No"/>
    <s v="Travel_Rarely"/>
    <n v="819"/>
    <x v="1"/>
    <n v="18"/>
    <n v="5"/>
    <s v="Life Sciences"/>
    <n v="1"/>
    <n v="1621"/>
    <n v="2"/>
    <s v="Male"/>
    <n v="48"/>
    <n v="4"/>
    <x v="0"/>
    <s v="Research Scientist"/>
    <n v="1"/>
    <s v="Married"/>
    <n v="5208"/>
    <n v="26312"/>
    <n v="1"/>
    <s v="Y"/>
    <s v="No"/>
    <s v="No"/>
    <n v="11"/>
    <n v="3"/>
    <n v="4"/>
    <n v="80"/>
    <n v="0"/>
    <n v="16"/>
    <s v="&gt;15"/>
    <n v="2"/>
    <n v="3"/>
    <n v="16"/>
    <n v="15"/>
    <n v="1"/>
    <n v="10"/>
    <s v="Below Avg"/>
    <n v="26.168224299065418"/>
    <s v="No"/>
    <s v="Low Risk"/>
  </r>
  <r>
    <n v="28"/>
    <x v="1"/>
    <s v="No"/>
    <s v="Travel_Rarely"/>
    <n v="580"/>
    <x v="1"/>
    <n v="27"/>
    <n v="3"/>
    <s v="Medical"/>
    <n v="1"/>
    <n v="1622"/>
    <n v="2"/>
    <s v="Female"/>
    <n v="39"/>
    <n v="1"/>
    <x v="0"/>
    <s v="Manufacturing Director"/>
    <n v="1"/>
    <s v="Divorced"/>
    <n v="4877"/>
    <n v="20460"/>
    <n v="0"/>
    <s v="Y"/>
    <s v="No"/>
    <s v="No"/>
    <n v="21"/>
    <n v="4"/>
    <n v="2"/>
    <n v="80"/>
    <n v="1"/>
    <n v="6"/>
    <s v="6-15"/>
    <n v="5"/>
    <n v="2"/>
    <n v="5"/>
    <n v="3"/>
    <n v="0"/>
    <n v="0"/>
    <s v="Below Avg"/>
    <n v="26.25"/>
    <s v="No"/>
    <s v="Low Risk"/>
  </r>
  <r>
    <n v="21"/>
    <x v="1"/>
    <s v="No"/>
    <s v="Travel_Rarely"/>
    <n v="546"/>
    <x v="1"/>
    <n v="5"/>
    <n v="1"/>
    <s v="Medical"/>
    <n v="1"/>
    <n v="1623"/>
    <n v="3"/>
    <s v="Male"/>
    <n v="97"/>
    <n v="3"/>
    <x v="1"/>
    <s v="Research Scientist"/>
    <n v="4"/>
    <s v="Single"/>
    <n v="3117"/>
    <n v="26009"/>
    <n v="1"/>
    <s v="Y"/>
    <s v="No"/>
    <s v="No"/>
    <n v="18"/>
    <n v="3"/>
    <n v="3"/>
    <n v="80"/>
    <n v="0"/>
    <n v="3"/>
    <s v="0-5"/>
    <n v="2"/>
    <n v="3"/>
    <n v="2"/>
    <n v="2"/>
    <n v="2"/>
    <n v="2"/>
    <s v="Below Avg"/>
    <n v="26.332288401253916"/>
    <s v="No"/>
    <s v="Low Risk"/>
  </r>
  <r>
    <n v="18"/>
    <x v="0"/>
    <s v="Yes"/>
    <s v="Travel_Frequently"/>
    <n v="544"/>
    <x v="0"/>
    <n v="3"/>
    <n v="2"/>
    <s v="Medical"/>
    <n v="1"/>
    <n v="1624"/>
    <n v="2"/>
    <s v="Female"/>
    <n v="70"/>
    <n v="3"/>
    <x v="1"/>
    <s v="Sales Representative"/>
    <n v="4"/>
    <s v="Single"/>
    <n v="1569"/>
    <n v="18420"/>
    <n v="1"/>
    <s v="Y"/>
    <s v="Yes"/>
    <s v="Yes"/>
    <n v="12"/>
    <n v="3"/>
    <n v="3"/>
    <n v="80"/>
    <n v="0"/>
    <n v="0"/>
    <s v="0-5"/>
    <n v="2"/>
    <n v="4"/>
    <n v="0"/>
    <n v="0"/>
    <n v="0"/>
    <n v="0"/>
    <s v="Below Avg"/>
    <n v="26.415094339622641"/>
    <s v="No"/>
    <s v="High Risk"/>
  </r>
  <r>
    <n v="47"/>
    <x v="1"/>
    <s v="No"/>
    <s v="Travel_Rarely"/>
    <n v="1176"/>
    <x v="2"/>
    <n v="26"/>
    <n v="4"/>
    <s v="Life Sciences"/>
    <n v="1"/>
    <n v="1625"/>
    <n v="4"/>
    <s v="Female"/>
    <n v="98"/>
    <n v="3"/>
    <x v="4"/>
    <s v="Manager"/>
    <n v="3"/>
    <s v="Married"/>
    <n v="19658"/>
    <n v="5220"/>
    <n v="3"/>
    <s v="Y"/>
    <s v="No"/>
    <s v="No"/>
    <n v="11"/>
    <n v="3"/>
    <n v="3"/>
    <n v="80"/>
    <n v="1"/>
    <n v="27"/>
    <s v="&gt;15"/>
    <n v="2"/>
    <n v="3"/>
    <n v="5"/>
    <n v="2"/>
    <n v="1"/>
    <n v="0"/>
    <s v="Ok"/>
    <n v="26.498422712933756"/>
    <s v="No"/>
    <s v="Low Risk"/>
  </r>
  <r>
    <n v="39"/>
    <x v="1"/>
    <s v="No"/>
    <s v="Travel_Rarely"/>
    <n v="170"/>
    <x v="1"/>
    <n v="3"/>
    <n v="2"/>
    <s v="Medical"/>
    <n v="1"/>
    <n v="1627"/>
    <n v="3"/>
    <s v="Male"/>
    <n v="76"/>
    <n v="2"/>
    <x v="0"/>
    <s v="Laboratory Technician"/>
    <n v="3"/>
    <s v="Divorced"/>
    <n v="3069"/>
    <n v="10302"/>
    <n v="0"/>
    <s v="Y"/>
    <s v="No"/>
    <s v="No"/>
    <n v="15"/>
    <n v="3"/>
    <n v="4"/>
    <n v="80"/>
    <n v="1"/>
    <n v="11"/>
    <s v="6-15"/>
    <n v="3"/>
    <n v="3"/>
    <n v="10"/>
    <n v="8"/>
    <n v="0"/>
    <n v="7"/>
    <s v="Below Avg"/>
    <n v="26.265822784810126"/>
    <s v="No"/>
    <s v="Low Risk"/>
  </r>
  <r>
    <n v="40"/>
    <x v="1"/>
    <s v="No"/>
    <s v="Travel_Rarely"/>
    <n v="884"/>
    <x v="1"/>
    <n v="15"/>
    <n v="3"/>
    <s v="Life Sciences"/>
    <n v="1"/>
    <n v="1628"/>
    <n v="1"/>
    <s v="Female"/>
    <n v="80"/>
    <n v="2"/>
    <x v="2"/>
    <s v="Manufacturing Director"/>
    <n v="3"/>
    <s v="Married"/>
    <n v="10435"/>
    <n v="25800"/>
    <n v="1"/>
    <s v="Y"/>
    <s v="No"/>
    <s v="No"/>
    <n v="13"/>
    <n v="3"/>
    <n v="4"/>
    <n v="80"/>
    <n v="2"/>
    <n v="18"/>
    <s v="&gt;15"/>
    <n v="2"/>
    <n v="3"/>
    <n v="18"/>
    <n v="15"/>
    <n v="14"/>
    <n v="12"/>
    <s v="Ok"/>
    <n v="26.349206349206352"/>
    <s v="No"/>
    <s v="Low Risk"/>
  </r>
  <r>
    <n v="35"/>
    <x v="1"/>
    <s v="No"/>
    <s v="Non-Travel"/>
    <n v="208"/>
    <x v="1"/>
    <n v="8"/>
    <n v="4"/>
    <s v="Life Sciences"/>
    <n v="1"/>
    <n v="1630"/>
    <n v="3"/>
    <s v="Female"/>
    <n v="52"/>
    <n v="3"/>
    <x v="0"/>
    <s v="Healthcare Representative"/>
    <n v="3"/>
    <s v="Married"/>
    <n v="4148"/>
    <n v="12250"/>
    <n v="1"/>
    <s v="Y"/>
    <s v="No"/>
    <s v="No"/>
    <n v="12"/>
    <n v="3"/>
    <n v="4"/>
    <n v="80"/>
    <n v="1"/>
    <n v="15"/>
    <s v="6-15"/>
    <n v="5"/>
    <n v="3"/>
    <n v="14"/>
    <n v="11"/>
    <n v="2"/>
    <n v="9"/>
    <s v="Below Avg"/>
    <n v="26.433121019108281"/>
    <s v="No"/>
    <s v="Low Risk"/>
  </r>
  <r>
    <n v="37"/>
    <x v="1"/>
    <s v="No"/>
    <s v="Travel_Rarely"/>
    <n v="671"/>
    <x v="1"/>
    <n v="19"/>
    <n v="3"/>
    <s v="Life Sciences"/>
    <n v="1"/>
    <n v="1631"/>
    <n v="3"/>
    <s v="Male"/>
    <n v="85"/>
    <n v="3"/>
    <x v="0"/>
    <s v="Manufacturing Director"/>
    <n v="3"/>
    <s v="Married"/>
    <n v="5768"/>
    <n v="26493"/>
    <n v="3"/>
    <s v="Y"/>
    <s v="No"/>
    <s v="No"/>
    <n v="17"/>
    <n v="3"/>
    <n v="1"/>
    <n v="80"/>
    <n v="3"/>
    <n v="9"/>
    <s v="6-15"/>
    <n v="2"/>
    <n v="2"/>
    <n v="4"/>
    <n v="3"/>
    <n v="0"/>
    <n v="2"/>
    <s v="Below Avg"/>
    <n v="26.517571884984026"/>
    <s v="No"/>
    <s v="Low Risk"/>
  </r>
  <r>
    <n v="39"/>
    <x v="1"/>
    <s v="No"/>
    <s v="Travel_Frequently"/>
    <n v="711"/>
    <x v="1"/>
    <n v="4"/>
    <n v="3"/>
    <s v="Medical"/>
    <n v="1"/>
    <n v="1633"/>
    <n v="1"/>
    <s v="Female"/>
    <n v="81"/>
    <n v="3"/>
    <x v="0"/>
    <s v="Manufacturing Director"/>
    <n v="3"/>
    <s v="Single"/>
    <n v="5042"/>
    <n v="3140"/>
    <n v="0"/>
    <s v="Y"/>
    <s v="No"/>
    <s v="No"/>
    <n v="13"/>
    <n v="3"/>
    <n v="4"/>
    <n v="80"/>
    <n v="0"/>
    <n v="10"/>
    <s v="6-15"/>
    <n v="2"/>
    <n v="1"/>
    <n v="9"/>
    <n v="2"/>
    <n v="3"/>
    <n v="8"/>
    <s v="Below Avg"/>
    <n v="26.602564102564102"/>
    <s v="No"/>
    <s v="Low Risk"/>
  </r>
  <r>
    <n v="45"/>
    <x v="1"/>
    <s v="No"/>
    <s v="Travel_Rarely"/>
    <n v="1329"/>
    <x v="1"/>
    <n v="2"/>
    <n v="2"/>
    <s v="Other"/>
    <n v="1"/>
    <n v="1635"/>
    <n v="4"/>
    <s v="Female"/>
    <n v="59"/>
    <n v="2"/>
    <x v="0"/>
    <s v="Manufacturing Director"/>
    <n v="4"/>
    <s v="Divorced"/>
    <n v="5770"/>
    <n v="5388"/>
    <n v="1"/>
    <s v="Y"/>
    <s v="No"/>
    <s v="No"/>
    <n v="19"/>
    <n v="3"/>
    <n v="1"/>
    <n v="80"/>
    <n v="2"/>
    <n v="10"/>
    <s v="6-15"/>
    <n v="3"/>
    <n v="3"/>
    <n v="10"/>
    <n v="7"/>
    <n v="3"/>
    <n v="9"/>
    <s v="Below Avg"/>
    <n v="26.688102893890676"/>
    <s v="No"/>
    <s v="Low Risk"/>
  </r>
  <r>
    <n v="38"/>
    <x v="1"/>
    <s v="No"/>
    <s v="Travel_Rarely"/>
    <n v="397"/>
    <x v="1"/>
    <n v="2"/>
    <n v="2"/>
    <s v="Medical"/>
    <n v="1"/>
    <n v="1638"/>
    <n v="4"/>
    <s v="Female"/>
    <n v="54"/>
    <n v="2"/>
    <x v="2"/>
    <s v="Manufacturing Director"/>
    <n v="3"/>
    <s v="Married"/>
    <n v="7756"/>
    <n v="14199"/>
    <n v="3"/>
    <s v="Y"/>
    <s v="Yes"/>
    <s v="Yes"/>
    <n v="19"/>
    <n v="3"/>
    <n v="4"/>
    <n v="80"/>
    <n v="1"/>
    <n v="10"/>
    <s v="6-15"/>
    <n v="6"/>
    <n v="4"/>
    <n v="5"/>
    <n v="4"/>
    <n v="0"/>
    <n v="2"/>
    <s v="Ok"/>
    <n v="26.7741935483871"/>
    <s v="No"/>
    <s v="Low Risk"/>
  </r>
  <r>
    <n v="35"/>
    <x v="0"/>
    <s v="Yes"/>
    <s v="Travel_Rarely"/>
    <n v="737"/>
    <x v="0"/>
    <n v="10"/>
    <n v="3"/>
    <s v="Medical"/>
    <n v="1"/>
    <n v="1639"/>
    <n v="4"/>
    <s v="Male"/>
    <n v="55"/>
    <n v="2"/>
    <x v="2"/>
    <s v="Sales Executive"/>
    <n v="1"/>
    <s v="Married"/>
    <n v="10306"/>
    <n v="21530"/>
    <n v="9"/>
    <s v="Y"/>
    <s v="No"/>
    <s v="No"/>
    <n v="17"/>
    <n v="3"/>
    <n v="3"/>
    <n v="80"/>
    <n v="0"/>
    <n v="15"/>
    <s v="6-15"/>
    <n v="3"/>
    <n v="3"/>
    <n v="13"/>
    <n v="12"/>
    <n v="6"/>
    <n v="0"/>
    <s v="Ok"/>
    <n v="26.860841423948216"/>
    <s v="No"/>
    <s v="Low Risk"/>
  </r>
  <r>
    <n v="37"/>
    <x v="1"/>
    <s v="No"/>
    <s v="Travel_Rarely"/>
    <n v="1470"/>
    <x v="1"/>
    <n v="10"/>
    <n v="3"/>
    <s v="Medical"/>
    <n v="1"/>
    <n v="1640"/>
    <n v="2"/>
    <s v="Female"/>
    <n v="71"/>
    <n v="3"/>
    <x v="1"/>
    <s v="Research Scientist"/>
    <n v="2"/>
    <s v="Married"/>
    <n v="3936"/>
    <n v="9953"/>
    <n v="1"/>
    <s v="Y"/>
    <s v="No"/>
    <s v="No"/>
    <n v="11"/>
    <n v="3"/>
    <n v="1"/>
    <n v="80"/>
    <n v="1"/>
    <n v="8"/>
    <s v="6-15"/>
    <n v="2"/>
    <n v="1"/>
    <n v="8"/>
    <n v="4"/>
    <n v="7"/>
    <n v="7"/>
    <s v="Below Avg"/>
    <n v="26.623376623376622"/>
    <s v="No"/>
    <s v="Low Risk"/>
  </r>
  <r>
    <n v="40"/>
    <x v="1"/>
    <s v="No"/>
    <s v="Travel_Rarely"/>
    <n v="448"/>
    <x v="1"/>
    <n v="16"/>
    <n v="3"/>
    <s v="Life Sciences"/>
    <n v="1"/>
    <n v="1641"/>
    <n v="3"/>
    <s v="Female"/>
    <n v="84"/>
    <n v="3"/>
    <x v="2"/>
    <s v="Manufacturing Director"/>
    <n v="4"/>
    <s v="Single"/>
    <n v="7945"/>
    <n v="19948"/>
    <n v="6"/>
    <s v="Y"/>
    <s v="Yes"/>
    <s v="Yes"/>
    <n v="15"/>
    <n v="3"/>
    <n v="4"/>
    <n v="80"/>
    <n v="0"/>
    <n v="18"/>
    <s v="&gt;15"/>
    <n v="2"/>
    <n v="2"/>
    <n v="4"/>
    <n v="2"/>
    <n v="3"/>
    <n v="3"/>
    <s v="Ok"/>
    <n v="26.710097719869708"/>
    <s v="No"/>
    <s v="Low Risk"/>
  </r>
  <r>
    <n v="44"/>
    <x v="1"/>
    <s v="No"/>
    <s v="Travel_Frequently"/>
    <n v="602"/>
    <x v="2"/>
    <n v="1"/>
    <n v="5"/>
    <s v="Human Resources"/>
    <n v="1"/>
    <n v="1642"/>
    <n v="1"/>
    <s v="Male"/>
    <n v="37"/>
    <n v="3"/>
    <x v="0"/>
    <s v="Human Resources"/>
    <n v="4"/>
    <s v="Married"/>
    <n v="5743"/>
    <n v="10503"/>
    <n v="4"/>
    <s v="Y"/>
    <s v="Yes"/>
    <s v="Yes"/>
    <n v="11"/>
    <n v="3"/>
    <n v="3"/>
    <n v="80"/>
    <n v="0"/>
    <n v="14"/>
    <s v="6-15"/>
    <n v="3"/>
    <n v="3"/>
    <n v="10"/>
    <n v="7"/>
    <n v="0"/>
    <n v="2"/>
    <s v="Ok"/>
    <n v="26.797385620915033"/>
    <s v="No"/>
    <s v="Low Risk"/>
  </r>
  <r>
    <n v="48"/>
    <x v="1"/>
    <s v="No"/>
    <s v="Travel_Frequently"/>
    <n v="365"/>
    <x v="1"/>
    <n v="4"/>
    <n v="5"/>
    <s v="Medical"/>
    <n v="1"/>
    <n v="1644"/>
    <n v="3"/>
    <s v="Male"/>
    <n v="89"/>
    <n v="2"/>
    <x v="3"/>
    <s v="Manager"/>
    <n v="4"/>
    <s v="Married"/>
    <n v="15202"/>
    <n v="5602"/>
    <n v="2"/>
    <s v="Y"/>
    <s v="No"/>
    <s v="No"/>
    <n v="25"/>
    <n v="4"/>
    <n v="2"/>
    <n v="80"/>
    <n v="1"/>
    <n v="23"/>
    <s v="&gt;15"/>
    <n v="3"/>
    <n v="3"/>
    <n v="2"/>
    <n v="2"/>
    <n v="2"/>
    <n v="2"/>
    <s v="Ok"/>
    <n v="26.557377049180324"/>
    <s v="No"/>
    <s v="Low Risk"/>
  </r>
  <r>
    <n v="35"/>
    <x v="0"/>
    <s v="Yes"/>
    <s v="Travel_Rarely"/>
    <n v="763"/>
    <x v="0"/>
    <n v="15"/>
    <n v="2"/>
    <s v="Medical"/>
    <n v="1"/>
    <n v="1645"/>
    <n v="1"/>
    <s v="Male"/>
    <n v="59"/>
    <n v="1"/>
    <x v="0"/>
    <s v="Sales Executive"/>
    <n v="4"/>
    <s v="Divorced"/>
    <n v="5440"/>
    <n v="22098"/>
    <n v="6"/>
    <s v="Y"/>
    <s v="Yes"/>
    <s v="Yes"/>
    <n v="14"/>
    <n v="3"/>
    <n v="4"/>
    <n v="80"/>
    <n v="2"/>
    <n v="7"/>
    <s v="6-15"/>
    <n v="2"/>
    <n v="2"/>
    <n v="2"/>
    <n v="2"/>
    <n v="2"/>
    <n v="2"/>
    <s v="Below Avg"/>
    <n v="26.315789473684209"/>
    <s v="No"/>
    <s v="Low Risk"/>
  </r>
  <r>
    <n v="24"/>
    <x v="1"/>
    <s v="No"/>
    <s v="Travel_Frequently"/>
    <n v="567"/>
    <x v="1"/>
    <n v="2"/>
    <n v="1"/>
    <s v="Technical Degree"/>
    <n v="1"/>
    <n v="1646"/>
    <n v="1"/>
    <s v="Female"/>
    <n v="32"/>
    <n v="3"/>
    <x v="1"/>
    <s v="Research Scientist"/>
    <n v="4"/>
    <s v="Single"/>
    <n v="3760"/>
    <n v="17218"/>
    <n v="1"/>
    <s v="Y"/>
    <s v="Yes"/>
    <s v="Yes"/>
    <n v="13"/>
    <n v="3"/>
    <n v="3"/>
    <n v="80"/>
    <n v="0"/>
    <n v="6"/>
    <s v="6-15"/>
    <n v="2"/>
    <n v="3"/>
    <n v="6"/>
    <n v="3"/>
    <n v="1"/>
    <n v="3"/>
    <s v="Below Avg"/>
    <n v="26.402640264026399"/>
    <s v="No"/>
    <s v="Low Risk"/>
  </r>
  <r>
    <n v="27"/>
    <x v="1"/>
    <s v="No"/>
    <s v="Travel_Rarely"/>
    <n v="486"/>
    <x v="1"/>
    <n v="8"/>
    <n v="3"/>
    <s v="Medical"/>
    <n v="1"/>
    <n v="1647"/>
    <n v="2"/>
    <s v="Female"/>
    <n v="86"/>
    <n v="4"/>
    <x v="1"/>
    <s v="Research Scientist"/>
    <n v="3"/>
    <s v="Married"/>
    <n v="3517"/>
    <n v="22490"/>
    <n v="7"/>
    <s v="Y"/>
    <s v="No"/>
    <s v="No"/>
    <n v="17"/>
    <n v="3"/>
    <n v="1"/>
    <n v="80"/>
    <n v="0"/>
    <n v="5"/>
    <s v="0-5"/>
    <n v="0"/>
    <n v="3"/>
    <n v="3"/>
    <n v="2"/>
    <n v="0"/>
    <n v="2"/>
    <s v="Below Avg"/>
    <n v="26.158940397350992"/>
    <s v="No"/>
    <s v="Low Risk"/>
  </r>
  <r>
    <n v="27"/>
    <x v="1"/>
    <s v="No"/>
    <s v="Travel_Frequently"/>
    <n v="591"/>
    <x v="1"/>
    <n v="2"/>
    <n v="3"/>
    <s v="Medical"/>
    <n v="1"/>
    <n v="1648"/>
    <n v="4"/>
    <s v="Male"/>
    <n v="87"/>
    <n v="3"/>
    <x v="1"/>
    <s v="Research Scientist"/>
    <n v="4"/>
    <s v="Single"/>
    <n v="2580"/>
    <n v="6297"/>
    <n v="2"/>
    <s v="Y"/>
    <s v="No"/>
    <s v="No"/>
    <n v="13"/>
    <n v="3"/>
    <n v="3"/>
    <n v="80"/>
    <n v="0"/>
    <n v="6"/>
    <s v="6-15"/>
    <n v="0"/>
    <n v="2"/>
    <n v="4"/>
    <n v="2"/>
    <n v="1"/>
    <n v="2"/>
    <s v="Below Avg"/>
    <n v="25.91362126245847"/>
    <s v="No"/>
    <s v="Low Risk"/>
  </r>
  <r>
    <n v="40"/>
    <x v="0"/>
    <s v="Yes"/>
    <s v="Travel_Rarely"/>
    <n v="1329"/>
    <x v="1"/>
    <n v="7"/>
    <n v="3"/>
    <s v="Life Sciences"/>
    <n v="1"/>
    <n v="1649"/>
    <n v="1"/>
    <s v="Male"/>
    <n v="73"/>
    <n v="3"/>
    <x v="1"/>
    <s v="Laboratory Technician"/>
    <n v="1"/>
    <s v="Single"/>
    <n v="2166"/>
    <n v="3339"/>
    <n v="3"/>
    <s v="Y"/>
    <s v="Yes"/>
    <s v="Yes"/>
    <n v="14"/>
    <n v="3"/>
    <n v="2"/>
    <n v="80"/>
    <n v="0"/>
    <n v="10"/>
    <s v="6-15"/>
    <n v="3"/>
    <n v="1"/>
    <n v="4"/>
    <n v="2"/>
    <n v="0"/>
    <n v="3"/>
    <s v="Below Avg"/>
    <n v="26"/>
    <s v="No"/>
    <s v="Low Risk"/>
  </r>
  <r>
    <n v="29"/>
    <x v="1"/>
    <s v="No"/>
    <s v="Travel_Rarely"/>
    <n v="469"/>
    <x v="0"/>
    <n v="10"/>
    <n v="3"/>
    <s v="Medical"/>
    <n v="1"/>
    <n v="1650"/>
    <n v="3"/>
    <s v="Male"/>
    <n v="42"/>
    <n v="2"/>
    <x v="0"/>
    <s v="Sales Executive"/>
    <n v="3"/>
    <s v="Single"/>
    <n v="5869"/>
    <n v="23413"/>
    <n v="9"/>
    <s v="Y"/>
    <s v="No"/>
    <s v="No"/>
    <n v="11"/>
    <n v="3"/>
    <n v="3"/>
    <n v="80"/>
    <n v="0"/>
    <n v="8"/>
    <s v="6-15"/>
    <n v="2"/>
    <n v="3"/>
    <n v="5"/>
    <n v="2"/>
    <n v="1"/>
    <n v="4"/>
    <s v="Below Avg"/>
    <n v="26.086956521739129"/>
    <s v="No"/>
    <s v="Low Risk"/>
  </r>
  <r>
    <n v="36"/>
    <x v="1"/>
    <s v="No"/>
    <s v="Travel_Rarely"/>
    <n v="711"/>
    <x v="1"/>
    <n v="5"/>
    <n v="4"/>
    <s v="Life Sciences"/>
    <n v="1"/>
    <n v="1651"/>
    <n v="2"/>
    <s v="Female"/>
    <n v="42"/>
    <n v="3"/>
    <x v="2"/>
    <s v="Healthcare Representative"/>
    <n v="1"/>
    <s v="Married"/>
    <n v="8008"/>
    <n v="22792"/>
    <n v="4"/>
    <s v="Y"/>
    <s v="No"/>
    <s v="No"/>
    <n v="12"/>
    <n v="3"/>
    <n v="3"/>
    <n v="80"/>
    <n v="2"/>
    <n v="9"/>
    <s v="6-15"/>
    <n v="6"/>
    <n v="3"/>
    <n v="3"/>
    <n v="2"/>
    <n v="0"/>
    <n v="2"/>
    <s v="Ok"/>
    <n v="25.838926174496645"/>
    <s v="No"/>
    <s v="Low Risk"/>
  </r>
  <r>
    <n v="25"/>
    <x v="1"/>
    <s v="No"/>
    <s v="Travel_Frequently"/>
    <n v="772"/>
    <x v="1"/>
    <n v="2"/>
    <n v="1"/>
    <s v="Life Sciences"/>
    <n v="1"/>
    <n v="1653"/>
    <n v="4"/>
    <s v="Male"/>
    <n v="77"/>
    <n v="4"/>
    <x v="0"/>
    <s v="Manufacturing Director"/>
    <n v="3"/>
    <s v="Divorced"/>
    <n v="5206"/>
    <n v="4973"/>
    <n v="1"/>
    <s v="Y"/>
    <s v="No"/>
    <s v="No"/>
    <n v="17"/>
    <n v="3"/>
    <n v="3"/>
    <n v="80"/>
    <n v="2"/>
    <n v="7"/>
    <s v="6-15"/>
    <n v="6"/>
    <n v="3"/>
    <n v="7"/>
    <n v="7"/>
    <n v="0"/>
    <n v="7"/>
    <s v="Below Avg"/>
    <n v="25.925925925925924"/>
    <s v="No"/>
    <s v="Low Risk"/>
  </r>
  <r>
    <n v="39"/>
    <x v="1"/>
    <s v="No"/>
    <s v="Travel_Rarely"/>
    <n v="492"/>
    <x v="1"/>
    <n v="12"/>
    <n v="3"/>
    <s v="Medical"/>
    <n v="1"/>
    <n v="1654"/>
    <n v="4"/>
    <s v="Male"/>
    <n v="66"/>
    <n v="3"/>
    <x v="0"/>
    <s v="Manufacturing Director"/>
    <n v="2"/>
    <s v="Married"/>
    <n v="5295"/>
    <n v="7693"/>
    <n v="4"/>
    <s v="Y"/>
    <s v="No"/>
    <s v="No"/>
    <n v="21"/>
    <n v="4"/>
    <n v="3"/>
    <n v="80"/>
    <n v="0"/>
    <n v="7"/>
    <s v="6-15"/>
    <n v="3"/>
    <n v="3"/>
    <n v="5"/>
    <n v="4"/>
    <n v="1"/>
    <n v="0"/>
    <s v="Below Avg"/>
    <n v="26.013513513513516"/>
    <s v="No"/>
    <s v="Low Risk"/>
  </r>
  <r>
    <n v="49"/>
    <x v="1"/>
    <s v="No"/>
    <s v="Travel_Rarely"/>
    <n v="301"/>
    <x v="1"/>
    <n v="22"/>
    <n v="4"/>
    <s v="Other"/>
    <n v="1"/>
    <n v="1655"/>
    <n v="1"/>
    <s v="Female"/>
    <n v="72"/>
    <n v="3"/>
    <x v="3"/>
    <s v="Research Director"/>
    <n v="2"/>
    <s v="Married"/>
    <n v="16413"/>
    <n v="3498"/>
    <n v="3"/>
    <s v="Y"/>
    <s v="No"/>
    <s v="No"/>
    <n v="16"/>
    <n v="3"/>
    <n v="2"/>
    <n v="80"/>
    <n v="2"/>
    <n v="27"/>
    <s v="&gt;15"/>
    <n v="2"/>
    <n v="3"/>
    <n v="4"/>
    <n v="2"/>
    <n v="1"/>
    <n v="2"/>
    <s v="Ok"/>
    <n v="26.101694915254235"/>
    <s v="No"/>
    <s v="Low Risk"/>
  </r>
  <r>
    <n v="50"/>
    <x v="1"/>
    <s v="No"/>
    <s v="Travel_Rarely"/>
    <n v="813"/>
    <x v="1"/>
    <n v="17"/>
    <n v="5"/>
    <s v="Life Sciences"/>
    <n v="1"/>
    <n v="1656"/>
    <n v="4"/>
    <s v="Female"/>
    <n v="50"/>
    <n v="2"/>
    <x v="2"/>
    <s v="Research Director"/>
    <n v="1"/>
    <s v="Divorced"/>
    <n v="13269"/>
    <n v="21981"/>
    <n v="5"/>
    <s v="Y"/>
    <s v="No"/>
    <s v="No"/>
    <n v="15"/>
    <n v="3"/>
    <n v="3"/>
    <n v="80"/>
    <n v="3"/>
    <n v="19"/>
    <s v="&gt;15"/>
    <n v="3"/>
    <n v="3"/>
    <n v="14"/>
    <n v="11"/>
    <n v="1"/>
    <n v="11"/>
    <s v="Ok"/>
    <n v="26.190476190476193"/>
    <s v="No"/>
    <s v="Low Risk"/>
  </r>
  <r>
    <n v="20"/>
    <x v="1"/>
    <s v="No"/>
    <s v="Travel_Rarely"/>
    <n v="1141"/>
    <x v="0"/>
    <n v="2"/>
    <n v="3"/>
    <s v="Medical"/>
    <n v="1"/>
    <n v="1657"/>
    <n v="3"/>
    <s v="Female"/>
    <n v="31"/>
    <n v="3"/>
    <x v="1"/>
    <s v="Sales Representative"/>
    <n v="3"/>
    <s v="Single"/>
    <n v="2783"/>
    <n v="13251"/>
    <n v="1"/>
    <s v="Y"/>
    <s v="No"/>
    <s v="No"/>
    <n v="19"/>
    <n v="3"/>
    <n v="1"/>
    <n v="80"/>
    <n v="0"/>
    <n v="2"/>
    <s v="0-5"/>
    <n v="3"/>
    <n v="3"/>
    <n v="2"/>
    <n v="2"/>
    <n v="2"/>
    <n v="2"/>
    <s v="Below Avg"/>
    <n v="26.27986348122867"/>
    <s v="No"/>
    <s v="Low Risk"/>
  </r>
  <r>
    <n v="34"/>
    <x v="1"/>
    <s v="No"/>
    <s v="Travel_Rarely"/>
    <n v="1130"/>
    <x v="1"/>
    <n v="3"/>
    <n v="3"/>
    <s v="Life Sciences"/>
    <n v="1"/>
    <n v="1658"/>
    <n v="4"/>
    <s v="Female"/>
    <n v="66"/>
    <n v="3"/>
    <x v="0"/>
    <s v="Research Scientist"/>
    <n v="2"/>
    <s v="Divorced"/>
    <n v="5433"/>
    <n v="19332"/>
    <n v="1"/>
    <s v="Y"/>
    <s v="No"/>
    <s v="No"/>
    <n v="12"/>
    <n v="3"/>
    <n v="3"/>
    <n v="80"/>
    <n v="1"/>
    <n v="11"/>
    <s v="6-15"/>
    <n v="2"/>
    <n v="3"/>
    <n v="11"/>
    <n v="8"/>
    <n v="7"/>
    <n v="9"/>
    <s v="Below Avg"/>
    <n v="26.36986301369863"/>
    <s v="No"/>
    <s v="Low Risk"/>
  </r>
  <r>
    <n v="36"/>
    <x v="1"/>
    <s v="No"/>
    <s v="Travel_Rarely"/>
    <n v="311"/>
    <x v="1"/>
    <n v="7"/>
    <n v="3"/>
    <s v="Life Sciences"/>
    <n v="1"/>
    <n v="1659"/>
    <n v="1"/>
    <s v="Male"/>
    <n v="77"/>
    <n v="3"/>
    <x v="1"/>
    <s v="Laboratory Technician"/>
    <n v="2"/>
    <s v="Single"/>
    <n v="2013"/>
    <n v="10950"/>
    <n v="2"/>
    <s v="Y"/>
    <s v="No"/>
    <s v="No"/>
    <n v="11"/>
    <n v="3"/>
    <n v="3"/>
    <n v="80"/>
    <n v="0"/>
    <n v="15"/>
    <s v="6-15"/>
    <n v="4"/>
    <n v="3"/>
    <n v="4"/>
    <n v="3"/>
    <n v="1"/>
    <n v="3"/>
    <s v="Below Avg"/>
    <n v="26.460481099656359"/>
    <s v="No"/>
    <s v="Low Risk"/>
  </r>
  <r>
    <n v="49"/>
    <x v="1"/>
    <s v="No"/>
    <s v="Travel_Rarely"/>
    <n v="465"/>
    <x v="1"/>
    <n v="6"/>
    <n v="1"/>
    <s v="Life Sciences"/>
    <n v="1"/>
    <n v="1661"/>
    <n v="3"/>
    <s v="Female"/>
    <n v="41"/>
    <n v="2"/>
    <x v="3"/>
    <s v="Healthcare Representative"/>
    <n v="3"/>
    <s v="Married"/>
    <n v="13966"/>
    <n v="11652"/>
    <n v="2"/>
    <s v="Y"/>
    <s v="Yes"/>
    <s v="Yes"/>
    <n v="19"/>
    <n v="3"/>
    <n v="2"/>
    <n v="80"/>
    <n v="1"/>
    <n v="30"/>
    <s v="&gt;15"/>
    <n v="3"/>
    <n v="3"/>
    <n v="15"/>
    <n v="11"/>
    <n v="2"/>
    <n v="12"/>
    <s v="Ok"/>
    <n v="26.551724137931032"/>
    <s v="No"/>
    <s v="Low Risk"/>
  </r>
  <r>
    <n v="36"/>
    <x v="1"/>
    <s v="No"/>
    <s v="Non-Travel"/>
    <n v="894"/>
    <x v="1"/>
    <n v="1"/>
    <n v="4"/>
    <s v="Medical"/>
    <n v="1"/>
    <n v="1662"/>
    <n v="4"/>
    <s v="Female"/>
    <n v="33"/>
    <n v="2"/>
    <x v="0"/>
    <s v="Manufacturing Director"/>
    <n v="3"/>
    <s v="Married"/>
    <n v="4374"/>
    <n v="15411"/>
    <n v="0"/>
    <s v="Y"/>
    <s v="No"/>
    <s v="No"/>
    <n v="15"/>
    <n v="3"/>
    <n v="3"/>
    <n v="80"/>
    <n v="0"/>
    <n v="4"/>
    <s v="0-5"/>
    <n v="6"/>
    <n v="3"/>
    <n v="3"/>
    <n v="2"/>
    <n v="1"/>
    <n v="2"/>
    <s v="Below Avg"/>
    <n v="26.643598615916954"/>
    <s v="No"/>
    <s v="Low Risk"/>
  </r>
  <r>
    <n v="36"/>
    <x v="1"/>
    <s v="No"/>
    <s v="Travel_Rarely"/>
    <n v="1040"/>
    <x v="1"/>
    <n v="3"/>
    <n v="2"/>
    <s v="Life Sciences"/>
    <n v="1"/>
    <n v="1664"/>
    <n v="4"/>
    <s v="Male"/>
    <n v="79"/>
    <n v="4"/>
    <x v="0"/>
    <s v="Healthcare Representative"/>
    <n v="1"/>
    <s v="Divorced"/>
    <n v="6842"/>
    <n v="26308"/>
    <n v="6"/>
    <s v="Y"/>
    <s v="No"/>
    <s v="No"/>
    <n v="20"/>
    <n v="4"/>
    <n v="1"/>
    <n v="80"/>
    <n v="1"/>
    <n v="13"/>
    <s v="6-15"/>
    <n v="3"/>
    <n v="3"/>
    <n v="5"/>
    <n v="4"/>
    <n v="0"/>
    <n v="4"/>
    <s v="Ok"/>
    <n v="26.388888888888889"/>
    <s v="No"/>
    <s v="Low Risk"/>
  </r>
  <r>
    <n v="54"/>
    <x v="1"/>
    <s v="No"/>
    <s v="Travel_Rarely"/>
    <n v="584"/>
    <x v="1"/>
    <n v="22"/>
    <n v="5"/>
    <s v="Medical"/>
    <n v="1"/>
    <n v="1665"/>
    <n v="2"/>
    <s v="Female"/>
    <n v="91"/>
    <n v="3"/>
    <x v="3"/>
    <s v="Manager"/>
    <n v="3"/>
    <s v="Married"/>
    <n v="17426"/>
    <n v="18685"/>
    <n v="3"/>
    <s v="Y"/>
    <s v="No"/>
    <s v="No"/>
    <n v="25"/>
    <n v="4"/>
    <n v="3"/>
    <n v="80"/>
    <n v="1"/>
    <n v="36"/>
    <s v="&gt;15"/>
    <n v="6"/>
    <n v="3"/>
    <n v="10"/>
    <n v="8"/>
    <n v="4"/>
    <n v="7"/>
    <s v="Ok"/>
    <n v="26.480836236933797"/>
    <s v="No"/>
    <s v="Low Risk"/>
  </r>
  <r>
    <n v="43"/>
    <x v="1"/>
    <s v="No"/>
    <s v="Travel_Rarely"/>
    <n v="1291"/>
    <x v="1"/>
    <n v="15"/>
    <n v="2"/>
    <s v="Life Sciences"/>
    <n v="1"/>
    <n v="1666"/>
    <n v="3"/>
    <s v="Male"/>
    <n v="65"/>
    <n v="2"/>
    <x v="3"/>
    <s v="Research Director"/>
    <n v="3"/>
    <s v="Married"/>
    <n v="17603"/>
    <n v="3525"/>
    <n v="1"/>
    <s v="Y"/>
    <s v="No"/>
    <s v="No"/>
    <n v="24"/>
    <n v="4"/>
    <n v="1"/>
    <n v="80"/>
    <n v="1"/>
    <n v="14"/>
    <s v="6-15"/>
    <n v="3"/>
    <n v="3"/>
    <n v="14"/>
    <n v="10"/>
    <n v="6"/>
    <n v="11"/>
    <s v="Ok"/>
    <n v="26.573426573426573"/>
    <s v="No"/>
    <s v="Low Risk"/>
  </r>
  <r>
    <n v="35"/>
    <x v="0"/>
    <s v="Yes"/>
    <s v="Travel_Frequently"/>
    <n v="880"/>
    <x v="0"/>
    <n v="12"/>
    <n v="4"/>
    <s v="Other"/>
    <n v="1"/>
    <n v="1667"/>
    <n v="4"/>
    <s v="Male"/>
    <n v="36"/>
    <n v="3"/>
    <x v="0"/>
    <s v="Sales Executive"/>
    <n v="4"/>
    <s v="Single"/>
    <n v="4581"/>
    <n v="10414"/>
    <n v="3"/>
    <s v="Y"/>
    <s v="Yes"/>
    <s v="Yes"/>
    <n v="24"/>
    <n v="4"/>
    <n v="1"/>
    <n v="80"/>
    <n v="0"/>
    <n v="13"/>
    <s v="6-15"/>
    <n v="2"/>
    <n v="4"/>
    <n v="11"/>
    <n v="9"/>
    <n v="6"/>
    <n v="7"/>
    <s v="Below Avg"/>
    <n v="26.666666666666668"/>
    <s v="No"/>
    <s v="Low Risk"/>
  </r>
  <r>
    <n v="38"/>
    <x v="1"/>
    <s v="No"/>
    <s v="Travel_Frequently"/>
    <n v="1189"/>
    <x v="1"/>
    <n v="1"/>
    <n v="3"/>
    <s v="Life Sciences"/>
    <n v="1"/>
    <n v="1668"/>
    <n v="4"/>
    <s v="Male"/>
    <n v="90"/>
    <n v="3"/>
    <x v="0"/>
    <s v="Research Scientist"/>
    <n v="4"/>
    <s v="Married"/>
    <n v="4735"/>
    <n v="9867"/>
    <n v="7"/>
    <s v="Y"/>
    <s v="No"/>
    <s v="No"/>
    <n v="15"/>
    <n v="3"/>
    <n v="4"/>
    <n v="80"/>
    <n v="2"/>
    <n v="19"/>
    <s v="&gt;15"/>
    <n v="4"/>
    <n v="4"/>
    <n v="13"/>
    <n v="11"/>
    <n v="2"/>
    <n v="9"/>
    <s v="Below Avg"/>
    <n v="26.760563380281688"/>
    <s v="No"/>
    <s v="Low Risk"/>
  </r>
  <r>
    <n v="29"/>
    <x v="1"/>
    <s v="No"/>
    <s v="Travel_Rarely"/>
    <n v="991"/>
    <x v="0"/>
    <n v="5"/>
    <n v="3"/>
    <s v="Medical"/>
    <n v="1"/>
    <n v="1669"/>
    <n v="1"/>
    <s v="Male"/>
    <n v="43"/>
    <n v="2"/>
    <x v="0"/>
    <s v="Sales Executive"/>
    <n v="2"/>
    <s v="Divorced"/>
    <n v="4187"/>
    <n v="3356"/>
    <n v="1"/>
    <s v="Y"/>
    <s v="Yes"/>
    <s v="Yes"/>
    <n v="13"/>
    <n v="3"/>
    <n v="2"/>
    <n v="80"/>
    <n v="1"/>
    <n v="10"/>
    <s v="6-15"/>
    <n v="3"/>
    <n v="2"/>
    <n v="10"/>
    <n v="0"/>
    <n v="0"/>
    <n v="9"/>
    <s v="Below Avg"/>
    <n v="26.501766784452297"/>
    <s v="No"/>
    <s v="Low Risk"/>
  </r>
  <r>
    <n v="33"/>
    <x v="1"/>
    <s v="No"/>
    <s v="Travel_Rarely"/>
    <n v="392"/>
    <x v="0"/>
    <n v="2"/>
    <n v="4"/>
    <s v="Medical"/>
    <n v="1"/>
    <n v="1670"/>
    <n v="4"/>
    <s v="Male"/>
    <n v="93"/>
    <n v="3"/>
    <x v="0"/>
    <s v="Sales Executive"/>
    <n v="4"/>
    <s v="Divorced"/>
    <n v="5505"/>
    <n v="3921"/>
    <n v="1"/>
    <s v="Y"/>
    <s v="No"/>
    <s v="No"/>
    <n v="14"/>
    <n v="3"/>
    <n v="3"/>
    <n v="80"/>
    <n v="2"/>
    <n v="6"/>
    <s v="6-15"/>
    <n v="5"/>
    <n v="3"/>
    <n v="6"/>
    <n v="2"/>
    <n v="0"/>
    <n v="4"/>
    <s v="Below Avg"/>
    <n v="26.595744680851062"/>
    <s v="No"/>
    <s v="Low Risk"/>
  </r>
  <r>
    <n v="32"/>
    <x v="1"/>
    <s v="No"/>
    <s v="Travel_Rarely"/>
    <n v="977"/>
    <x v="1"/>
    <n v="2"/>
    <n v="3"/>
    <s v="Medical"/>
    <n v="1"/>
    <n v="1671"/>
    <n v="4"/>
    <s v="Male"/>
    <n v="45"/>
    <n v="3"/>
    <x v="0"/>
    <s v="Research Scientist"/>
    <n v="2"/>
    <s v="Divorced"/>
    <n v="5470"/>
    <n v="25518"/>
    <n v="0"/>
    <s v="Y"/>
    <s v="No"/>
    <s v="No"/>
    <n v="13"/>
    <n v="3"/>
    <n v="3"/>
    <n v="80"/>
    <n v="2"/>
    <n v="10"/>
    <s v="6-15"/>
    <n v="4"/>
    <n v="2"/>
    <n v="9"/>
    <n v="5"/>
    <n v="1"/>
    <n v="6"/>
    <s v="Below Avg"/>
    <n v="26.334519572953734"/>
    <s v="No"/>
    <s v="Low Risk"/>
  </r>
  <r>
    <n v="31"/>
    <x v="1"/>
    <s v="No"/>
    <s v="Travel_Rarely"/>
    <n v="1112"/>
    <x v="0"/>
    <n v="5"/>
    <n v="4"/>
    <s v="Life Sciences"/>
    <n v="1"/>
    <n v="1673"/>
    <n v="1"/>
    <s v="Female"/>
    <n v="67"/>
    <n v="3"/>
    <x v="0"/>
    <s v="Sales Executive"/>
    <n v="4"/>
    <s v="Married"/>
    <n v="5476"/>
    <n v="22589"/>
    <n v="1"/>
    <s v="Y"/>
    <s v="No"/>
    <s v="No"/>
    <n v="11"/>
    <n v="3"/>
    <n v="1"/>
    <n v="80"/>
    <n v="2"/>
    <n v="10"/>
    <s v="6-15"/>
    <n v="2"/>
    <n v="3"/>
    <n v="10"/>
    <n v="0"/>
    <n v="0"/>
    <n v="2"/>
    <s v="Below Avg"/>
    <n v="26.428571428571431"/>
    <s v="No"/>
    <s v="Low Risk"/>
  </r>
  <r>
    <n v="49"/>
    <x v="1"/>
    <s v="No"/>
    <s v="Travel_Rarely"/>
    <n v="464"/>
    <x v="1"/>
    <n v="16"/>
    <n v="3"/>
    <s v="Medical"/>
    <n v="1"/>
    <n v="1674"/>
    <n v="4"/>
    <s v="Female"/>
    <n v="74"/>
    <n v="3"/>
    <x v="1"/>
    <s v="Laboratory Technician"/>
    <n v="1"/>
    <s v="Divorced"/>
    <n v="2587"/>
    <n v="24941"/>
    <n v="4"/>
    <s v="Y"/>
    <s v="Yes"/>
    <s v="Yes"/>
    <n v="16"/>
    <n v="3"/>
    <n v="2"/>
    <n v="80"/>
    <n v="1"/>
    <n v="17"/>
    <s v="&gt;15"/>
    <n v="2"/>
    <n v="2"/>
    <n v="2"/>
    <n v="2"/>
    <n v="2"/>
    <n v="2"/>
    <s v="Below Avg"/>
    <n v="26.523297491039425"/>
    <s v="No"/>
    <s v="Low Risk"/>
  </r>
  <r>
    <n v="38"/>
    <x v="1"/>
    <s v="No"/>
    <s v="Travel_Frequently"/>
    <n v="148"/>
    <x v="1"/>
    <n v="2"/>
    <n v="3"/>
    <s v="Medical"/>
    <n v="1"/>
    <n v="1675"/>
    <n v="4"/>
    <s v="Female"/>
    <n v="42"/>
    <n v="2"/>
    <x v="1"/>
    <s v="Laboratory Technician"/>
    <n v="2"/>
    <s v="Single"/>
    <n v="2440"/>
    <n v="23826"/>
    <n v="1"/>
    <s v="Y"/>
    <s v="No"/>
    <s v="No"/>
    <n v="22"/>
    <n v="4"/>
    <n v="2"/>
    <n v="80"/>
    <n v="0"/>
    <n v="4"/>
    <s v="0-5"/>
    <n v="3"/>
    <n v="3"/>
    <n v="4"/>
    <n v="3"/>
    <n v="3"/>
    <n v="3"/>
    <s v="Below Avg"/>
    <n v="26.618705035971225"/>
    <s v="No"/>
    <s v="Low Risk"/>
  </r>
  <r>
    <n v="47"/>
    <x v="1"/>
    <s v="No"/>
    <s v="Travel_Rarely"/>
    <n v="1225"/>
    <x v="0"/>
    <n v="2"/>
    <n v="4"/>
    <s v="Life Sciences"/>
    <n v="1"/>
    <n v="1676"/>
    <n v="2"/>
    <s v="Female"/>
    <n v="47"/>
    <n v="4"/>
    <x v="3"/>
    <s v="Manager"/>
    <n v="2"/>
    <s v="Divorced"/>
    <n v="15972"/>
    <n v="21086"/>
    <n v="6"/>
    <s v="Y"/>
    <s v="No"/>
    <s v="No"/>
    <n v="14"/>
    <n v="3"/>
    <n v="3"/>
    <n v="80"/>
    <n v="3"/>
    <n v="29"/>
    <s v="&gt;15"/>
    <n v="2"/>
    <n v="3"/>
    <n v="3"/>
    <n v="2"/>
    <n v="1"/>
    <n v="2"/>
    <s v="Ok"/>
    <n v="26.353790613718413"/>
    <s v="No"/>
    <s v="Low Risk"/>
  </r>
  <r>
    <n v="49"/>
    <x v="1"/>
    <s v="No"/>
    <s v="Travel_Rarely"/>
    <n v="809"/>
    <x v="1"/>
    <n v="1"/>
    <n v="3"/>
    <s v="Life Sciences"/>
    <n v="1"/>
    <n v="1677"/>
    <n v="3"/>
    <s v="Male"/>
    <n v="36"/>
    <n v="3"/>
    <x v="3"/>
    <s v="Manager"/>
    <n v="3"/>
    <s v="Single"/>
    <n v="15379"/>
    <n v="22384"/>
    <n v="4"/>
    <s v="Y"/>
    <s v="No"/>
    <s v="No"/>
    <n v="14"/>
    <n v="3"/>
    <n v="1"/>
    <n v="80"/>
    <n v="0"/>
    <n v="23"/>
    <s v="&gt;15"/>
    <n v="2"/>
    <n v="3"/>
    <n v="8"/>
    <n v="7"/>
    <n v="0"/>
    <n v="0"/>
    <s v="Ok"/>
    <n v="26.44927536231884"/>
    <s v="No"/>
    <s v="Low Risk"/>
  </r>
  <r>
    <n v="41"/>
    <x v="1"/>
    <s v="No"/>
    <s v="Travel_Rarely"/>
    <n v="1206"/>
    <x v="0"/>
    <n v="23"/>
    <n v="2"/>
    <s v="Life Sciences"/>
    <n v="1"/>
    <n v="1678"/>
    <n v="4"/>
    <s v="Male"/>
    <n v="80"/>
    <n v="3"/>
    <x v="2"/>
    <s v="Sales Executive"/>
    <n v="3"/>
    <s v="Single"/>
    <n v="7082"/>
    <n v="11591"/>
    <n v="3"/>
    <s v="Y"/>
    <s v="Yes"/>
    <s v="Yes"/>
    <n v="16"/>
    <n v="3"/>
    <n v="4"/>
    <n v="80"/>
    <n v="0"/>
    <n v="21"/>
    <s v="&gt;15"/>
    <n v="2"/>
    <n v="3"/>
    <n v="2"/>
    <n v="0"/>
    <n v="0"/>
    <n v="2"/>
    <s v="Ok"/>
    <n v="26.545454545454543"/>
    <s v="No"/>
    <s v="Low Risk"/>
  </r>
  <r>
    <n v="20"/>
    <x v="1"/>
    <s v="No"/>
    <s v="Travel_Rarely"/>
    <n v="727"/>
    <x v="0"/>
    <n v="9"/>
    <n v="1"/>
    <s v="Life Sciences"/>
    <n v="1"/>
    <n v="1680"/>
    <n v="4"/>
    <s v="Male"/>
    <n v="54"/>
    <n v="3"/>
    <x v="1"/>
    <s v="Sales Representative"/>
    <n v="1"/>
    <s v="Single"/>
    <n v="2728"/>
    <n v="21082"/>
    <n v="1"/>
    <s v="Y"/>
    <s v="No"/>
    <s v="No"/>
    <n v="11"/>
    <n v="3"/>
    <n v="1"/>
    <n v="80"/>
    <n v="0"/>
    <n v="2"/>
    <s v="0-5"/>
    <n v="3"/>
    <n v="3"/>
    <n v="2"/>
    <n v="2"/>
    <n v="0"/>
    <n v="2"/>
    <s v="Below Avg"/>
    <n v="26.642335766423358"/>
    <s v="No"/>
    <s v="Low Risk"/>
  </r>
  <r>
    <n v="33"/>
    <x v="1"/>
    <s v="No"/>
    <s v="Non-Travel"/>
    <n v="530"/>
    <x v="0"/>
    <n v="16"/>
    <n v="3"/>
    <s v="Life Sciences"/>
    <n v="1"/>
    <n v="1681"/>
    <n v="3"/>
    <s v="Female"/>
    <n v="36"/>
    <n v="3"/>
    <x v="0"/>
    <s v="Sales Executive"/>
    <n v="4"/>
    <s v="Divorced"/>
    <n v="5368"/>
    <n v="16130"/>
    <n v="1"/>
    <s v="Y"/>
    <s v="Yes"/>
    <s v="Yes"/>
    <n v="25"/>
    <n v="4"/>
    <n v="3"/>
    <n v="80"/>
    <n v="1"/>
    <n v="7"/>
    <s v="6-15"/>
    <n v="2"/>
    <n v="3"/>
    <n v="6"/>
    <n v="5"/>
    <n v="1"/>
    <n v="2"/>
    <s v="Below Avg"/>
    <n v="26.373626373626376"/>
    <s v="No"/>
    <s v="Low Risk"/>
  </r>
  <r>
    <n v="36"/>
    <x v="1"/>
    <s v="No"/>
    <s v="Travel_Rarely"/>
    <n v="1351"/>
    <x v="1"/>
    <n v="26"/>
    <n v="4"/>
    <s v="Life Sciences"/>
    <n v="1"/>
    <n v="1682"/>
    <n v="1"/>
    <s v="Male"/>
    <n v="80"/>
    <n v="3"/>
    <x v="0"/>
    <s v="Healthcare Representative"/>
    <n v="3"/>
    <s v="Married"/>
    <n v="5347"/>
    <n v="7419"/>
    <n v="6"/>
    <s v="Y"/>
    <s v="No"/>
    <s v="No"/>
    <n v="14"/>
    <n v="3"/>
    <n v="2"/>
    <n v="80"/>
    <n v="2"/>
    <n v="10"/>
    <s v="6-15"/>
    <n v="2"/>
    <n v="2"/>
    <n v="3"/>
    <n v="2"/>
    <n v="0"/>
    <n v="2"/>
    <s v="Below Avg"/>
    <n v="26.47058823529412"/>
    <s v="No"/>
    <s v="Low Risk"/>
  </r>
  <r>
    <n v="44"/>
    <x v="1"/>
    <s v="No"/>
    <s v="Travel_Rarely"/>
    <n v="528"/>
    <x v="2"/>
    <n v="1"/>
    <n v="3"/>
    <s v="Life Sciences"/>
    <n v="1"/>
    <n v="1683"/>
    <n v="3"/>
    <s v="Female"/>
    <n v="44"/>
    <n v="3"/>
    <x v="1"/>
    <s v="Human Resources"/>
    <n v="4"/>
    <s v="Divorced"/>
    <n v="3195"/>
    <n v="4167"/>
    <n v="4"/>
    <s v="Y"/>
    <s v="Yes"/>
    <s v="Yes"/>
    <n v="18"/>
    <n v="3"/>
    <n v="1"/>
    <n v="80"/>
    <n v="3"/>
    <n v="8"/>
    <s v="6-15"/>
    <n v="2"/>
    <n v="3"/>
    <n v="2"/>
    <n v="2"/>
    <n v="2"/>
    <n v="2"/>
    <s v="Below Avg"/>
    <n v="26.199261992619927"/>
    <s v="No"/>
    <s v="Low Risk"/>
  </r>
  <r>
    <n v="23"/>
    <x v="0"/>
    <s v="Yes"/>
    <s v="Travel_Rarely"/>
    <n v="1320"/>
    <x v="1"/>
    <n v="8"/>
    <n v="1"/>
    <s v="Medical"/>
    <n v="1"/>
    <n v="1684"/>
    <n v="4"/>
    <s v="Male"/>
    <n v="93"/>
    <n v="2"/>
    <x v="1"/>
    <s v="Laboratory Technician"/>
    <n v="3"/>
    <s v="Single"/>
    <n v="3989"/>
    <n v="20586"/>
    <n v="1"/>
    <s v="Y"/>
    <s v="Yes"/>
    <s v="Yes"/>
    <n v="11"/>
    <n v="3"/>
    <n v="1"/>
    <n v="80"/>
    <n v="0"/>
    <n v="5"/>
    <s v="0-5"/>
    <n v="2"/>
    <n v="3"/>
    <n v="5"/>
    <n v="4"/>
    <n v="1"/>
    <n v="2"/>
    <s v="Below Avg"/>
    <n v="26.296296296296294"/>
    <s v="No"/>
    <s v="Low Risk"/>
  </r>
  <r>
    <n v="38"/>
    <x v="1"/>
    <s v="No"/>
    <s v="Travel_Rarely"/>
    <n v="1495"/>
    <x v="1"/>
    <n v="4"/>
    <n v="2"/>
    <s v="Medical"/>
    <n v="1"/>
    <n v="1687"/>
    <n v="4"/>
    <s v="Female"/>
    <n v="87"/>
    <n v="3"/>
    <x v="1"/>
    <s v="Laboratory Technician"/>
    <n v="3"/>
    <s v="Married"/>
    <n v="3306"/>
    <n v="26176"/>
    <n v="7"/>
    <s v="Y"/>
    <s v="No"/>
    <s v="No"/>
    <n v="19"/>
    <n v="3"/>
    <n v="4"/>
    <n v="80"/>
    <n v="1"/>
    <n v="7"/>
    <s v="6-15"/>
    <n v="5"/>
    <n v="2"/>
    <n v="0"/>
    <n v="0"/>
    <n v="0"/>
    <n v="0"/>
    <s v="Below Avg"/>
    <n v="26.022304832713754"/>
    <s v="No"/>
    <s v="Low Risk"/>
  </r>
  <r>
    <n v="53"/>
    <x v="1"/>
    <s v="No"/>
    <s v="Travel_Rarely"/>
    <n v="1395"/>
    <x v="1"/>
    <n v="24"/>
    <n v="4"/>
    <s v="Medical"/>
    <n v="1"/>
    <n v="1689"/>
    <n v="2"/>
    <s v="Male"/>
    <n v="48"/>
    <n v="4"/>
    <x v="2"/>
    <s v="Healthcare Representative"/>
    <n v="4"/>
    <s v="Married"/>
    <n v="7005"/>
    <n v="3458"/>
    <n v="3"/>
    <s v="Y"/>
    <s v="No"/>
    <s v="No"/>
    <n v="15"/>
    <n v="3"/>
    <n v="3"/>
    <n v="80"/>
    <n v="0"/>
    <n v="11"/>
    <s v="6-15"/>
    <n v="2"/>
    <n v="3"/>
    <n v="4"/>
    <n v="3"/>
    <n v="1"/>
    <n v="2"/>
    <s v="Ok"/>
    <n v="25.746268656716421"/>
    <s v="No"/>
    <s v="Low Risk"/>
  </r>
  <r>
    <n v="48"/>
    <x v="0"/>
    <s v="Yes"/>
    <s v="Travel_Frequently"/>
    <n v="708"/>
    <x v="0"/>
    <n v="7"/>
    <n v="2"/>
    <s v="Medical"/>
    <n v="1"/>
    <n v="1691"/>
    <n v="4"/>
    <s v="Female"/>
    <n v="95"/>
    <n v="3"/>
    <x v="1"/>
    <s v="Sales Representative"/>
    <n v="3"/>
    <s v="Married"/>
    <n v="2655"/>
    <n v="11740"/>
    <n v="2"/>
    <s v="Y"/>
    <s v="Yes"/>
    <s v="Yes"/>
    <n v="11"/>
    <n v="3"/>
    <n v="3"/>
    <n v="80"/>
    <n v="2"/>
    <n v="19"/>
    <s v="&gt;15"/>
    <n v="3"/>
    <n v="3"/>
    <n v="9"/>
    <n v="7"/>
    <n v="7"/>
    <n v="7"/>
    <s v="Below Avg"/>
    <n v="25.842696629213485"/>
    <s v="No"/>
    <s v="Low Risk"/>
  </r>
  <r>
    <n v="32"/>
    <x v="0"/>
    <s v="Yes"/>
    <s v="Travel_Rarely"/>
    <n v="1259"/>
    <x v="1"/>
    <n v="2"/>
    <n v="4"/>
    <s v="Life Sciences"/>
    <n v="1"/>
    <n v="1692"/>
    <n v="4"/>
    <s v="Male"/>
    <n v="95"/>
    <n v="3"/>
    <x v="1"/>
    <s v="Laboratory Technician"/>
    <n v="2"/>
    <s v="Single"/>
    <n v="1393"/>
    <n v="24852"/>
    <n v="1"/>
    <s v="Y"/>
    <s v="No"/>
    <s v="No"/>
    <n v="12"/>
    <n v="3"/>
    <n v="1"/>
    <n v="80"/>
    <n v="0"/>
    <n v="1"/>
    <s v="0-5"/>
    <n v="2"/>
    <n v="3"/>
    <n v="1"/>
    <n v="0"/>
    <n v="0"/>
    <n v="0"/>
    <s v="Below Avg"/>
    <n v="25.939849624060152"/>
    <s v="No"/>
    <s v="High Risk"/>
  </r>
  <r>
    <n v="26"/>
    <x v="1"/>
    <s v="No"/>
    <s v="Non-Travel"/>
    <n v="786"/>
    <x v="1"/>
    <n v="7"/>
    <n v="3"/>
    <s v="Medical"/>
    <n v="1"/>
    <n v="1693"/>
    <n v="4"/>
    <s v="Male"/>
    <n v="76"/>
    <n v="3"/>
    <x v="1"/>
    <s v="Laboratory Technician"/>
    <n v="4"/>
    <s v="Single"/>
    <n v="2570"/>
    <n v="11925"/>
    <n v="1"/>
    <s v="Y"/>
    <s v="No"/>
    <s v="No"/>
    <n v="20"/>
    <n v="4"/>
    <n v="3"/>
    <n v="80"/>
    <n v="0"/>
    <n v="7"/>
    <s v="6-15"/>
    <n v="5"/>
    <n v="3"/>
    <n v="7"/>
    <n v="7"/>
    <n v="5"/>
    <n v="7"/>
    <s v="Below Avg"/>
    <n v="25.660377358490567"/>
    <s v="No"/>
    <s v="Low Risk"/>
  </r>
  <r>
    <n v="55"/>
    <x v="1"/>
    <s v="No"/>
    <s v="Travel_Rarely"/>
    <n v="1441"/>
    <x v="1"/>
    <n v="22"/>
    <n v="3"/>
    <s v="Technical Degree"/>
    <n v="1"/>
    <n v="1694"/>
    <n v="1"/>
    <s v="Male"/>
    <n v="94"/>
    <n v="2"/>
    <x v="1"/>
    <s v="Research Scientist"/>
    <n v="2"/>
    <s v="Divorced"/>
    <n v="3537"/>
    <n v="23737"/>
    <n v="5"/>
    <s v="Y"/>
    <s v="No"/>
    <s v="No"/>
    <n v="12"/>
    <n v="3"/>
    <n v="4"/>
    <n v="80"/>
    <n v="1"/>
    <n v="8"/>
    <s v="6-15"/>
    <n v="1"/>
    <n v="3"/>
    <n v="4"/>
    <n v="2"/>
    <n v="1"/>
    <n v="2"/>
    <s v="Below Avg"/>
    <n v="25.757575757575758"/>
    <s v="No"/>
    <s v="Low Risk"/>
  </r>
  <r>
    <n v="34"/>
    <x v="1"/>
    <s v="No"/>
    <s v="Travel_Rarely"/>
    <n v="1157"/>
    <x v="1"/>
    <n v="5"/>
    <n v="2"/>
    <s v="Medical"/>
    <n v="1"/>
    <n v="1696"/>
    <n v="2"/>
    <s v="Male"/>
    <n v="57"/>
    <n v="2"/>
    <x v="0"/>
    <s v="Laboratory Technician"/>
    <n v="4"/>
    <s v="Married"/>
    <n v="3986"/>
    <n v="11912"/>
    <n v="1"/>
    <s v="Y"/>
    <s v="No"/>
    <s v="No"/>
    <n v="14"/>
    <n v="3"/>
    <n v="3"/>
    <n v="80"/>
    <n v="1"/>
    <n v="15"/>
    <s v="6-15"/>
    <n v="3"/>
    <n v="4"/>
    <n v="15"/>
    <n v="10"/>
    <n v="4"/>
    <n v="13"/>
    <s v="Below Avg"/>
    <n v="25.85551330798479"/>
    <s v="No"/>
    <s v="Low Risk"/>
  </r>
  <r>
    <n v="60"/>
    <x v="1"/>
    <s v="No"/>
    <s v="Travel_Rarely"/>
    <n v="370"/>
    <x v="1"/>
    <n v="1"/>
    <n v="4"/>
    <s v="Medical"/>
    <n v="1"/>
    <n v="1697"/>
    <n v="3"/>
    <s v="Male"/>
    <n v="92"/>
    <n v="1"/>
    <x v="2"/>
    <s v="Healthcare Representative"/>
    <n v="4"/>
    <s v="Divorced"/>
    <n v="10883"/>
    <n v="20467"/>
    <n v="3"/>
    <s v="Y"/>
    <s v="No"/>
    <s v="No"/>
    <n v="20"/>
    <n v="4"/>
    <n v="3"/>
    <n v="80"/>
    <n v="1"/>
    <n v="19"/>
    <s v="&gt;15"/>
    <n v="2"/>
    <n v="4"/>
    <n v="1"/>
    <n v="0"/>
    <n v="0"/>
    <n v="0"/>
    <s v="Ok"/>
    <n v="25.954198473282442"/>
    <s v="No"/>
    <s v="Low Risk"/>
  </r>
  <r>
    <n v="33"/>
    <x v="1"/>
    <s v="No"/>
    <s v="Travel_Rarely"/>
    <n v="267"/>
    <x v="1"/>
    <n v="21"/>
    <n v="3"/>
    <s v="Medical"/>
    <n v="1"/>
    <n v="1698"/>
    <n v="2"/>
    <s v="Male"/>
    <n v="79"/>
    <n v="4"/>
    <x v="1"/>
    <s v="Laboratory Technician"/>
    <n v="2"/>
    <s v="Married"/>
    <n v="2028"/>
    <n v="13637"/>
    <n v="1"/>
    <s v="Y"/>
    <s v="No"/>
    <s v="No"/>
    <n v="18"/>
    <n v="3"/>
    <n v="4"/>
    <n v="80"/>
    <n v="3"/>
    <n v="14"/>
    <s v="6-15"/>
    <n v="6"/>
    <n v="3"/>
    <n v="14"/>
    <n v="11"/>
    <n v="2"/>
    <n v="13"/>
    <s v="Below Avg"/>
    <n v="26.053639846743295"/>
    <s v="No"/>
    <s v="Low Risk"/>
  </r>
  <r>
    <n v="37"/>
    <x v="1"/>
    <s v="No"/>
    <s v="Travel_Frequently"/>
    <n v="1278"/>
    <x v="0"/>
    <n v="1"/>
    <n v="4"/>
    <s v="Medical"/>
    <n v="1"/>
    <n v="1700"/>
    <n v="3"/>
    <s v="Male"/>
    <n v="31"/>
    <n v="1"/>
    <x v="0"/>
    <s v="Sales Executive"/>
    <n v="4"/>
    <s v="Divorced"/>
    <n v="9525"/>
    <n v="7677"/>
    <n v="1"/>
    <s v="Y"/>
    <s v="No"/>
    <s v="No"/>
    <n v="14"/>
    <n v="3"/>
    <n v="3"/>
    <n v="80"/>
    <n v="2"/>
    <n v="6"/>
    <s v="6-15"/>
    <n v="2"/>
    <n v="2"/>
    <n v="6"/>
    <n v="3"/>
    <n v="1"/>
    <n v="3"/>
    <s v="Ok"/>
    <n v="26.153846153846157"/>
    <s v="No"/>
    <s v="Low Risk"/>
  </r>
  <r>
    <n v="34"/>
    <x v="1"/>
    <s v="No"/>
    <s v="Travel_Rarely"/>
    <n v="678"/>
    <x v="1"/>
    <n v="19"/>
    <n v="3"/>
    <s v="Life Sciences"/>
    <n v="1"/>
    <n v="1701"/>
    <n v="2"/>
    <s v="Female"/>
    <n v="35"/>
    <n v="2"/>
    <x v="1"/>
    <s v="Research Scientist"/>
    <n v="4"/>
    <s v="Married"/>
    <n v="2929"/>
    <n v="20338"/>
    <n v="1"/>
    <s v="Y"/>
    <s v="No"/>
    <s v="No"/>
    <n v="12"/>
    <n v="3"/>
    <n v="2"/>
    <n v="80"/>
    <n v="0"/>
    <n v="10"/>
    <s v="6-15"/>
    <n v="3"/>
    <n v="3"/>
    <n v="10"/>
    <n v="9"/>
    <n v="8"/>
    <n v="7"/>
    <s v="Below Avg"/>
    <n v="26.254826254826252"/>
    <s v="No"/>
    <s v="Low Risk"/>
  </r>
  <r>
    <n v="23"/>
    <x v="0"/>
    <s v="Yes"/>
    <s v="Travel_Rarely"/>
    <n v="427"/>
    <x v="0"/>
    <n v="7"/>
    <n v="3"/>
    <s v="Life Sciences"/>
    <n v="1"/>
    <n v="1702"/>
    <n v="3"/>
    <s v="Male"/>
    <n v="99"/>
    <n v="3"/>
    <x v="1"/>
    <s v="Sales Representative"/>
    <n v="4"/>
    <s v="Divorced"/>
    <n v="2275"/>
    <n v="25103"/>
    <n v="1"/>
    <s v="Y"/>
    <s v="Yes"/>
    <s v="Yes"/>
    <n v="21"/>
    <n v="4"/>
    <n v="2"/>
    <n v="80"/>
    <n v="1"/>
    <n v="3"/>
    <s v="0-5"/>
    <n v="2"/>
    <n v="3"/>
    <n v="3"/>
    <n v="2"/>
    <n v="0"/>
    <n v="2"/>
    <s v="Below Avg"/>
    <n v="26.356589147286826"/>
    <s v="No"/>
    <s v="Low Risk"/>
  </r>
  <r>
    <n v="44"/>
    <x v="1"/>
    <s v="No"/>
    <s v="Travel_Rarely"/>
    <n v="921"/>
    <x v="1"/>
    <n v="2"/>
    <n v="3"/>
    <s v="Life Sciences"/>
    <n v="1"/>
    <n v="1703"/>
    <n v="3"/>
    <s v="Female"/>
    <n v="96"/>
    <n v="4"/>
    <x v="2"/>
    <s v="Healthcare Representative"/>
    <n v="4"/>
    <s v="Married"/>
    <n v="7879"/>
    <n v="14810"/>
    <n v="1"/>
    <s v="Y"/>
    <s v="Yes"/>
    <s v="Yes"/>
    <n v="19"/>
    <n v="3"/>
    <n v="2"/>
    <n v="80"/>
    <n v="1"/>
    <n v="9"/>
    <s v="6-15"/>
    <n v="2"/>
    <n v="3"/>
    <n v="8"/>
    <n v="7"/>
    <n v="6"/>
    <n v="7"/>
    <s v="Ok"/>
    <n v="26.459143968871597"/>
    <s v="No"/>
    <s v="Low Risk"/>
  </r>
  <r>
    <n v="35"/>
    <x v="1"/>
    <s v="No"/>
    <s v="Travel_Frequently"/>
    <n v="146"/>
    <x v="1"/>
    <n v="2"/>
    <n v="4"/>
    <s v="Medical"/>
    <n v="1"/>
    <n v="1704"/>
    <n v="1"/>
    <s v="Male"/>
    <n v="79"/>
    <n v="2"/>
    <x v="1"/>
    <s v="Research Scientist"/>
    <n v="4"/>
    <s v="Single"/>
    <n v="4930"/>
    <n v="13970"/>
    <n v="0"/>
    <s v="Y"/>
    <s v="Yes"/>
    <s v="Yes"/>
    <n v="14"/>
    <n v="3"/>
    <n v="3"/>
    <n v="80"/>
    <n v="0"/>
    <n v="6"/>
    <s v="6-15"/>
    <n v="2"/>
    <n v="4"/>
    <n v="5"/>
    <n v="4"/>
    <n v="1"/>
    <n v="4"/>
    <s v="Below Avg"/>
    <n v="26.171875"/>
    <s v="No"/>
    <s v="Low Risk"/>
  </r>
  <r>
    <n v="43"/>
    <x v="1"/>
    <s v="No"/>
    <s v="Travel_Rarely"/>
    <n v="1179"/>
    <x v="0"/>
    <n v="2"/>
    <n v="3"/>
    <s v="Medical"/>
    <n v="1"/>
    <n v="1706"/>
    <n v="4"/>
    <s v="Male"/>
    <n v="73"/>
    <n v="3"/>
    <x v="0"/>
    <s v="Sales Executive"/>
    <n v="4"/>
    <s v="Married"/>
    <n v="7847"/>
    <n v="6069"/>
    <n v="1"/>
    <s v="Y"/>
    <s v="Yes"/>
    <s v="Yes"/>
    <n v="17"/>
    <n v="3"/>
    <n v="1"/>
    <n v="80"/>
    <n v="1"/>
    <n v="10"/>
    <s v="6-15"/>
    <n v="3"/>
    <n v="3"/>
    <n v="10"/>
    <n v="9"/>
    <n v="8"/>
    <n v="8"/>
    <s v="Ok"/>
    <n v="25.882352941176475"/>
    <s v="No"/>
    <s v="Low Risk"/>
  </r>
  <r>
    <n v="24"/>
    <x v="1"/>
    <s v="No"/>
    <s v="Travel_Rarely"/>
    <n v="581"/>
    <x v="1"/>
    <n v="9"/>
    <n v="3"/>
    <s v="Medical"/>
    <n v="1"/>
    <n v="1707"/>
    <n v="3"/>
    <s v="Male"/>
    <n v="62"/>
    <n v="4"/>
    <x v="1"/>
    <s v="Research Scientist"/>
    <n v="3"/>
    <s v="Married"/>
    <n v="4401"/>
    <n v="17616"/>
    <n v="1"/>
    <s v="Y"/>
    <s v="No"/>
    <s v="No"/>
    <n v="16"/>
    <n v="3"/>
    <n v="4"/>
    <n v="80"/>
    <n v="1"/>
    <n v="5"/>
    <s v="0-5"/>
    <n v="1"/>
    <n v="3"/>
    <n v="5"/>
    <n v="3"/>
    <n v="0"/>
    <n v="4"/>
    <s v="Below Avg"/>
    <n v="25.590551181102363"/>
    <s v="No"/>
    <s v="Low Risk"/>
  </r>
  <r>
    <n v="41"/>
    <x v="1"/>
    <s v="No"/>
    <s v="Travel_Rarely"/>
    <n v="918"/>
    <x v="0"/>
    <n v="6"/>
    <n v="3"/>
    <s v="Marketing"/>
    <n v="1"/>
    <n v="1708"/>
    <n v="4"/>
    <s v="Male"/>
    <n v="35"/>
    <n v="3"/>
    <x v="2"/>
    <s v="Sales Executive"/>
    <n v="3"/>
    <s v="Single"/>
    <n v="9241"/>
    <n v="15869"/>
    <n v="1"/>
    <s v="Y"/>
    <s v="No"/>
    <s v="No"/>
    <n v="12"/>
    <n v="3"/>
    <n v="2"/>
    <n v="80"/>
    <n v="0"/>
    <n v="10"/>
    <s v="6-15"/>
    <n v="3"/>
    <n v="3"/>
    <n v="10"/>
    <n v="8"/>
    <n v="8"/>
    <n v="7"/>
    <s v="Ok"/>
    <n v="25.296442687747035"/>
    <s v="No"/>
    <s v="Low Risk"/>
  </r>
  <r>
    <n v="29"/>
    <x v="1"/>
    <s v="No"/>
    <s v="Travel_Rarely"/>
    <n v="1082"/>
    <x v="1"/>
    <n v="9"/>
    <n v="4"/>
    <s v="Medical"/>
    <n v="1"/>
    <n v="1709"/>
    <n v="4"/>
    <s v="Female"/>
    <n v="43"/>
    <n v="3"/>
    <x v="1"/>
    <s v="Laboratory Technician"/>
    <n v="3"/>
    <s v="Married"/>
    <n v="2974"/>
    <n v="25412"/>
    <n v="9"/>
    <s v="Y"/>
    <s v="No"/>
    <s v="No"/>
    <n v="17"/>
    <n v="3"/>
    <n v="3"/>
    <n v="80"/>
    <n v="1"/>
    <n v="9"/>
    <s v="6-15"/>
    <n v="2"/>
    <n v="3"/>
    <n v="5"/>
    <n v="3"/>
    <n v="1"/>
    <n v="2"/>
    <s v="Below Avg"/>
    <n v="25.396825396825395"/>
    <s v="No"/>
    <s v="Low Risk"/>
  </r>
  <r>
    <n v="36"/>
    <x v="1"/>
    <s v="No"/>
    <s v="Travel_Rarely"/>
    <n v="530"/>
    <x v="0"/>
    <n v="2"/>
    <n v="4"/>
    <s v="Life Sciences"/>
    <n v="1"/>
    <n v="1710"/>
    <n v="3"/>
    <s v="Female"/>
    <n v="51"/>
    <n v="3"/>
    <x v="0"/>
    <s v="Sales Representative"/>
    <n v="4"/>
    <s v="Single"/>
    <n v="4502"/>
    <n v="7439"/>
    <n v="3"/>
    <s v="Y"/>
    <s v="No"/>
    <s v="No"/>
    <n v="15"/>
    <n v="3"/>
    <n v="3"/>
    <n v="80"/>
    <n v="0"/>
    <n v="17"/>
    <s v="&gt;15"/>
    <n v="2"/>
    <n v="2"/>
    <n v="13"/>
    <n v="7"/>
    <n v="6"/>
    <n v="7"/>
    <s v="Below Avg"/>
    <n v="25.498007968127489"/>
    <s v="No"/>
    <s v="Low Risk"/>
  </r>
  <r>
    <n v="45"/>
    <x v="1"/>
    <s v="No"/>
    <s v="Non-Travel"/>
    <n v="1238"/>
    <x v="1"/>
    <n v="1"/>
    <n v="1"/>
    <s v="Life Sciences"/>
    <n v="1"/>
    <n v="1712"/>
    <n v="3"/>
    <s v="Male"/>
    <n v="74"/>
    <n v="2"/>
    <x v="2"/>
    <s v="Healthcare Representative"/>
    <n v="3"/>
    <s v="Married"/>
    <n v="10748"/>
    <n v="3395"/>
    <n v="3"/>
    <s v="Y"/>
    <s v="No"/>
    <s v="No"/>
    <n v="23"/>
    <n v="4"/>
    <n v="4"/>
    <n v="80"/>
    <n v="1"/>
    <n v="25"/>
    <s v="&gt;15"/>
    <n v="3"/>
    <n v="2"/>
    <n v="23"/>
    <n v="15"/>
    <n v="14"/>
    <n v="4"/>
    <s v="Ok"/>
    <n v="25.6"/>
    <s v="No"/>
    <s v="Low Risk"/>
  </r>
  <r>
    <n v="24"/>
    <x v="0"/>
    <s v="Yes"/>
    <s v="Travel_Rarely"/>
    <n v="240"/>
    <x v="2"/>
    <n v="22"/>
    <n v="1"/>
    <s v="Human Resources"/>
    <n v="1"/>
    <n v="1714"/>
    <n v="4"/>
    <s v="Male"/>
    <n v="58"/>
    <n v="1"/>
    <x v="1"/>
    <s v="Human Resources"/>
    <n v="3"/>
    <s v="Married"/>
    <n v="1555"/>
    <n v="11585"/>
    <n v="1"/>
    <s v="Y"/>
    <s v="No"/>
    <s v="No"/>
    <n v="11"/>
    <n v="3"/>
    <n v="3"/>
    <n v="80"/>
    <n v="1"/>
    <n v="1"/>
    <s v="0-5"/>
    <n v="2"/>
    <n v="3"/>
    <n v="1"/>
    <n v="0"/>
    <n v="0"/>
    <n v="0"/>
    <s v="Below Avg"/>
    <n v="25.702811244979916"/>
    <s v="No"/>
    <s v="High Risk"/>
  </r>
  <r>
    <n v="47"/>
    <x v="0"/>
    <s v="Yes"/>
    <s v="Travel_Frequently"/>
    <n v="1093"/>
    <x v="0"/>
    <n v="9"/>
    <n v="3"/>
    <s v="Life Sciences"/>
    <n v="1"/>
    <n v="1716"/>
    <n v="3"/>
    <s v="Male"/>
    <n v="82"/>
    <n v="1"/>
    <x v="3"/>
    <s v="Sales Executive"/>
    <n v="3"/>
    <s v="Married"/>
    <n v="12936"/>
    <n v="24164"/>
    <n v="7"/>
    <s v="Y"/>
    <s v="No"/>
    <s v="No"/>
    <n v="11"/>
    <n v="3"/>
    <n v="3"/>
    <n v="80"/>
    <n v="0"/>
    <n v="25"/>
    <s v="&gt;15"/>
    <n v="3"/>
    <n v="1"/>
    <n v="23"/>
    <n v="5"/>
    <n v="14"/>
    <n v="10"/>
    <s v="Ok"/>
    <n v="25.806451612903224"/>
    <s v="No"/>
    <s v="Low Risk"/>
  </r>
  <r>
    <n v="26"/>
    <x v="1"/>
    <s v="No"/>
    <s v="Travel_Rarely"/>
    <n v="390"/>
    <x v="1"/>
    <n v="17"/>
    <n v="4"/>
    <s v="Medical"/>
    <n v="1"/>
    <n v="1718"/>
    <n v="4"/>
    <s v="Male"/>
    <n v="62"/>
    <n v="1"/>
    <x v="1"/>
    <s v="Laboratory Technician"/>
    <n v="3"/>
    <s v="Married"/>
    <n v="2305"/>
    <n v="6217"/>
    <n v="1"/>
    <s v="Y"/>
    <s v="No"/>
    <s v="No"/>
    <n v="15"/>
    <n v="3"/>
    <n v="3"/>
    <n v="80"/>
    <n v="3"/>
    <n v="3"/>
    <s v="0-5"/>
    <n v="3"/>
    <n v="4"/>
    <n v="3"/>
    <n v="2"/>
    <n v="0"/>
    <n v="2"/>
    <s v="Below Avg"/>
    <n v="25.910931174089068"/>
    <s v="No"/>
    <s v="Low Risk"/>
  </r>
  <r>
    <n v="45"/>
    <x v="1"/>
    <s v="No"/>
    <s v="Travel_Rarely"/>
    <n v="1005"/>
    <x v="1"/>
    <n v="28"/>
    <n v="2"/>
    <s v="Technical Degree"/>
    <n v="1"/>
    <n v="1719"/>
    <n v="4"/>
    <s v="Female"/>
    <n v="48"/>
    <n v="2"/>
    <x v="3"/>
    <s v="Research Director"/>
    <n v="2"/>
    <s v="Single"/>
    <n v="16704"/>
    <n v="17119"/>
    <n v="1"/>
    <s v="Y"/>
    <s v="No"/>
    <s v="No"/>
    <n v="11"/>
    <n v="3"/>
    <n v="3"/>
    <n v="80"/>
    <n v="0"/>
    <n v="21"/>
    <s v="&gt;15"/>
    <n v="2"/>
    <n v="3"/>
    <n v="21"/>
    <n v="6"/>
    <n v="8"/>
    <n v="6"/>
    <s v="Ok"/>
    <n v="26.016260162601629"/>
    <s v="No"/>
    <s v="Low Risk"/>
  </r>
  <r>
    <n v="32"/>
    <x v="1"/>
    <s v="No"/>
    <s v="Travel_Frequently"/>
    <n v="585"/>
    <x v="1"/>
    <n v="10"/>
    <n v="3"/>
    <s v="Life Sciences"/>
    <n v="1"/>
    <n v="1720"/>
    <n v="1"/>
    <s v="Male"/>
    <n v="56"/>
    <n v="3"/>
    <x v="1"/>
    <s v="Research Scientist"/>
    <n v="3"/>
    <s v="Married"/>
    <n v="3433"/>
    <n v="17360"/>
    <n v="6"/>
    <s v="Y"/>
    <s v="No"/>
    <s v="No"/>
    <n v="13"/>
    <n v="3"/>
    <n v="1"/>
    <n v="80"/>
    <n v="1"/>
    <n v="10"/>
    <s v="6-15"/>
    <n v="3"/>
    <n v="2"/>
    <n v="5"/>
    <n v="2"/>
    <n v="1"/>
    <n v="3"/>
    <s v="Below Avg"/>
    <n v="26.122448979591837"/>
    <s v="No"/>
    <s v="Low Risk"/>
  </r>
  <r>
    <n v="31"/>
    <x v="1"/>
    <s v="No"/>
    <s v="Travel_Rarely"/>
    <n v="741"/>
    <x v="1"/>
    <n v="2"/>
    <n v="4"/>
    <s v="Life Sciences"/>
    <n v="1"/>
    <n v="1721"/>
    <n v="2"/>
    <s v="Male"/>
    <n v="69"/>
    <n v="3"/>
    <x v="1"/>
    <s v="Laboratory Technician"/>
    <n v="3"/>
    <s v="Married"/>
    <n v="3477"/>
    <n v="18103"/>
    <n v="1"/>
    <s v="Y"/>
    <s v="No"/>
    <s v="No"/>
    <n v="14"/>
    <n v="3"/>
    <n v="4"/>
    <n v="80"/>
    <n v="1"/>
    <n v="6"/>
    <s v="6-15"/>
    <n v="2"/>
    <n v="4"/>
    <n v="5"/>
    <n v="2"/>
    <n v="0"/>
    <n v="3"/>
    <s v="Below Avg"/>
    <n v="26.229508196721312"/>
    <s v="No"/>
    <s v="Low Risk"/>
  </r>
  <r>
    <n v="41"/>
    <x v="1"/>
    <s v="No"/>
    <s v="Non-Travel"/>
    <n v="552"/>
    <x v="2"/>
    <n v="4"/>
    <n v="3"/>
    <s v="Human Resources"/>
    <n v="1"/>
    <n v="1722"/>
    <n v="3"/>
    <s v="Male"/>
    <n v="60"/>
    <n v="1"/>
    <x v="0"/>
    <s v="Human Resources"/>
    <n v="2"/>
    <s v="Married"/>
    <n v="6430"/>
    <n v="20794"/>
    <n v="6"/>
    <s v="Y"/>
    <s v="No"/>
    <s v="No"/>
    <n v="19"/>
    <n v="3"/>
    <n v="2"/>
    <n v="80"/>
    <n v="1"/>
    <n v="10"/>
    <s v="6-15"/>
    <n v="4"/>
    <n v="3"/>
    <n v="3"/>
    <n v="2"/>
    <n v="1"/>
    <n v="2"/>
    <s v="Ok"/>
    <n v="26.337448559670783"/>
    <s v="No"/>
    <s v="Low Risk"/>
  </r>
  <r>
    <n v="40"/>
    <x v="1"/>
    <s v="No"/>
    <s v="Travel_Rarely"/>
    <n v="369"/>
    <x v="1"/>
    <n v="8"/>
    <n v="2"/>
    <s v="Life Sciences"/>
    <n v="1"/>
    <n v="1724"/>
    <n v="2"/>
    <s v="Female"/>
    <n v="92"/>
    <n v="3"/>
    <x v="0"/>
    <s v="Manufacturing Director"/>
    <n v="1"/>
    <s v="Married"/>
    <n v="6516"/>
    <n v="5041"/>
    <n v="2"/>
    <s v="Y"/>
    <s v="Yes"/>
    <s v="Yes"/>
    <n v="16"/>
    <n v="3"/>
    <n v="2"/>
    <n v="80"/>
    <n v="1"/>
    <n v="18"/>
    <s v="&gt;15"/>
    <n v="3"/>
    <n v="3"/>
    <n v="1"/>
    <n v="0"/>
    <n v="0"/>
    <n v="0"/>
    <s v="Ok"/>
    <n v="26.446280991735538"/>
    <s v="No"/>
    <s v="Low Risk"/>
  </r>
  <r>
    <n v="24"/>
    <x v="1"/>
    <s v="No"/>
    <s v="Travel_Rarely"/>
    <n v="506"/>
    <x v="1"/>
    <n v="29"/>
    <n v="1"/>
    <s v="Medical"/>
    <n v="1"/>
    <n v="1725"/>
    <n v="2"/>
    <s v="Male"/>
    <n v="91"/>
    <n v="3"/>
    <x v="1"/>
    <s v="Laboratory Technician"/>
    <n v="1"/>
    <s v="Divorced"/>
    <n v="3907"/>
    <n v="3622"/>
    <n v="1"/>
    <s v="Y"/>
    <s v="No"/>
    <s v="No"/>
    <n v="13"/>
    <n v="3"/>
    <n v="2"/>
    <n v="80"/>
    <n v="3"/>
    <n v="6"/>
    <s v="6-15"/>
    <n v="2"/>
    <n v="4"/>
    <n v="6"/>
    <n v="2"/>
    <n v="1"/>
    <n v="2"/>
    <s v="Below Avg"/>
    <n v="26.556016597510375"/>
    <s v="No"/>
    <s v="Low Risk"/>
  </r>
  <r>
    <n v="46"/>
    <x v="1"/>
    <s v="No"/>
    <s v="Travel_Rarely"/>
    <n v="717"/>
    <x v="1"/>
    <n v="13"/>
    <n v="4"/>
    <s v="Life Sciences"/>
    <n v="1"/>
    <n v="1727"/>
    <n v="3"/>
    <s v="Male"/>
    <n v="34"/>
    <n v="3"/>
    <x v="0"/>
    <s v="Healthcare Representative"/>
    <n v="2"/>
    <s v="Single"/>
    <n v="5562"/>
    <n v="9697"/>
    <n v="6"/>
    <s v="Y"/>
    <s v="No"/>
    <s v="No"/>
    <n v="14"/>
    <n v="3"/>
    <n v="4"/>
    <n v="80"/>
    <n v="0"/>
    <n v="19"/>
    <s v="&gt;15"/>
    <n v="3"/>
    <n v="3"/>
    <n v="10"/>
    <n v="7"/>
    <n v="0"/>
    <n v="9"/>
    <s v="Below Avg"/>
    <n v="26.25"/>
    <s v="No"/>
    <s v="Low Risk"/>
  </r>
  <r>
    <n v="35"/>
    <x v="1"/>
    <s v="No"/>
    <s v="Travel_Rarely"/>
    <n v="1370"/>
    <x v="1"/>
    <n v="27"/>
    <n v="4"/>
    <s v="Life Sciences"/>
    <n v="1"/>
    <n v="1728"/>
    <n v="4"/>
    <s v="Male"/>
    <n v="49"/>
    <n v="3"/>
    <x v="0"/>
    <s v="Manufacturing Director"/>
    <n v="3"/>
    <s v="Married"/>
    <n v="6883"/>
    <n v="5151"/>
    <n v="2"/>
    <s v="Y"/>
    <s v="No"/>
    <s v="No"/>
    <n v="16"/>
    <n v="3"/>
    <n v="2"/>
    <n v="80"/>
    <n v="1"/>
    <n v="17"/>
    <s v="&gt;15"/>
    <n v="3"/>
    <n v="3"/>
    <n v="7"/>
    <n v="7"/>
    <n v="0"/>
    <n v="7"/>
    <s v="Ok"/>
    <n v="26.359832635983267"/>
    <s v="No"/>
    <s v="Low Risk"/>
  </r>
  <r>
    <n v="30"/>
    <x v="1"/>
    <s v="No"/>
    <s v="Travel_Rarely"/>
    <n v="793"/>
    <x v="1"/>
    <n v="16"/>
    <n v="1"/>
    <s v="Life Sciences"/>
    <n v="1"/>
    <n v="1729"/>
    <n v="2"/>
    <s v="Male"/>
    <n v="33"/>
    <n v="3"/>
    <x v="1"/>
    <s v="Research Scientist"/>
    <n v="4"/>
    <s v="Married"/>
    <n v="2862"/>
    <n v="3811"/>
    <n v="1"/>
    <s v="Y"/>
    <s v="No"/>
    <s v="No"/>
    <n v="12"/>
    <n v="3"/>
    <n v="2"/>
    <n v="80"/>
    <n v="1"/>
    <n v="10"/>
    <s v="6-15"/>
    <n v="2"/>
    <n v="2"/>
    <n v="10"/>
    <n v="0"/>
    <n v="0"/>
    <n v="8"/>
    <s v="Below Avg"/>
    <n v="26.47058823529412"/>
    <s v="No"/>
    <s v="Low Risk"/>
  </r>
  <r>
    <n v="47"/>
    <x v="1"/>
    <s v="No"/>
    <s v="Non-Travel"/>
    <n v="543"/>
    <x v="0"/>
    <n v="2"/>
    <n v="4"/>
    <s v="Marketing"/>
    <n v="1"/>
    <n v="1731"/>
    <n v="3"/>
    <s v="Male"/>
    <n v="87"/>
    <n v="3"/>
    <x v="0"/>
    <s v="Sales Executive"/>
    <n v="2"/>
    <s v="Married"/>
    <n v="4978"/>
    <n v="3536"/>
    <n v="7"/>
    <s v="Y"/>
    <s v="No"/>
    <s v="No"/>
    <n v="11"/>
    <n v="3"/>
    <n v="4"/>
    <n v="80"/>
    <n v="1"/>
    <n v="4"/>
    <s v="0-5"/>
    <n v="3"/>
    <n v="1"/>
    <n v="1"/>
    <n v="0"/>
    <n v="0"/>
    <n v="0"/>
    <s v="Below Avg"/>
    <n v="26.582278481012654"/>
    <s v="No"/>
    <s v="Low Risk"/>
  </r>
  <r>
    <n v="46"/>
    <x v="1"/>
    <s v="No"/>
    <s v="Travel_Rarely"/>
    <n v="1277"/>
    <x v="0"/>
    <n v="2"/>
    <n v="3"/>
    <s v="Life Sciences"/>
    <n v="1"/>
    <n v="1732"/>
    <n v="3"/>
    <s v="Male"/>
    <n v="74"/>
    <n v="3"/>
    <x v="2"/>
    <s v="Sales Executive"/>
    <n v="4"/>
    <s v="Divorced"/>
    <n v="10368"/>
    <n v="5596"/>
    <n v="4"/>
    <s v="Y"/>
    <s v="Yes"/>
    <s v="Yes"/>
    <n v="12"/>
    <n v="3"/>
    <n v="2"/>
    <n v="80"/>
    <n v="1"/>
    <n v="13"/>
    <s v="6-15"/>
    <n v="5"/>
    <n v="2"/>
    <n v="10"/>
    <n v="6"/>
    <n v="0"/>
    <n v="3"/>
    <s v="Ok"/>
    <n v="26.694915254237291"/>
    <s v="No"/>
    <s v="Low Risk"/>
  </r>
  <r>
    <n v="36"/>
    <x v="0"/>
    <s v="Yes"/>
    <s v="Travel_Rarely"/>
    <n v="1456"/>
    <x v="0"/>
    <n v="13"/>
    <n v="5"/>
    <s v="Marketing"/>
    <n v="1"/>
    <n v="1733"/>
    <n v="2"/>
    <s v="Male"/>
    <n v="96"/>
    <n v="2"/>
    <x v="0"/>
    <s v="Sales Executive"/>
    <n v="1"/>
    <s v="Divorced"/>
    <n v="6134"/>
    <n v="8658"/>
    <n v="5"/>
    <s v="Y"/>
    <s v="Yes"/>
    <s v="Yes"/>
    <n v="13"/>
    <n v="3"/>
    <n v="2"/>
    <n v="80"/>
    <n v="3"/>
    <n v="16"/>
    <s v="&gt;15"/>
    <n v="3"/>
    <n v="3"/>
    <n v="2"/>
    <n v="2"/>
    <n v="2"/>
    <n v="2"/>
    <s v="Below Avg"/>
    <n v="26.808510638297872"/>
    <s v="No"/>
    <s v="Low Risk"/>
  </r>
  <r>
    <n v="32"/>
    <x v="0"/>
    <s v="Yes"/>
    <s v="Travel_Rarely"/>
    <n v="964"/>
    <x v="0"/>
    <n v="1"/>
    <n v="2"/>
    <s v="Life Sciences"/>
    <n v="1"/>
    <n v="1734"/>
    <n v="1"/>
    <s v="Male"/>
    <n v="34"/>
    <n v="1"/>
    <x v="0"/>
    <s v="Sales Executive"/>
    <n v="2"/>
    <s v="Single"/>
    <n v="6735"/>
    <n v="12147"/>
    <n v="6"/>
    <s v="Y"/>
    <s v="No"/>
    <s v="No"/>
    <n v="15"/>
    <n v="3"/>
    <n v="2"/>
    <n v="80"/>
    <n v="0"/>
    <n v="10"/>
    <s v="6-15"/>
    <n v="2"/>
    <n v="3"/>
    <n v="0"/>
    <n v="0"/>
    <n v="0"/>
    <n v="0"/>
    <s v="Ok"/>
    <n v="26.495726495726498"/>
    <s v="No"/>
    <s v="High Risk"/>
  </r>
  <r>
    <n v="23"/>
    <x v="1"/>
    <s v="No"/>
    <s v="Travel_Rarely"/>
    <n v="160"/>
    <x v="1"/>
    <n v="4"/>
    <n v="1"/>
    <s v="Medical"/>
    <n v="1"/>
    <n v="1735"/>
    <n v="3"/>
    <s v="Female"/>
    <n v="51"/>
    <n v="3"/>
    <x v="1"/>
    <s v="Laboratory Technician"/>
    <n v="2"/>
    <s v="Single"/>
    <n v="3295"/>
    <n v="12862"/>
    <n v="1"/>
    <s v="Y"/>
    <s v="No"/>
    <s v="No"/>
    <n v="13"/>
    <n v="3"/>
    <n v="3"/>
    <n v="80"/>
    <n v="0"/>
    <n v="3"/>
    <s v="0-5"/>
    <n v="3"/>
    <n v="1"/>
    <n v="3"/>
    <n v="2"/>
    <n v="1"/>
    <n v="2"/>
    <s v="Below Avg"/>
    <n v="26.180257510729614"/>
    <s v="No"/>
    <s v="Low Risk"/>
  </r>
  <r>
    <n v="31"/>
    <x v="1"/>
    <s v="No"/>
    <s v="Travel_Frequently"/>
    <n v="163"/>
    <x v="1"/>
    <n v="24"/>
    <n v="1"/>
    <s v="Technical Degree"/>
    <n v="1"/>
    <n v="1736"/>
    <n v="4"/>
    <s v="Female"/>
    <n v="30"/>
    <n v="3"/>
    <x v="0"/>
    <s v="Manufacturing Director"/>
    <n v="4"/>
    <s v="Single"/>
    <n v="5238"/>
    <n v="6670"/>
    <n v="2"/>
    <s v="Y"/>
    <s v="No"/>
    <s v="No"/>
    <n v="20"/>
    <n v="4"/>
    <n v="4"/>
    <n v="80"/>
    <n v="0"/>
    <n v="9"/>
    <s v="6-15"/>
    <n v="3"/>
    <n v="2"/>
    <n v="5"/>
    <n v="4"/>
    <n v="1"/>
    <n v="4"/>
    <s v="Below Avg"/>
    <n v="26.293103448275861"/>
    <s v="No"/>
    <s v="Low Risk"/>
  </r>
  <r>
    <n v="39"/>
    <x v="1"/>
    <s v="No"/>
    <s v="Non-Travel"/>
    <n v="792"/>
    <x v="1"/>
    <n v="1"/>
    <n v="3"/>
    <s v="Life Sciences"/>
    <n v="1"/>
    <n v="1737"/>
    <n v="4"/>
    <s v="Male"/>
    <n v="77"/>
    <n v="3"/>
    <x v="0"/>
    <s v="Laboratory Technician"/>
    <n v="4"/>
    <s v="Married"/>
    <n v="6472"/>
    <n v="8989"/>
    <n v="1"/>
    <s v="Y"/>
    <s v="Yes"/>
    <s v="Yes"/>
    <n v="15"/>
    <n v="3"/>
    <n v="4"/>
    <n v="80"/>
    <n v="1"/>
    <n v="9"/>
    <s v="6-15"/>
    <n v="2"/>
    <n v="3"/>
    <n v="9"/>
    <n v="8"/>
    <n v="5"/>
    <n v="8"/>
    <s v="Ok"/>
    <n v="26.406926406926406"/>
    <s v="No"/>
    <s v="Low Risk"/>
  </r>
  <r>
    <n v="32"/>
    <x v="1"/>
    <s v="No"/>
    <s v="Travel_Rarely"/>
    <n v="371"/>
    <x v="0"/>
    <n v="19"/>
    <n v="3"/>
    <s v="Life Sciences"/>
    <n v="1"/>
    <n v="1739"/>
    <n v="4"/>
    <s v="Male"/>
    <n v="80"/>
    <n v="1"/>
    <x v="2"/>
    <s v="Sales Executive"/>
    <n v="3"/>
    <s v="Married"/>
    <n v="9610"/>
    <n v="3840"/>
    <n v="3"/>
    <s v="Y"/>
    <s v="No"/>
    <s v="No"/>
    <n v="13"/>
    <n v="3"/>
    <n v="3"/>
    <n v="80"/>
    <n v="1"/>
    <n v="10"/>
    <s v="6-15"/>
    <n v="2"/>
    <n v="1"/>
    <n v="4"/>
    <n v="3"/>
    <n v="0"/>
    <n v="2"/>
    <s v="Ok"/>
    <n v="26.521739130434785"/>
    <s v="No"/>
    <s v="Low Risk"/>
  </r>
  <r>
    <n v="40"/>
    <x v="1"/>
    <s v="No"/>
    <s v="Travel_Rarely"/>
    <n v="611"/>
    <x v="0"/>
    <n v="7"/>
    <n v="4"/>
    <s v="Medical"/>
    <n v="1"/>
    <n v="1740"/>
    <n v="2"/>
    <s v="Male"/>
    <n v="88"/>
    <n v="3"/>
    <x v="4"/>
    <s v="Manager"/>
    <n v="2"/>
    <s v="Single"/>
    <n v="19833"/>
    <n v="4349"/>
    <n v="1"/>
    <s v="Y"/>
    <s v="No"/>
    <s v="No"/>
    <n v="14"/>
    <n v="3"/>
    <n v="2"/>
    <n v="80"/>
    <n v="0"/>
    <n v="21"/>
    <s v="&gt;15"/>
    <n v="3"/>
    <n v="2"/>
    <n v="21"/>
    <n v="8"/>
    <n v="12"/>
    <n v="8"/>
    <s v="Ok"/>
    <n v="26.200873362445414"/>
    <s v="No"/>
    <s v="Low Risk"/>
  </r>
  <r>
    <n v="45"/>
    <x v="1"/>
    <s v="No"/>
    <s v="Travel_Rarely"/>
    <n v="176"/>
    <x v="2"/>
    <n v="4"/>
    <n v="3"/>
    <s v="Life Sciences"/>
    <n v="1"/>
    <n v="1744"/>
    <n v="3"/>
    <s v="Female"/>
    <n v="56"/>
    <n v="1"/>
    <x v="2"/>
    <s v="Human Resources"/>
    <n v="3"/>
    <s v="Married"/>
    <n v="9756"/>
    <n v="6595"/>
    <n v="4"/>
    <s v="Y"/>
    <s v="No"/>
    <s v="No"/>
    <n v="21"/>
    <n v="4"/>
    <n v="3"/>
    <n v="80"/>
    <n v="2"/>
    <n v="9"/>
    <s v="6-15"/>
    <n v="2"/>
    <n v="4"/>
    <n v="5"/>
    <n v="0"/>
    <n v="0"/>
    <n v="3"/>
    <s v="Ok"/>
    <n v="26.315789473684209"/>
    <s v="No"/>
    <s v="Low Risk"/>
  </r>
  <r>
    <n v="30"/>
    <x v="1"/>
    <s v="No"/>
    <s v="Travel_Frequently"/>
    <n v="1312"/>
    <x v="1"/>
    <n v="2"/>
    <n v="4"/>
    <s v="Technical Degree"/>
    <n v="1"/>
    <n v="1745"/>
    <n v="4"/>
    <s v="Female"/>
    <n v="78"/>
    <n v="2"/>
    <x v="1"/>
    <s v="Research Scientist"/>
    <n v="1"/>
    <s v="Single"/>
    <n v="4968"/>
    <n v="26427"/>
    <n v="0"/>
    <s v="Y"/>
    <s v="No"/>
    <s v="No"/>
    <n v="16"/>
    <n v="3"/>
    <n v="4"/>
    <n v="80"/>
    <n v="0"/>
    <n v="10"/>
    <s v="6-15"/>
    <n v="2"/>
    <n v="3"/>
    <n v="9"/>
    <n v="7"/>
    <n v="0"/>
    <n v="7"/>
    <s v="Below Avg"/>
    <n v="26.431718061674008"/>
    <s v="No"/>
    <s v="Low Risk"/>
  </r>
  <r>
    <n v="24"/>
    <x v="1"/>
    <s v="No"/>
    <s v="Travel_Frequently"/>
    <n v="897"/>
    <x v="2"/>
    <n v="10"/>
    <n v="3"/>
    <s v="Medical"/>
    <n v="1"/>
    <n v="1746"/>
    <n v="1"/>
    <s v="Male"/>
    <n v="59"/>
    <n v="3"/>
    <x v="1"/>
    <s v="Human Resources"/>
    <n v="4"/>
    <s v="Married"/>
    <n v="2145"/>
    <n v="2097"/>
    <n v="0"/>
    <s v="Y"/>
    <s v="No"/>
    <s v="No"/>
    <n v="14"/>
    <n v="3"/>
    <n v="4"/>
    <n v="80"/>
    <n v="1"/>
    <n v="3"/>
    <s v="0-5"/>
    <n v="2"/>
    <n v="3"/>
    <n v="2"/>
    <n v="2"/>
    <n v="2"/>
    <n v="1"/>
    <s v="Below Avg"/>
    <n v="26.548672566371685"/>
    <s v="No"/>
    <s v="Low Risk"/>
  </r>
  <r>
    <n v="30"/>
    <x v="0"/>
    <s v="Yes"/>
    <s v="Travel_Frequently"/>
    <n v="600"/>
    <x v="2"/>
    <n v="8"/>
    <n v="3"/>
    <s v="Human Resources"/>
    <n v="1"/>
    <n v="1747"/>
    <n v="3"/>
    <s v="Female"/>
    <n v="66"/>
    <n v="2"/>
    <x v="1"/>
    <s v="Human Resources"/>
    <n v="4"/>
    <s v="Divorced"/>
    <n v="2180"/>
    <n v="9732"/>
    <n v="6"/>
    <s v="Y"/>
    <s v="No"/>
    <s v="No"/>
    <n v="11"/>
    <n v="3"/>
    <n v="3"/>
    <n v="80"/>
    <n v="1"/>
    <n v="6"/>
    <s v="6-15"/>
    <n v="0"/>
    <n v="2"/>
    <n v="4"/>
    <n v="2"/>
    <n v="1"/>
    <n v="2"/>
    <s v="Below Avg"/>
    <n v="26.666666666666668"/>
    <s v="No"/>
    <s v="Low Risk"/>
  </r>
  <r>
    <n v="31"/>
    <x v="1"/>
    <s v="No"/>
    <s v="Travel_Rarely"/>
    <n v="1003"/>
    <x v="0"/>
    <n v="5"/>
    <n v="3"/>
    <s v="Technical Degree"/>
    <n v="1"/>
    <n v="1749"/>
    <n v="1"/>
    <s v="Male"/>
    <n v="51"/>
    <n v="3"/>
    <x v="0"/>
    <s v="Sales Executive"/>
    <n v="3"/>
    <s v="Married"/>
    <n v="8346"/>
    <n v="20943"/>
    <n v="1"/>
    <s v="Y"/>
    <s v="No"/>
    <s v="No"/>
    <n v="19"/>
    <n v="3"/>
    <n v="3"/>
    <n v="80"/>
    <n v="1"/>
    <n v="6"/>
    <s v="6-15"/>
    <n v="3"/>
    <n v="3"/>
    <n v="5"/>
    <n v="2"/>
    <n v="0"/>
    <n v="2"/>
    <s v="Ok"/>
    <n v="26.785714285714285"/>
    <s v="No"/>
    <s v="Low Risk"/>
  </r>
  <r>
    <n v="27"/>
    <x v="1"/>
    <s v="No"/>
    <s v="Travel_Rarely"/>
    <n v="1054"/>
    <x v="1"/>
    <n v="8"/>
    <n v="3"/>
    <s v="Medical"/>
    <n v="1"/>
    <n v="1751"/>
    <n v="3"/>
    <s v="Female"/>
    <n v="67"/>
    <n v="3"/>
    <x v="1"/>
    <s v="Research Scientist"/>
    <n v="4"/>
    <s v="Single"/>
    <n v="3445"/>
    <n v="6152"/>
    <n v="1"/>
    <s v="Y"/>
    <s v="No"/>
    <s v="No"/>
    <n v="11"/>
    <n v="3"/>
    <n v="3"/>
    <n v="80"/>
    <n v="0"/>
    <n v="6"/>
    <s v="6-15"/>
    <n v="5"/>
    <n v="2"/>
    <n v="6"/>
    <n v="2"/>
    <n v="1"/>
    <n v="4"/>
    <s v="Below Avg"/>
    <n v="26.905829596412556"/>
    <s v="No"/>
    <s v="Low Risk"/>
  </r>
  <r>
    <n v="29"/>
    <x v="0"/>
    <s v="Yes"/>
    <s v="Travel_Rarely"/>
    <n v="428"/>
    <x v="0"/>
    <n v="9"/>
    <n v="3"/>
    <s v="Marketing"/>
    <n v="1"/>
    <n v="1752"/>
    <n v="2"/>
    <s v="Female"/>
    <n v="52"/>
    <n v="1"/>
    <x v="1"/>
    <s v="Sales Representative"/>
    <n v="2"/>
    <s v="Single"/>
    <n v="2760"/>
    <n v="14630"/>
    <n v="1"/>
    <s v="Y"/>
    <s v="No"/>
    <s v="No"/>
    <n v="13"/>
    <n v="3"/>
    <n v="3"/>
    <n v="80"/>
    <n v="0"/>
    <n v="2"/>
    <s v="0-5"/>
    <n v="3"/>
    <n v="3"/>
    <n v="2"/>
    <n v="2"/>
    <n v="2"/>
    <n v="2"/>
    <s v="Below Avg"/>
    <n v="27.027027027027028"/>
    <s v="No"/>
    <s v="Low Risk"/>
  </r>
  <r>
    <n v="29"/>
    <x v="1"/>
    <s v="No"/>
    <s v="Travel_Frequently"/>
    <n v="461"/>
    <x v="1"/>
    <n v="1"/>
    <n v="3"/>
    <s v="Life Sciences"/>
    <n v="1"/>
    <n v="1753"/>
    <n v="4"/>
    <s v="Male"/>
    <n v="70"/>
    <n v="4"/>
    <x v="0"/>
    <s v="Healthcare Representative"/>
    <n v="3"/>
    <s v="Single"/>
    <n v="6294"/>
    <n v="23060"/>
    <n v="8"/>
    <s v="Y"/>
    <s v="Yes"/>
    <s v="Yes"/>
    <n v="12"/>
    <n v="3"/>
    <n v="4"/>
    <n v="80"/>
    <n v="0"/>
    <n v="10"/>
    <s v="6-15"/>
    <n v="5"/>
    <n v="4"/>
    <n v="3"/>
    <n v="2"/>
    <n v="0"/>
    <n v="2"/>
    <s v="Ok"/>
    <n v="27.149321266968325"/>
    <s v="No"/>
    <s v="Low Risk"/>
  </r>
  <r>
    <n v="30"/>
    <x v="1"/>
    <s v="No"/>
    <s v="Travel_Rarely"/>
    <n v="979"/>
    <x v="0"/>
    <n v="15"/>
    <n v="2"/>
    <s v="Marketing"/>
    <n v="1"/>
    <n v="1754"/>
    <n v="3"/>
    <s v="Male"/>
    <n v="94"/>
    <n v="2"/>
    <x v="2"/>
    <s v="Sales Executive"/>
    <n v="1"/>
    <s v="Divorced"/>
    <n v="7140"/>
    <n v="3088"/>
    <n v="2"/>
    <s v="Y"/>
    <s v="No"/>
    <s v="No"/>
    <n v="11"/>
    <n v="3"/>
    <n v="1"/>
    <n v="80"/>
    <n v="1"/>
    <n v="12"/>
    <s v="6-15"/>
    <n v="2"/>
    <n v="3"/>
    <n v="7"/>
    <n v="7"/>
    <n v="1"/>
    <n v="7"/>
    <s v="Ok"/>
    <n v="27.27272727272727"/>
    <s v="No"/>
    <s v="Low Risk"/>
  </r>
  <r>
    <n v="34"/>
    <x v="1"/>
    <s v="No"/>
    <s v="Travel_Rarely"/>
    <n v="181"/>
    <x v="1"/>
    <n v="2"/>
    <n v="4"/>
    <s v="Medical"/>
    <n v="1"/>
    <n v="1755"/>
    <n v="4"/>
    <s v="Male"/>
    <n v="97"/>
    <n v="4"/>
    <x v="1"/>
    <s v="Research Scientist"/>
    <n v="4"/>
    <s v="Married"/>
    <n v="2932"/>
    <n v="5586"/>
    <n v="0"/>
    <s v="Y"/>
    <s v="Yes"/>
    <s v="Yes"/>
    <n v="14"/>
    <n v="3"/>
    <n v="1"/>
    <n v="80"/>
    <n v="3"/>
    <n v="6"/>
    <s v="6-15"/>
    <n v="3"/>
    <n v="3"/>
    <n v="5"/>
    <n v="0"/>
    <n v="1"/>
    <n v="2"/>
    <s v="Below Avg"/>
    <n v="26.94063926940639"/>
    <s v="No"/>
    <s v="Low Risk"/>
  </r>
  <r>
    <n v="33"/>
    <x v="1"/>
    <s v="No"/>
    <s v="Non-Travel"/>
    <n v="1283"/>
    <x v="0"/>
    <n v="2"/>
    <n v="3"/>
    <s v="Marketing"/>
    <n v="1"/>
    <n v="1756"/>
    <n v="4"/>
    <s v="Female"/>
    <n v="62"/>
    <n v="3"/>
    <x v="0"/>
    <s v="Sales Executive"/>
    <n v="2"/>
    <s v="Single"/>
    <n v="5147"/>
    <n v="10697"/>
    <n v="8"/>
    <s v="Y"/>
    <s v="No"/>
    <s v="No"/>
    <n v="15"/>
    <n v="3"/>
    <n v="4"/>
    <n v="80"/>
    <n v="0"/>
    <n v="13"/>
    <s v="6-15"/>
    <n v="2"/>
    <n v="2"/>
    <n v="11"/>
    <n v="7"/>
    <n v="1"/>
    <n v="7"/>
    <s v="Below Avg"/>
    <n v="27.064220183486238"/>
    <s v="No"/>
    <s v="Low Risk"/>
  </r>
  <r>
    <n v="49"/>
    <x v="1"/>
    <s v="No"/>
    <s v="Travel_Rarely"/>
    <n v="1313"/>
    <x v="0"/>
    <n v="11"/>
    <n v="4"/>
    <s v="Marketing"/>
    <n v="1"/>
    <n v="1757"/>
    <n v="4"/>
    <s v="Female"/>
    <n v="80"/>
    <n v="3"/>
    <x v="0"/>
    <s v="Sales Executive"/>
    <n v="4"/>
    <s v="Single"/>
    <n v="4507"/>
    <n v="8191"/>
    <n v="3"/>
    <s v="Y"/>
    <s v="No"/>
    <s v="No"/>
    <n v="12"/>
    <n v="3"/>
    <n v="3"/>
    <n v="80"/>
    <n v="0"/>
    <n v="8"/>
    <s v="6-15"/>
    <n v="1"/>
    <n v="4"/>
    <n v="5"/>
    <n v="1"/>
    <n v="0"/>
    <n v="4"/>
    <s v="Below Avg"/>
    <n v="26.728110599078342"/>
    <s v="No"/>
    <s v="Low Risk"/>
  </r>
  <r>
    <n v="33"/>
    <x v="0"/>
    <s v="Yes"/>
    <s v="Travel_Rarely"/>
    <n v="211"/>
    <x v="0"/>
    <n v="16"/>
    <n v="3"/>
    <s v="Life Sciences"/>
    <n v="1"/>
    <n v="1758"/>
    <n v="1"/>
    <s v="Female"/>
    <n v="74"/>
    <n v="3"/>
    <x v="2"/>
    <s v="Sales Executive"/>
    <n v="1"/>
    <s v="Single"/>
    <n v="8564"/>
    <n v="10092"/>
    <n v="2"/>
    <s v="Y"/>
    <s v="Yes"/>
    <s v="Yes"/>
    <n v="20"/>
    <n v="4"/>
    <n v="3"/>
    <n v="80"/>
    <n v="0"/>
    <n v="11"/>
    <s v="6-15"/>
    <n v="2"/>
    <n v="2"/>
    <n v="0"/>
    <n v="0"/>
    <n v="0"/>
    <n v="0"/>
    <s v="Ok"/>
    <n v="26.851851851851855"/>
    <s v="No"/>
    <s v="High Risk"/>
  </r>
  <r>
    <n v="38"/>
    <x v="1"/>
    <s v="No"/>
    <s v="Travel_Frequently"/>
    <n v="594"/>
    <x v="1"/>
    <n v="2"/>
    <n v="2"/>
    <s v="Medical"/>
    <n v="1"/>
    <n v="1760"/>
    <n v="3"/>
    <s v="Female"/>
    <n v="75"/>
    <n v="2"/>
    <x v="1"/>
    <s v="Laboratory Technician"/>
    <n v="2"/>
    <s v="Married"/>
    <n v="2468"/>
    <n v="15963"/>
    <n v="4"/>
    <s v="Y"/>
    <s v="No"/>
    <s v="No"/>
    <n v="14"/>
    <n v="3"/>
    <n v="2"/>
    <n v="80"/>
    <n v="1"/>
    <n v="9"/>
    <s v="6-15"/>
    <n v="4"/>
    <n v="2"/>
    <n v="6"/>
    <n v="1"/>
    <n v="0"/>
    <n v="5"/>
    <s v="Below Avg"/>
    <n v="26.976744186046513"/>
    <s v="No"/>
    <s v="Low Risk"/>
  </r>
  <r>
    <n v="31"/>
    <x v="0"/>
    <s v="Yes"/>
    <s v="Travel_Rarely"/>
    <n v="1079"/>
    <x v="0"/>
    <n v="16"/>
    <n v="4"/>
    <s v="Marketing"/>
    <n v="1"/>
    <n v="1761"/>
    <n v="1"/>
    <s v="Male"/>
    <n v="70"/>
    <n v="3"/>
    <x v="2"/>
    <s v="Sales Executive"/>
    <n v="3"/>
    <s v="Married"/>
    <n v="8161"/>
    <n v="19002"/>
    <n v="2"/>
    <s v="Y"/>
    <s v="No"/>
    <s v="No"/>
    <n v="13"/>
    <n v="3"/>
    <n v="1"/>
    <n v="80"/>
    <n v="3"/>
    <n v="10"/>
    <s v="6-15"/>
    <n v="2"/>
    <n v="3"/>
    <n v="1"/>
    <n v="0"/>
    <n v="0"/>
    <n v="0"/>
    <s v="Ok"/>
    <n v="26.635514018691588"/>
    <s v="No"/>
    <s v="High Risk"/>
  </r>
  <r>
    <n v="29"/>
    <x v="1"/>
    <s v="No"/>
    <s v="Travel_Rarely"/>
    <n v="590"/>
    <x v="1"/>
    <n v="4"/>
    <n v="3"/>
    <s v="Technical Degree"/>
    <n v="1"/>
    <n v="1762"/>
    <n v="4"/>
    <s v="Female"/>
    <n v="91"/>
    <n v="2"/>
    <x v="1"/>
    <s v="Research Scientist"/>
    <n v="1"/>
    <s v="Divorced"/>
    <n v="2109"/>
    <n v="10007"/>
    <n v="1"/>
    <s v="Y"/>
    <s v="No"/>
    <s v="No"/>
    <n v="13"/>
    <n v="3"/>
    <n v="3"/>
    <n v="80"/>
    <n v="1"/>
    <n v="1"/>
    <s v="0-5"/>
    <n v="2"/>
    <n v="3"/>
    <n v="1"/>
    <n v="0"/>
    <n v="0"/>
    <n v="0"/>
    <s v="Below Avg"/>
    <n v="26.760563380281688"/>
    <s v="No"/>
    <s v="Low Risk"/>
  </r>
  <r>
    <n v="30"/>
    <x v="1"/>
    <s v="No"/>
    <s v="Travel_Rarely"/>
    <n v="305"/>
    <x v="1"/>
    <n v="16"/>
    <n v="3"/>
    <s v="Life Sciences"/>
    <n v="1"/>
    <n v="1763"/>
    <n v="3"/>
    <s v="Male"/>
    <n v="58"/>
    <n v="4"/>
    <x v="0"/>
    <s v="Healthcare Representative"/>
    <n v="3"/>
    <s v="Married"/>
    <n v="5294"/>
    <n v="9128"/>
    <n v="3"/>
    <s v="Y"/>
    <s v="No"/>
    <s v="No"/>
    <n v="16"/>
    <n v="3"/>
    <n v="3"/>
    <n v="80"/>
    <n v="1"/>
    <n v="10"/>
    <s v="6-15"/>
    <n v="3"/>
    <n v="3"/>
    <n v="7"/>
    <n v="0"/>
    <n v="1"/>
    <n v="7"/>
    <s v="Below Avg"/>
    <n v="26.886792452830189"/>
    <s v="No"/>
    <s v="Low Risk"/>
  </r>
  <r>
    <n v="32"/>
    <x v="1"/>
    <s v="No"/>
    <s v="Non-Travel"/>
    <n v="953"/>
    <x v="1"/>
    <n v="5"/>
    <n v="4"/>
    <s v="Technical Degree"/>
    <n v="1"/>
    <n v="1764"/>
    <n v="2"/>
    <s v="Male"/>
    <n v="65"/>
    <n v="3"/>
    <x v="1"/>
    <s v="Research Scientist"/>
    <n v="2"/>
    <s v="Single"/>
    <n v="2718"/>
    <n v="17674"/>
    <n v="2"/>
    <s v="Y"/>
    <s v="No"/>
    <s v="No"/>
    <n v="14"/>
    <n v="3"/>
    <n v="2"/>
    <n v="80"/>
    <n v="0"/>
    <n v="12"/>
    <s v="6-15"/>
    <n v="3"/>
    <n v="3"/>
    <n v="7"/>
    <n v="7"/>
    <n v="0"/>
    <n v="7"/>
    <s v="Below Avg"/>
    <n v="27.014218009478675"/>
    <s v="No"/>
    <s v="Low Risk"/>
  </r>
  <r>
    <n v="38"/>
    <x v="1"/>
    <s v="No"/>
    <s v="Travel_Rarely"/>
    <n v="833"/>
    <x v="1"/>
    <n v="18"/>
    <n v="3"/>
    <s v="Medical"/>
    <n v="1"/>
    <n v="1766"/>
    <n v="2"/>
    <s v="Male"/>
    <n v="60"/>
    <n v="1"/>
    <x v="0"/>
    <s v="Healthcare Representative"/>
    <n v="4"/>
    <s v="Married"/>
    <n v="5811"/>
    <n v="24539"/>
    <n v="3"/>
    <s v="Y"/>
    <s v="Yes"/>
    <s v="Yes"/>
    <n v="16"/>
    <n v="3"/>
    <n v="3"/>
    <n v="80"/>
    <n v="1"/>
    <n v="15"/>
    <s v="6-15"/>
    <n v="2"/>
    <n v="3"/>
    <n v="1"/>
    <n v="0"/>
    <n v="1"/>
    <n v="0"/>
    <s v="Below Avg"/>
    <n v="27.142857142857142"/>
    <s v="No"/>
    <s v="Low Risk"/>
  </r>
  <r>
    <n v="43"/>
    <x v="0"/>
    <s v="Yes"/>
    <s v="Travel_Frequently"/>
    <n v="807"/>
    <x v="1"/>
    <n v="17"/>
    <n v="3"/>
    <s v="Technical Degree"/>
    <n v="1"/>
    <n v="1767"/>
    <n v="3"/>
    <s v="Male"/>
    <n v="38"/>
    <n v="2"/>
    <x v="1"/>
    <s v="Research Scientist"/>
    <n v="3"/>
    <s v="Married"/>
    <n v="2437"/>
    <n v="15587"/>
    <n v="9"/>
    <s v="Y"/>
    <s v="Yes"/>
    <s v="Yes"/>
    <n v="16"/>
    <n v="3"/>
    <n v="4"/>
    <n v="80"/>
    <n v="1"/>
    <n v="6"/>
    <s v="6-15"/>
    <n v="4"/>
    <n v="3"/>
    <n v="1"/>
    <n v="0"/>
    <n v="0"/>
    <n v="0"/>
    <s v="Below Avg"/>
    <n v="27.27272727272727"/>
    <s v="No"/>
    <s v="High Risk"/>
  </r>
  <r>
    <n v="42"/>
    <x v="1"/>
    <s v="No"/>
    <s v="Travel_Rarely"/>
    <n v="855"/>
    <x v="1"/>
    <n v="12"/>
    <n v="3"/>
    <s v="Medical"/>
    <n v="1"/>
    <n v="1768"/>
    <n v="2"/>
    <s v="Male"/>
    <n v="57"/>
    <n v="3"/>
    <x v="1"/>
    <s v="Laboratory Technician"/>
    <n v="2"/>
    <s v="Divorced"/>
    <n v="2766"/>
    <n v="8952"/>
    <n v="8"/>
    <s v="Y"/>
    <s v="No"/>
    <s v="No"/>
    <n v="22"/>
    <n v="4"/>
    <n v="2"/>
    <n v="80"/>
    <n v="3"/>
    <n v="7"/>
    <s v="6-15"/>
    <n v="6"/>
    <n v="2"/>
    <n v="5"/>
    <n v="3"/>
    <n v="0"/>
    <n v="4"/>
    <s v="Below Avg"/>
    <n v="26.923076923076923"/>
    <s v="No"/>
    <s v="Low Risk"/>
  </r>
  <r>
    <n v="55"/>
    <x v="1"/>
    <s v="No"/>
    <s v="Travel_Rarely"/>
    <n v="478"/>
    <x v="1"/>
    <n v="2"/>
    <n v="3"/>
    <s v="Medical"/>
    <n v="1"/>
    <n v="1770"/>
    <n v="3"/>
    <s v="Male"/>
    <n v="60"/>
    <n v="2"/>
    <x v="4"/>
    <s v="Research Director"/>
    <n v="1"/>
    <s v="Married"/>
    <n v="19038"/>
    <n v="19805"/>
    <n v="8"/>
    <s v="Y"/>
    <s v="No"/>
    <s v="No"/>
    <n v="12"/>
    <n v="3"/>
    <n v="2"/>
    <n v="80"/>
    <n v="3"/>
    <n v="34"/>
    <s v="&gt;15"/>
    <n v="2"/>
    <n v="3"/>
    <n v="1"/>
    <n v="0"/>
    <n v="0"/>
    <n v="0"/>
    <s v="Ok"/>
    <n v="26.570048309178745"/>
    <s v="No"/>
    <s v="Low Risk"/>
  </r>
  <r>
    <n v="33"/>
    <x v="1"/>
    <s v="No"/>
    <s v="Non-Travel"/>
    <n v="775"/>
    <x v="1"/>
    <n v="4"/>
    <n v="3"/>
    <s v="Technical Degree"/>
    <n v="1"/>
    <n v="1771"/>
    <n v="4"/>
    <s v="Male"/>
    <n v="90"/>
    <n v="3"/>
    <x v="0"/>
    <s v="Research Scientist"/>
    <n v="2"/>
    <s v="Divorced"/>
    <n v="3055"/>
    <n v="6194"/>
    <n v="5"/>
    <s v="Y"/>
    <s v="No"/>
    <s v="No"/>
    <n v="15"/>
    <n v="3"/>
    <n v="4"/>
    <n v="80"/>
    <n v="2"/>
    <n v="11"/>
    <s v="6-15"/>
    <n v="2"/>
    <n v="2"/>
    <n v="9"/>
    <n v="8"/>
    <n v="1"/>
    <n v="7"/>
    <s v="Below Avg"/>
    <n v="26.699029126213592"/>
    <s v="No"/>
    <s v="Low Risk"/>
  </r>
  <r>
    <n v="41"/>
    <x v="1"/>
    <s v="No"/>
    <s v="Travel_Rarely"/>
    <n v="548"/>
    <x v="1"/>
    <n v="9"/>
    <n v="4"/>
    <s v="Life Sciences"/>
    <n v="1"/>
    <n v="1772"/>
    <n v="3"/>
    <s v="Male"/>
    <n v="94"/>
    <n v="3"/>
    <x v="1"/>
    <s v="Laboratory Technician"/>
    <n v="1"/>
    <s v="Divorced"/>
    <n v="2289"/>
    <n v="20520"/>
    <n v="1"/>
    <s v="Y"/>
    <s v="No"/>
    <s v="No"/>
    <n v="20"/>
    <n v="4"/>
    <n v="2"/>
    <n v="80"/>
    <n v="2"/>
    <n v="5"/>
    <s v="0-5"/>
    <n v="2"/>
    <n v="3"/>
    <n v="5"/>
    <n v="3"/>
    <n v="0"/>
    <n v="4"/>
    <s v="Below Avg"/>
    <n v="26.829268292682929"/>
    <s v="No"/>
    <s v="Low Risk"/>
  </r>
  <r>
    <n v="34"/>
    <x v="1"/>
    <s v="No"/>
    <s v="Non-Travel"/>
    <n v="1375"/>
    <x v="0"/>
    <n v="10"/>
    <n v="3"/>
    <s v="Life Sciences"/>
    <n v="1"/>
    <n v="1774"/>
    <n v="4"/>
    <s v="Male"/>
    <n v="87"/>
    <n v="3"/>
    <x v="0"/>
    <s v="Sales Executive"/>
    <n v="3"/>
    <s v="Divorced"/>
    <n v="4001"/>
    <n v="12313"/>
    <n v="1"/>
    <s v="Y"/>
    <s v="Yes"/>
    <s v="Yes"/>
    <n v="14"/>
    <n v="3"/>
    <n v="3"/>
    <n v="80"/>
    <n v="1"/>
    <n v="15"/>
    <s v="6-15"/>
    <n v="3"/>
    <n v="3"/>
    <n v="15"/>
    <n v="14"/>
    <n v="0"/>
    <n v="7"/>
    <s v="Below Avg"/>
    <n v="26.96078431372549"/>
    <s v="No"/>
    <s v="Low Risk"/>
  </r>
  <r>
    <n v="53"/>
    <x v="1"/>
    <s v="No"/>
    <s v="Non-Travel"/>
    <n v="661"/>
    <x v="1"/>
    <n v="1"/>
    <n v="4"/>
    <s v="Medical"/>
    <n v="1"/>
    <n v="1775"/>
    <n v="1"/>
    <s v="Female"/>
    <n v="60"/>
    <n v="2"/>
    <x v="3"/>
    <s v="Manufacturing Director"/>
    <n v="3"/>
    <s v="Married"/>
    <n v="12965"/>
    <n v="22308"/>
    <n v="4"/>
    <s v="Y"/>
    <s v="Yes"/>
    <s v="Yes"/>
    <n v="20"/>
    <n v="4"/>
    <n v="4"/>
    <n v="80"/>
    <n v="3"/>
    <n v="27"/>
    <s v="&gt;15"/>
    <n v="2"/>
    <n v="2"/>
    <n v="3"/>
    <n v="2"/>
    <n v="0"/>
    <n v="2"/>
    <s v="Ok"/>
    <n v="27.093596059113302"/>
    <s v="No"/>
    <s v="Low Risk"/>
  </r>
  <r>
    <n v="43"/>
    <x v="1"/>
    <s v="No"/>
    <s v="Travel_Rarely"/>
    <n v="244"/>
    <x v="2"/>
    <n v="2"/>
    <n v="3"/>
    <s v="Life Sciences"/>
    <n v="1"/>
    <n v="1778"/>
    <n v="2"/>
    <s v="Male"/>
    <n v="97"/>
    <n v="3"/>
    <x v="1"/>
    <s v="Human Resources"/>
    <n v="4"/>
    <s v="Single"/>
    <n v="3539"/>
    <n v="5033"/>
    <n v="0"/>
    <s v="Y"/>
    <s v="No"/>
    <s v="No"/>
    <n v="13"/>
    <n v="3"/>
    <n v="2"/>
    <n v="80"/>
    <n v="0"/>
    <n v="10"/>
    <s v="6-15"/>
    <n v="5"/>
    <n v="3"/>
    <n v="9"/>
    <n v="7"/>
    <n v="1"/>
    <n v="8"/>
    <s v="Below Avg"/>
    <n v="26.732673267326735"/>
    <s v="No"/>
    <s v="Low Risk"/>
  </r>
  <r>
    <n v="34"/>
    <x v="1"/>
    <s v="No"/>
    <s v="Travel_Rarely"/>
    <n v="511"/>
    <x v="0"/>
    <n v="3"/>
    <n v="2"/>
    <s v="Life Sciences"/>
    <n v="1"/>
    <n v="1779"/>
    <n v="4"/>
    <s v="Female"/>
    <n v="32"/>
    <n v="1"/>
    <x v="0"/>
    <s v="Sales Executive"/>
    <n v="4"/>
    <s v="Single"/>
    <n v="6029"/>
    <n v="25353"/>
    <n v="5"/>
    <s v="Y"/>
    <s v="No"/>
    <s v="No"/>
    <n v="12"/>
    <n v="3"/>
    <n v="1"/>
    <n v="80"/>
    <n v="0"/>
    <n v="6"/>
    <s v="6-15"/>
    <n v="3"/>
    <n v="3"/>
    <n v="2"/>
    <n v="2"/>
    <n v="2"/>
    <n v="2"/>
    <s v="Below Avg"/>
    <n v="26.368159203980102"/>
    <s v="No"/>
    <s v="Low Risk"/>
  </r>
  <r>
    <n v="21"/>
    <x v="0"/>
    <s v="Yes"/>
    <s v="Travel_Rarely"/>
    <n v="337"/>
    <x v="0"/>
    <n v="7"/>
    <n v="1"/>
    <s v="Marketing"/>
    <n v="1"/>
    <n v="1780"/>
    <n v="2"/>
    <s v="Male"/>
    <n v="31"/>
    <n v="3"/>
    <x v="1"/>
    <s v="Sales Representative"/>
    <n v="2"/>
    <s v="Single"/>
    <n v="2679"/>
    <n v="4567"/>
    <n v="1"/>
    <s v="Y"/>
    <s v="No"/>
    <s v="No"/>
    <n v="13"/>
    <n v="3"/>
    <n v="2"/>
    <n v="80"/>
    <n v="0"/>
    <n v="1"/>
    <s v="0-5"/>
    <n v="3"/>
    <n v="3"/>
    <n v="1"/>
    <n v="0"/>
    <n v="1"/>
    <n v="0"/>
    <s v="Below Avg"/>
    <n v="26.5"/>
    <s v="No"/>
    <s v="High Risk"/>
  </r>
  <r>
    <n v="38"/>
    <x v="1"/>
    <s v="No"/>
    <s v="Travel_Rarely"/>
    <n v="1153"/>
    <x v="1"/>
    <n v="6"/>
    <n v="2"/>
    <s v="Other"/>
    <n v="1"/>
    <n v="1782"/>
    <n v="4"/>
    <s v="Female"/>
    <n v="40"/>
    <n v="2"/>
    <x v="1"/>
    <s v="Laboratory Technician"/>
    <n v="3"/>
    <s v="Married"/>
    <n v="3702"/>
    <n v="16376"/>
    <n v="1"/>
    <s v="Y"/>
    <s v="No"/>
    <s v="No"/>
    <n v="11"/>
    <n v="3"/>
    <n v="2"/>
    <n v="80"/>
    <n v="1"/>
    <n v="5"/>
    <s v="0-5"/>
    <n v="3"/>
    <n v="3"/>
    <n v="5"/>
    <n v="4"/>
    <n v="0"/>
    <n v="4"/>
    <s v="Below Avg"/>
    <n v="26.633165829145728"/>
    <s v="No"/>
    <s v="Low Risk"/>
  </r>
  <r>
    <n v="22"/>
    <x v="0"/>
    <s v="Yes"/>
    <s v="Travel_Rarely"/>
    <n v="1294"/>
    <x v="1"/>
    <n v="8"/>
    <n v="1"/>
    <s v="Medical"/>
    <n v="1"/>
    <n v="1783"/>
    <n v="3"/>
    <s v="Female"/>
    <n v="79"/>
    <n v="3"/>
    <x v="1"/>
    <s v="Laboratory Technician"/>
    <n v="1"/>
    <s v="Married"/>
    <n v="2398"/>
    <n v="15999"/>
    <n v="1"/>
    <s v="Y"/>
    <s v="Yes"/>
    <s v="Yes"/>
    <n v="17"/>
    <n v="3"/>
    <n v="3"/>
    <n v="80"/>
    <n v="0"/>
    <n v="1"/>
    <s v="0-5"/>
    <n v="6"/>
    <n v="3"/>
    <n v="1"/>
    <n v="0"/>
    <n v="0"/>
    <n v="0"/>
    <s v="Below Avg"/>
    <n v="26.767676767676768"/>
    <s v="No"/>
    <s v="High Risk"/>
  </r>
  <r>
    <n v="31"/>
    <x v="1"/>
    <s v="No"/>
    <s v="Travel_Rarely"/>
    <n v="196"/>
    <x v="0"/>
    <n v="29"/>
    <n v="4"/>
    <s v="Marketing"/>
    <n v="1"/>
    <n v="1784"/>
    <n v="1"/>
    <s v="Female"/>
    <n v="91"/>
    <n v="2"/>
    <x v="0"/>
    <s v="Sales Executive"/>
    <n v="4"/>
    <s v="Married"/>
    <n v="5468"/>
    <n v="13402"/>
    <n v="1"/>
    <s v="Y"/>
    <s v="No"/>
    <s v="No"/>
    <n v="14"/>
    <n v="3"/>
    <n v="1"/>
    <n v="80"/>
    <n v="2"/>
    <n v="13"/>
    <s v="6-15"/>
    <n v="3"/>
    <n v="3"/>
    <n v="12"/>
    <n v="7"/>
    <n v="5"/>
    <n v="7"/>
    <s v="Below Avg"/>
    <n v="26.903553299492383"/>
    <s v="No"/>
    <s v="Low Risk"/>
  </r>
  <r>
    <n v="51"/>
    <x v="1"/>
    <s v="No"/>
    <s v="Travel_Rarely"/>
    <n v="942"/>
    <x v="1"/>
    <n v="3"/>
    <n v="3"/>
    <s v="Technical Degree"/>
    <n v="1"/>
    <n v="1786"/>
    <n v="1"/>
    <s v="Female"/>
    <n v="53"/>
    <n v="3"/>
    <x v="2"/>
    <s v="Manager"/>
    <n v="3"/>
    <s v="Married"/>
    <n v="13116"/>
    <n v="22984"/>
    <n v="2"/>
    <s v="Y"/>
    <s v="No"/>
    <s v="No"/>
    <n v="11"/>
    <n v="3"/>
    <n v="4"/>
    <n v="80"/>
    <n v="0"/>
    <n v="15"/>
    <s v="6-15"/>
    <n v="2"/>
    <n v="3"/>
    <n v="2"/>
    <n v="2"/>
    <n v="2"/>
    <n v="2"/>
    <s v="Ok"/>
    <n v="26.530612244897959"/>
    <s v="No"/>
    <s v="Low Risk"/>
  </r>
  <r>
    <n v="37"/>
    <x v="1"/>
    <s v="No"/>
    <s v="Travel_Rarely"/>
    <n v="589"/>
    <x v="0"/>
    <n v="9"/>
    <n v="2"/>
    <s v="Marketing"/>
    <n v="1"/>
    <n v="1787"/>
    <n v="2"/>
    <s v="Male"/>
    <n v="46"/>
    <n v="2"/>
    <x v="0"/>
    <s v="Sales Executive"/>
    <n v="2"/>
    <s v="Married"/>
    <n v="4189"/>
    <n v="8800"/>
    <n v="1"/>
    <s v="Y"/>
    <s v="No"/>
    <s v="No"/>
    <n v="14"/>
    <n v="3"/>
    <n v="1"/>
    <n v="80"/>
    <n v="2"/>
    <n v="5"/>
    <s v="0-5"/>
    <n v="2"/>
    <n v="3"/>
    <n v="5"/>
    <n v="2"/>
    <n v="0"/>
    <n v="3"/>
    <s v="Below Avg"/>
    <n v="26.666666666666668"/>
    <s v="No"/>
    <s v="Low Risk"/>
  </r>
  <r>
    <n v="46"/>
    <x v="1"/>
    <s v="No"/>
    <s v="Travel_Rarely"/>
    <n v="734"/>
    <x v="1"/>
    <n v="2"/>
    <n v="4"/>
    <s v="Medical"/>
    <n v="1"/>
    <n v="1789"/>
    <n v="3"/>
    <s v="Male"/>
    <n v="46"/>
    <n v="3"/>
    <x v="4"/>
    <s v="Research Director"/>
    <n v="4"/>
    <s v="Divorced"/>
    <n v="19328"/>
    <n v="14218"/>
    <n v="7"/>
    <s v="Y"/>
    <s v="Yes"/>
    <s v="Yes"/>
    <n v="17"/>
    <n v="3"/>
    <n v="3"/>
    <n v="80"/>
    <n v="1"/>
    <n v="24"/>
    <s v="&gt;15"/>
    <n v="3"/>
    <n v="3"/>
    <n v="2"/>
    <n v="1"/>
    <n v="2"/>
    <n v="2"/>
    <s v="Ok"/>
    <n v="26.804123711340207"/>
    <s v="No"/>
    <s v="Low Risk"/>
  </r>
  <r>
    <n v="36"/>
    <x v="1"/>
    <s v="No"/>
    <s v="Travel_Rarely"/>
    <n v="1383"/>
    <x v="1"/>
    <n v="10"/>
    <n v="3"/>
    <s v="Life Sciences"/>
    <n v="1"/>
    <n v="1790"/>
    <n v="4"/>
    <s v="Male"/>
    <n v="90"/>
    <n v="3"/>
    <x v="2"/>
    <s v="Healthcare Representative"/>
    <n v="1"/>
    <s v="Married"/>
    <n v="8321"/>
    <n v="25949"/>
    <n v="7"/>
    <s v="Y"/>
    <s v="Yes"/>
    <s v="Yes"/>
    <n v="13"/>
    <n v="3"/>
    <n v="4"/>
    <n v="80"/>
    <n v="1"/>
    <n v="15"/>
    <s v="6-15"/>
    <n v="1"/>
    <n v="3"/>
    <n v="12"/>
    <n v="8"/>
    <n v="5"/>
    <n v="7"/>
    <s v="Ok"/>
    <n v="26.94300518134715"/>
    <s v="No"/>
    <s v="Low Risk"/>
  </r>
  <r>
    <n v="44"/>
    <x v="0"/>
    <s v="Yes"/>
    <s v="Travel_Frequently"/>
    <n v="429"/>
    <x v="1"/>
    <n v="1"/>
    <n v="2"/>
    <s v="Medical"/>
    <n v="1"/>
    <n v="1792"/>
    <n v="3"/>
    <s v="Male"/>
    <n v="99"/>
    <n v="3"/>
    <x v="1"/>
    <s v="Research Scientist"/>
    <n v="2"/>
    <s v="Divorced"/>
    <n v="2342"/>
    <n v="11092"/>
    <n v="1"/>
    <s v="Y"/>
    <s v="Yes"/>
    <s v="Yes"/>
    <n v="12"/>
    <n v="3"/>
    <n v="3"/>
    <n v="80"/>
    <n v="3"/>
    <n v="6"/>
    <s v="6-15"/>
    <n v="2"/>
    <n v="2"/>
    <n v="5"/>
    <n v="3"/>
    <n v="2"/>
    <n v="3"/>
    <s v="Below Avg"/>
    <n v="26.5625"/>
    <s v="No"/>
    <s v="Low Risk"/>
  </r>
  <r>
    <n v="37"/>
    <x v="1"/>
    <s v="No"/>
    <s v="Travel_Rarely"/>
    <n v="1239"/>
    <x v="2"/>
    <n v="8"/>
    <n v="2"/>
    <s v="Other"/>
    <n v="1"/>
    <n v="1794"/>
    <n v="3"/>
    <s v="Male"/>
    <n v="89"/>
    <n v="3"/>
    <x v="0"/>
    <s v="Human Resources"/>
    <n v="2"/>
    <s v="Divorced"/>
    <n v="4071"/>
    <n v="12832"/>
    <n v="2"/>
    <s v="Y"/>
    <s v="No"/>
    <s v="No"/>
    <n v="13"/>
    <n v="3"/>
    <n v="3"/>
    <n v="80"/>
    <n v="0"/>
    <n v="19"/>
    <s v="&gt;15"/>
    <n v="4"/>
    <n v="2"/>
    <n v="10"/>
    <n v="0"/>
    <n v="4"/>
    <n v="7"/>
    <s v="Below Avg"/>
    <n v="26.178010471204189"/>
    <s v="No"/>
    <s v="Low Risk"/>
  </r>
  <r>
    <n v="35"/>
    <x v="0"/>
    <s v="Yes"/>
    <s v="Travel_Rarely"/>
    <n v="303"/>
    <x v="0"/>
    <n v="27"/>
    <n v="3"/>
    <s v="Life Sciences"/>
    <n v="1"/>
    <n v="1797"/>
    <n v="3"/>
    <s v="Male"/>
    <n v="84"/>
    <n v="3"/>
    <x v="0"/>
    <s v="Sales Executive"/>
    <n v="4"/>
    <s v="Single"/>
    <n v="5813"/>
    <n v="13492"/>
    <n v="1"/>
    <s v="Y"/>
    <s v="Yes"/>
    <s v="Yes"/>
    <n v="18"/>
    <n v="3"/>
    <n v="4"/>
    <n v="80"/>
    <n v="0"/>
    <n v="10"/>
    <s v="6-15"/>
    <n v="2"/>
    <n v="3"/>
    <n v="10"/>
    <n v="7"/>
    <n v="7"/>
    <n v="7"/>
    <s v="Below Avg"/>
    <n v="25.789473684210527"/>
    <s v="No"/>
    <s v="Low Risk"/>
  </r>
  <r>
    <n v="33"/>
    <x v="1"/>
    <s v="No"/>
    <s v="Travel_Rarely"/>
    <n v="867"/>
    <x v="1"/>
    <n v="8"/>
    <n v="4"/>
    <s v="Life Sciences"/>
    <n v="1"/>
    <n v="1798"/>
    <n v="4"/>
    <s v="Male"/>
    <n v="90"/>
    <n v="4"/>
    <x v="1"/>
    <s v="Research Scientist"/>
    <n v="1"/>
    <s v="Married"/>
    <n v="3143"/>
    <n v="6076"/>
    <n v="6"/>
    <s v="Y"/>
    <s v="No"/>
    <s v="No"/>
    <n v="19"/>
    <n v="3"/>
    <n v="2"/>
    <n v="80"/>
    <n v="1"/>
    <n v="14"/>
    <s v="6-15"/>
    <n v="1"/>
    <n v="3"/>
    <n v="10"/>
    <n v="8"/>
    <n v="7"/>
    <n v="6"/>
    <s v="Below Avg"/>
    <n v="25.925925925925924"/>
    <s v="No"/>
    <s v="Low Risk"/>
  </r>
  <r>
    <n v="28"/>
    <x v="1"/>
    <s v="No"/>
    <s v="Travel_Rarely"/>
    <n v="1181"/>
    <x v="1"/>
    <n v="1"/>
    <n v="3"/>
    <s v="Life Sciences"/>
    <n v="1"/>
    <n v="1799"/>
    <n v="3"/>
    <s v="Male"/>
    <n v="82"/>
    <n v="3"/>
    <x v="1"/>
    <s v="Research Scientist"/>
    <n v="4"/>
    <s v="Married"/>
    <n v="2044"/>
    <n v="5531"/>
    <n v="1"/>
    <s v="Y"/>
    <s v="No"/>
    <s v="No"/>
    <n v="11"/>
    <n v="3"/>
    <n v="3"/>
    <n v="80"/>
    <n v="1"/>
    <n v="5"/>
    <s v="0-5"/>
    <n v="6"/>
    <n v="4"/>
    <n v="5"/>
    <n v="3"/>
    <n v="0"/>
    <n v="3"/>
    <s v="Below Avg"/>
    <n v="25.531914893617021"/>
    <s v="No"/>
    <s v="Low Risk"/>
  </r>
  <r>
    <n v="39"/>
    <x v="1"/>
    <s v="No"/>
    <s v="Travel_Rarely"/>
    <n v="1253"/>
    <x v="1"/>
    <n v="10"/>
    <n v="1"/>
    <s v="Medical"/>
    <n v="1"/>
    <n v="1800"/>
    <n v="3"/>
    <s v="Male"/>
    <n v="65"/>
    <n v="3"/>
    <x v="2"/>
    <s v="Research Director"/>
    <n v="3"/>
    <s v="Single"/>
    <n v="13464"/>
    <n v="7914"/>
    <n v="7"/>
    <s v="Y"/>
    <s v="No"/>
    <s v="No"/>
    <n v="21"/>
    <n v="4"/>
    <n v="3"/>
    <n v="80"/>
    <n v="0"/>
    <n v="9"/>
    <s v="6-15"/>
    <n v="3"/>
    <n v="3"/>
    <n v="4"/>
    <n v="3"/>
    <n v="2"/>
    <n v="2"/>
    <s v="Ok"/>
    <n v="25.668449197860966"/>
    <s v="No"/>
    <s v="Low Risk"/>
  </r>
  <r>
    <n v="46"/>
    <x v="1"/>
    <s v="No"/>
    <s v="Non-Travel"/>
    <n v="849"/>
    <x v="0"/>
    <n v="26"/>
    <n v="2"/>
    <s v="Life Sciences"/>
    <n v="1"/>
    <n v="1801"/>
    <n v="2"/>
    <s v="Male"/>
    <n v="98"/>
    <n v="2"/>
    <x v="0"/>
    <s v="Sales Executive"/>
    <n v="2"/>
    <s v="Single"/>
    <n v="7991"/>
    <n v="25166"/>
    <n v="8"/>
    <s v="Y"/>
    <s v="No"/>
    <s v="No"/>
    <n v="15"/>
    <n v="3"/>
    <n v="3"/>
    <n v="80"/>
    <n v="0"/>
    <n v="6"/>
    <s v="6-15"/>
    <n v="3"/>
    <n v="3"/>
    <n v="2"/>
    <n v="2"/>
    <n v="2"/>
    <n v="2"/>
    <s v="Ok"/>
    <n v="25.806451612903224"/>
    <s v="No"/>
    <s v="Low Risk"/>
  </r>
  <r>
    <n v="40"/>
    <x v="1"/>
    <s v="No"/>
    <s v="Travel_Rarely"/>
    <n v="616"/>
    <x v="1"/>
    <n v="2"/>
    <n v="2"/>
    <s v="Life Sciences"/>
    <n v="1"/>
    <n v="1802"/>
    <n v="3"/>
    <s v="Female"/>
    <n v="99"/>
    <n v="3"/>
    <x v="1"/>
    <s v="Laboratory Technician"/>
    <n v="1"/>
    <s v="Married"/>
    <n v="3377"/>
    <n v="25605"/>
    <n v="4"/>
    <s v="Y"/>
    <s v="No"/>
    <s v="No"/>
    <n v="17"/>
    <n v="3"/>
    <n v="4"/>
    <n v="80"/>
    <n v="1"/>
    <n v="7"/>
    <s v="6-15"/>
    <n v="5"/>
    <n v="2"/>
    <n v="4"/>
    <n v="3"/>
    <n v="0"/>
    <n v="2"/>
    <s v="Below Avg"/>
    <n v="25.945945945945947"/>
    <s v="No"/>
    <s v="Low Risk"/>
  </r>
  <r>
    <n v="42"/>
    <x v="1"/>
    <s v="No"/>
    <s v="Travel_Rarely"/>
    <n v="1128"/>
    <x v="1"/>
    <n v="13"/>
    <n v="3"/>
    <s v="Medical"/>
    <n v="1"/>
    <n v="1803"/>
    <n v="2"/>
    <s v="Male"/>
    <n v="95"/>
    <n v="4"/>
    <x v="0"/>
    <s v="Healthcare Representative"/>
    <n v="1"/>
    <s v="Married"/>
    <n v="5538"/>
    <n v="5696"/>
    <n v="5"/>
    <s v="Y"/>
    <s v="No"/>
    <s v="No"/>
    <n v="18"/>
    <n v="3"/>
    <n v="3"/>
    <n v="80"/>
    <n v="2"/>
    <n v="10"/>
    <s v="6-15"/>
    <n v="2"/>
    <n v="2"/>
    <n v="0"/>
    <n v="0"/>
    <n v="0"/>
    <n v="0"/>
    <s v="Below Avg"/>
    <n v="26.086956521739129"/>
    <s v="No"/>
    <s v="Low Risk"/>
  </r>
  <r>
    <n v="35"/>
    <x v="1"/>
    <s v="No"/>
    <s v="Non-Travel"/>
    <n v="1180"/>
    <x v="1"/>
    <n v="2"/>
    <n v="2"/>
    <s v="Medical"/>
    <n v="1"/>
    <n v="1804"/>
    <n v="2"/>
    <s v="Male"/>
    <n v="90"/>
    <n v="3"/>
    <x v="0"/>
    <s v="Manufacturing Director"/>
    <n v="4"/>
    <s v="Divorced"/>
    <n v="5762"/>
    <n v="24442"/>
    <n v="2"/>
    <s v="Y"/>
    <s v="No"/>
    <s v="No"/>
    <n v="14"/>
    <n v="3"/>
    <n v="3"/>
    <n v="80"/>
    <n v="1"/>
    <n v="15"/>
    <s v="6-15"/>
    <n v="6"/>
    <n v="3"/>
    <n v="7"/>
    <n v="7"/>
    <n v="1"/>
    <n v="7"/>
    <s v="Below Avg"/>
    <n v="26.229508196721312"/>
    <s v="No"/>
    <s v="Low Risk"/>
  </r>
  <r>
    <n v="38"/>
    <x v="1"/>
    <s v="No"/>
    <s v="Non-Travel"/>
    <n v="1336"/>
    <x v="2"/>
    <n v="2"/>
    <n v="3"/>
    <s v="Human Resources"/>
    <n v="1"/>
    <n v="1805"/>
    <n v="1"/>
    <s v="Male"/>
    <n v="100"/>
    <n v="3"/>
    <x v="1"/>
    <s v="Human Resources"/>
    <n v="2"/>
    <s v="Divorced"/>
    <n v="2592"/>
    <n v="7129"/>
    <n v="5"/>
    <s v="Y"/>
    <s v="No"/>
    <s v="No"/>
    <n v="13"/>
    <n v="3"/>
    <n v="4"/>
    <n v="80"/>
    <n v="3"/>
    <n v="13"/>
    <s v="6-15"/>
    <n v="3"/>
    <n v="3"/>
    <n v="11"/>
    <n v="10"/>
    <n v="3"/>
    <n v="8"/>
    <s v="Below Avg"/>
    <n v="26.373626373626376"/>
    <s v="No"/>
    <s v="Low Risk"/>
  </r>
  <r>
    <n v="34"/>
    <x v="0"/>
    <s v="Yes"/>
    <s v="Travel_Frequently"/>
    <n v="234"/>
    <x v="1"/>
    <n v="9"/>
    <n v="4"/>
    <s v="Life Sciences"/>
    <n v="1"/>
    <n v="1807"/>
    <n v="4"/>
    <s v="Male"/>
    <n v="93"/>
    <n v="3"/>
    <x v="0"/>
    <s v="Laboratory Technician"/>
    <n v="1"/>
    <s v="Married"/>
    <n v="5346"/>
    <n v="6208"/>
    <n v="4"/>
    <s v="Y"/>
    <s v="No"/>
    <s v="No"/>
    <n v="17"/>
    <n v="3"/>
    <n v="3"/>
    <n v="80"/>
    <n v="1"/>
    <n v="11"/>
    <s v="6-15"/>
    <n v="3"/>
    <n v="2"/>
    <n v="7"/>
    <n v="1"/>
    <n v="0"/>
    <n v="7"/>
    <s v="Below Avg"/>
    <n v="26.519337016574585"/>
    <s v="No"/>
    <s v="Low Risk"/>
  </r>
  <r>
    <n v="37"/>
    <x v="0"/>
    <s v="Yes"/>
    <s v="Travel_Rarely"/>
    <n v="370"/>
    <x v="1"/>
    <n v="10"/>
    <n v="4"/>
    <s v="Medical"/>
    <n v="1"/>
    <n v="1809"/>
    <n v="4"/>
    <s v="Male"/>
    <n v="58"/>
    <n v="3"/>
    <x v="0"/>
    <s v="Manufacturing Director"/>
    <n v="1"/>
    <s v="Single"/>
    <n v="4213"/>
    <n v="4992"/>
    <n v="1"/>
    <s v="Y"/>
    <s v="No"/>
    <s v="No"/>
    <n v="15"/>
    <n v="3"/>
    <n v="2"/>
    <n v="80"/>
    <n v="0"/>
    <n v="10"/>
    <s v="6-15"/>
    <n v="4"/>
    <n v="1"/>
    <n v="10"/>
    <n v="3"/>
    <n v="0"/>
    <n v="8"/>
    <s v="Below Avg"/>
    <n v="26.666666666666668"/>
    <s v="No"/>
    <s v="Low Risk"/>
  </r>
  <r>
    <n v="39"/>
    <x v="1"/>
    <s v="No"/>
    <s v="Travel_Frequently"/>
    <n v="766"/>
    <x v="0"/>
    <n v="20"/>
    <n v="3"/>
    <s v="Life Sciences"/>
    <n v="1"/>
    <n v="1812"/>
    <n v="3"/>
    <s v="Male"/>
    <n v="83"/>
    <n v="3"/>
    <x v="0"/>
    <s v="Sales Executive"/>
    <n v="4"/>
    <s v="Divorced"/>
    <n v="4127"/>
    <n v="19188"/>
    <n v="2"/>
    <s v="Y"/>
    <s v="No"/>
    <s v="No"/>
    <n v="18"/>
    <n v="3"/>
    <n v="4"/>
    <n v="80"/>
    <n v="1"/>
    <n v="7"/>
    <s v="6-15"/>
    <n v="6"/>
    <n v="3"/>
    <n v="2"/>
    <n v="1"/>
    <n v="2"/>
    <n v="2"/>
    <s v="Below Avg"/>
    <n v="26.815642458100559"/>
    <s v="No"/>
    <s v="Low Risk"/>
  </r>
  <r>
    <n v="43"/>
    <x v="1"/>
    <s v="No"/>
    <s v="Non-Travel"/>
    <n v="343"/>
    <x v="1"/>
    <n v="9"/>
    <n v="3"/>
    <s v="Life Sciences"/>
    <n v="1"/>
    <n v="1813"/>
    <n v="1"/>
    <s v="Male"/>
    <n v="52"/>
    <n v="3"/>
    <x v="1"/>
    <s v="Research Scientist"/>
    <n v="3"/>
    <s v="Single"/>
    <n v="2438"/>
    <n v="24978"/>
    <n v="4"/>
    <s v="Y"/>
    <s v="No"/>
    <s v="No"/>
    <n v="13"/>
    <n v="3"/>
    <n v="3"/>
    <n v="80"/>
    <n v="0"/>
    <n v="7"/>
    <s v="6-15"/>
    <n v="2"/>
    <n v="2"/>
    <n v="3"/>
    <n v="2"/>
    <n v="1"/>
    <n v="2"/>
    <s v="Below Avg"/>
    <n v="26.966292134831459"/>
    <s v="No"/>
    <s v="Low Risk"/>
  </r>
  <r>
    <n v="41"/>
    <x v="1"/>
    <s v="No"/>
    <s v="Travel_Rarely"/>
    <n v="447"/>
    <x v="1"/>
    <n v="5"/>
    <n v="3"/>
    <s v="Life Sciences"/>
    <n v="1"/>
    <n v="1814"/>
    <n v="2"/>
    <s v="Male"/>
    <n v="85"/>
    <n v="4"/>
    <x v="0"/>
    <s v="Healthcare Representative"/>
    <n v="2"/>
    <s v="Single"/>
    <n v="6870"/>
    <n v="15530"/>
    <n v="3"/>
    <s v="Y"/>
    <s v="No"/>
    <s v="No"/>
    <n v="12"/>
    <n v="3"/>
    <n v="1"/>
    <n v="80"/>
    <n v="0"/>
    <n v="11"/>
    <s v="6-15"/>
    <n v="3"/>
    <n v="1"/>
    <n v="3"/>
    <n v="2"/>
    <n v="1"/>
    <n v="2"/>
    <s v="Ok"/>
    <n v="27.118644067796609"/>
    <s v="No"/>
    <s v="Low Risk"/>
  </r>
  <r>
    <n v="41"/>
    <x v="1"/>
    <s v="No"/>
    <s v="Travel_Rarely"/>
    <n v="796"/>
    <x v="0"/>
    <n v="4"/>
    <n v="1"/>
    <s v="Marketing"/>
    <n v="1"/>
    <n v="1815"/>
    <n v="3"/>
    <s v="Female"/>
    <n v="81"/>
    <n v="3"/>
    <x v="2"/>
    <s v="Sales Executive"/>
    <n v="3"/>
    <s v="Divorced"/>
    <n v="10447"/>
    <n v="26458"/>
    <n v="0"/>
    <s v="Y"/>
    <s v="Yes"/>
    <s v="Yes"/>
    <n v="13"/>
    <n v="3"/>
    <n v="4"/>
    <n v="80"/>
    <n v="1"/>
    <n v="23"/>
    <s v="&gt;15"/>
    <n v="3"/>
    <n v="4"/>
    <n v="22"/>
    <n v="14"/>
    <n v="13"/>
    <n v="5"/>
    <s v="Ok"/>
    <n v="27.27272727272727"/>
    <s v="No"/>
    <s v="Low Risk"/>
  </r>
  <r>
    <n v="30"/>
    <x v="1"/>
    <s v="No"/>
    <s v="Travel_Rarely"/>
    <n v="1092"/>
    <x v="1"/>
    <n v="10"/>
    <n v="3"/>
    <s v="Medical"/>
    <n v="1"/>
    <n v="1816"/>
    <n v="1"/>
    <s v="Female"/>
    <n v="64"/>
    <n v="3"/>
    <x v="2"/>
    <s v="Manufacturing Director"/>
    <n v="3"/>
    <s v="Single"/>
    <n v="9667"/>
    <n v="2739"/>
    <n v="9"/>
    <s v="Y"/>
    <s v="No"/>
    <s v="No"/>
    <n v="14"/>
    <n v="3"/>
    <n v="2"/>
    <n v="80"/>
    <n v="0"/>
    <n v="9"/>
    <s v="6-15"/>
    <n v="3"/>
    <n v="3"/>
    <n v="7"/>
    <n v="7"/>
    <n v="0"/>
    <n v="2"/>
    <s v="Ok"/>
    <n v="27.428571428571431"/>
    <s v="No"/>
    <s v="Low Risk"/>
  </r>
  <r>
    <n v="26"/>
    <x v="0"/>
    <s v="Yes"/>
    <s v="Travel_Rarely"/>
    <n v="920"/>
    <x v="2"/>
    <n v="20"/>
    <n v="2"/>
    <s v="Medical"/>
    <n v="1"/>
    <n v="1818"/>
    <n v="4"/>
    <s v="Female"/>
    <n v="69"/>
    <n v="3"/>
    <x v="1"/>
    <s v="Human Resources"/>
    <n v="2"/>
    <s v="Married"/>
    <n v="2148"/>
    <n v="6889"/>
    <n v="0"/>
    <s v="Y"/>
    <s v="Yes"/>
    <s v="Yes"/>
    <n v="11"/>
    <n v="3"/>
    <n v="3"/>
    <n v="80"/>
    <n v="0"/>
    <n v="6"/>
    <s v="6-15"/>
    <n v="3"/>
    <n v="3"/>
    <n v="5"/>
    <n v="1"/>
    <n v="1"/>
    <n v="4"/>
    <s v="Below Avg"/>
    <n v="27.011494252873565"/>
    <s v="No"/>
    <s v="Low Risk"/>
  </r>
  <r>
    <n v="46"/>
    <x v="0"/>
    <s v="Yes"/>
    <s v="Travel_Rarely"/>
    <n v="261"/>
    <x v="1"/>
    <n v="21"/>
    <n v="2"/>
    <s v="Medical"/>
    <n v="1"/>
    <n v="1821"/>
    <n v="4"/>
    <s v="Female"/>
    <n v="66"/>
    <n v="3"/>
    <x v="0"/>
    <s v="Healthcare Representative"/>
    <n v="2"/>
    <s v="Married"/>
    <n v="8926"/>
    <n v="10842"/>
    <n v="4"/>
    <s v="Y"/>
    <s v="No"/>
    <s v="No"/>
    <n v="22"/>
    <n v="4"/>
    <n v="4"/>
    <n v="80"/>
    <n v="1"/>
    <n v="13"/>
    <s v="6-15"/>
    <n v="2"/>
    <n v="4"/>
    <n v="9"/>
    <n v="7"/>
    <n v="3"/>
    <n v="7"/>
    <s v="Ok"/>
    <n v="27.167630057803464"/>
    <s v="No"/>
    <s v="Low Risk"/>
  </r>
  <r>
    <n v="40"/>
    <x v="1"/>
    <s v="No"/>
    <s v="Travel_Rarely"/>
    <n v="1194"/>
    <x v="1"/>
    <n v="1"/>
    <n v="3"/>
    <s v="Life Sciences"/>
    <n v="1"/>
    <n v="1822"/>
    <n v="3"/>
    <s v="Female"/>
    <n v="52"/>
    <n v="3"/>
    <x v="0"/>
    <s v="Healthcare Representative"/>
    <n v="4"/>
    <s v="Divorced"/>
    <n v="6513"/>
    <n v="9060"/>
    <n v="4"/>
    <s v="Y"/>
    <s v="No"/>
    <s v="No"/>
    <n v="17"/>
    <n v="3"/>
    <n v="4"/>
    <n v="80"/>
    <n v="1"/>
    <n v="12"/>
    <s v="6-15"/>
    <n v="3"/>
    <n v="3"/>
    <n v="5"/>
    <n v="3"/>
    <n v="0"/>
    <n v="3"/>
    <s v="Ok"/>
    <n v="26.744186046511626"/>
    <s v="No"/>
    <s v="Low Risk"/>
  </r>
  <r>
    <n v="34"/>
    <x v="1"/>
    <s v="No"/>
    <s v="Travel_Rarely"/>
    <n v="810"/>
    <x v="0"/>
    <n v="8"/>
    <n v="2"/>
    <s v="Technical Degree"/>
    <n v="1"/>
    <n v="1823"/>
    <n v="2"/>
    <s v="Male"/>
    <n v="92"/>
    <n v="4"/>
    <x v="0"/>
    <s v="Sales Executive"/>
    <n v="3"/>
    <s v="Married"/>
    <n v="6799"/>
    <n v="22128"/>
    <n v="1"/>
    <s v="Y"/>
    <s v="No"/>
    <s v="No"/>
    <n v="21"/>
    <n v="4"/>
    <n v="3"/>
    <n v="80"/>
    <n v="2"/>
    <n v="10"/>
    <s v="6-15"/>
    <n v="5"/>
    <n v="3"/>
    <n v="10"/>
    <n v="8"/>
    <n v="4"/>
    <n v="8"/>
    <s v="Ok"/>
    <n v="26.900584795321635"/>
    <s v="No"/>
    <s v="Low Risk"/>
  </r>
  <r>
    <n v="58"/>
    <x v="1"/>
    <s v="No"/>
    <s v="Non-Travel"/>
    <n v="350"/>
    <x v="0"/>
    <n v="2"/>
    <n v="3"/>
    <s v="Medical"/>
    <n v="1"/>
    <n v="1824"/>
    <n v="2"/>
    <s v="Male"/>
    <n v="52"/>
    <n v="3"/>
    <x v="3"/>
    <s v="Manager"/>
    <n v="2"/>
    <s v="Divorced"/>
    <n v="16291"/>
    <n v="22577"/>
    <n v="4"/>
    <s v="Y"/>
    <s v="No"/>
    <s v="No"/>
    <n v="22"/>
    <n v="4"/>
    <n v="4"/>
    <n v="80"/>
    <n v="1"/>
    <n v="37"/>
    <s v="&gt;15"/>
    <n v="0"/>
    <n v="2"/>
    <n v="16"/>
    <n v="9"/>
    <n v="14"/>
    <n v="14"/>
    <s v="Ok"/>
    <n v="27.058823529411764"/>
    <s v="No"/>
    <s v="Low Risk"/>
  </r>
  <r>
    <n v="35"/>
    <x v="1"/>
    <s v="No"/>
    <s v="Travel_Rarely"/>
    <n v="185"/>
    <x v="1"/>
    <n v="23"/>
    <n v="4"/>
    <s v="Medical"/>
    <n v="1"/>
    <n v="1826"/>
    <n v="2"/>
    <s v="Male"/>
    <n v="91"/>
    <n v="1"/>
    <x v="1"/>
    <s v="Laboratory Technician"/>
    <n v="3"/>
    <s v="Married"/>
    <n v="2705"/>
    <n v="9696"/>
    <n v="0"/>
    <s v="Y"/>
    <s v="No"/>
    <s v="No"/>
    <n v="16"/>
    <n v="3"/>
    <n v="2"/>
    <n v="80"/>
    <n v="1"/>
    <n v="6"/>
    <s v="6-15"/>
    <n v="2"/>
    <n v="4"/>
    <n v="5"/>
    <n v="4"/>
    <n v="0"/>
    <n v="3"/>
    <s v="Below Avg"/>
    <n v="27.218934911242602"/>
    <s v="No"/>
    <s v="Low Risk"/>
  </r>
  <r>
    <n v="47"/>
    <x v="1"/>
    <s v="No"/>
    <s v="Travel_Rarely"/>
    <n v="1001"/>
    <x v="1"/>
    <n v="4"/>
    <n v="3"/>
    <s v="Life Sciences"/>
    <n v="1"/>
    <n v="1827"/>
    <n v="3"/>
    <s v="Female"/>
    <n v="92"/>
    <n v="2"/>
    <x v="2"/>
    <s v="Manufacturing Director"/>
    <n v="2"/>
    <s v="Divorced"/>
    <n v="10333"/>
    <n v="19271"/>
    <n v="8"/>
    <s v="Y"/>
    <s v="Yes"/>
    <s v="Yes"/>
    <n v="12"/>
    <n v="3"/>
    <n v="3"/>
    <n v="80"/>
    <n v="1"/>
    <n v="28"/>
    <s v="&gt;15"/>
    <n v="4"/>
    <n v="3"/>
    <n v="22"/>
    <n v="11"/>
    <n v="14"/>
    <n v="10"/>
    <s v="Ok"/>
    <n v="27.380952380952383"/>
    <s v="No"/>
    <s v="Low Risk"/>
  </r>
  <r>
    <n v="40"/>
    <x v="1"/>
    <s v="No"/>
    <s v="Travel_Rarely"/>
    <n v="750"/>
    <x v="1"/>
    <n v="12"/>
    <n v="3"/>
    <s v="Life Sciences"/>
    <n v="1"/>
    <n v="1829"/>
    <n v="2"/>
    <s v="Female"/>
    <n v="47"/>
    <n v="3"/>
    <x v="0"/>
    <s v="Healthcare Representative"/>
    <n v="1"/>
    <s v="Divorced"/>
    <n v="4448"/>
    <n v="10748"/>
    <n v="2"/>
    <s v="Y"/>
    <s v="No"/>
    <s v="No"/>
    <n v="12"/>
    <n v="3"/>
    <n v="2"/>
    <n v="80"/>
    <n v="1"/>
    <n v="15"/>
    <s v="6-15"/>
    <n v="3"/>
    <n v="3"/>
    <n v="7"/>
    <n v="4"/>
    <n v="7"/>
    <n v="7"/>
    <s v="Below Avg"/>
    <n v="27.54491017964072"/>
    <s v="No"/>
    <s v="Low Risk"/>
  </r>
  <r>
    <n v="54"/>
    <x v="1"/>
    <s v="No"/>
    <s v="Travel_Rarely"/>
    <n v="431"/>
    <x v="1"/>
    <n v="7"/>
    <n v="4"/>
    <s v="Medical"/>
    <n v="1"/>
    <n v="1830"/>
    <n v="4"/>
    <s v="Female"/>
    <n v="68"/>
    <n v="3"/>
    <x v="0"/>
    <s v="Research Scientist"/>
    <n v="4"/>
    <s v="Married"/>
    <n v="6854"/>
    <n v="15696"/>
    <n v="4"/>
    <s v="Y"/>
    <s v="No"/>
    <s v="No"/>
    <n v="15"/>
    <n v="3"/>
    <n v="2"/>
    <n v="80"/>
    <n v="1"/>
    <n v="14"/>
    <s v="6-15"/>
    <n v="2"/>
    <n v="2"/>
    <n v="7"/>
    <n v="1"/>
    <n v="1"/>
    <n v="7"/>
    <s v="Ok"/>
    <n v="27.108433734939759"/>
    <s v="No"/>
    <s v="Low Risk"/>
  </r>
  <r>
    <n v="31"/>
    <x v="1"/>
    <s v="No"/>
    <s v="Travel_Frequently"/>
    <n v="1125"/>
    <x v="0"/>
    <n v="7"/>
    <n v="4"/>
    <s v="Marketing"/>
    <n v="1"/>
    <n v="1833"/>
    <n v="1"/>
    <s v="Female"/>
    <n v="68"/>
    <n v="3"/>
    <x v="2"/>
    <s v="Sales Executive"/>
    <n v="1"/>
    <s v="Married"/>
    <n v="9637"/>
    <n v="8277"/>
    <n v="2"/>
    <s v="Y"/>
    <s v="No"/>
    <s v="No"/>
    <n v="14"/>
    <n v="3"/>
    <n v="4"/>
    <n v="80"/>
    <n v="2"/>
    <n v="9"/>
    <s v="6-15"/>
    <n v="3"/>
    <n v="3"/>
    <n v="3"/>
    <n v="2"/>
    <n v="2"/>
    <n v="2"/>
    <s v="Ok"/>
    <n v="27.27272727272727"/>
    <s v="No"/>
    <s v="Low Risk"/>
  </r>
  <r>
    <n v="28"/>
    <x v="1"/>
    <s v="No"/>
    <s v="Travel_Rarely"/>
    <n v="1217"/>
    <x v="1"/>
    <n v="1"/>
    <n v="3"/>
    <s v="Medical"/>
    <n v="1"/>
    <n v="1834"/>
    <n v="3"/>
    <s v="Female"/>
    <n v="67"/>
    <n v="3"/>
    <x v="1"/>
    <s v="Research Scientist"/>
    <n v="1"/>
    <s v="Married"/>
    <n v="3591"/>
    <n v="12719"/>
    <n v="1"/>
    <s v="Y"/>
    <s v="No"/>
    <s v="No"/>
    <n v="25"/>
    <n v="4"/>
    <n v="3"/>
    <n v="80"/>
    <n v="1"/>
    <n v="3"/>
    <s v="0-5"/>
    <n v="3"/>
    <n v="3"/>
    <n v="3"/>
    <n v="2"/>
    <n v="1"/>
    <n v="2"/>
    <s v="Below Avg"/>
    <n v="27.439024390243905"/>
    <s v="No"/>
    <s v="Low Risk"/>
  </r>
  <r>
    <n v="38"/>
    <x v="1"/>
    <s v="No"/>
    <s v="Travel_Rarely"/>
    <n v="723"/>
    <x v="0"/>
    <n v="2"/>
    <n v="4"/>
    <s v="Marketing"/>
    <n v="1"/>
    <n v="1835"/>
    <n v="2"/>
    <s v="Female"/>
    <n v="77"/>
    <n v="1"/>
    <x v="0"/>
    <s v="Sales Representative"/>
    <n v="4"/>
    <s v="Married"/>
    <n v="5405"/>
    <n v="4244"/>
    <n v="2"/>
    <s v="Y"/>
    <s v="Yes"/>
    <s v="Yes"/>
    <n v="20"/>
    <n v="4"/>
    <n v="1"/>
    <n v="80"/>
    <n v="2"/>
    <n v="20"/>
    <s v="&gt;15"/>
    <n v="4"/>
    <n v="2"/>
    <n v="4"/>
    <n v="2"/>
    <n v="0"/>
    <n v="3"/>
    <s v="Below Avg"/>
    <n v="27.607361963190186"/>
    <s v="No"/>
    <s v="Low Risk"/>
  </r>
  <r>
    <n v="26"/>
    <x v="1"/>
    <s v="No"/>
    <s v="Travel_Rarely"/>
    <n v="572"/>
    <x v="0"/>
    <n v="10"/>
    <n v="3"/>
    <s v="Medical"/>
    <n v="1"/>
    <n v="1836"/>
    <n v="3"/>
    <s v="Male"/>
    <n v="46"/>
    <n v="3"/>
    <x v="0"/>
    <s v="Sales Executive"/>
    <n v="4"/>
    <s v="Single"/>
    <n v="4684"/>
    <n v="9125"/>
    <n v="1"/>
    <s v="Y"/>
    <s v="No"/>
    <s v="No"/>
    <n v="13"/>
    <n v="3"/>
    <n v="1"/>
    <n v="80"/>
    <n v="0"/>
    <n v="5"/>
    <s v="0-5"/>
    <n v="4"/>
    <n v="3"/>
    <n v="5"/>
    <n v="3"/>
    <n v="1"/>
    <n v="2"/>
    <s v="Below Avg"/>
    <n v="27.777777777777779"/>
    <s v="No"/>
    <s v="Low Risk"/>
  </r>
  <r>
    <n v="58"/>
    <x v="1"/>
    <s v="No"/>
    <s v="Travel_Frequently"/>
    <n v="1216"/>
    <x v="1"/>
    <n v="15"/>
    <n v="4"/>
    <s v="Life Sciences"/>
    <n v="1"/>
    <n v="1837"/>
    <n v="1"/>
    <s v="Male"/>
    <n v="87"/>
    <n v="3"/>
    <x v="3"/>
    <s v="Research Director"/>
    <n v="3"/>
    <s v="Married"/>
    <n v="15787"/>
    <n v="21624"/>
    <n v="2"/>
    <s v="Y"/>
    <s v="Yes"/>
    <s v="Yes"/>
    <n v="14"/>
    <n v="3"/>
    <n v="2"/>
    <n v="80"/>
    <n v="0"/>
    <n v="23"/>
    <s v="&gt;15"/>
    <n v="3"/>
    <n v="3"/>
    <n v="2"/>
    <n v="2"/>
    <n v="2"/>
    <n v="2"/>
    <s v="Ok"/>
    <n v="27.329192546583851"/>
    <s v="No"/>
    <s v="Low Risk"/>
  </r>
  <r>
    <n v="18"/>
    <x v="1"/>
    <s v="No"/>
    <s v="Non-Travel"/>
    <n v="1431"/>
    <x v="1"/>
    <n v="14"/>
    <n v="3"/>
    <s v="Medical"/>
    <n v="1"/>
    <n v="1839"/>
    <n v="2"/>
    <s v="Female"/>
    <n v="33"/>
    <n v="3"/>
    <x v="1"/>
    <s v="Research Scientist"/>
    <n v="3"/>
    <s v="Single"/>
    <n v="1514"/>
    <n v="8018"/>
    <n v="1"/>
    <s v="Y"/>
    <s v="No"/>
    <s v="No"/>
    <n v="16"/>
    <n v="3"/>
    <n v="3"/>
    <n v="80"/>
    <n v="0"/>
    <n v="0"/>
    <s v="0-5"/>
    <n v="4"/>
    <n v="1"/>
    <n v="0"/>
    <n v="0"/>
    <n v="0"/>
    <n v="0"/>
    <s v="Below Avg"/>
    <n v="27.500000000000004"/>
    <s v="No"/>
    <s v="Low Risk"/>
  </r>
  <r>
    <n v="31"/>
    <x v="0"/>
    <s v="Yes"/>
    <s v="Travel_Rarely"/>
    <n v="359"/>
    <x v="2"/>
    <n v="18"/>
    <n v="5"/>
    <s v="Human Resources"/>
    <n v="1"/>
    <n v="1842"/>
    <n v="4"/>
    <s v="Male"/>
    <n v="89"/>
    <n v="4"/>
    <x v="1"/>
    <s v="Human Resources"/>
    <n v="1"/>
    <s v="Married"/>
    <n v="2956"/>
    <n v="21495"/>
    <n v="0"/>
    <s v="Y"/>
    <s v="No"/>
    <s v="No"/>
    <n v="17"/>
    <n v="3"/>
    <n v="3"/>
    <n v="80"/>
    <n v="0"/>
    <n v="2"/>
    <s v="0-5"/>
    <n v="4"/>
    <n v="3"/>
    <n v="1"/>
    <n v="0"/>
    <n v="0"/>
    <n v="0"/>
    <s v="Below Avg"/>
    <n v="27.044025157232703"/>
    <s v="No"/>
    <s v="High Risk"/>
  </r>
  <r>
    <n v="29"/>
    <x v="0"/>
    <s v="Yes"/>
    <s v="Travel_Rarely"/>
    <n v="350"/>
    <x v="2"/>
    <n v="13"/>
    <n v="3"/>
    <s v="Human Resources"/>
    <n v="1"/>
    <n v="1844"/>
    <n v="1"/>
    <s v="Male"/>
    <n v="56"/>
    <n v="2"/>
    <x v="1"/>
    <s v="Human Resources"/>
    <n v="1"/>
    <s v="Divorced"/>
    <n v="2335"/>
    <n v="3157"/>
    <n v="4"/>
    <s v="Y"/>
    <s v="Yes"/>
    <s v="Yes"/>
    <n v="15"/>
    <n v="3"/>
    <n v="4"/>
    <n v="80"/>
    <n v="3"/>
    <n v="4"/>
    <s v="0-5"/>
    <n v="3"/>
    <n v="3"/>
    <n v="2"/>
    <n v="2"/>
    <n v="2"/>
    <n v="0"/>
    <s v="Below Avg"/>
    <n v="27.215189873417721"/>
    <s v="No"/>
    <s v="Low Risk"/>
  </r>
  <r>
    <n v="45"/>
    <x v="1"/>
    <s v="No"/>
    <s v="Non-Travel"/>
    <n v="589"/>
    <x v="0"/>
    <n v="2"/>
    <n v="4"/>
    <s v="Life Sciences"/>
    <n v="1"/>
    <n v="1845"/>
    <n v="3"/>
    <s v="Female"/>
    <n v="67"/>
    <n v="3"/>
    <x v="0"/>
    <s v="Sales Executive"/>
    <n v="3"/>
    <s v="Married"/>
    <n v="5154"/>
    <n v="19665"/>
    <n v="4"/>
    <s v="Y"/>
    <s v="No"/>
    <s v="No"/>
    <n v="22"/>
    <n v="4"/>
    <n v="2"/>
    <n v="80"/>
    <n v="2"/>
    <n v="10"/>
    <s v="6-15"/>
    <n v="3"/>
    <n v="4"/>
    <n v="8"/>
    <n v="7"/>
    <n v="5"/>
    <n v="7"/>
    <s v="Below Avg"/>
    <n v="27.388535031847134"/>
    <s v="No"/>
    <s v="Low Risk"/>
  </r>
  <r>
    <n v="36"/>
    <x v="1"/>
    <s v="No"/>
    <s v="Travel_Rarely"/>
    <n v="430"/>
    <x v="1"/>
    <n v="2"/>
    <n v="4"/>
    <s v="Other"/>
    <n v="1"/>
    <n v="1847"/>
    <n v="4"/>
    <s v="Female"/>
    <n v="73"/>
    <n v="3"/>
    <x v="0"/>
    <s v="Research Scientist"/>
    <n v="2"/>
    <s v="Married"/>
    <n v="6962"/>
    <n v="19573"/>
    <n v="4"/>
    <s v="Y"/>
    <s v="Yes"/>
    <s v="Yes"/>
    <n v="22"/>
    <n v="4"/>
    <n v="4"/>
    <n v="80"/>
    <n v="1"/>
    <n v="15"/>
    <s v="6-15"/>
    <n v="2"/>
    <n v="3"/>
    <n v="1"/>
    <n v="0"/>
    <n v="0"/>
    <n v="0"/>
    <s v="Ok"/>
    <n v="26.923076923076923"/>
    <s v="No"/>
    <s v="Low Risk"/>
  </r>
  <r>
    <n v="43"/>
    <x v="1"/>
    <s v="No"/>
    <s v="Travel_Frequently"/>
    <n v="1422"/>
    <x v="0"/>
    <n v="2"/>
    <n v="4"/>
    <s v="Life Sciences"/>
    <n v="1"/>
    <n v="1849"/>
    <n v="1"/>
    <s v="Male"/>
    <n v="92"/>
    <n v="3"/>
    <x v="0"/>
    <s v="Sales Executive"/>
    <n v="4"/>
    <s v="Married"/>
    <n v="5675"/>
    <n v="19246"/>
    <n v="1"/>
    <s v="Y"/>
    <s v="No"/>
    <s v="No"/>
    <n v="20"/>
    <n v="4"/>
    <n v="3"/>
    <n v="80"/>
    <n v="1"/>
    <n v="7"/>
    <s v="6-15"/>
    <n v="5"/>
    <n v="3"/>
    <n v="7"/>
    <n v="7"/>
    <n v="7"/>
    <n v="7"/>
    <s v="Below Avg"/>
    <n v="27.096774193548391"/>
    <s v="No"/>
    <s v="Low Risk"/>
  </r>
  <r>
    <n v="27"/>
    <x v="1"/>
    <s v="No"/>
    <s v="Travel_Frequently"/>
    <n v="1297"/>
    <x v="1"/>
    <n v="5"/>
    <n v="2"/>
    <s v="Life Sciences"/>
    <n v="1"/>
    <n v="1850"/>
    <n v="4"/>
    <s v="Female"/>
    <n v="53"/>
    <n v="3"/>
    <x v="1"/>
    <s v="Laboratory Technician"/>
    <n v="4"/>
    <s v="Single"/>
    <n v="2379"/>
    <n v="19826"/>
    <n v="0"/>
    <s v="Y"/>
    <s v="Yes"/>
    <s v="Yes"/>
    <n v="14"/>
    <n v="3"/>
    <n v="3"/>
    <n v="80"/>
    <n v="0"/>
    <n v="6"/>
    <s v="6-15"/>
    <n v="3"/>
    <n v="2"/>
    <n v="5"/>
    <n v="4"/>
    <n v="0"/>
    <n v="2"/>
    <s v="Below Avg"/>
    <n v="26.623376623376622"/>
    <s v="No"/>
    <s v="Low Risk"/>
  </r>
  <r>
    <n v="29"/>
    <x v="1"/>
    <s v="No"/>
    <s v="Travel_Frequently"/>
    <n v="574"/>
    <x v="1"/>
    <n v="20"/>
    <n v="1"/>
    <s v="Medical"/>
    <n v="1"/>
    <n v="1852"/>
    <n v="4"/>
    <s v="Male"/>
    <n v="40"/>
    <n v="3"/>
    <x v="1"/>
    <s v="Laboratory Technician"/>
    <n v="4"/>
    <s v="Married"/>
    <n v="3812"/>
    <n v="7003"/>
    <n v="1"/>
    <s v="Y"/>
    <s v="No"/>
    <s v="No"/>
    <n v="13"/>
    <n v="3"/>
    <n v="2"/>
    <n v="80"/>
    <n v="0"/>
    <n v="11"/>
    <s v="6-15"/>
    <n v="3"/>
    <n v="4"/>
    <n v="11"/>
    <n v="8"/>
    <n v="3"/>
    <n v="10"/>
    <s v="Below Avg"/>
    <n v="26.797385620915033"/>
    <s v="No"/>
    <s v="Low Risk"/>
  </r>
  <r>
    <n v="32"/>
    <x v="1"/>
    <s v="No"/>
    <s v="Travel_Frequently"/>
    <n v="1318"/>
    <x v="0"/>
    <n v="10"/>
    <n v="4"/>
    <s v="Marketing"/>
    <n v="1"/>
    <n v="1853"/>
    <n v="4"/>
    <s v="Male"/>
    <n v="79"/>
    <n v="3"/>
    <x v="0"/>
    <s v="Sales Executive"/>
    <n v="4"/>
    <s v="Single"/>
    <n v="4648"/>
    <n v="26075"/>
    <n v="8"/>
    <s v="Y"/>
    <s v="No"/>
    <s v="No"/>
    <n v="13"/>
    <n v="3"/>
    <n v="3"/>
    <n v="80"/>
    <n v="0"/>
    <n v="4"/>
    <s v="0-5"/>
    <n v="2"/>
    <n v="4"/>
    <n v="0"/>
    <n v="0"/>
    <n v="0"/>
    <n v="0"/>
    <s v="Below Avg"/>
    <n v="26.315789473684209"/>
    <s v="No"/>
    <s v="Low Risk"/>
  </r>
  <r>
    <n v="42"/>
    <x v="1"/>
    <s v="No"/>
    <s v="Non-Travel"/>
    <n v="355"/>
    <x v="1"/>
    <n v="10"/>
    <n v="4"/>
    <s v="Technical Degree"/>
    <n v="1"/>
    <n v="1854"/>
    <n v="3"/>
    <s v="Male"/>
    <n v="38"/>
    <n v="3"/>
    <x v="1"/>
    <s v="Research Scientist"/>
    <n v="3"/>
    <s v="Married"/>
    <n v="2936"/>
    <n v="6161"/>
    <n v="3"/>
    <s v="Y"/>
    <s v="No"/>
    <s v="No"/>
    <n v="22"/>
    <n v="4"/>
    <n v="2"/>
    <n v="80"/>
    <n v="2"/>
    <n v="10"/>
    <s v="6-15"/>
    <n v="1"/>
    <n v="2"/>
    <n v="6"/>
    <n v="3"/>
    <n v="3"/>
    <n v="3"/>
    <s v="Below Avg"/>
    <n v="26.490066225165563"/>
    <s v="No"/>
    <s v="Low Risk"/>
  </r>
  <r>
    <n v="47"/>
    <x v="1"/>
    <s v="No"/>
    <s v="Travel_Rarely"/>
    <n v="207"/>
    <x v="1"/>
    <n v="9"/>
    <n v="4"/>
    <s v="Life Sciences"/>
    <n v="1"/>
    <n v="1856"/>
    <n v="2"/>
    <s v="Female"/>
    <n v="64"/>
    <n v="3"/>
    <x v="1"/>
    <s v="Laboratory Technician"/>
    <n v="3"/>
    <s v="Single"/>
    <n v="2105"/>
    <n v="5411"/>
    <n v="4"/>
    <s v="Y"/>
    <s v="No"/>
    <s v="No"/>
    <n v="12"/>
    <n v="3"/>
    <n v="3"/>
    <n v="80"/>
    <n v="0"/>
    <n v="7"/>
    <s v="6-15"/>
    <n v="2"/>
    <n v="3"/>
    <n v="2"/>
    <n v="2"/>
    <n v="2"/>
    <n v="0"/>
    <s v="Below Avg"/>
    <n v="26.666666666666668"/>
    <s v="No"/>
    <s v="Low Risk"/>
  </r>
  <r>
    <n v="46"/>
    <x v="1"/>
    <s v="No"/>
    <s v="Travel_Rarely"/>
    <n v="706"/>
    <x v="1"/>
    <n v="2"/>
    <n v="2"/>
    <s v="Life Sciences"/>
    <n v="1"/>
    <n v="1857"/>
    <n v="4"/>
    <s v="Male"/>
    <n v="82"/>
    <n v="3"/>
    <x v="2"/>
    <s v="Manufacturing Director"/>
    <n v="4"/>
    <s v="Divorced"/>
    <n v="8578"/>
    <n v="19989"/>
    <n v="3"/>
    <s v="Y"/>
    <s v="No"/>
    <s v="No"/>
    <n v="14"/>
    <n v="3"/>
    <n v="3"/>
    <n v="80"/>
    <n v="1"/>
    <n v="12"/>
    <s v="6-15"/>
    <n v="4"/>
    <n v="2"/>
    <n v="9"/>
    <n v="8"/>
    <n v="4"/>
    <n v="7"/>
    <s v="Ok"/>
    <n v="26.845637583892618"/>
    <s v="No"/>
    <s v="Low Risk"/>
  </r>
  <r>
    <n v="28"/>
    <x v="1"/>
    <s v="No"/>
    <s v="Non-Travel"/>
    <n v="280"/>
    <x v="2"/>
    <n v="1"/>
    <n v="2"/>
    <s v="Life Sciences"/>
    <n v="1"/>
    <n v="1858"/>
    <n v="3"/>
    <s v="Male"/>
    <n v="43"/>
    <n v="3"/>
    <x v="1"/>
    <s v="Human Resources"/>
    <n v="4"/>
    <s v="Divorced"/>
    <n v="2706"/>
    <n v="10494"/>
    <n v="1"/>
    <s v="Y"/>
    <s v="No"/>
    <s v="No"/>
    <n v="15"/>
    <n v="3"/>
    <n v="2"/>
    <n v="80"/>
    <n v="1"/>
    <n v="3"/>
    <s v="0-5"/>
    <n v="2"/>
    <n v="3"/>
    <n v="3"/>
    <n v="2"/>
    <n v="2"/>
    <n v="2"/>
    <s v="Below Avg"/>
    <n v="27.027027027027028"/>
    <s v="No"/>
    <s v="Low Risk"/>
  </r>
  <r>
    <n v="29"/>
    <x v="1"/>
    <s v="No"/>
    <s v="Travel_Rarely"/>
    <n v="726"/>
    <x v="1"/>
    <n v="29"/>
    <n v="1"/>
    <s v="Life Sciences"/>
    <n v="1"/>
    <n v="1859"/>
    <n v="4"/>
    <s v="Male"/>
    <n v="93"/>
    <n v="1"/>
    <x v="0"/>
    <s v="Healthcare Representative"/>
    <n v="3"/>
    <s v="Divorced"/>
    <n v="6384"/>
    <n v="21143"/>
    <n v="8"/>
    <s v="Y"/>
    <s v="No"/>
    <s v="No"/>
    <n v="17"/>
    <n v="3"/>
    <n v="4"/>
    <n v="80"/>
    <n v="2"/>
    <n v="11"/>
    <s v="6-15"/>
    <n v="3"/>
    <n v="3"/>
    <n v="7"/>
    <n v="0"/>
    <n v="1"/>
    <n v="6"/>
    <s v="Ok"/>
    <n v="27.210884353741498"/>
    <s v="No"/>
    <s v="Low Risk"/>
  </r>
  <r>
    <n v="42"/>
    <x v="1"/>
    <s v="No"/>
    <s v="Travel_Rarely"/>
    <n v="1142"/>
    <x v="1"/>
    <n v="8"/>
    <n v="3"/>
    <s v="Life Sciences"/>
    <n v="1"/>
    <n v="1860"/>
    <n v="4"/>
    <s v="Male"/>
    <n v="81"/>
    <n v="3"/>
    <x v="1"/>
    <s v="Laboratory Technician"/>
    <n v="3"/>
    <s v="Single"/>
    <n v="3968"/>
    <n v="13624"/>
    <n v="4"/>
    <s v="Y"/>
    <s v="No"/>
    <s v="No"/>
    <n v="13"/>
    <n v="3"/>
    <n v="4"/>
    <n v="80"/>
    <n v="0"/>
    <n v="8"/>
    <s v="6-15"/>
    <n v="3"/>
    <n v="3"/>
    <n v="0"/>
    <n v="0"/>
    <n v="0"/>
    <n v="0"/>
    <s v="Below Avg"/>
    <n v="27.397260273972602"/>
    <s v="No"/>
    <s v="Low Risk"/>
  </r>
  <r>
    <n v="32"/>
    <x v="0"/>
    <s v="Yes"/>
    <s v="Travel_Rarely"/>
    <n v="414"/>
    <x v="0"/>
    <n v="2"/>
    <n v="4"/>
    <s v="Marketing"/>
    <n v="1"/>
    <n v="1862"/>
    <n v="3"/>
    <s v="Male"/>
    <n v="82"/>
    <n v="2"/>
    <x v="0"/>
    <s v="Sales Executive"/>
    <n v="2"/>
    <s v="Single"/>
    <n v="9907"/>
    <n v="26186"/>
    <n v="7"/>
    <s v="Y"/>
    <s v="Yes"/>
    <s v="Yes"/>
    <n v="12"/>
    <n v="3"/>
    <n v="3"/>
    <n v="80"/>
    <n v="0"/>
    <n v="7"/>
    <s v="6-15"/>
    <n v="3"/>
    <n v="2"/>
    <n v="2"/>
    <n v="2"/>
    <n v="2"/>
    <n v="2"/>
    <s v="Ok"/>
    <n v="27.586206896551722"/>
    <s v="No"/>
    <s v="Low Risk"/>
  </r>
  <r>
    <n v="46"/>
    <x v="1"/>
    <s v="No"/>
    <s v="Travel_Rarely"/>
    <n v="1319"/>
    <x v="0"/>
    <n v="3"/>
    <n v="3"/>
    <s v="Technical Degree"/>
    <n v="1"/>
    <n v="1863"/>
    <n v="1"/>
    <s v="Female"/>
    <n v="45"/>
    <n v="4"/>
    <x v="3"/>
    <s v="Sales Executive"/>
    <n v="1"/>
    <s v="Divorced"/>
    <n v="13225"/>
    <n v="7739"/>
    <n v="2"/>
    <s v="Y"/>
    <s v="No"/>
    <s v="No"/>
    <n v="12"/>
    <n v="3"/>
    <n v="4"/>
    <n v="80"/>
    <n v="1"/>
    <n v="25"/>
    <s v="&gt;15"/>
    <n v="5"/>
    <n v="3"/>
    <n v="19"/>
    <n v="17"/>
    <n v="2"/>
    <n v="8"/>
    <s v="Ok"/>
    <n v="27.777777777777779"/>
    <s v="No"/>
    <s v="Low Risk"/>
  </r>
  <r>
    <n v="27"/>
    <x v="1"/>
    <s v="No"/>
    <s v="Travel_Rarely"/>
    <n v="728"/>
    <x v="0"/>
    <n v="23"/>
    <n v="1"/>
    <s v="Medical"/>
    <n v="1"/>
    <n v="1864"/>
    <n v="2"/>
    <s v="Female"/>
    <n v="36"/>
    <n v="2"/>
    <x v="0"/>
    <s v="Sales Representative"/>
    <n v="3"/>
    <s v="Married"/>
    <n v="3540"/>
    <n v="7018"/>
    <n v="1"/>
    <s v="Y"/>
    <s v="No"/>
    <s v="No"/>
    <n v="21"/>
    <n v="4"/>
    <n v="4"/>
    <n v="80"/>
    <n v="1"/>
    <n v="9"/>
    <s v="6-15"/>
    <n v="5"/>
    <n v="3"/>
    <n v="9"/>
    <n v="8"/>
    <n v="5"/>
    <n v="8"/>
    <s v="Below Avg"/>
    <n v="27.27272727272727"/>
    <s v="No"/>
    <s v="Low Risk"/>
  </r>
  <r>
    <n v="29"/>
    <x v="1"/>
    <s v="No"/>
    <s v="Travel_Rarely"/>
    <n v="352"/>
    <x v="2"/>
    <n v="6"/>
    <n v="1"/>
    <s v="Medical"/>
    <n v="1"/>
    <n v="1865"/>
    <n v="4"/>
    <s v="Male"/>
    <n v="87"/>
    <n v="2"/>
    <x v="1"/>
    <s v="Human Resources"/>
    <n v="2"/>
    <s v="Married"/>
    <n v="2804"/>
    <n v="15434"/>
    <n v="1"/>
    <s v="Y"/>
    <s v="No"/>
    <s v="No"/>
    <n v="11"/>
    <n v="3"/>
    <n v="4"/>
    <n v="80"/>
    <n v="0"/>
    <n v="1"/>
    <s v="0-5"/>
    <n v="3"/>
    <n v="3"/>
    <n v="1"/>
    <n v="0"/>
    <n v="0"/>
    <n v="0"/>
    <s v="Below Avg"/>
    <n v="27.464788732394368"/>
    <s v="No"/>
    <s v="Low Risk"/>
  </r>
  <r>
    <n v="43"/>
    <x v="1"/>
    <s v="No"/>
    <s v="Travel_Rarely"/>
    <n v="823"/>
    <x v="1"/>
    <n v="6"/>
    <n v="3"/>
    <s v="Medical"/>
    <n v="1"/>
    <n v="1866"/>
    <n v="1"/>
    <s v="Female"/>
    <n v="81"/>
    <n v="2"/>
    <x v="4"/>
    <s v="Manager"/>
    <n v="3"/>
    <s v="Married"/>
    <n v="19392"/>
    <n v="22539"/>
    <n v="7"/>
    <s v="Y"/>
    <s v="No"/>
    <s v="No"/>
    <n v="13"/>
    <n v="3"/>
    <n v="4"/>
    <n v="80"/>
    <n v="0"/>
    <n v="21"/>
    <s v="&gt;15"/>
    <n v="2"/>
    <n v="3"/>
    <n v="16"/>
    <n v="12"/>
    <n v="6"/>
    <n v="14"/>
    <s v="Ok"/>
    <n v="27.659574468085108"/>
    <s v="No"/>
    <s v="Low Risk"/>
  </r>
  <r>
    <n v="48"/>
    <x v="1"/>
    <s v="No"/>
    <s v="Travel_Rarely"/>
    <n v="1224"/>
    <x v="1"/>
    <n v="10"/>
    <n v="3"/>
    <s v="Life Sciences"/>
    <n v="1"/>
    <n v="1867"/>
    <n v="4"/>
    <s v="Male"/>
    <n v="91"/>
    <n v="2"/>
    <x v="4"/>
    <s v="Research Director"/>
    <n v="2"/>
    <s v="Married"/>
    <n v="19665"/>
    <n v="13583"/>
    <n v="4"/>
    <s v="Y"/>
    <s v="No"/>
    <s v="No"/>
    <n v="12"/>
    <n v="3"/>
    <n v="4"/>
    <n v="80"/>
    <n v="0"/>
    <n v="29"/>
    <s v="&gt;15"/>
    <n v="3"/>
    <n v="3"/>
    <n v="22"/>
    <n v="10"/>
    <n v="12"/>
    <n v="9"/>
    <s v="Ok"/>
    <n v="27.857142857142858"/>
    <s v="No"/>
    <s v="Low Risk"/>
  </r>
  <r>
    <n v="29"/>
    <x v="0"/>
    <s v="Yes"/>
    <s v="Travel_Frequently"/>
    <n v="459"/>
    <x v="1"/>
    <n v="24"/>
    <n v="2"/>
    <s v="Life Sciences"/>
    <n v="1"/>
    <n v="1868"/>
    <n v="4"/>
    <s v="Male"/>
    <n v="73"/>
    <n v="2"/>
    <x v="1"/>
    <s v="Research Scientist"/>
    <n v="4"/>
    <s v="Single"/>
    <n v="2439"/>
    <n v="14753"/>
    <n v="1"/>
    <s v="Y"/>
    <s v="Yes"/>
    <s v="Yes"/>
    <n v="24"/>
    <n v="4"/>
    <n v="2"/>
    <n v="80"/>
    <n v="0"/>
    <n v="1"/>
    <s v="0-5"/>
    <n v="3"/>
    <n v="2"/>
    <n v="1"/>
    <n v="0"/>
    <n v="1"/>
    <n v="0"/>
    <s v="Below Avg"/>
    <n v="28.057553956834528"/>
    <s v="No"/>
    <s v="High Risk"/>
  </r>
  <r>
    <n v="46"/>
    <x v="0"/>
    <s v="Yes"/>
    <s v="Travel_Rarely"/>
    <n v="1254"/>
    <x v="0"/>
    <n v="10"/>
    <n v="3"/>
    <s v="Life Sciences"/>
    <n v="1"/>
    <n v="1869"/>
    <n v="3"/>
    <s v="Female"/>
    <n v="64"/>
    <n v="3"/>
    <x v="2"/>
    <s v="Sales Executive"/>
    <n v="2"/>
    <s v="Married"/>
    <n v="7314"/>
    <n v="14011"/>
    <n v="5"/>
    <s v="Y"/>
    <s v="No"/>
    <s v="No"/>
    <n v="21"/>
    <n v="4"/>
    <n v="3"/>
    <n v="80"/>
    <n v="3"/>
    <n v="14"/>
    <s v="6-15"/>
    <n v="2"/>
    <n v="3"/>
    <n v="8"/>
    <n v="7"/>
    <n v="0"/>
    <n v="7"/>
    <s v="Ok"/>
    <n v="28.260869565217391"/>
    <s v="No"/>
    <s v="Low Risk"/>
  </r>
  <r>
    <n v="27"/>
    <x v="1"/>
    <s v="No"/>
    <s v="Travel_Frequently"/>
    <n v="1131"/>
    <x v="1"/>
    <n v="15"/>
    <n v="3"/>
    <s v="Life Sciences"/>
    <n v="1"/>
    <n v="1870"/>
    <n v="4"/>
    <s v="Female"/>
    <n v="77"/>
    <n v="2"/>
    <x v="1"/>
    <s v="Research Scientist"/>
    <n v="1"/>
    <s v="Married"/>
    <n v="4774"/>
    <n v="23844"/>
    <n v="0"/>
    <s v="Y"/>
    <s v="No"/>
    <s v="No"/>
    <n v="19"/>
    <n v="3"/>
    <n v="4"/>
    <n v="80"/>
    <n v="1"/>
    <n v="8"/>
    <s v="6-15"/>
    <n v="2"/>
    <n v="2"/>
    <n v="7"/>
    <n v="6"/>
    <n v="7"/>
    <n v="3"/>
    <s v="Below Avg"/>
    <n v="27.737226277372262"/>
    <s v="No"/>
    <s v="Low Risk"/>
  </r>
  <r>
    <n v="39"/>
    <x v="1"/>
    <s v="No"/>
    <s v="Travel_Rarely"/>
    <n v="835"/>
    <x v="1"/>
    <n v="19"/>
    <n v="4"/>
    <s v="Other"/>
    <n v="1"/>
    <n v="1871"/>
    <n v="4"/>
    <s v="Male"/>
    <n v="41"/>
    <n v="3"/>
    <x v="0"/>
    <s v="Research Scientist"/>
    <n v="4"/>
    <s v="Divorced"/>
    <n v="3902"/>
    <n v="5141"/>
    <n v="8"/>
    <s v="Y"/>
    <s v="No"/>
    <s v="No"/>
    <n v="14"/>
    <n v="3"/>
    <n v="2"/>
    <n v="80"/>
    <n v="3"/>
    <n v="7"/>
    <s v="6-15"/>
    <n v="2"/>
    <n v="3"/>
    <n v="2"/>
    <n v="2"/>
    <n v="2"/>
    <n v="2"/>
    <s v="Below Avg"/>
    <n v="27.941176470588236"/>
    <s v="No"/>
    <s v="Low Risk"/>
  </r>
  <r>
    <n v="55"/>
    <x v="1"/>
    <s v="No"/>
    <s v="Travel_Rarely"/>
    <n v="836"/>
    <x v="1"/>
    <n v="2"/>
    <n v="4"/>
    <s v="Technical Degree"/>
    <n v="1"/>
    <n v="1873"/>
    <n v="2"/>
    <s v="Male"/>
    <n v="98"/>
    <n v="2"/>
    <x v="1"/>
    <s v="Research Scientist"/>
    <n v="4"/>
    <s v="Married"/>
    <n v="2662"/>
    <n v="7975"/>
    <n v="8"/>
    <s v="Y"/>
    <s v="No"/>
    <s v="No"/>
    <n v="20"/>
    <n v="4"/>
    <n v="2"/>
    <n v="80"/>
    <n v="1"/>
    <n v="19"/>
    <s v="&gt;15"/>
    <n v="2"/>
    <n v="4"/>
    <n v="5"/>
    <n v="2"/>
    <n v="0"/>
    <n v="4"/>
    <s v="Below Avg"/>
    <n v="28.148148148148149"/>
    <s v="No"/>
    <s v="Low Risk"/>
  </r>
  <r>
    <n v="28"/>
    <x v="1"/>
    <s v="No"/>
    <s v="Travel_Rarely"/>
    <n v="1172"/>
    <x v="0"/>
    <n v="3"/>
    <n v="3"/>
    <s v="Medical"/>
    <n v="1"/>
    <n v="1875"/>
    <n v="2"/>
    <s v="Female"/>
    <n v="78"/>
    <n v="3"/>
    <x v="1"/>
    <s v="Sales Representative"/>
    <n v="2"/>
    <s v="Married"/>
    <n v="2856"/>
    <n v="3692"/>
    <n v="1"/>
    <s v="Y"/>
    <s v="No"/>
    <s v="No"/>
    <n v="19"/>
    <n v="3"/>
    <n v="4"/>
    <n v="80"/>
    <n v="1"/>
    <n v="1"/>
    <s v="0-5"/>
    <n v="3"/>
    <n v="3"/>
    <n v="1"/>
    <n v="0"/>
    <n v="0"/>
    <n v="0"/>
    <s v="Below Avg"/>
    <n v="28.35820895522388"/>
    <s v="No"/>
    <s v="Low Risk"/>
  </r>
  <r>
    <n v="30"/>
    <x v="0"/>
    <s v="Yes"/>
    <s v="Travel_Rarely"/>
    <n v="945"/>
    <x v="0"/>
    <n v="9"/>
    <n v="3"/>
    <s v="Medical"/>
    <n v="1"/>
    <n v="1876"/>
    <n v="2"/>
    <s v="Male"/>
    <n v="89"/>
    <n v="3"/>
    <x v="1"/>
    <s v="Sales Representative"/>
    <n v="4"/>
    <s v="Single"/>
    <n v="1081"/>
    <n v="16019"/>
    <n v="1"/>
    <s v="Y"/>
    <s v="No"/>
    <s v="No"/>
    <n v="13"/>
    <n v="3"/>
    <n v="3"/>
    <n v="80"/>
    <n v="0"/>
    <n v="1"/>
    <s v="0-5"/>
    <n v="3"/>
    <n v="2"/>
    <n v="1"/>
    <n v="0"/>
    <n v="0"/>
    <n v="0"/>
    <s v="Below Avg"/>
    <n v="28.571428571428569"/>
    <s v="No"/>
    <s v="High Risk"/>
  </r>
  <r>
    <n v="22"/>
    <x v="0"/>
    <s v="Yes"/>
    <s v="Travel_Rarely"/>
    <n v="391"/>
    <x v="1"/>
    <n v="7"/>
    <n v="1"/>
    <s v="Life Sciences"/>
    <n v="1"/>
    <n v="1878"/>
    <n v="4"/>
    <s v="Male"/>
    <n v="75"/>
    <n v="3"/>
    <x v="1"/>
    <s v="Research Scientist"/>
    <n v="2"/>
    <s v="Single"/>
    <n v="2472"/>
    <n v="26092"/>
    <n v="1"/>
    <s v="Y"/>
    <s v="Yes"/>
    <s v="Yes"/>
    <n v="23"/>
    <n v="4"/>
    <n v="1"/>
    <n v="80"/>
    <n v="0"/>
    <n v="1"/>
    <s v="0-5"/>
    <n v="2"/>
    <n v="3"/>
    <n v="1"/>
    <n v="0"/>
    <n v="0"/>
    <n v="0"/>
    <s v="Below Avg"/>
    <n v="28.787878787878789"/>
    <s v="No"/>
    <s v="High Risk"/>
  </r>
  <r>
    <n v="36"/>
    <x v="1"/>
    <s v="No"/>
    <s v="Travel_Rarely"/>
    <n v="1266"/>
    <x v="0"/>
    <n v="10"/>
    <n v="4"/>
    <s v="Technical Degree"/>
    <n v="1"/>
    <n v="1880"/>
    <n v="2"/>
    <s v="Female"/>
    <n v="63"/>
    <n v="2"/>
    <x v="0"/>
    <s v="Sales Executive"/>
    <n v="3"/>
    <s v="Married"/>
    <n v="5673"/>
    <n v="6060"/>
    <n v="1"/>
    <s v="Y"/>
    <s v="Yes"/>
    <s v="Yes"/>
    <n v="13"/>
    <n v="3"/>
    <n v="1"/>
    <n v="80"/>
    <n v="1"/>
    <n v="10"/>
    <s v="6-15"/>
    <n v="4"/>
    <n v="3"/>
    <n v="10"/>
    <n v="9"/>
    <n v="1"/>
    <n v="7"/>
    <s v="Below Avg"/>
    <n v="29.007633587786259"/>
    <s v="No"/>
    <s v="Low Risk"/>
  </r>
  <r>
    <n v="31"/>
    <x v="1"/>
    <s v="No"/>
    <s v="Travel_Rarely"/>
    <n v="311"/>
    <x v="1"/>
    <n v="20"/>
    <n v="3"/>
    <s v="Life Sciences"/>
    <n v="1"/>
    <n v="1881"/>
    <n v="2"/>
    <s v="Male"/>
    <n v="89"/>
    <n v="3"/>
    <x v="0"/>
    <s v="Laboratory Technician"/>
    <n v="3"/>
    <s v="Divorced"/>
    <n v="4197"/>
    <n v="18624"/>
    <n v="1"/>
    <s v="Y"/>
    <s v="No"/>
    <s v="No"/>
    <n v="11"/>
    <n v="3"/>
    <n v="1"/>
    <n v="80"/>
    <n v="1"/>
    <n v="10"/>
    <s v="6-15"/>
    <n v="2"/>
    <n v="3"/>
    <n v="10"/>
    <n v="8"/>
    <n v="0"/>
    <n v="2"/>
    <s v="Below Avg"/>
    <n v="28.46153846153846"/>
    <s v="No"/>
    <s v="Low Risk"/>
  </r>
  <r>
    <n v="34"/>
    <x v="1"/>
    <s v="No"/>
    <s v="Travel_Rarely"/>
    <n v="1480"/>
    <x v="0"/>
    <n v="4"/>
    <n v="3"/>
    <s v="Life Sciences"/>
    <n v="1"/>
    <n v="1882"/>
    <n v="3"/>
    <s v="Male"/>
    <n v="64"/>
    <n v="3"/>
    <x v="2"/>
    <s v="Sales Executive"/>
    <n v="4"/>
    <s v="Married"/>
    <n v="9713"/>
    <n v="24444"/>
    <n v="2"/>
    <s v="Y"/>
    <s v="Yes"/>
    <s v="Yes"/>
    <n v="13"/>
    <n v="3"/>
    <n v="4"/>
    <n v="80"/>
    <n v="3"/>
    <n v="9"/>
    <s v="6-15"/>
    <n v="3"/>
    <n v="3"/>
    <n v="5"/>
    <n v="3"/>
    <n v="1"/>
    <n v="0"/>
    <s v="Ok"/>
    <n v="27.906976744186046"/>
    <s v="No"/>
    <s v="Low Risk"/>
  </r>
  <r>
    <n v="29"/>
    <x v="1"/>
    <s v="No"/>
    <s v="Travel_Rarely"/>
    <n v="592"/>
    <x v="1"/>
    <n v="7"/>
    <n v="3"/>
    <s v="Life Sciences"/>
    <n v="1"/>
    <n v="1883"/>
    <n v="4"/>
    <s v="Male"/>
    <n v="59"/>
    <n v="3"/>
    <x v="1"/>
    <s v="Laboratory Technician"/>
    <n v="1"/>
    <s v="Single"/>
    <n v="2062"/>
    <n v="19384"/>
    <n v="3"/>
    <s v="Y"/>
    <s v="No"/>
    <s v="No"/>
    <n v="14"/>
    <n v="3"/>
    <n v="2"/>
    <n v="80"/>
    <n v="0"/>
    <n v="11"/>
    <s v="6-15"/>
    <n v="2"/>
    <n v="3"/>
    <n v="3"/>
    <n v="2"/>
    <n v="1"/>
    <n v="2"/>
    <s v="Below Avg"/>
    <n v="28.125"/>
    <s v="No"/>
    <s v="Low Risk"/>
  </r>
  <r>
    <n v="37"/>
    <x v="1"/>
    <s v="No"/>
    <s v="Travel_Rarely"/>
    <n v="783"/>
    <x v="1"/>
    <n v="7"/>
    <n v="4"/>
    <s v="Medical"/>
    <n v="1"/>
    <n v="1885"/>
    <n v="4"/>
    <s v="Male"/>
    <n v="78"/>
    <n v="3"/>
    <x v="0"/>
    <s v="Research Scientist"/>
    <n v="1"/>
    <s v="Married"/>
    <n v="4284"/>
    <n v="13588"/>
    <n v="5"/>
    <s v="Y"/>
    <s v="Yes"/>
    <s v="Yes"/>
    <n v="22"/>
    <n v="4"/>
    <n v="3"/>
    <n v="80"/>
    <n v="1"/>
    <n v="16"/>
    <s v="&gt;15"/>
    <n v="2"/>
    <n v="3"/>
    <n v="5"/>
    <n v="3"/>
    <n v="0"/>
    <n v="4"/>
    <s v="Below Avg"/>
    <n v="27.559055118110237"/>
    <s v="No"/>
    <s v="Low Risk"/>
  </r>
  <r>
    <n v="35"/>
    <x v="1"/>
    <s v="No"/>
    <s v="Travel_Rarely"/>
    <n v="219"/>
    <x v="1"/>
    <n v="16"/>
    <n v="2"/>
    <s v="Other"/>
    <n v="1"/>
    <n v="1886"/>
    <n v="4"/>
    <s v="Female"/>
    <n v="44"/>
    <n v="2"/>
    <x v="0"/>
    <s v="Manufacturing Director"/>
    <n v="2"/>
    <s v="Married"/>
    <n v="4788"/>
    <n v="25388"/>
    <n v="0"/>
    <s v="Y"/>
    <s v="Yes"/>
    <s v="Yes"/>
    <n v="11"/>
    <n v="3"/>
    <n v="4"/>
    <n v="80"/>
    <n v="0"/>
    <n v="4"/>
    <s v="0-5"/>
    <n v="2"/>
    <n v="3"/>
    <n v="3"/>
    <n v="2"/>
    <n v="0"/>
    <n v="2"/>
    <s v="Below Avg"/>
    <n v="27.777777777777779"/>
    <s v="No"/>
    <s v="Low Risk"/>
  </r>
  <r>
    <n v="45"/>
    <x v="1"/>
    <s v="No"/>
    <s v="Travel_Rarely"/>
    <n v="556"/>
    <x v="1"/>
    <n v="25"/>
    <n v="2"/>
    <s v="Life Sciences"/>
    <n v="1"/>
    <n v="1888"/>
    <n v="2"/>
    <s v="Female"/>
    <n v="93"/>
    <n v="2"/>
    <x v="0"/>
    <s v="Manufacturing Director"/>
    <n v="4"/>
    <s v="Married"/>
    <n v="5906"/>
    <n v="23888"/>
    <n v="0"/>
    <s v="Y"/>
    <s v="No"/>
    <s v="No"/>
    <n v="13"/>
    <n v="3"/>
    <n v="4"/>
    <n v="80"/>
    <n v="2"/>
    <n v="10"/>
    <s v="6-15"/>
    <n v="2"/>
    <n v="2"/>
    <n v="9"/>
    <n v="8"/>
    <n v="3"/>
    <n v="8"/>
    <s v="Ok"/>
    <n v="27.200000000000003"/>
    <s v="No"/>
    <s v="Low Risk"/>
  </r>
  <r>
    <n v="36"/>
    <x v="1"/>
    <s v="No"/>
    <s v="Travel_Frequently"/>
    <n v="1213"/>
    <x v="2"/>
    <n v="2"/>
    <n v="1"/>
    <s v="Human Resources"/>
    <n v="1"/>
    <n v="1890"/>
    <n v="2"/>
    <s v="Male"/>
    <n v="94"/>
    <n v="2"/>
    <x v="0"/>
    <s v="Human Resources"/>
    <n v="4"/>
    <s v="Single"/>
    <n v="3886"/>
    <n v="4223"/>
    <n v="1"/>
    <s v="Y"/>
    <s v="No"/>
    <s v="No"/>
    <n v="21"/>
    <n v="4"/>
    <n v="4"/>
    <n v="80"/>
    <n v="0"/>
    <n v="10"/>
    <s v="6-15"/>
    <n v="2"/>
    <n v="2"/>
    <n v="10"/>
    <n v="1"/>
    <n v="0"/>
    <n v="8"/>
    <s v="Below Avg"/>
    <n v="26.612903225806448"/>
    <s v="No"/>
    <s v="Low Risk"/>
  </r>
  <r>
    <n v="40"/>
    <x v="1"/>
    <s v="No"/>
    <s v="Travel_Rarely"/>
    <n v="1137"/>
    <x v="1"/>
    <n v="1"/>
    <n v="4"/>
    <s v="Life Sciences"/>
    <n v="1"/>
    <n v="1892"/>
    <n v="1"/>
    <s v="Male"/>
    <n v="98"/>
    <n v="3"/>
    <x v="3"/>
    <s v="Manager"/>
    <n v="1"/>
    <s v="Divorced"/>
    <n v="16823"/>
    <n v="18991"/>
    <n v="2"/>
    <s v="Y"/>
    <s v="No"/>
    <s v="No"/>
    <n v="11"/>
    <n v="3"/>
    <n v="1"/>
    <n v="80"/>
    <n v="1"/>
    <n v="22"/>
    <s v="&gt;15"/>
    <n v="3"/>
    <n v="3"/>
    <n v="19"/>
    <n v="7"/>
    <n v="11"/>
    <n v="16"/>
    <s v="Ok"/>
    <n v="26.829268292682929"/>
    <s v="No"/>
    <s v="Low Risk"/>
  </r>
  <r>
    <n v="26"/>
    <x v="1"/>
    <s v="No"/>
    <s v="Travel_Rarely"/>
    <n v="482"/>
    <x v="1"/>
    <n v="1"/>
    <n v="2"/>
    <s v="Life Sciences"/>
    <n v="1"/>
    <n v="1893"/>
    <n v="2"/>
    <s v="Female"/>
    <n v="90"/>
    <n v="2"/>
    <x v="1"/>
    <s v="Research Scientist"/>
    <n v="3"/>
    <s v="Married"/>
    <n v="2933"/>
    <n v="14908"/>
    <n v="1"/>
    <s v="Y"/>
    <s v="Yes"/>
    <s v="Yes"/>
    <n v="13"/>
    <n v="3"/>
    <n v="3"/>
    <n v="80"/>
    <n v="1"/>
    <n v="1"/>
    <s v="0-5"/>
    <n v="3"/>
    <n v="2"/>
    <n v="1"/>
    <n v="0"/>
    <n v="1"/>
    <n v="0"/>
    <s v="Below Avg"/>
    <n v="27.049180327868854"/>
    <s v="No"/>
    <s v="Low Risk"/>
  </r>
  <r>
    <n v="27"/>
    <x v="1"/>
    <s v="No"/>
    <s v="Travel_Rarely"/>
    <n v="511"/>
    <x v="0"/>
    <n v="2"/>
    <n v="2"/>
    <s v="Medical"/>
    <n v="1"/>
    <n v="1898"/>
    <n v="1"/>
    <s v="Female"/>
    <n v="89"/>
    <n v="4"/>
    <x v="0"/>
    <s v="Sales Executive"/>
    <n v="3"/>
    <s v="Single"/>
    <n v="6500"/>
    <n v="26997"/>
    <n v="0"/>
    <s v="Y"/>
    <s v="No"/>
    <s v="No"/>
    <n v="14"/>
    <n v="3"/>
    <n v="2"/>
    <n v="80"/>
    <n v="0"/>
    <n v="9"/>
    <s v="6-15"/>
    <n v="5"/>
    <n v="2"/>
    <n v="8"/>
    <n v="7"/>
    <n v="0"/>
    <n v="7"/>
    <s v="Ok"/>
    <n v="27.27272727272727"/>
    <s v="No"/>
    <s v="Low Risk"/>
  </r>
  <r>
    <n v="48"/>
    <x v="1"/>
    <s v="No"/>
    <s v="Travel_Frequently"/>
    <n v="117"/>
    <x v="1"/>
    <n v="22"/>
    <n v="3"/>
    <s v="Medical"/>
    <n v="1"/>
    <n v="1900"/>
    <n v="4"/>
    <s v="Female"/>
    <n v="58"/>
    <n v="3"/>
    <x v="3"/>
    <s v="Manager"/>
    <n v="4"/>
    <s v="Divorced"/>
    <n v="17174"/>
    <n v="2437"/>
    <n v="3"/>
    <s v="Y"/>
    <s v="No"/>
    <s v="No"/>
    <n v="11"/>
    <n v="3"/>
    <n v="2"/>
    <n v="80"/>
    <n v="1"/>
    <n v="24"/>
    <s v="&gt;15"/>
    <n v="3"/>
    <n v="3"/>
    <n v="22"/>
    <n v="17"/>
    <n v="4"/>
    <n v="7"/>
    <s v="Ok"/>
    <n v="26.666666666666668"/>
    <s v="No"/>
    <s v="Low Risk"/>
  </r>
  <r>
    <n v="44"/>
    <x v="1"/>
    <s v="No"/>
    <s v="Travel_Rarely"/>
    <n v="170"/>
    <x v="1"/>
    <n v="1"/>
    <n v="4"/>
    <s v="Life Sciences"/>
    <n v="1"/>
    <n v="1903"/>
    <n v="2"/>
    <s v="Male"/>
    <n v="78"/>
    <n v="4"/>
    <x v="0"/>
    <s v="Healthcare Representative"/>
    <n v="1"/>
    <s v="Married"/>
    <n v="5033"/>
    <n v="9364"/>
    <n v="2"/>
    <s v="Y"/>
    <s v="No"/>
    <s v="No"/>
    <n v="15"/>
    <n v="3"/>
    <n v="4"/>
    <n v="80"/>
    <n v="1"/>
    <n v="10"/>
    <s v="6-15"/>
    <n v="5"/>
    <n v="3"/>
    <n v="2"/>
    <n v="0"/>
    <n v="2"/>
    <n v="2"/>
    <s v="Below Avg"/>
    <n v="26.890756302521009"/>
    <s v="No"/>
    <s v="Low Risk"/>
  </r>
  <r>
    <n v="34"/>
    <x v="0"/>
    <s v="Yes"/>
    <s v="Non-Travel"/>
    <n v="967"/>
    <x v="1"/>
    <n v="16"/>
    <n v="4"/>
    <s v="Technical Degree"/>
    <n v="1"/>
    <n v="1905"/>
    <n v="4"/>
    <s v="Male"/>
    <n v="85"/>
    <n v="1"/>
    <x v="1"/>
    <s v="Research Scientist"/>
    <n v="1"/>
    <s v="Married"/>
    <n v="2307"/>
    <n v="14460"/>
    <n v="1"/>
    <s v="Y"/>
    <s v="Yes"/>
    <s v="Yes"/>
    <n v="23"/>
    <n v="4"/>
    <n v="2"/>
    <n v="80"/>
    <n v="1"/>
    <n v="5"/>
    <s v="0-5"/>
    <n v="2"/>
    <n v="3"/>
    <n v="5"/>
    <n v="2"/>
    <n v="3"/>
    <n v="0"/>
    <s v="Below Avg"/>
    <n v="27.118644067796609"/>
    <s v="No"/>
    <s v="Low Risk"/>
  </r>
  <r>
    <n v="56"/>
    <x v="0"/>
    <s v="Yes"/>
    <s v="Travel_Rarely"/>
    <n v="1162"/>
    <x v="1"/>
    <n v="24"/>
    <n v="2"/>
    <s v="Life Sciences"/>
    <n v="1"/>
    <n v="1907"/>
    <n v="1"/>
    <s v="Male"/>
    <n v="97"/>
    <n v="3"/>
    <x v="1"/>
    <s v="Laboratory Technician"/>
    <n v="4"/>
    <s v="Single"/>
    <n v="2587"/>
    <n v="10261"/>
    <n v="1"/>
    <s v="Y"/>
    <s v="No"/>
    <s v="No"/>
    <n v="16"/>
    <n v="3"/>
    <n v="4"/>
    <n v="80"/>
    <n v="0"/>
    <n v="5"/>
    <s v="0-5"/>
    <n v="3"/>
    <n v="3"/>
    <n v="4"/>
    <n v="2"/>
    <n v="1"/>
    <n v="0"/>
    <s v="Below Avg"/>
    <n v="27.350427350427353"/>
    <s v="No"/>
    <s v="Low Risk"/>
  </r>
  <r>
    <n v="36"/>
    <x v="1"/>
    <s v="No"/>
    <s v="Travel_Rarely"/>
    <n v="335"/>
    <x v="0"/>
    <n v="17"/>
    <n v="2"/>
    <s v="Marketing"/>
    <n v="1"/>
    <n v="1908"/>
    <n v="3"/>
    <s v="Male"/>
    <n v="33"/>
    <n v="2"/>
    <x v="0"/>
    <s v="Sales Executive"/>
    <n v="2"/>
    <s v="Married"/>
    <n v="5507"/>
    <n v="16822"/>
    <n v="2"/>
    <s v="Y"/>
    <s v="No"/>
    <s v="No"/>
    <n v="16"/>
    <n v="3"/>
    <n v="3"/>
    <n v="80"/>
    <n v="2"/>
    <n v="12"/>
    <s v="6-15"/>
    <n v="1"/>
    <n v="1"/>
    <n v="4"/>
    <n v="2"/>
    <n v="1"/>
    <n v="3"/>
    <s v="Below Avg"/>
    <n v="26.72413793103448"/>
    <s v="No"/>
    <s v="Low Risk"/>
  </r>
  <r>
    <n v="41"/>
    <x v="1"/>
    <s v="No"/>
    <s v="Travel_Rarely"/>
    <n v="337"/>
    <x v="0"/>
    <n v="8"/>
    <n v="3"/>
    <s v="Marketing"/>
    <n v="1"/>
    <n v="1909"/>
    <n v="3"/>
    <s v="Female"/>
    <n v="54"/>
    <n v="3"/>
    <x v="0"/>
    <s v="Sales Executive"/>
    <n v="2"/>
    <s v="Married"/>
    <n v="4393"/>
    <n v="26841"/>
    <n v="5"/>
    <s v="Y"/>
    <s v="No"/>
    <s v="No"/>
    <n v="21"/>
    <n v="4"/>
    <n v="3"/>
    <n v="80"/>
    <n v="1"/>
    <n v="14"/>
    <s v="6-15"/>
    <n v="3"/>
    <n v="3"/>
    <n v="5"/>
    <n v="4"/>
    <n v="1"/>
    <n v="4"/>
    <s v="Below Avg"/>
    <n v="26.956521739130434"/>
    <s v="No"/>
    <s v="Low Risk"/>
  </r>
  <r>
    <n v="42"/>
    <x v="1"/>
    <s v="No"/>
    <s v="Travel_Rarely"/>
    <n v="1396"/>
    <x v="1"/>
    <n v="6"/>
    <n v="3"/>
    <s v="Medical"/>
    <n v="1"/>
    <n v="1911"/>
    <n v="3"/>
    <s v="Male"/>
    <n v="83"/>
    <n v="3"/>
    <x v="2"/>
    <s v="Research Director"/>
    <n v="1"/>
    <s v="Married"/>
    <n v="13348"/>
    <n v="14842"/>
    <n v="9"/>
    <s v="Y"/>
    <s v="No"/>
    <s v="No"/>
    <n v="13"/>
    <n v="3"/>
    <n v="2"/>
    <n v="80"/>
    <n v="1"/>
    <n v="18"/>
    <s v="&gt;15"/>
    <n v="3"/>
    <n v="4"/>
    <n v="13"/>
    <n v="7"/>
    <n v="5"/>
    <n v="7"/>
    <s v="Ok"/>
    <n v="27.192982456140353"/>
    <s v="No"/>
    <s v="Low Risk"/>
  </r>
  <r>
    <n v="31"/>
    <x v="1"/>
    <s v="No"/>
    <s v="Travel_Rarely"/>
    <n v="1079"/>
    <x v="0"/>
    <n v="10"/>
    <n v="2"/>
    <s v="Medical"/>
    <n v="1"/>
    <n v="1912"/>
    <n v="3"/>
    <s v="Female"/>
    <n v="86"/>
    <n v="3"/>
    <x v="0"/>
    <s v="Sales Executive"/>
    <n v="4"/>
    <s v="Divorced"/>
    <n v="6583"/>
    <n v="20115"/>
    <n v="2"/>
    <s v="Y"/>
    <s v="Yes"/>
    <s v="Yes"/>
    <n v="11"/>
    <n v="3"/>
    <n v="4"/>
    <n v="80"/>
    <n v="1"/>
    <n v="8"/>
    <s v="6-15"/>
    <n v="2"/>
    <n v="3"/>
    <n v="5"/>
    <n v="2"/>
    <n v="1"/>
    <n v="4"/>
    <s v="Ok"/>
    <n v="27.43362831858407"/>
    <s v="No"/>
    <s v="Low Risk"/>
  </r>
  <r>
    <n v="34"/>
    <x v="1"/>
    <s v="No"/>
    <s v="Travel_Rarely"/>
    <n v="735"/>
    <x v="0"/>
    <n v="3"/>
    <n v="1"/>
    <s v="Medical"/>
    <n v="1"/>
    <n v="1915"/>
    <n v="4"/>
    <s v="Female"/>
    <n v="75"/>
    <n v="2"/>
    <x v="0"/>
    <s v="Sales Executive"/>
    <n v="4"/>
    <s v="Married"/>
    <n v="8103"/>
    <n v="16495"/>
    <n v="3"/>
    <s v="Y"/>
    <s v="Yes"/>
    <s v="Yes"/>
    <n v="12"/>
    <n v="3"/>
    <n v="3"/>
    <n v="80"/>
    <n v="0"/>
    <n v="9"/>
    <s v="6-15"/>
    <n v="3"/>
    <n v="2"/>
    <n v="4"/>
    <n v="2"/>
    <n v="0"/>
    <n v="1"/>
    <s v="Ok"/>
    <n v="27.678571428571431"/>
    <s v="No"/>
    <s v="Low Risk"/>
  </r>
  <r>
    <n v="31"/>
    <x v="1"/>
    <s v="No"/>
    <s v="Travel_Rarely"/>
    <n v="471"/>
    <x v="1"/>
    <n v="4"/>
    <n v="3"/>
    <s v="Medical"/>
    <n v="1"/>
    <n v="1916"/>
    <n v="1"/>
    <s v="Female"/>
    <n v="62"/>
    <n v="4"/>
    <x v="1"/>
    <s v="Laboratory Technician"/>
    <n v="3"/>
    <s v="Divorced"/>
    <n v="3978"/>
    <n v="16031"/>
    <n v="8"/>
    <s v="Y"/>
    <s v="No"/>
    <s v="No"/>
    <n v="12"/>
    <n v="3"/>
    <n v="2"/>
    <n v="80"/>
    <n v="1"/>
    <n v="4"/>
    <s v="0-5"/>
    <n v="0"/>
    <n v="2"/>
    <n v="2"/>
    <n v="2"/>
    <n v="2"/>
    <n v="2"/>
    <s v="Below Avg"/>
    <n v="27.027027027027028"/>
    <s v="No"/>
    <s v="Low Risk"/>
  </r>
  <r>
    <n v="26"/>
    <x v="1"/>
    <s v="No"/>
    <s v="Travel_Frequently"/>
    <n v="1096"/>
    <x v="1"/>
    <n v="6"/>
    <n v="3"/>
    <s v="Other"/>
    <n v="1"/>
    <n v="1918"/>
    <n v="3"/>
    <s v="Male"/>
    <n v="61"/>
    <n v="4"/>
    <x v="1"/>
    <s v="Laboratory Technician"/>
    <n v="4"/>
    <s v="Married"/>
    <n v="2544"/>
    <n v="7102"/>
    <n v="0"/>
    <s v="Y"/>
    <s v="No"/>
    <s v="No"/>
    <n v="18"/>
    <n v="3"/>
    <n v="1"/>
    <n v="80"/>
    <n v="1"/>
    <n v="8"/>
    <s v="6-15"/>
    <n v="3"/>
    <n v="3"/>
    <n v="7"/>
    <n v="7"/>
    <n v="7"/>
    <n v="7"/>
    <s v="Below Avg"/>
    <n v="26.36363636363636"/>
    <s v="No"/>
    <s v="Low Risk"/>
  </r>
  <r>
    <n v="45"/>
    <x v="1"/>
    <s v="No"/>
    <s v="Travel_Frequently"/>
    <n v="1297"/>
    <x v="1"/>
    <n v="1"/>
    <n v="4"/>
    <s v="Medical"/>
    <n v="1"/>
    <n v="1922"/>
    <n v="2"/>
    <s v="Male"/>
    <n v="44"/>
    <n v="3"/>
    <x v="0"/>
    <s v="Healthcare Representative"/>
    <n v="3"/>
    <s v="Single"/>
    <n v="5399"/>
    <n v="14511"/>
    <n v="4"/>
    <s v="Y"/>
    <s v="No"/>
    <s v="No"/>
    <n v="12"/>
    <n v="3"/>
    <n v="3"/>
    <n v="80"/>
    <n v="0"/>
    <n v="12"/>
    <s v="6-15"/>
    <n v="3"/>
    <n v="3"/>
    <n v="4"/>
    <n v="2"/>
    <n v="0"/>
    <n v="3"/>
    <s v="Below Avg"/>
    <n v="26.605504587155966"/>
    <s v="No"/>
    <s v="Low Risk"/>
  </r>
  <r>
    <n v="33"/>
    <x v="1"/>
    <s v="No"/>
    <s v="Travel_Rarely"/>
    <n v="217"/>
    <x v="0"/>
    <n v="10"/>
    <n v="4"/>
    <s v="Marketing"/>
    <n v="1"/>
    <n v="1924"/>
    <n v="2"/>
    <s v="Male"/>
    <n v="43"/>
    <n v="3"/>
    <x v="0"/>
    <s v="Sales Executive"/>
    <n v="3"/>
    <s v="Single"/>
    <n v="5487"/>
    <n v="10410"/>
    <n v="1"/>
    <s v="Y"/>
    <s v="No"/>
    <s v="No"/>
    <n v="14"/>
    <n v="3"/>
    <n v="2"/>
    <n v="80"/>
    <n v="0"/>
    <n v="10"/>
    <s v="6-15"/>
    <n v="2"/>
    <n v="2"/>
    <n v="10"/>
    <n v="4"/>
    <n v="0"/>
    <n v="9"/>
    <s v="Below Avg"/>
    <n v="26.851851851851855"/>
    <s v="No"/>
    <s v="Low Risk"/>
  </r>
  <r>
    <n v="28"/>
    <x v="1"/>
    <s v="No"/>
    <s v="Travel_Frequently"/>
    <n v="783"/>
    <x v="0"/>
    <n v="1"/>
    <n v="2"/>
    <s v="Life Sciences"/>
    <n v="1"/>
    <n v="1927"/>
    <n v="3"/>
    <s v="Male"/>
    <n v="42"/>
    <n v="2"/>
    <x v="0"/>
    <s v="Sales Executive"/>
    <n v="4"/>
    <s v="Married"/>
    <n v="6834"/>
    <n v="19255"/>
    <n v="1"/>
    <s v="Y"/>
    <s v="Yes"/>
    <s v="Yes"/>
    <n v="12"/>
    <n v="3"/>
    <n v="3"/>
    <n v="80"/>
    <n v="1"/>
    <n v="7"/>
    <s v="6-15"/>
    <n v="2"/>
    <n v="3"/>
    <n v="7"/>
    <n v="7"/>
    <n v="0"/>
    <n v="7"/>
    <s v="Ok"/>
    <n v="27.102803738317753"/>
    <s v="No"/>
    <s v="Low Risk"/>
  </r>
  <r>
    <n v="29"/>
    <x v="0"/>
    <s v="Yes"/>
    <s v="Travel_Frequently"/>
    <n v="746"/>
    <x v="0"/>
    <n v="24"/>
    <n v="3"/>
    <s v="Technical Degree"/>
    <n v="1"/>
    <n v="1928"/>
    <n v="3"/>
    <s v="Male"/>
    <n v="45"/>
    <n v="4"/>
    <x v="1"/>
    <s v="Sales Representative"/>
    <n v="1"/>
    <s v="Single"/>
    <n v="1091"/>
    <n v="10642"/>
    <n v="1"/>
    <s v="Y"/>
    <s v="No"/>
    <s v="No"/>
    <n v="17"/>
    <n v="3"/>
    <n v="4"/>
    <n v="80"/>
    <n v="0"/>
    <n v="1"/>
    <s v="0-5"/>
    <n v="3"/>
    <n v="3"/>
    <n v="1"/>
    <n v="0"/>
    <n v="0"/>
    <n v="0"/>
    <s v="Below Avg"/>
    <n v="27.358490566037734"/>
    <s v="No"/>
    <s v="High Risk"/>
  </r>
  <r>
    <n v="39"/>
    <x v="1"/>
    <s v="No"/>
    <s v="Non-Travel"/>
    <n v="1251"/>
    <x v="0"/>
    <n v="21"/>
    <n v="4"/>
    <s v="Life Sciences"/>
    <n v="1"/>
    <n v="1929"/>
    <n v="1"/>
    <s v="Female"/>
    <n v="32"/>
    <n v="1"/>
    <x v="0"/>
    <s v="Sales Executive"/>
    <n v="3"/>
    <s v="Married"/>
    <n v="5736"/>
    <n v="3987"/>
    <n v="6"/>
    <s v="Y"/>
    <s v="No"/>
    <s v="No"/>
    <n v="19"/>
    <n v="3"/>
    <n v="3"/>
    <n v="80"/>
    <n v="1"/>
    <n v="10"/>
    <s v="6-15"/>
    <n v="1"/>
    <n v="3"/>
    <n v="3"/>
    <n v="2"/>
    <n v="1"/>
    <n v="2"/>
    <s v="Below Avg"/>
    <n v="26.666666666666668"/>
    <s v="No"/>
    <s v="Low Risk"/>
  </r>
  <r>
    <n v="27"/>
    <x v="1"/>
    <s v="No"/>
    <s v="Travel_Rarely"/>
    <n v="1354"/>
    <x v="1"/>
    <n v="2"/>
    <n v="4"/>
    <s v="Technical Degree"/>
    <n v="1"/>
    <n v="1931"/>
    <n v="2"/>
    <s v="Male"/>
    <n v="41"/>
    <n v="3"/>
    <x v="1"/>
    <s v="Research Scientist"/>
    <n v="2"/>
    <s v="Married"/>
    <n v="2226"/>
    <n v="6073"/>
    <n v="1"/>
    <s v="Y"/>
    <s v="No"/>
    <s v="No"/>
    <n v="11"/>
    <n v="3"/>
    <n v="3"/>
    <n v="80"/>
    <n v="1"/>
    <n v="6"/>
    <s v="6-15"/>
    <n v="3"/>
    <n v="2"/>
    <n v="5"/>
    <n v="3"/>
    <n v="1"/>
    <n v="2"/>
    <s v="Below Avg"/>
    <n v="26.923076923076923"/>
    <s v="No"/>
    <s v="Low Risk"/>
  </r>
  <r>
    <n v="34"/>
    <x v="1"/>
    <s v="No"/>
    <s v="Travel_Frequently"/>
    <n v="735"/>
    <x v="1"/>
    <n v="22"/>
    <n v="4"/>
    <s v="Other"/>
    <n v="1"/>
    <n v="1932"/>
    <n v="3"/>
    <s v="Male"/>
    <n v="86"/>
    <n v="2"/>
    <x v="0"/>
    <s v="Research Scientist"/>
    <n v="4"/>
    <s v="Married"/>
    <n v="5747"/>
    <n v="26496"/>
    <n v="1"/>
    <s v="Y"/>
    <s v="Yes"/>
    <s v="Yes"/>
    <n v="15"/>
    <n v="3"/>
    <n v="2"/>
    <n v="80"/>
    <n v="0"/>
    <n v="16"/>
    <s v="&gt;15"/>
    <n v="3"/>
    <n v="3"/>
    <n v="15"/>
    <n v="10"/>
    <n v="6"/>
    <n v="11"/>
    <s v="Ok"/>
    <n v="27.184466019417474"/>
    <s v="No"/>
    <s v="Low Risk"/>
  </r>
  <r>
    <n v="28"/>
    <x v="0"/>
    <s v="Yes"/>
    <s v="Travel_Rarely"/>
    <n v="1475"/>
    <x v="0"/>
    <n v="13"/>
    <n v="2"/>
    <s v="Marketing"/>
    <n v="1"/>
    <n v="1933"/>
    <n v="4"/>
    <s v="Female"/>
    <n v="84"/>
    <n v="3"/>
    <x v="0"/>
    <s v="Sales Executive"/>
    <n v="3"/>
    <s v="Single"/>
    <n v="9854"/>
    <n v="23352"/>
    <n v="3"/>
    <s v="Y"/>
    <s v="Yes"/>
    <s v="Yes"/>
    <n v="11"/>
    <n v="3"/>
    <n v="4"/>
    <n v="80"/>
    <n v="0"/>
    <n v="6"/>
    <s v="6-15"/>
    <n v="0"/>
    <n v="3"/>
    <n v="2"/>
    <n v="0"/>
    <n v="2"/>
    <n v="2"/>
    <s v="Ok"/>
    <n v="27.450980392156865"/>
    <s v="No"/>
    <s v="Low Risk"/>
  </r>
  <r>
    <n v="47"/>
    <x v="1"/>
    <s v="No"/>
    <s v="Non-Travel"/>
    <n v="1169"/>
    <x v="1"/>
    <n v="14"/>
    <n v="4"/>
    <s v="Technical Degree"/>
    <n v="1"/>
    <n v="1934"/>
    <n v="3"/>
    <s v="Male"/>
    <n v="64"/>
    <n v="3"/>
    <x v="0"/>
    <s v="Research Scientist"/>
    <n v="2"/>
    <s v="Married"/>
    <n v="5467"/>
    <n v="2125"/>
    <n v="8"/>
    <s v="Y"/>
    <s v="No"/>
    <s v="No"/>
    <n v="18"/>
    <n v="3"/>
    <n v="3"/>
    <n v="80"/>
    <n v="1"/>
    <n v="16"/>
    <s v="&gt;15"/>
    <n v="4"/>
    <n v="4"/>
    <n v="8"/>
    <n v="7"/>
    <n v="1"/>
    <n v="7"/>
    <s v="Below Avg"/>
    <n v="26.732673267326735"/>
    <s v="No"/>
    <s v="Low Risk"/>
  </r>
  <r>
    <n v="56"/>
    <x v="1"/>
    <s v="No"/>
    <s v="Travel_Rarely"/>
    <n v="1443"/>
    <x v="0"/>
    <n v="11"/>
    <n v="5"/>
    <s v="Marketing"/>
    <n v="1"/>
    <n v="1935"/>
    <n v="4"/>
    <s v="Female"/>
    <n v="89"/>
    <n v="2"/>
    <x v="0"/>
    <s v="Sales Executive"/>
    <n v="1"/>
    <s v="Married"/>
    <n v="5380"/>
    <n v="20328"/>
    <n v="4"/>
    <s v="Y"/>
    <s v="No"/>
    <s v="No"/>
    <n v="16"/>
    <n v="3"/>
    <n v="3"/>
    <n v="80"/>
    <n v="1"/>
    <n v="6"/>
    <s v="6-15"/>
    <n v="3"/>
    <n v="3"/>
    <n v="0"/>
    <n v="0"/>
    <n v="0"/>
    <n v="0"/>
    <s v="Below Avg"/>
    <n v="26"/>
    <s v="No"/>
    <s v="Low Risk"/>
  </r>
  <r>
    <n v="39"/>
    <x v="1"/>
    <s v="No"/>
    <s v="Travel_Rarely"/>
    <n v="867"/>
    <x v="1"/>
    <n v="9"/>
    <n v="2"/>
    <s v="Medical"/>
    <n v="1"/>
    <n v="1936"/>
    <n v="1"/>
    <s v="Male"/>
    <n v="87"/>
    <n v="3"/>
    <x v="0"/>
    <s v="Manufacturing Director"/>
    <n v="1"/>
    <s v="Married"/>
    <n v="5151"/>
    <n v="12315"/>
    <n v="1"/>
    <s v="Y"/>
    <s v="No"/>
    <s v="No"/>
    <n v="25"/>
    <n v="4"/>
    <n v="4"/>
    <n v="80"/>
    <n v="1"/>
    <n v="10"/>
    <s v="6-15"/>
    <n v="3"/>
    <n v="3"/>
    <n v="10"/>
    <n v="0"/>
    <n v="7"/>
    <n v="9"/>
    <s v="Below Avg"/>
    <n v="26.262626262626267"/>
    <s v="No"/>
    <s v="Low Risk"/>
  </r>
  <r>
    <n v="38"/>
    <x v="1"/>
    <s v="No"/>
    <s v="Travel_Frequently"/>
    <n v="1394"/>
    <x v="1"/>
    <n v="8"/>
    <n v="3"/>
    <s v="Medical"/>
    <n v="1"/>
    <n v="1937"/>
    <n v="4"/>
    <s v="Female"/>
    <n v="58"/>
    <n v="2"/>
    <x v="0"/>
    <s v="Research Scientist"/>
    <n v="2"/>
    <s v="Divorced"/>
    <n v="2133"/>
    <n v="18115"/>
    <n v="1"/>
    <s v="Y"/>
    <s v="Yes"/>
    <s v="Yes"/>
    <n v="16"/>
    <n v="3"/>
    <n v="3"/>
    <n v="80"/>
    <n v="1"/>
    <n v="20"/>
    <s v="&gt;15"/>
    <n v="3"/>
    <n v="3"/>
    <n v="20"/>
    <n v="11"/>
    <n v="0"/>
    <n v="7"/>
    <s v="Below Avg"/>
    <n v="26.530612244897959"/>
    <s v="No"/>
    <s v="Low Risk"/>
  </r>
  <r>
    <n v="58"/>
    <x v="1"/>
    <s v="No"/>
    <s v="Travel_Rarely"/>
    <n v="605"/>
    <x v="0"/>
    <n v="21"/>
    <n v="3"/>
    <s v="Life Sciences"/>
    <n v="1"/>
    <n v="1938"/>
    <n v="4"/>
    <s v="Female"/>
    <n v="72"/>
    <n v="3"/>
    <x v="3"/>
    <s v="Manager"/>
    <n v="4"/>
    <s v="Married"/>
    <n v="17875"/>
    <n v="11761"/>
    <n v="4"/>
    <s v="Y"/>
    <s v="Yes"/>
    <s v="Yes"/>
    <n v="13"/>
    <n v="3"/>
    <n v="3"/>
    <n v="80"/>
    <n v="1"/>
    <n v="29"/>
    <s v="&gt;15"/>
    <n v="2"/>
    <n v="2"/>
    <n v="1"/>
    <n v="0"/>
    <n v="0"/>
    <n v="0"/>
    <s v="Ok"/>
    <n v="26.804123711340207"/>
    <s v="No"/>
    <s v="Low Risk"/>
  </r>
  <r>
    <n v="32"/>
    <x v="0"/>
    <s v="Yes"/>
    <s v="Travel_Frequently"/>
    <n v="238"/>
    <x v="1"/>
    <n v="5"/>
    <n v="2"/>
    <s v="Life Sciences"/>
    <n v="1"/>
    <n v="1939"/>
    <n v="1"/>
    <s v="Female"/>
    <n v="47"/>
    <n v="4"/>
    <x v="1"/>
    <s v="Research Scientist"/>
    <n v="3"/>
    <s v="Single"/>
    <n v="2432"/>
    <n v="15318"/>
    <n v="3"/>
    <s v="Y"/>
    <s v="Yes"/>
    <s v="Yes"/>
    <n v="14"/>
    <n v="3"/>
    <n v="1"/>
    <n v="80"/>
    <n v="0"/>
    <n v="8"/>
    <s v="6-15"/>
    <n v="2"/>
    <n v="3"/>
    <n v="4"/>
    <n v="1"/>
    <n v="0"/>
    <n v="3"/>
    <s v="Below Avg"/>
    <n v="26.041666666666668"/>
    <s v="No"/>
    <s v="Low Risk"/>
  </r>
  <r>
    <n v="38"/>
    <x v="1"/>
    <s v="No"/>
    <s v="Travel_Rarely"/>
    <n v="1206"/>
    <x v="1"/>
    <n v="9"/>
    <n v="2"/>
    <s v="Life Sciences"/>
    <n v="1"/>
    <n v="1940"/>
    <n v="2"/>
    <s v="Male"/>
    <n v="71"/>
    <n v="3"/>
    <x v="1"/>
    <s v="Research Scientist"/>
    <n v="4"/>
    <s v="Divorced"/>
    <n v="4771"/>
    <n v="14293"/>
    <n v="2"/>
    <s v="Y"/>
    <s v="No"/>
    <s v="No"/>
    <n v="19"/>
    <n v="3"/>
    <n v="4"/>
    <n v="80"/>
    <n v="2"/>
    <n v="10"/>
    <s v="6-15"/>
    <n v="0"/>
    <n v="4"/>
    <n v="5"/>
    <n v="2"/>
    <n v="0"/>
    <n v="3"/>
    <s v="Below Avg"/>
    <n v="25.263157894736842"/>
    <s v="No"/>
    <s v="Low Risk"/>
  </r>
  <r>
    <n v="49"/>
    <x v="1"/>
    <s v="No"/>
    <s v="Travel_Frequently"/>
    <n v="1064"/>
    <x v="1"/>
    <n v="2"/>
    <n v="1"/>
    <s v="Life Sciences"/>
    <n v="1"/>
    <n v="1941"/>
    <n v="2"/>
    <s v="Male"/>
    <n v="42"/>
    <n v="3"/>
    <x v="4"/>
    <s v="Research Director"/>
    <n v="4"/>
    <s v="Married"/>
    <n v="19161"/>
    <n v="13738"/>
    <n v="3"/>
    <s v="Y"/>
    <s v="No"/>
    <s v="No"/>
    <n v="15"/>
    <n v="3"/>
    <n v="4"/>
    <n v="80"/>
    <n v="0"/>
    <n v="28"/>
    <s v="&gt;15"/>
    <n v="3"/>
    <n v="3"/>
    <n v="5"/>
    <n v="4"/>
    <n v="4"/>
    <n v="3"/>
    <s v="Ok"/>
    <n v="24.468085106382979"/>
    <s v="No"/>
    <s v="Low Risk"/>
  </r>
  <r>
    <n v="42"/>
    <x v="1"/>
    <s v="No"/>
    <s v="Travel_Rarely"/>
    <n v="419"/>
    <x v="0"/>
    <n v="12"/>
    <n v="4"/>
    <s v="Marketing"/>
    <n v="1"/>
    <n v="1943"/>
    <n v="2"/>
    <s v="Male"/>
    <n v="77"/>
    <n v="3"/>
    <x v="0"/>
    <s v="Sales Executive"/>
    <n v="4"/>
    <s v="Divorced"/>
    <n v="5087"/>
    <n v="2900"/>
    <n v="3"/>
    <s v="Y"/>
    <s v="Yes"/>
    <s v="Yes"/>
    <n v="12"/>
    <n v="3"/>
    <n v="3"/>
    <n v="80"/>
    <n v="2"/>
    <n v="14"/>
    <s v="6-15"/>
    <n v="4"/>
    <n v="3"/>
    <n v="0"/>
    <n v="0"/>
    <n v="0"/>
    <n v="0"/>
    <s v="Below Avg"/>
    <n v="24.731182795698924"/>
    <s v="No"/>
    <s v="Low Risk"/>
  </r>
  <r>
    <n v="27"/>
    <x v="0"/>
    <s v="Yes"/>
    <s v="Travel_Frequently"/>
    <n v="1337"/>
    <x v="2"/>
    <n v="22"/>
    <n v="3"/>
    <s v="Human Resources"/>
    <n v="1"/>
    <n v="1944"/>
    <n v="1"/>
    <s v="Female"/>
    <n v="58"/>
    <n v="2"/>
    <x v="1"/>
    <s v="Human Resources"/>
    <n v="2"/>
    <s v="Married"/>
    <n v="2863"/>
    <n v="19555"/>
    <n v="1"/>
    <s v="Y"/>
    <s v="No"/>
    <s v="No"/>
    <n v="12"/>
    <n v="3"/>
    <n v="1"/>
    <n v="80"/>
    <n v="0"/>
    <n v="1"/>
    <s v="0-5"/>
    <n v="2"/>
    <n v="3"/>
    <n v="1"/>
    <n v="0"/>
    <n v="0"/>
    <n v="0"/>
    <s v="Below Avg"/>
    <n v="25"/>
    <s v="No"/>
    <s v="High Risk"/>
  </r>
  <r>
    <n v="35"/>
    <x v="1"/>
    <s v="No"/>
    <s v="Travel_Rarely"/>
    <n v="682"/>
    <x v="0"/>
    <n v="18"/>
    <n v="4"/>
    <s v="Medical"/>
    <n v="1"/>
    <n v="1945"/>
    <n v="2"/>
    <s v="Male"/>
    <n v="71"/>
    <n v="3"/>
    <x v="0"/>
    <s v="Sales Executive"/>
    <n v="1"/>
    <s v="Married"/>
    <n v="5561"/>
    <n v="15975"/>
    <n v="0"/>
    <s v="Y"/>
    <s v="No"/>
    <s v="No"/>
    <n v="16"/>
    <n v="3"/>
    <n v="4"/>
    <n v="80"/>
    <n v="1"/>
    <n v="6"/>
    <s v="6-15"/>
    <n v="2"/>
    <n v="1"/>
    <n v="5"/>
    <n v="3"/>
    <n v="0"/>
    <n v="4"/>
    <s v="Below Avg"/>
    <n v="24.175824175824175"/>
    <s v="No"/>
    <s v="Low Risk"/>
  </r>
  <r>
    <n v="28"/>
    <x v="1"/>
    <s v="No"/>
    <s v="Non-Travel"/>
    <n v="1103"/>
    <x v="1"/>
    <n v="16"/>
    <n v="3"/>
    <s v="Medical"/>
    <n v="1"/>
    <n v="1947"/>
    <n v="3"/>
    <s v="Male"/>
    <n v="49"/>
    <n v="3"/>
    <x v="1"/>
    <s v="Research Scientist"/>
    <n v="3"/>
    <s v="Single"/>
    <n v="2144"/>
    <n v="2122"/>
    <n v="1"/>
    <s v="Y"/>
    <s v="No"/>
    <s v="No"/>
    <n v="14"/>
    <n v="3"/>
    <n v="3"/>
    <n v="80"/>
    <n v="0"/>
    <n v="5"/>
    <s v="0-5"/>
    <n v="3"/>
    <n v="2"/>
    <n v="5"/>
    <n v="3"/>
    <n v="1"/>
    <n v="4"/>
    <s v="Below Avg"/>
    <n v="24.444444444444443"/>
    <s v="No"/>
    <s v="Low Risk"/>
  </r>
  <r>
    <n v="31"/>
    <x v="1"/>
    <s v="No"/>
    <s v="Non-Travel"/>
    <n v="976"/>
    <x v="1"/>
    <n v="3"/>
    <n v="2"/>
    <s v="Medical"/>
    <n v="1"/>
    <n v="1948"/>
    <n v="3"/>
    <s v="Male"/>
    <n v="48"/>
    <n v="3"/>
    <x v="1"/>
    <s v="Research Scientist"/>
    <n v="1"/>
    <s v="Divorced"/>
    <n v="3065"/>
    <n v="3995"/>
    <n v="1"/>
    <s v="Y"/>
    <s v="Yes"/>
    <s v="Yes"/>
    <n v="13"/>
    <n v="3"/>
    <n v="4"/>
    <n v="80"/>
    <n v="1"/>
    <n v="4"/>
    <s v="0-5"/>
    <n v="3"/>
    <n v="4"/>
    <n v="4"/>
    <n v="2"/>
    <n v="2"/>
    <n v="3"/>
    <s v="Below Avg"/>
    <n v="24.719101123595504"/>
    <s v="No"/>
    <s v="Low Risk"/>
  </r>
  <r>
    <n v="36"/>
    <x v="1"/>
    <s v="No"/>
    <s v="Non-Travel"/>
    <n v="1351"/>
    <x v="1"/>
    <n v="9"/>
    <n v="4"/>
    <s v="Life Sciences"/>
    <n v="1"/>
    <n v="1949"/>
    <n v="1"/>
    <s v="Male"/>
    <n v="66"/>
    <n v="4"/>
    <x v="1"/>
    <s v="Laboratory Technician"/>
    <n v="2"/>
    <s v="Married"/>
    <n v="2810"/>
    <n v="9238"/>
    <n v="1"/>
    <s v="Y"/>
    <s v="No"/>
    <s v="No"/>
    <n v="22"/>
    <n v="4"/>
    <n v="2"/>
    <n v="80"/>
    <n v="0"/>
    <n v="5"/>
    <s v="0-5"/>
    <n v="3"/>
    <n v="3"/>
    <n v="5"/>
    <n v="4"/>
    <n v="0"/>
    <n v="2"/>
    <s v="Below Avg"/>
    <n v="25"/>
    <s v="No"/>
    <s v="Low Risk"/>
  </r>
  <r>
    <n v="34"/>
    <x v="1"/>
    <s v="No"/>
    <s v="Travel_Rarely"/>
    <n v="937"/>
    <x v="0"/>
    <n v="1"/>
    <n v="3"/>
    <s v="Marketing"/>
    <n v="1"/>
    <n v="1950"/>
    <n v="1"/>
    <s v="Male"/>
    <n v="32"/>
    <n v="3"/>
    <x v="2"/>
    <s v="Sales Executive"/>
    <n v="4"/>
    <s v="Single"/>
    <n v="9888"/>
    <n v="6770"/>
    <n v="1"/>
    <s v="Y"/>
    <s v="No"/>
    <s v="No"/>
    <n v="21"/>
    <n v="4"/>
    <n v="1"/>
    <n v="80"/>
    <n v="0"/>
    <n v="14"/>
    <s v="6-15"/>
    <n v="3"/>
    <n v="2"/>
    <n v="14"/>
    <n v="8"/>
    <n v="2"/>
    <n v="1"/>
    <s v="Ok"/>
    <n v="24.137931034482758"/>
    <s v="No"/>
    <s v="Low Risk"/>
  </r>
  <r>
    <n v="34"/>
    <x v="1"/>
    <s v="No"/>
    <s v="Travel_Rarely"/>
    <n v="1239"/>
    <x v="0"/>
    <n v="13"/>
    <n v="4"/>
    <s v="Medical"/>
    <n v="1"/>
    <n v="1951"/>
    <n v="4"/>
    <s v="Male"/>
    <n v="39"/>
    <n v="3"/>
    <x v="2"/>
    <s v="Sales Executive"/>
    <n v="3"/>
    <s v="Divorced"/>
    <n v="8628"/>
    <n v="22914"/>
    <n v="1"/>
    <s v="Y"/>
    <s v="No"/>
    <s v="No"/>
    <n v="18"/>
    <n v="3"/>
    <n v="3"/>
    <n v="80"/>
    <n v="1"/>
    <n v="9"/>
    <s v="6-15"/>
    <n v="2"/>
    <n v="2"/>
    <n v="8"/>
    <n v="7"/>
    <n v="1"/>
    <n v="1"/>
    <s v="Ok"/>
    <n v="24.418604651162788"/>
    <s v="No"/>
    <s v="Low Risk"/>
  </r>
  <r>
    <n v="26"/>
    <x v="1"/>
    <s v="No"/>
    <s v="Travel_Rarely"/>
    <n v="157"/>
    <x v="1"/>
    <n v="1"/>
    <n v="3"/>
    <s v="Medical"/>
    <n v="1"/>
    <n v="1952"/>
    <n v="3"/>
    <s v="Male"/>
    <n v="95"/>
    <n v="3"/>
    <x v="1"/>
    <s v="Laboratory Technician"/>
    <n v="1"/>
    <s v="Single"/>
    <n v="2867"/>
    <n v="20006"/>
    <n v="0"/>
    <s v="Y"/>
    <s v="No"/>
    <s v="No"/>
    <n v="13"/>
    <n v="3"/>
    <n v="4"/>
    <n v="80"/>
    <n v="0"/>
    <n v="8"/>
    <s v="6-15"/>
    <n v="6"/>
    <n v="2"/>
    <n v="7"/>
    <n v="7"/>
    <n v="7"/>
    <n v="6"/>
    <s v="Below Avg"/>
    <n v="24.705882352941178"/>
    <s v="No"/>
    <s v="Low Risk"/>
  </r>
  <r>
    <n v="29"/>
    <x v="1"/>
    <s v="No"/>
    <s v="Travel_Rarely"/>
    <n v="136"/>
    <x v="1"/>
    <n v="1"/>
    <n v="3"/>
    <s v="Life Sciences"/>
    <n v="1"/>
    <n v="1954"/>
    <n v="1"/>
    <s v="Male"/>
    <n v="89"/>
    <n v="3"/>
    <x v="0"/>
    <s v="Healthcare Representative"/>
    <n v="1"/>
    <s v="Married"/>
    <n v="5373"/>
    <n v="6225"/>
    <n v="0"/>
    <s v="Y"/>
    <s v="No"/>
    <s v="No"/>
    <n v="12"/>
    <n v="3"/>
    <n v="1"/>
    <n v="80"/>
    <n v="1"/>
    <n v="6"/>
    <s v="6-15"/>
    <n v="5"/>
    <n v="2"/>
    <n v="5"/>
    <n v="3"/>
    <n v="0"/>
    <n v="2"/>
    <s v="Below Avg"/>
    <n v="25"/>
    <s v="No"/>
    <s v="Low Risk"/>
  </r>
  <r>
    <n v="32"/>
    <x v="1"/>
    <s v="No"/>
    <s v="Non-Travel"/>
    <n v="1146"/>
    <x v="1"/>
    <n v="15"/>
    <n v="4"/>
    <s v="Medical"/>
    <n v="1"/>
    <n v="1955"/>
    <n v="3"/>
    <s v="Female"/>
    <n v="34"/>
    <n v="3"/>
    <x v="0"/>
    <s v="Healthcare Representative"/>
    <n v="4"/>
    <s v="Divorced"/>
    <n v="6667"/>
    <n v="16542"/>
    <n v="5"/>
    <s v="Y"/>
    <s v="No"/>
    <s v="No"/>
    <n v="18"/>
    <n v="3"/>
    <n v="2"/>
    <n v="80"/>
    <n v="1"/>
    <n v="9"/>
    <s v="6-15"/>
    <n v="6"/>
    <n v="3"/>
    <n v="5"/>
    <n v="1"/>
    <n v="1"/>
    <n v="2"/>
    <s v="Ok"/>
    <n v="25.301204819277107"/>
    <s v="No"/>
    <s v="Low Risk"/>
  </r>
  <r>
    <n v="31"/>
    <x v="1"/>
    <s v="No"/>
    <s v="Travel_Frequently"/>
    <n v="1125"/>
    <x v="1"/>
    <n v="1"/>
    <n v="3"/>
    <s v="Life Sciences"/>
    <n v="1"/>
    <n v="1956"/>
    <n v="4"/>
    <s v="Male"/>
    <n v="48"/>
    <n v="1"/>
    <x v="0"/>
    <s v="Research Scientist"/>
    <n v="1"/>
    <s v="Married"/>
    <n v="5003"/>
    <n v="5771"/>
    <n v="1"/>
    <s v="Y"/>
    <s v="No"/>
    <s v="No"/>
    <n v="21"/>
    <n v="4"/>
    <n v="2"/>
    <n v="80"/>
    <n v="0"/>
    <n v="10"/>
    <s v="6-15"/>
    <n v="6"/>
    <n v="3"/>
    <n v="10"/>
    <n v="8"/>
    <n v="8"/>
    <n v="7"/>
    <s v="Below Avg"/>
    <n v="25.609756097560975"/>
    <s v="No"/>
    <s v="Low Risk"/>
  </r>
  <r>
    <n v="28"/>
    <x v="0"/>
    <s v="Yes"/>
    <s v="Travel_Rarely"/>
    <n v="1404"/>
    <x v="1"/>
    <n v="17"/>
    <n v="3"/>
    <s v="Technical Degree"/>
    <n v="1"/>
    <n v="1960"/>
    <n v="3"/>
    <s v="Male"/>
    <n v="32"/>
    <n v="2"/>
    <x v="1"/>
    <s v="Laboratory Technician"/>
    <n v="4"/>
    <s v="Divorced"/>
    <n v="2367"/>
    <n v="18779"/>
    <n v="5"/>
    <s v="Y"/>
    <s v="No"/>
    <s v="No"/>
    <n v="12"/>
    <n v="3"/>
    <n v="1"/>
    <n v="80"/>
    <n v="1"/>
    <n v="6"/>
    <s v="6-15"/>
    <n v="2"/>
    <n v="2"/>
    <n v="4"/>
    <n v="1"/>
    <n v="0"/>
    <n v="3"/>
    <s v="Below Avg"/>
    <n v="25.925925925925924"/>
    <s v="No"/>
    <s v="Low Risk"/>
  </r>
  <r>
    <n v="38"/>
    <x v="1"/>
    <s v="No"/>
    <s v="Travel_Rarely"/>
    <n v="1404"/>
    <x v="0"/>
    <n v="1"/>
    <n v="3"/>
    <s v="Life Sciences"/>
    <n v="1"/>
    <n v="1961"/>
    <n v="1"/>
    <s v="Male"/>
    <n v="59"/>
    <n v="2"/>
    <x v="1"/>
    <s v="Sales Representative"/>
    <n v="1"/>
    <s v="Single"/>
    <n v="2858"/>
    <n v="11473"/>
    <n v="4"/>
    <s v="Y"/>
    <s v="No"/>
    <s v="No"/>
    <n v="14"/>
    <n v="3"/>
    <n v="1"/>
    <n v="80"/>
    <n v="0"/>
    <n v="20"/>
    <s v="&gt;15"/>
    <n v="3"/>
    <n v="2"/>
    <n v="1"/>
    <n v="0"/>
    <n v="0"/>
    <n v="0"/>
    <s v="Below Avg"/>
    <n v="26.25"/>
    <s v="No"/>
    <s v="Low Risk"/>
  </r>
  <r>
    <n v="35"/>
    <x v="1"/>
    <s v="No"/>
    <s v="Travel_Rarely"/>
    <n v="1224"/>
    <x v="0"/>
    <n v="7"/>
    <n v="4"/>
    <s v="Life Sciences"/>
    <n v="1"/>
    <n v="1962"/>
    <n v="3"/>
    <s v="Female"/>
    <n v="55"/>
    <n v="3"/>
    <x v="0"/>
    <s v="Sales Executive"/>
    <n v="4"/>
    <s v="Married"/>
    <n v="5204"/>
    <n v="13586"/>
    <n v="1"/>
    <s v="Y"/>
    <s v="Yes"/>
    <s v="Yes"/>
    <n v="11"/>
    <n v="3"/>
    <n v="4"/>
    <n v="80"/>
    <n v="0"/>
    <n v="10"/>
    <s v="6-15"/>
    <n v="2"/>
    <n v="3"/>
    <n v="10"/>
    <n v="8"/>
    <n v="0"/>
    <n v="9"/>
    <s v="Below Avg"/>
    <n v="26.582278481012654"/>
    <s v="No"/>
    <s v="Low Risk"/>
  </r>
  <r>
    <n v="27"/>
    <x v="1"/>
    <s v="No"/>
    <s v="Travel_Rarely"/>
    <n v="954"/>
    <x v="0"/>
    <n v="9"/>
    <n v="3"/>
    <s v="Marketing"/>
    <n v="1"/>
    <n v="1965"/>
    <n v="4"/>
    <s v="Male"/>
    <n v="44"/>
    <n v="3"/>
    <x v="0"/>
    <s v="Sales Executive"/>
    <n v="4"/>
    <s v="Single"/>
    <n v="4105"/>
    <n v="5099"/>
    <n v="1"/>
    <s v="Y"/>
    <s v="No"/>
    <s v="No"/>
    <n v="14"/>
    <n v="3"/>
    <n v="1"/>
    <n v="80"/>
    <n v="0"/>
    <n v="7"/>
    <s v="6-15"/>
    <n v="5"/>
    <n v="3"/>
    <n v="7"/>
    <n v="7"/>
    <n v="0"/>
    <n v="7"/>
    <s v="Below Avg"/>
    <n v="26.923076923076923"/>
    <s v="No"/>
    <s v="Low Risk"/>
  </r>
  <r>
    <n v="32"/>
    <x v="1"/>
    <s v="No"/>
    <s v="Travel_Rarely"/>
    <n v="1373"/>
    <x v="1"/>
    <n v="5"/>
    <n v="4"/>
    <s v="Life Sciences"/>
    <n v="1"/>
    <n v="1966"/>
    <n v="4"/>
    <s v="Male"/>
    <n v="56"/>
    <n v="2"/>
    <x v="0"/>
    <s v="Manufacturing Director"/>
    <n v="4"/>
    <s v="Single"/>
    <n v="9679"/>
    <n v="10138"/>
    <n v="8"/>
    <s v="Y"/>
    <s v="No"/>
    <s v="No"/>
    <n v="24"/>
    <n v="4"/>
    <n v="2"/>
    <n v="80"/>
    <n v="0"/>
    <n v="8"/>
    <s v="6-15"/>
    <n v="1"/>
    <n v="3"/>
    <n v="1"/>
    <n v="0"/>
    <n v="0"/>
    <n v="0"/>
    <s v="Ok"/>
    <n v="25.97402597402597"/>
    <s v="No"/>
    <s v="Low Risk"/>
  </r>
  <r>
    <n v="31"/>
    <x v="0"/>
    <s v="Yes"/>
    <s v="Travel_Frequently"/>
    <n v="754"/>
    <x v="0"/>
    <n v="26"/>
    <n v="4"/>
    <s v="Marketing"/>
    <n v="1"/>
    <n v="1967"/>
    <n v="1"/>
    <s v="Male"/>
    <n v="63"/>
    <n v="3"/>
    <x v="0"/>
    <s v="Sales Executive"/>
    <n v="4"/>
    <s v="Married"/>
    <n v="5617"/>
    <n v="21075"/>
    <n v="1"/>
    <s v="Y"/>
    <s v="Yes"/>
    <s v="Yes"/>
    <n v="11"/>
    <n v="3"/>
    <n v="3"/>
    <n v="80"/>
    <n v="0"/>
    <n v="10"/>
    <s v="6-15"/>
    <n v="4"/>
    <n v="3"/>
    <n v="10"/>
    <n v="7"/>
    <n v="0"/>
    <n v="8"/>
    <s v="Below Avg"/>
    <n v="26.315789473684209"/>
    <s v="No"/>
    <s v="Low Risk"/>
  </r>
  <r>
    <n v="53"/>
    <x v="0"/>
    <s v="Yes"/>
    <s v="Travel_Rarely"/>
    <n v="1168"/>
    <x v="0"/>
    <n v="24"/>
    <n v="4"/>
    <s v="Life Sciences"/>
    <n v="1"/>
    <n v="1968"/>
    <n v="1"/>
    <s v="Male"/>
    <n v="66"/>
    <n v="3"/>
    <x v="2"/>
    <s v="Sales Executive"/>
    <n v="1"/>
    <s v="Single"/>
    <n v="10448"/>
    <n v="5843"/>
    <n v="6"/>
    <s v="Y"/>
    <s v="Yes"/>
    <s v="Yes"/>
    <n v="13"/>
    <n v="3"/>
    <n v="2"/>
    <n v="80"/>
    <n v="0"/>
    <n v="15"/>
    <s v="6-15"/>
    <n v="2"/>
    <n v="2"/>
    <n v="2"/>
    <n v="2"/>
    <n v="2"/>
    <n v="2"/>
    <s v="Ok"/>
    <n v="26.666666666666668"/>
    <s v="No"/>
    <s v="Low Risk"/>
  </r>
  <r>
    <n v="54"/>
    <x v="1"/>
    <s v="No"/>
    <s v="Travel_Rarely"/>
    <n v="155"/>
    <x v="1"/>
    <n v="9"/>
    <n v="2"/>
    <s v="Life Sciences"/>
    <n v="1"/>
    <n v="1969"/>
    <n v="1"/>
    <s v="Female"/>
    <n v="67"/>
    <n v="3"/>
    <x v="0"/>
    <s v="Research Scientist"/>
    <n v="3"/>
    <s v="Married"/>
    <n v="2897"/>
    <n v="22474"/>
    <n v="3"/>
    <s v="Y"/>
    <s v="No"/>
    <s v="No"/>
    <n v="11"/>
    <n v="3"/>
    <n v="3"/>
    <n v="80"/>
    <n v="2"/>
    <n v="9"/>
    <s v="6-15"/>
    <n v="6"/>
    <n v="2"/>
    <n v="4"/>
    <n v="3"/>
    <n v="2"/>
    <n v="3"/>
    <s v="Below Avg"/>
    <n v="25.675675675675674"/>
    <s v="No"/>
    <s v="Low Risk"/>
  </r>
  <r>
    <n v="33"/>
    <x v="1"/>
    <s v="No"/>
    <s v="Travel_Frequently"/>
    <n v="1303"/>
    <x v="1"/>
    <n v="7"/>
    <n v="2"/>
    <s v="Life Sciences"/>
    <n v="1"/>
    <n v="1970"/>
    <n v="4"/>
    <s v="Male"/>
    <n v="36"/>
    <n v="3"/>
    <x v="0"/>
    <s v="Healthcare Representative"/>
    <n v="3"/>
    <s v="Divorced"/>
    <n v="5968"/>
    <n v="18079"/>
    <n v="1"/>
    <s v="Y"/>
    <s v="No"/>
    <s v="No"/>
    <n v="20"/>
    <n v="4"/>
    <n v="3"/>
    <n v="80"/>
    <n v="3"/>
    <n v="9"/>
    <s v="6-15"/>
    <n v="2"/>
    <n v="3"/>
    <n v="9"/>
    <n v="7"/>
    <n v="2"/>
    <n v="8"/>
    <s v="Ok"/>
    <n v="24.657534246575342"/>
    <s v="No"/>
    <s v="Low Risk"/>
  </r>
  <r>
    <n v="43"/>
    <x v="1"/>
    <s v="No"/>
    <s v="Travel_Rarely"/>
    <n v="574"/>
    <x v="1"/>
    <n v="11"/>
    <n v="3"/>
    <s v="Life Sciences"/>
    <n v="1"/>
    <n v="1971"/>
    <n v="1"/>
    <s v="Male"/>
    <n v="30"/>
    <n v="3"/>
    <x v="2"/>
    <s v="Healthcare Representative"/>
    <n v="3"/>
    <s v="Married"/>
    <n v="7510"/>
    <n v="16873"/>
    <n v="1"/>
    <s v="Y"/>
    <s v="No"/>
    <s v="No"/>
    <n v="17"/>
    <n v="3"/>
    <n v="2"/>
    <n v="80"/>
    <n v="1"/>
    <n v="10"/>
    <s v="6-15"/>
    <n v="1"/>
    <n v="3"/>
    <n v="10"/>
    <n v="9"/>
    <n v="0"/>
    <n v="9"/>
    <s v="Ok"/>
    <n v="25"/>
    <s v="No"/>
    <s v="Low Risk"/>
  </r>
  <r>
    <n v="38"/>
    <x v="1"/>
    <s v="No"/>
    <s v="Travel_Frequently"/>
    <n v="1444"/>
    <x v="2"/>
    <n v="1"/>
    <n v="4"/>
    <s v="Other"/>
    <n v="1"/>
    <n v="1972"/>
    <n v="4"/>
    <s v="Male"/>
    <n v="88"/>
    <n v="3"/>
    <x v="1"/>
    <s v="Human Resources"/>
    <n v="2"/>
    <s v="Married"/>
    <n v="2991"/>
    <n v="5224"/>
    <n v="0"/>
    <s v="Y"/>
    <s v="Yes"/>
    <s v="Yes"/>
    <n v="11"/>
    <n v="3"/>
    <n v="2"/>
    <n v="80"/>
    <n v="1"/>
    <n v="7"/>
    <s v="6-15"/>
    <n v="2"/>
    <n v="3"/>
    <n v="6"/>
    <n v="2"/>
    <n v="1"/>
    <n v="2"/>
    <s v="Below Avg"/>
    <n v="25.352112676056336"/>
    <s v="No"/>
    <s v="Low Risk"/>
  </r>
  <r>
    <n v="55"/>
    <x v="1"/>
    <s v="No"/>
    <s v="Travel_Rarely"/>
    <n v="189"/>
    <x v="2"/>
    <n v="26"/>
    <n v="4"/>
    <s v="Human Resources"/>
    <n v="1"/>
    <n v="1973"/>
    <n v="3"/>
    <s v="Male"/>
    <n v="71"/>
    <n v="4"/>
    <x v="4"/>
    <s v="Manager"/>
    <n v="2"/>
    <s v="Married"/>
    <n v="19636"/>
    <n v="25811"/>
    <n v="4"/>
    <s v="Y"/>
    <s v="Yes"/>
    <s v="Yes"/>
    <n v="18"/>
    <n v="3"/>
    <n v="1"/>
    <n v="80"/>
    <n v="1"/>
    <n v="35"/>
    <s v="&gt;15"/>
    <n v="0"/>
    <n v="3"/>
    <n v="10"/>
    <n v="9"/>
    <n v="1"/>
    <n v="4"/>
    <s v="Ok"/>
    <n v="25.714285714285712"/>
    <s v="No"/>
    <s v="Low Risk"/>
  </r>
  <r>
    <n v="31"/>
    <x v="1"/>
    <s v="No"/>
    <s v="Travel_Rarely"/>
    <n v="1276"/>
    <x v="1"/>
    <n v="2"/>
    <n v="1"/>
    <s v="Medical"/>
    <n v="1"/>
    <n v="1974"/>
    <n v="4"/>
    <s v="Female"/>
    <n v="59"/>
    <n v="1"/>
    <x v="1"/>
    <s v="Laboratory Technician"/>
    <n v="4"/>
    <s v="Divorced"/>
    <n v="1129"/>
    <n v="17536"/>
    <n v="1"/>
    <s v="Y"/>
    <s v="Yes"/>
    <s v="Yes"/>
    <n v="11"/>
    <n v="3"/>
    <n v="3"/>
    <n v="80"/>
    <n v="3"/>
    <n v="1"/>
    <s v="0-5"/>
    <n v="4"/>
    <n v="3"/>
    <n v="1"/>
    <n v="0"/>
    <n v="0"/>
    <n v="0"/>
    <s v="Below Avg"/>
    <n v="24.637681159420293"/>
    <s v="No"/>
    <s v="Low Risk"/>
  </r>
  <r>
    <n v="39"/>
    <x v="1"/>
    <s v="No"/>
    <s v="Travel_Rarely"/>
    <n v="119"/>
    <x v="0"/>
    <n v="15"/>
    <n v="4"/>
    <s v="Marketing"/>
    <n v="1"/>
    <n v="1975"/>
    <n v="2"/>
    <s v="Male"/>
    <n v="77"/>
    <n v="3"/>
    <x v="3"/>
    <s v="Sales Executive"/>
    <n v="1"/>
    <s v="Single"/>
    <n v="13341"/>
    <n v="25098"/>
    <n v="0"/>
    <s v="Y"/>
    <s v="No"/>
    <s v="No"/>
    <n v="12"/>
    <n v="3"/>
    <n v="1"/>
    <n v="80"/>
    <n v="0"/>
    <n v="21"/>
    <s v="&gt;15"/>
    <n v="3"/>
    <n v="3"/>
    <n v="20"/>
    <n v="8"/>
    <n v="11"/>
    <n v="10"/>
    <s v="Ok"/>
    <n v="23.52941176470588"/>
    <s v="No"/>
    <s v="Low Risk"/>
  </r>
  <r>
    <n v="42"/>
    <x v="1"/>
    <s v="No"/>
    <s v="Non-Travel"/>
    <n v="335"/>
    <x v="1"/>
    <n v="23"/>
    <n v="2"/>
    <s v="Life Sciences"/>
    <n v="1"/>
    <n v="1976"/>
    <n v="4"/>
    <s v="Male"/>
    <n v="37"/>
    <n v="2"/>
    <x v="0"/>
    <s v="Research Scientist"/>
    <n v="3"/>
    <s v="Single"/>
    <n v="4332"/>
    <n v="14811"/>
    <n v="1"/>
    <s v="Y"/>
    <s v="No"/>
    <s v="No"/>
    <n v="12"/>
    <n v="3"/>
    <n v="4"/>
    <n v="80"/>
    <n v="0"/>
    <n v="20"/>
    <s v="&gt;15"/>
    <n v="2"/>
    <n v="3"/>
    <n v="20"/>
    <n v="9"/>
    <n v="3"/>
    <n v="7"/>
    <s v="Below Avg"/>
    <n v="22.388059701492537"/>
    <s v="No"/>
    <s v="Low Risk"/>
  </r>
  <r>
    <n v="31"/>
    <x v="1"/>
    <s v="No"/>
    <s v="Non-Travel"/>
    <n v="697"/>
    <x v="1"/>
    <n v="10"/>
    <n v="3"/>
    <s v="Medical"/>
    <n v="1"/>
    <n v="1979"/>
    <n v="3"/>
    <s v="Female"/>
    <n v="40"/>
    <n v="3"/>
    <x v="2"/>
    <s v="Research Director"/>
    <n v="3"/>
    <s v="Married"/>
    <n v="11031"/>
    <n v="26862"/>
    <n v="4"/>
    <s v="Y"/>
    <s v="No"/>
    <s v="No"/>
    <n v="20"/>
    <n v="4"/>
    <n v="3"/>
    <n v="80"/>
    <n v="1"/>
    <n v="13"/>
    <s v="6-15"/>
    <n v="2"/>
    <n v="4"/>
    <n v="11"/>
    <n v="7"/>
    <n v="4"/>
    <n v="8"/>
    <s v="Ok"/>
    <n v="22.727272727272727"/>
    <s v="No"/>
    <s v="Low Risk"/>
  </r>
  <r>
    <n v="54"/>
    <x v="1"/>
    <s v="No"/>
    <s v="Travel_Rarely"/>
    <n v="157"/>
    <x v="1"/>
    <n v="10"/>
    <n v="3"/>
    <s v="Medical"/>
    <n v="1"/>
    <n v="1980"/>
    <n v="3"/>
    <s v="Female"/>
    <n v="77"/>
    <n v="3"/>
    <x v="0"/>
    <s v="Manufacturing Director"/>
    <n v="1"/>
    <s v="Single"/>
    <n v="4440"/>
    <n v="25198"/>
    <n v="6"/>
    <s v="Y"/>
    <s v="Yes"/>
    <s v="Yes"/>
    <n v="19"/>
    <n v="3"/>
    <n v="4"/>
    <n v="80"/>
    <n v="0"/>
    <n v="9"/>
    <s v="6-15"/>
    <n v="3"/>
    <n v="3"/>
    <n v="5"/>
    <n v="2"/>
    <n v="1"/>
    <n v="4"/>
    <s v="Below Avg"/>
    <n v="23.076923076923077"/>
    <s v="No"/>
    <s v="Low Risk"/>
  </r>
  <r>
    <n v="24"/>
    <x v="1"/>
    <s v="No"/>
    <s v="Travel_Rarely"/>
    <n v="771"/>
    <x v="1"/>
    <n v="1"/>
    <n v="2"/>
    <s v="Life Sciences"/>
    <n v="1"/>
    <n v="1981"/>
    <n v="2"/>
    <s v="Male"/>
    <n v="45"/>
    <n v="2"/>
    <x v="0"/>
    <s v="Healthcare Representative"/>
    <n v="3"/>
    <s v="Single"/>
    <n v="4617"/>
    <n v="14120"/>
    <n v="1"/>
    <s v="Y"/>
    <s v="No"/>
    <s v="No"/>
    <n v="12"/>
    <n v="3"/>
    <n v="2"/>
    <n v="80"/>
    <n v="0"/>
    <n v="4"/>
    <s v="0-5"/>
    <n v="2"/>
    <n v="2"/>
    <n v="4"/>
    <n v="3"/>
    <n v="1"/>
    <n v="2"/>
    <s v="Below Avg"/>
    <n v="23.4375"/>
    <s v="No"/>
    <s v="Low Risk"/>
  </r>
  <r>
    <n v="23"/>
    <x v="1"/>
    <s v="No"/>
    <s v="Travel_Rarely"/>
    <n v="571"/>
    <x v="1"/>
    <n v="12"/>
    <n v="2"/>
    <s v="Other"/>
    <n v="1"/>
    <n v="1982"/>
    <n v="4"/>
    <s v="Male"/>
    <n v="78"/>
    <n v="3"/>
    <x v="1"/>
    <s v="Laboratory Technician"/>
    <n v="4"/>
    <s v="Single"/>
    <n v="2647"/>
    <n v="13672"/>
    <n v="1"/>
    <s v="Y"/>
    <s v="No"/>
    <s v="No"/>
    <n v="13"/>
    <n v="3"/>
    <n v="3"/>
    <n v="80"/>
    <n v="0"/>
    <n v="5"/>
    <s v="0-5"/>
    <n v="6"/>
    <n v="4"/>
    <n v="5"/>
    <n v="2"/>
    <n v="1"/>
    <n v="4"/>
    <s v="Below Avg"/>
    <n v="22.222222222222221"/>
    <s v="No"/>
    <s v="Low Risk"/>
  </r>
  <r>
    <n v="40"/>
    <x v="1"/>
    <s v="No"/>
    <s v="Travel_Frequently"/>
    <n v="692"/>
    <x v="1"/>
    <n v="11"/>
    <n v="3"/>
    <s v="Technical Degree"/>
    <n v="1"/>
    <n v="1985"/>
    <n v="4"/>
    <s v="Female"/>
    <n v="73"/>
    <n v="3"/>
    <x v="0"/>
    <s v="Laboratory Technician"/>
    <n v="3"/>
    <s v="Married"/>
    <n v="6323"/>
    <n v="26849"/>
    <n v="1"/>
    <s v="Y"/>
    <s v="No"/>
    <s v="No"/>
    <n v="11"/>
    <n v="3"/>
    <n v="1"/>
    <n v="80"/>
    <n v="1"/>
    <n v="10"/>
    <s v="6-15"/>
    <n v="2"/>
    <n v="4"/>
    <n v="10"/>
    <n v="9"/>
    <n v="9"/>
    <n v="4"/>
    <s v="Ok"/>
    <n v="22.58064516129032"/>
    <s v="No"/>
    <s v="Low Risk"/>
  </r>
  <r>
    <n v="40"/>
    <x v="1"/>
    <s v="No"/>
    <s v="Travel_Rarely"/>
    <n v="444"/>
    <x v="0"/>
    <n v="2"/>
    <n v="2"/>
    <s v="Marketing"/>
    <n v="1"/>
    <n v="1986"/>
    <n v="2"/>
    <s v="Female"/>
    <n v="92"/>
    <n v="3"/>
    <x v="0"/>
    <s v="Sales Executive"/>
    <n v="2"/>
    <s v="Married"/>
    <n v="5677"/>
    <n v="4258"/>
    <n v="3"/>
    <s v="Y"/>
    <s v="No"/>
    <s v="No"/>
    <n v="14"/>
    <n v="3"/>
    <n v="3"/>
    <n v="80"/>
    <n v="1"/>
    <n v="15"/>
    <s v="6-15"/>
    <n v="4"/>
    <n v="3"/>
    <n v="11"/>
    <n v="8"/>
    <n v="5"/>
    <n v="10"/>
    <s v="Below Avg"/>
    <n v="22.950819672131146"/>
    <s v="No"/>
    <s v="Low Risk"/>
  </r>
  <r>
    <n v="25"/>
    <x v="1"/>
    <s v="No"/>
    <s v="Travel_Rarely"/>
    <n v="309"/>
    <x v="2"/>
    <n v="2"/>
    <n v="3"/>
    <s v="Human Resources"/>
    <n v="1"/>
    <n v="1987"/>
    <n v="3"/>
    <s v="Female"/>
    <n v="82"/>
    <n v="3"/>
    <x v="1"/>
    <s v="Human Resources"/>
    <n v="2"/>
    <s v="Married"/>
    <n v="2187"/>
    <n v="19655"/>
    <n v="4"/>
    <s v="Y"/>
    <s v="No"/>
    <s v="No"/>
    <n v="14"/>
    <n v="3"/>
    <n v="3"/>
    <n v="80"/>
    <n v="0"/>
    <n v="6"/>
    <s v="6-15"/>
    <n v="3"/>
    <n v="3"/>
    <n v="2"/>
    <n v="0"/>
    <n v="1"/>
    <n v="2"/>
    <s v="Below Avg"/>
    <n v="23.333333333333332"/>
    <s v="No"/>
    <s v="Low Risk"/>
  </r>
  <r>
    <n v="30"/>
    <x v="1"/>
    <s v="No"/>
    <s v="Travel_Rarely"/>
    <n v="911"/>
    <x v="1"/>
    <n v="1"/>
    <n v="2"/>
    <s v="Medical"/>
    <n v="1"/>
    <n v="1989"/>
    <n v="4"/>
    <s v="Male"/>
    <n v="76"/>
    <n v="3"/>
    <x v="1"/>
    <s v="Laboratory Technician"/>
    <n v="2"/>
    <s v="Married"/>
    <n v="3748"/>
    <n v="4077"/>
    <n v="1"/>
    <s v="Y"/>
    <s v="No"/>
    <s v="No"/>
    <n v="13"/>
    <n v="3"/>
    <n v="3"/>
    <n v="80"/>
    <n v="0"/>
    <n v="12"/>
    <s v="6-15"/>
    <n v="6"/>
    <n v="2"/>
    <n v="12"/>
    <n v="8"/>
    <n v="1"/>
    <n v="7"/>
    <s v="Below Avg"/>
    <n v="23.728813559322035"/>
    <s v="No"/>
    <s v="Low Risk"/>
  </r>
  <r>
    <n v="25"/>
    <x v="1"/>
    <s v="No"/>
    <s v="Travel_Rarely"/>
    <n v="977"/>
    <x v="1"/>
    <n v="2"/>
    <n v="1"/>
    <s v="Other"/>
    <n v="1"/>
    <n v="1992"/>
    <n v="4"/>
    <s v="Male"/>
    <n v="57"/>
    <n v="3"/>
    <x v="1"/>
    <s v="Laboratory Technician"/>
    <n v="3"/>
    <s v="Divorced"/>
    <n v="3977"/>
    <n v="7298"/>
    <n v="6"/>
    <s v="Y"/>
    <s v="Yes"/>
    <s v="Yes"/>
    <n v="19"/>
    <n v="3"/>
    <n v="3"/>
    <n v="80"/>
    <n v="1"/>
    <n v="7"/>
    <s v="6-15"/>
    <n v="2"/>
    <n v="2"/>
    <n v="2"/>
    <n v="2"/>
    <n v="0"/>
    <n v="2"/>
    <s v="Below Avg"/>
    <n v="24.137931034482758"/>
    <s v="No"/>
    <s v="Low Risk"/>
  </r>
  <r>
    <n v="47"/>
    <x v="1"/>
    <s v="No"/>
    <s v="Travel_Rarely"/>
    <n v="1180"/>
    <x v="1"/>
    <n v="25"/>
    <n v="3"/>
    <s v="Medical"/>
    <n v="1"/>
    <n v="1993"/>
    <n v="1"/>
    <s v="Male"/>
    <n v="84"/>
    <n v="3"/>
    <x v="2"/>
    <s v="Healthcare Representative"/>
    <n v="3"/>
    <s v="Single"/>
    <n v="8633"/>
    <n v="13084"/>
    <n v="2"/>
    <s v="Y"/>
    <s v="No"/>
    <s v="No"/>
    <n v="23"/>
    <n v="4"/>
    <n v="2"/>
    <n v="80"/>
    <n v="0"/>
    <n v="25"/>
    <s v="&gt;15"/>
    <n v="3"/>
    <n v="3"/>
    <n v="17"/>
    <n v="14"/>
    <n v="12"/>
    <n v="11"/>
    <s v="Ok"/>
    <n v="24.561403508771928"/>
    <s v="No"/>
    <s v="Low Risk"/>
  </r>
  <r>
    <n v="33"/>
    <x v="1"/>
    <s v="No"/>
    <s v="Non-Travel"/>
    <n v="1313"/>
    <x v="1"/>
    <n v="1"/>
    <n v="2"/>
    <s v="Medical"/>
    <n v="1"/>
    <n v="1994"/>
    <n v="2"/>
    <s v="Male"/>
    <n v="59"/>
    <n v="2"/>
    <x v="1"/>
    <s v="Laboratory Technician"/>
    <n v="3"/>
    <s v="Divorced"/>
    <n v="2008"/>
    <n v="20439"/>
    <n v="1"/>
    <s v="Y"/>
    <s v="No"/>
    <s v="No"/>
    <n v="12"/>
    <n v="3"/>
    <n v="3"/>
    <n v="80"/>
    <n v="3"/>
    <n v="1"/>
    <s v="0-5"/>
    <n v="2"/>
    <n v="2"/>
    <n v="1"/>
    <n v="1"/>
    <n v="0"/>
    <n v="0"/>
    <s v="Below Avg"/>
    <n v="23.214285714285715"/>
    <s v="No"/>
    <s v="Low Risk"/>
  </r>
  <r>
    <n v="38"/>
    <x v="1"/>
    <s v="No"/>
    <s v="Travel_Rarely"/>
    <n v="1321"/>
    <x v="0"/>
    <n v="1"/>
    <n v="4"/>
    <s v="Life Sciences"/>
    <n v="1"/>
    <n v="1995"/>
    <n v="4"/>
    <s v="Male"/>
    <n v="86"/>
    <n v="3"/>
    <x v="0"/>
    <s v="Sales Executive"/>
    <n v="2"/>
    <s v="Married"/>
    <n v="4440"/>
    <n v="7636"/>
    <n v="0"/>
    <s v="Y"/>
    <s v="No"/>
    <s v="No"/>
    <n v="15"/>
    <n v="3"/>
    <n v="1"/>
    <n v="80"/>
    <n v="2"/>
    <n v="16"/>
    <s v="&gt;15"/>
    <n v="3"/>
    <n v="3"/>
    <n v="15"/>
    <n v="13"/>
    <n v="5"/>
    <n v="8"/>
    <s v="Below Avg"/>
    <n v="23.636363636363637"/>
    <s v="No"/>
    <s v="Low Risk"/>
  </r>
  <r>
    <n v="31"/>
    <x v="1"/>
    <s v="No"/>
    <s v="Travel_Rarely"/>
    <n v="1154"/>
    <x v="0"/>
    <n v="2"/>
    <n v="2"/>
    <s v="Life Sciences"/>
    <n v="1"/>
    <n v="1996"/>
    <n v="1"/>
    <s v="Male"/>
    <n v="54"/>
    <n v="3"/>
    <x v="1"/>
    <s v="Sales Representative"/>
    <n v="3"/>
    <s v="Married"/>
    <n v="3067"/>
    <n v="6393"/>
    <n v="0"/>
    <s v="Y"/>
    <s v="No"/>
    <s v="No"/>
    <n v="19"/>
    <n v="3"/>
    <n v="3"/>
    <n v="80"/>
    <n v="1"/>
    <n v="3"/>
    <s v="0-5"/>
    <n v="1"/>
    <n v="3"/>
    <n v="2"/>
    <n v="2"/>
    <n v="1"/>
    <n v="2"/>
    <s v="Below Avg"/>
    <n v="24.074074074074073"/>
    <s v="No"/>
    <s v="Low Risk"/>
  </r>
  <r>
    <n v="38"/>
    <x v="1"/>
    <s v="No"/>
    <s v="Travel_Frequently"/>
    <n v="508"/>
    <x v="1"/>
    <n v="6"/>
    <n v="4"/>
    <s v="Life Sciences"/>
    <n v="1"/>
    <n v="1997"/>
    <n v="1"/>
    <s v="Male"/>
    <n v="72"/>
    <n v="2"/>
    <x v="0"/>
    <s v="Manufacturing Director"/>
    <n v="3"/>
    <s v="Married"/>
    <n v="5321"/>
    <n v="14284"/>
    <n v="2"/>
    <s v="Y"/>
    <s v="No"/>
    <s v="No"/>
    <n v="11"/>
    <n v="3"/>
    <n v="4"/>
    <n v="80"/>
    <n v="1"/>
    <n v="10"/>
    <s v="6-15"/>
    <n v="1"/>
    <n v="3"/>
    <n v="8"/>
    <n v="3"/>
    <n v="7"/>
    <n v="7"/>
    <s v="Below Avg"/>
    <n v="24.528301886792452"/>
    <s v="No"/>
    <s v="Low Risk"/>
  </r>
  <r>
    <n v="42"/>
    <x v="1"/>
    <s v="No"/>
    <s v="Travel_Rarely"/>
    <n v="557"/>
    <x v="1"/>
    <n v="18"/>
    <n v="4"/>
    <s v="Life Sciences"/>
    <n v="1"/>
    <n v="1998"/>
    <n v="4"/>
    <s v="Male"/>
    <n v="35"/>
    <n v="3"/>
    <x v="0"/>
    <s v="Research Scientist"/>
    <n v="1"/>
    <s v="Divorced"/>
    <n v="5410"/>
    <n v="11189"/>
    <n v="6"/>
    <s v="Y"/>
    <s v="Yes"/>
    <s v="Yes"/>
    <n v="17"/>
    <n v="3"/>
    <n v="3"/>
    <n v="80"/>
    <n v="1"/>
    <n v="9"/>
    <s v="6-15"/>
    <n v="3"/>
    <n v="2"/>
    <n v="4"/>
    <n v="3"/>
    <n v="1"/>
    <n v="2"/>
    <s v="Below Avg"/>
    <n v="25"/>
    <s v="No"/>
    <s v="Low Risk"/>
  </r>
  <r>
    <n v="41"/>
    <x v="1"/>
    <s v="No"/>
    <s v="Travel_Rarely"/>
    <n v="642"/>
    <x v="1"/>
    <n v="1"/>
    <n v="3"/>
    <s v="Life Sciences"/>
    <n v="1"/>
    <n v="1999"/>
    <n v="4"/>
    <s v="Male"/>
    <n v="76"/>
    <n v="3"/>
    <x v="1"/>
    <s v="Research Scientist"/>
    <n v="4"/>
    <s v="Married"/>
    <n v="2782"/>
    <n v="21412"/>
    <n v="3"/>
    <s v="Y"/>
    <s v="No"/>
    <s v="No"/>
    <n v="22"/>
    <n v="4"/>
    <n v="1"/>
    <n v="80"/>
    <n v="1"/>
    <n v="12"/>
    <s v="6-15"/>
    <n v="3"/>
    <n v="3"/>
    <n v="5"/>
    <n v="3"/>
    <n v="1"/>
    <n v="0"/>
    <s v="Below Avg"/>
    <n v="25.490196078431371"/>
    <s v="No"/>
    <s v="Low Risk"/>
  </r>
  <r>
    <n v="47"/>
    <x v="1"/>
    <s v="No"/>
    <s v="Non-Travel"/>
    <n v="1162"/>
    <x v="1"/>
    <n v="1"/>
    <n v="1"/>
    <s v="Medical"/>
    <n v="1"/>
    <n v="2000"/>
    <n v="3"/>
    <s v="Female"/>
    <n v="98"/>
    <n v="3"/>
    <x v="2"/>
    <s v="Research Director"/>
    <n v="2"/>
    <s v="Married"/>
    <n v="11957"/>
    <n v="17231"/>
    <n v="0"/>
    <s v="Y"/>
    <s v="No"/>
    <s v="No"/>
    <n v="18"/>
    <n v="3"/>
    <n v="1"/>
    <n v="80"/>
    <n v="2"/>
    <n v="14"/>
    <s v="6-15"/>
    <n v="3"/>
    <n v="1"/>
    <n v="13"/>
    <n v="8"/>
    <n v="5"/>
    <n v="12"/>
    <s v="Ok"/>
    <n v="24"/>
    <s v="No"/>
    <s v="Low Risk"/>
  </r>
  <r>
    <n v="35"/>
    <x v="1"/>
    <s v="No"/>
    <s v="Travel_Rarely"/>
    <n v="1490"/>
    <x v="1"/>
    <n v="11"/>
    <n v="4"/>
    <s v="Medical"/>
    <n v="1"/>
    <n v="2003"/>
    <n v="4"/>
    <s v="Male"/>
    <n v="43"/>
    <n v="3"/>
    <x v="1"/>
    <s v="Laboratory Technician"/>
    <n v="3"/>
    <s v="Married"/>
    <n v="2660"/>
    <n v="20232"/>
    <n v="7"/>
    <s v="Y"/>
    <s v="Yes"/>
    <s v="Yes"/>
    <n v="11"/>
    <n v="3"/>
    <n v="3"/>
    <n v="80"/>
    <n v="1"/>
    <n v="5"/>
    <s v="0-5"/>
    <n v="3"/>
    <n v="3"/>
    <n v="2"/>
    <n v="2"/>
    <n v="2"/>
    <n v="2"/>
    <s v="Below Avg"/>
    <n v="24.489795918367346"/>
    <s v="No"/>
    <s v="Low Risk"/>
  </r>
  <r>
    <n v="22"/>
    <x v="1"/>
    <s v="No"/>
    <s v="Travel_Rarely"/>
    <n v="581"/>
    <x v="1"/>
    <n v="1"/>
    <n v="2"/>
    <s v="Life Sciences"/>
    <n v="1"/>
    <n v="2007"/>
    <n v="4"/>
    <s v="Male"/>
    <n v="63"/>
    <n v="3"/>
    <x v="1"/>
    <s v="Research Scientist"/>
    <n v="3"/>
    <s v="Single"/>
    <n v="3375"/>
    <n v="17624"/>
    <n v="0"/>
    <s v="Y"/>
    <s v="No"/>
    <s v="No"/>
    <n v="12"/>
    <n v="3"/>
    <n v="4"/>
    <n v="80"/>
    <n v="0"/>
    <n v="4"/>
    <s v="0-5"/>
    <n v="2"/>
    <n v="4"/>
    <n v="3"/>
    <n v="2"/>
    <n v="1"/>
    <n v="2"/>
    <s v="Below Avg"/>
    <n v="25"/>
    <s v="No"/>
    <s v="Low Risk"/>
  </r>
  <r>
    <n v="35"/>
    <x v="1"/>
    <s v="No"/>
    <s v="Travel_Rarely"/>
    <n v="1395"/>
    <x v="1"/>
    <n v="9"/>
    <n v="4"/>
    <s v="Medical"/>
    <n v="1"/>
    <n v="2008"/>
    <n v="2"/>
    <s v="Male"/>
    <n v="48"/>
    <n v="3"/>
    <x v="0"/>
    <s v="Research Scientist"/>
    <n v="3"/>
    <s v="Single"/>
    <n v="5098"/>
    <n v="18698"/>
    <n v="1"/>
    <s v="Y"/>
    <s v="No"/>
    <s v="No"/>
    <n v="19"/>
    <n v="3"/>
    <n v="2"/>
    <n v="80"/>
    <n v="0"/>
    <n v="10"/>
    <s v="6-15"/>
    <n v="5"/>
    <n v="3"/>
    <n v="10"/>
    <n v="7"/>
    <n v="0"/>
    <n v="8"/>
    <s v="Below Avg"/>
    <n v="23.404255319148938"/>
    <s v="No"/>
    <s v="Low Risk"/>
  </r>
  <r>
    <n v="33"/>
    <x v="1"/>
    <s v="No"/>
    <s v="Travel_Rarely"/>
    <n v="501"/>
    <x v="1"/>
    <n v="15"/>
    <n v="2"/>
    <s v="Medical"/>
    <n v="1"/>
    <n v="2009"/>
    <n v="2"/>
    <s v="Female"/>
    <n v="95"/>
    <n v="3"/>
    <x v="0"/>
    <s v="Healthcare Representative"/>
    <n v="4"/>
    <s v="Married"/>
    <n v="4878"/>
    <n v="21653"/>
    <n v="0"/>
    <s v="Y"/>
    <s v="Yes"/>
    <s v="Yes"/>
    <n v="13"/>
    <n v="3"/>
    <n v="1"/>
    <n v="80"/>
    <n v="1"/>
    <n v="10"/>
    <s v="6-15"/>
    <n v="6"/>
    <n v="3"/>
    <n v="9"/>
    <n v="7"/>
    <n v="8"/>
    <n v="1"/>
    <s v="Below Avg"/>
    <n v="23.913043478260871"/>
    <s v="No"/>
    <s v="Low Risk"/>
  </r>
  <r>
    <n v="32"/>
    <x v="1"/>
    <s v="No"/>
    <s v="Travel_Rarely"/>
    <n v="267"/>
    <x v="1"/>
    <n v="29"/>
    <n v="4"/>
    <s v="Life Sciences"/>
    <n v="1"/>
    <n v="2010"/>
    <n v="3"/>
    <s v="Female"/>
    <n v="49"/>
    <n v="2"/>
    <x v="1"/>
    <s v="Laboratory Technician"/>
    <n v="2"/>
    <s v="Single"/>
    <n v="2837"/>
    <n v="15919"/>
    <n v="1"/>
    <s v="Y"/>
    <s v="No"/>
    <s v="No"/>
    <n v="13"/>
    <n v="3"/>
    <n v="3"/>
    <n v="80"/>
    <n v="0"/>
    <n v="6"/>
    <s v="6-15"/>
    <n v="3"/>
    <n v="3"/>
    <n v="6"/>
    <n v="2"/>
    <n v="4"/>
    <n v="1"/>
    <s v="Below Avg"/>
    <n v="24.444444444444443"/>
    <s v="No"/>
    <s v="Low Risk"/>
  </r>
  <r>
    <n v="40"/>
    <x v="1"/>
    <s v="No"/>
    <s v="Travel_Rarely"/>
    <n v="543"/>
    <x v="1"/>
    <n v="1"/>
    <n v="4"/>
    <s v="Life Sciences"/>
    <n v="1"/>
    <n v="2012"/>
    <n v="1"/>
    <s v="Male"/>
    <n v="83"/>
    <n v="3"/>
    <x v="1"/>
    <s v="Laboratory Technician"/>
    <n v="4"/>
    <s v="Married"/>
    <n v="2406"/>
    <n v="4060"/>
    <n v="8"/>
    <s v="Y"/>
    <s v="No"/>
    <s v="No"/>
    <n v="19"/>
    <n v="3"/>
    <n v="3"/>
    <n v="80"/>
    <n v="2"/>
    <n v="8"/>
    <s v="6-15"/>
    <n v="3"/>
    <n v="2"/>
    <n v="1"/>
    <n v="0"/>
    <n v="0"/>
    <n v="0"/>
    <s v="Below Avg"/>
    <n v="22.727272727272727"/>
    <s v="No"/>
    <s v="Low Risk"/>
  </r>
  <r>
    <n v="32"/>
    <x v="1"/>
    <s v="No"/>
    <s v="Travel_Rarely"/>
    <n v="234"/>
    <x v="0"/>
    <n v="1"/>
    <n v="4"/>
    <s v="Medical"/>
    <n v="1"/>
    <n v="2013"/>
    <n v="2"/>
    <s v="Male"/>
    <n v="68"/>
    <n v="2"/>
    <x v="1"/>
    <s v="Sales Representative"/>
    <n v="2"/>
    <s v="Married"/>
    <n v="2269"/>
    <n v="18024"/>
    <n v="0"/>
    <s v="Y"/>
    <s v="No"/>
    <s v="No"/>
    <n v="14"/>
    <n v="3"/>
    <n v="2"/>
    <n v="80"/>
    <n v="1"/>
    <n v="3"/>
    <s v="0-5"/>
    <n v="2"/>
    <n v="3"/>
    <n v="2"/>
    <n v="2"/>
    <n v="2"/>
    <n v="2"/>
    <s v="Below Avg"/>
    <n v="23.255813953488371"/>
    <s v="No"/>
    <s v="Low Risk"/>
  </r>
  <r>
    <n v="39"/>
    <x v="1"/>
    <s v="No"/>
    <s v="Travel_Rarely"/>
    <n v="116"/>
    <x v="1"/>
    <n v="24"/>
    <n v="1"/>
    <s v="Life Sciences"/>
    <n v="1"/>
    <n v="2014"/>
    <n v="1"/>
    <s v="Male"/>
    <n v="52"/>
    <n v="3"/>
    <x v="0"/>
    <s v="Research Scientist"/>
    <n v="4"/>
    <s v="Single"/>
    <n v="4108"/>
    <n v="5340"/>
    <n v="7"/>
    <s v="Y"/>
    <s v="No"/>
    <s v="No"/>
    <n v="13"/>
    <n v="3"/>
    <n v="1"/>
    <n v="80"/>
    <n v="0"/>
    <n v="18"/>
    <s v="&gt;15"/>
    <n v="2"/>
    <n v="3"/>
    <n v="7"/>
    <n v="7"/>
    <n v="1"/>
    <n v="7"/>
    <s v="Below Avg"/>
    <n v="23.809523809523807"/>
    <s v="No"/>
    <s v="Low Risk"/>
  </r>
  <r>
    <n v="38"/>
    <x v="1"/>
    <s v="No"/>
    <s v="Travel_Rarely"/>
    <n v="201"/>
    <x v="1"/>
    <n v="10"/>
    <n v="3"/>
    <s v="Medical"/>
    <n v="1"/>
    <n v="2015"/>
    <n v="2"/>
    <s v="Female"/>
    <n v="99"/>
    <n v="1"/>
    <x v="2"/>
    <s v="Research Director"/>
    <n v="3"/>
    <s v="Married"/>
    <n v="13206"/>
    <n v="3376"/>
    <n v="3"/>
    <s v="Y"/>
    <s v="No"/>
    <s v="No"/>
    <n v="12"/>
    <n v="3"/>
    <n v="1"/>
    <n v="80"/>
    <n v="1"/>
    <n v="20"/>
    <s v="&gt;15"/>
    <n v="3"/>
    <n v="3"/>
    <n v="18"/>
    <n v="16"/>
    <n v="1"/>
    <n v="11"/>
    <s v="Ok"/>
    <n v="24.390243902439025"/>
    <s v="No"/>
    <s v="Low Risk"/>
  </r>
  <r>
    <n v="32"/>
    <x v="1"/>
    <s v="No"/>
    <s v="Travel_Rarely"/>
    <n v="801"/>
    <x v="0"/>
    <n v="1"/>
    <n v="4"/>
    <s v="Marketing"/>
    <n v="1"/>
    <n v="2016"/>
    <n v="3"/>
    <s v="Female"/>
    <n v="48"/>
    <n v="3"/>
    <x v="2"/>
    <s v="Sales Executive"/>
    <n v="4"/>
    <s v="Married"/>
    <n v="10422"/>
    <n v="24032"/>
    <n v="1"/>
    <s v="Y"/>
    <s v="No"/>
    <s v="No"/>
    <n v="19"/>
    <n v="3"/>
    <n v="3"/>
    <n v="80"/>
    <n v="2"/>
    <n v="14"/>
    <s v="6-15"/>
    <n v="3"/>
    <n v="3"/>
    <n v="14"/>
    <n v="10"/>
    <n v="5"/>
    <n v="7"/>
    <s v="Ok"/>
    <n v="25"/>
    <s v="No"/>
    <s v="Low Risk"/>
  </r>
  <r>
    <n v="37"/>
    <x v="1"/>
    <s v="No"/>
    <s v="Travel_Rarely"/>
    <n v="161"/>
    <x v="1"/>
    <n v="10"/>
    <n v="3"/>
    <s v="Life Sciences"/>
    <n v="1"/>
    <n v="2017"/>
    <n v="3"/>
    <s v="Female"/>
    <n v="42"/>
    <n v="4"/>
    <x v="2"/>
    <s v="Research Director"/>
    <n v="4"/>
    <s v="Married"/>
    <n v="13744"/>
    <n v="15471"/>
    <n v="1"/>
    <s v="Y"/>
    <s v="Yes"/>
    <s v="Yes"/>
    <n v="25"/>
    <n v="4"/>
    <n v="1"/>
    <n v="80"/>
    <n v="1"/>
    <n v="16"/>
    <s v="&gt;15"/>
    <n v="2"/>
    <n v="3"/>
    <n v="16"/>
    <n v="11"/>
    <n v="6"/>
    <n v="8"/>
    <s v="Ok"/>
    <n v="25.641025641025639"/>
    <s v="No"/>
    <s v="Low Risk"/>
  </r>
  <r>
    <n v="25"/>
    <x v="1"/>
    <s v="No"/>
    <s v="Travel_Rarely"/>
    <n v="1382"/>
    <x v="0"/>
    <n v="8"/>
    <n v="2"/>
    <s v="Other"/>
    <n v="1"/>
    <n v="2018"/>
    <n v="1"/>
    <s v="Female"/>
    <n v="85"/>
    <n v="3"/>
    <x v="0"/>
    <s v="Sales Executive"/>
    <n v="3"/>
    <s v="Divorced"/>
    <n v="4907"/>
    <n v="13684"/>
    <n v="0"/>
    <s v="Y"/>
    <s v="Yes"/>
    <s v="Yes"/>
    <n v="22"/>
    <n v="4"/>
    <n v="2"/>
    <n v="80"/>
    <n v="1"/>
    <n v="6"/>
    <s v="6-15"/>
    <n v="3"/>
    <n v="2"/>
    <n v="5"/>
    <n v="3"/>
    <n v="0"/>
    <n v="4"/>
    <s v="Below Avg"/>
    <n v="26.315789473684209"/>
    <s v="No"/>
    <s v="Low Risk"/>
  </r>
  <r>
    <n v="52"/>
    <x v="1"/>
    <s v="No"/>
    <s v="Non-Travel"/>
    <n v="585"/>
    <x v="0"/>
    <n v="29"/>
    <n v="4"/>
    <s v="Life Sciences"/>
    <n v="1"/>
    <n v="2019"/>
    <n v="1"/>
    <s v="Male"/>
    <n v="40"/>
    <n v="3"/>
    <x v="1"/>
    <s v="Sales Representative"/>
    <n v="4"/>
    <s v="Divorced"/>
    <n v="3482"/>
    <n v="19788"/>
    <n v="2"/>
    <s v="Y"/>
    <s v="No"/>
    <s v="No"/>
    <n v="15"/>
    <n v="3"/>
    <n v="2"/>
    <n v="80"/>
    <n v="2"/>
    <n v="16"/>
    <s v="&gt;15"/>
    <n v="3"/>
    <n v="2"/>
    <n v="9"/>
    <n v="8"/>
    <n v="0"/>
    <n v="0"/>
    <s v="Below Avg"/>
    <n v="24.324324324324326"/>
    <s v="No"/>
    <s v="Low Risk"/>
  </r>
  <r>
    <n v="44"/>
    <x v="1"/>
    <s v="No"/>
    <s v="Travel_Rarely"/>
    <n v="1037"/>
    <x v="1"/>
    <n v="1"/>
    <n v="3"/>
    <s v="Medical"/>
    <n v="1"/>
    <n v="2020"/>
    <n v="2"/>
    <s v="Male"/>
    <n v="42"/>
    <n v="3"/>
    <x v="1"/>
    <s v="Research Scientist"/>
    <n v="4"/>
    <s v="Single"/>
    <n v="2436"/>
    <n v="13422"/>
    <n v="6"/>
    <s v="Y"/>
    <s v="Yes"/>
    <s v="Yes"/>
    <n v="12"/>
    <n v="3"/>
    <n v="3"/>
    <n v="80"/>
    <n v="0"/>
    <n v="6"/>
    <s v="6-15"/>
    <n v="2"/>
    <n v="3"/>
    <n v="4"/>
    <n v="3"/>
    <n v="1"/>
    <n v="2"/>
    <s v="Below Avg"/>
    <n v="22.222222222222221"/>
    <s v="No"/>
    <s v="Low Risk"/>
  </r>
  <r>
    <n v="21"/>
    <x v="1"/>
    <s v="No"/>
    <s v="Travel_Rarely"/>
    <n v="501"/>
    <x v="0"/>
    <n v="5"/>
    <n v="1"/>
    <s v="Medical"/>
    <n v="1"/>
    <n v="2021"/>
    <n v="3"/>
    <s v="Male"/>
    <n v="58"/>
    <n v="3"/>
    <x v="1"/>
    <s v="Sales Representative"/>
    <n v="1"/>
    <s v="Single"/>
    <n v="2380"/>
    <n v="25479"/>
    <n v="1"/>
    <s v="Y"/>
    <s v="Yes"/>
    <s v="Yes"/>
    <n v="11"/>
    <n v="3"/>
    <n v="4"/>
    <n v="80"/>
    <n v="0"/>
    <n v="2"/>
    <s v="0-5"/>
    <n v="6"/>
    <n v="3"/>
    <n v="2"/>
    <n v="2"/>
    <n v="1"/>
    <n v="2"/>
    <s v="Below Avg"/>
    <n v="22.857142857142858"/>
    <s v="No"/>
    <s v="Low Risk"/>
  </r>
  <r>
    <n v="39"/>
    <x v="1"/>
    <s v="No"/>
    <s v="Non-Travel"/>
    <n v="105"/>
    <x v="1"/>
    <n v="9"/>
    <n v="3"/>
    <s v="Life Sciences"/>
    <n v="1"/>
    <n v="2022"/>
    <n v="4"/>
    <s v="Male"/>
    <n v="87"/>
    <n v="3"/>
    <x v="4"/>
    <s v="Manager"/>
    <n v="4"/>
    <s v="Single"/>
    <n v="19431"/>
    <n v="15302"/>
    <n v="2"/>
    <s v="Y"/>
    <s v="No"/>
    <s v="No"/>
    <n v="13"/>
    <n v="3"/>
    <n v="3"/>
    <n v="80"/>
    <n v="0"/>
    <n v="21"/>
    <s v="&gt;15"/>
    <n v="3"/>
    <n v="2"/>
    <n v="6"/>
    <n v="0"/>
    <n v="1"/>
    <n v="3"/>
    <s v="Ok"/>
    <n v="20.588235294117645"/>
    <s v="No"/>
    <s v="Low Risk"/>
  </r>
  <r>
    <n v="23"/>
    <x v="0"/>
    <s v="Yes"/>
    <s v="Travel_Frequently"/>
    <n v="638"/>
    <x v="0"/>
    <n v="9"/>
    <n v="3"/>
    <s v="Marketing"/>
    <n v="1"/>
    <n v="2023"/>
    <n v="4"/>
    <s v="Male"/>
    <n v="33"/>
    <n v="3"/>
    <x v="1"/>
    <s v="Sales Representative"/>
    <n v="1"/>
    <s v="Married"/>
    <n v="1790"/>
    <n v="26956"/>
    <n v="1"/>
    <s v="Y"/>
    <s v="No"/>
    <s v="No"/>
    <n v="19"/>
    <n v="3"/>
    <n v="1"/>
    <n v="80"/>
    <n v="1"/>
    <n v="1"/>
    <s v="0-5"/>
    <n v="3"/>
    <n v="2"/>
    <n v="1"/>
    <n v="0"/>
    <n v="1"/>
    <n v="0"/>
    <s v="Below Avg"/>
    <n v="18.181818181818183"/>
    <s v="No"/>
    <s v="High Risk"/>
  </r>
  <r>
    <n v="36"/>
    <x v="1"/>
    <s v="No"/>
    <s v="Travel_Rarely"/>
    <n v="557"/>
    <x v="0"/>
    <n v="3"/>
    <n v="3"/>
    <s v="Medical"/>
    <n v="1"/>
    <n v="2024"/>
    <n v="1"/>
    <s v="Female"/>
    <n v="94"/>
    <n v="2"/>
    <x v="2"/>
    <s v="Sales Executive"/>
    <n v="4"/>
    <s v="Married"/>
    <n v="7644"/>
    <n v="12695"/>
    <n v="0"/>
    <s v="Y"/>
    <s v="No"/>
    <s v="No"/>
    <n v="19"/>
    <n v="3"/>
    <n v="3"/>
    <n v="80"/>
    <n v="2"/>
    <n v="10"/>
    <s v="6-15"/>
    <n v="2"/>
    <n v="3"/>
    <n v="9"/>
    <n v="7"/>
    <n v="3"/>
    <n v="4"/>
    <s v="Ok"/>
    <n v="18.75"/>
    <s v="No"/>
    <s v="Low Risk"/>
  </r>
  <r>
    <n v="36"/>
    <x v="1"/>
    <s v="No"/>
    <s v="Travel_Frequently"/>
    <n v="688"/>
    <x v="1"/>
    <n v="4"/>
    <n v="2"/>
    <s v="Life Sciences"/>
    <n v="1"/>
    <n v="2025"/>
    <n v="4"/>
    <s v="Female"/>
    <n v="97"/>
    <n v="3"/>
    <x v="0"/>
    <s v="Manufacturing Director"/>
    <n v="2"/>
    <s v="Divorced"/>
    <n v="5131"/>
    <n v="9192"/>
    <n v="7"/>
    <s v="Y"/>
    <s v="No"/>
    <s v="No"/>
    <n v="13"/>
    <n v="3"/>
    <n v="2"/>
    <n v="80"/>
    <n v="3"/>
    <n v="18"/>
    <s v="&gt;15"/>
    <n v="3"/>
    <n v="3"/>
    <n v="4"/>
    <n v="2"/>
    <n v="0"/>
    <n v="2"/>
    <s v="Below Avg"/>
    <n v="19.35483870967742"/>
    <s v="No"/>
    <s v="Low Risk"/>
  </r>
  <r>
    <n v="56"/>
    <x v="1"/>
    <s v="No"/>
    <s v="Non-Travel"/>
    <n v="667"/>
    <x v="1"/>
    <n v="1"/>
    <n v="4"/>
    <s v="Life Sciences"/>
    <n v="1"/>
    <n v="2026"/>
    <n v="3"/>
    <s v="Male"/>
    <n v="57"/>
    <n v="3"/>
    <x v="0"/>
    <s v="Healthcare Representative"/>
    <n v="3"/>
    <s v="Divorced"/>
    <n v="6306"/>
    <n v="26236"/>
    <n v="1"/>
    <s v="Y"/>
    <s v="No"/>
    <s v="No"/>
    <n v="21"/>
    <n v="4"/>
    <n v="1"/>
    <n v="80"/>
    <n v="1"/>
    <n v="13"/>
    <s v="6-15"/>
    <n v="2"/>
    <n v="2"/>
    <n v="13"/>
    <n v="12"/>
    <n v="1"/>
    <n v="9"/>
    <s v="Ok"/>
    <n v="0"/>
    <s v="No"/>
    <s v="Low Risk"/>
  </r>
  <r>
    <n v="29"/>
    <x v="0"/>
    <s v="Yes"/>
    <s v="Travel_Rarely"/>
    <n v="1092"/>
    <x v="1"/>
    <n v="1"/>
    <n v="4"/>
    <s v="Medical"/>
    <n v="1"/>
    <n v="2027"/>
    <n v="1"/>
    <s v="Male"/>
    <n v="36"/>
    <n v="3"/>
    <x v="1"/>
    <s v="Research Scientist"/>
    <n v="4"/>
    <s v="Married"/>
    <n v="4787"/>
    <n v="26124"/>
    <n v="9"/>
    <s v="Y"/>
    <s v="Yes"/>
    <s v="Yes"/>
    <n v="14"/>
    <n v="3"/>
    <n v="2"/>
    <n v="80"/>
    <n v="3"/>
    <n v="4"/>
    <s v="0-5"/>
    <n v="3"/>
    <n v="4"/>
    <n v="2"/>
    <n v="2"/>
    <n v="2"/>
    <n v="2"/>
    <s v="Below Avg"/>
    <m/>
    <s v="No"/>
    <s v="Low Risk"/>
  </r>
  <r>
    <n v="42"/>
    <x v="1"/>
    <s v="No"/>
    <s v="Travel_Rarely"/>
    <n v="300"/>
    <x v="1"/>
    <n v="2"/>
    <n v="3"/>
    <s v="Life Sciences"/>
    <n v="1"/>
    <n v="2031"/>
    <n v="1"/>
    <s v="Male"/>
    <n v="56"/>
    <n v="3"/>
    <x v="4"/>
    <s v="Manager"/>
    <n v="3"/>
    <s v="Married"/>
    <n v="18880"/>
    <n v="17312"/>
    <n v="5"/>
    <s v="Y"/>
    <s v="No"/>
    <s v="No"/>
    <n v="11"/>
    <n v="3"/>
    <n v="1"/>
    <n v="80"/>
    <n v="0"/>
    <n v="24"/>
    <s v="&gt;15"/>
    <n v="2"/>
    <n v="2"/>
    <n v="22"/>
    <n v="6"/>
    <n v="4"/>
    <n v="14"/>
    <s v="Ok"/>
    <m/>
    <s v="No"/>
    <s v="Low Risk"/>
  </r>
  <r>
    <n v="56"/>
    <x v="0"/>
    <s v="Yes"/>
    <s v="Travel_Rarely"/>
    <n v="310"/>
    <x v="1"/>
    <n v="7"/>
    <n v="2"/>
    <s v="Technical Degree"/>
    <n v="1"/>
    <n v="2032"/>
    <n v="4"/>
    <s v="Male"/>
    <n v="72"/>
    <n v="3"/>
    <x v="1"/>
    <s v="Laboratory Technician"/>
    <n v="3"/>
    <s v="Married"/>
    <n v="2339"/>
    <n v="3666"/>
    <n v="8"/>
    <s v="Y"/>
    <s v="No"/>
    <s v="No"/>
    <n v="11"/>
    <n v="3"/>
    <n v="4"/>
    <n v="80"/>
    <n v="1"/>
    <n v="14"/>
    <s v="6-15"/>
    <n v="4"/>
    <n v="1"/>
    <n v="10"/>
    <n v="9"/>
    <n v="9"/>
    <n v="8"/>
    <s v="Below Avg"/>
    <m/>
    <s v="No"/>
    <s v="Low Risk"/>
  </r>
  <r>
    <n v="41"/>
    <x v="1"/>
    <s v="No"/>
    <s v="Travel_Rarely"/>
    <n v="582"/>
    <x v="1"/>
    <n v="28"/>
    <n v="4"/>
    <s v="Life Sciences"/>
    <n v="1"/>
    <n v="2034"/>
    <n v="1"/>
    <s v="Female"/>
    <n v="60"/>
    <n v="2"/>
    <x v="3"/>
    <s v="Manufacturing Director"/>
    <n v="2"/>
    <s v="Married"/>
    <n v="13570"/>
    <n v="5640"/>
    <n v="0"/>
    <s v="Y"/>
    <s v="No"/>
    <s v="No"/>
    <n v="23"/>
    <n v="4"/>
    <n v="3"/>
    <n v="80"/>
    <n v="1"/>
    <n v="21"/>
    <s v="&gt;15"/>
    <n v="3"/>
    <n v="3"/>
    <n v="20"/>
    <n v="7"/>
    <n v="0"/>
    <n v="10"/>
    <s v="Ok"/>
    <m/>
    <s v="No"/>
    <s v="Low Risk"/>
  </r>
  <r>
    <n v="34"/>
    <x v="1"/>
    <s v="No"/>
    <s v="Travel_Rarely"/>
    <n v="704"/>
    <x v="0"/>
    <n v="28"/>
    <n v="3"/>
    <s v="Marketing"/>
    <n v="1"/>
    <n v="2035"/>
    <n v="4"/>
    <s v="Female"/>
    <n v="95"/>
    <n v="2"/>
    <x v="0"/>
    <s v="Sales Executive"/>
    <n v="3"/>
    <s v="Married"/>
    <n v="6712"/>
    <n v="8978"/>
    <n v="1"/>
    <s v="Y"/>
    <s v="No"/>
    <s v="No"/>
    <n v="21"/>
    <n v="4"/>
    <n v="4"/>
    <n v="80"/>
    <n v="2"/>
    <n v="8"/>
    <s v="6-15"/>
    <n v="2"/>
    <n v="3"/>
    <n v="8"/>
    <n v="7"/>
    <n v="1"/>
    <n v="7"/>
    <s v="Below Avg"/>
    <m/>
    <s v="No"/>
    <s v="Low Risk"/>
  </r>
  <r>
    <n v="36"/>
    <x v="1"/>
    <s v="No"/>
    <s v="Non-Travel"/>
    <n v="301"/>
    <x v="0"/>
    <n v="15"/>
    <n v="4"/>
    <s v="Marketing"/>
    <n v="1"/>
    <n v="2036"/>
    <n v="4"/>
    <s v="Male"/>
    <n v="88"/>
    <n v="1"/>
    <x v="0"/>
    <s v="Sales Executive"/>
    <n v="4"/>
    <s v="Divorced"/>
    <n v="5406"/>
    <n v="10436"/>
    <n v="1"/>
    <s v="Y"/>
    <s v="No"/>
    <s v="No"/>
    <n v="24"/>
    <n v="4"/>
    <n v="1"/>
    <n v="80"/>
    <n v="1"/>
    <n v="15"/>
    <s v="6-15"/>
    <n v="4"/>
    <n v="2"/>
    <n v="15"/>
    <n v="12"/>
    <n v="11"/>
    <n v="11"/>
    <s v="Below Avg"/>
    <m/>
    <s v="No"/>
    <s v="Low Risk"/>
  </r>
  <r>
    <n v="41"/>
    <x v="1"/>
    <s v="No"/>
    <s v="Travel_Rarely"/>
    <n v="930"/>
    <x v="0"/>
    <n v="3"/>
    <n v="3"/>
    <s v="Life Sciences"/>
    <n v="1"/>
    <n v="2037"/>
    <n v="3"/>
    <s v="Male"/>
    <n v="57"/>
    <n v="2"/>
    <x v="0"/>
    <s v="Sales Executive"/>
    <n v="2"/>
    <s v="Divorced"/>
    <n v="8938"/>
    <n v="12227"/>
    <n v="2"/>
    <s v="Y"/>
    <s v="No"/>
    <s v="No"/>
    <n v="11"/>
    <n v="3"/>
    <n v="3"/>
    <n v="80"/>
    <n v="1"/>
    <n v="14"/>
    <s v="6-15"/>
    <n v="5"/>
    <n v="3"/>
    <n v="5"/>
    <n v="4"/>
    <n v="0"/>
    <n v="4"/>
    <s v="Ok"/>
    <m/>
    <s v="No"/>
    <s v="Low Risk"/>
  </r>
  <r>
    <n v="32"/>
    <x v="1"/>
    <s v="No"/>
    <s v="Travel_Rarely"/>
    <n v="529"/>
    <x v="1"/>
    <n v="2"/>
    <n v="3"/>
    <s v="Technical Degree"/>
    <n v="1"/>
    <n v="2038"/>
    <n v="4"/>
    <s v="Male"/>
    <n v="78"/>
    <n v="3"/>
    <x v="1"/>
    <s v="Research Scientist"/>
    <n v="1"/>
    <s v="Single"/>
    <n v="2439"/>
    <n v="11288"/>
    <n v="1"/>
    <s v="Y"/>
    <s v="No"/>
    <s v="No"/>
    <n v="14"/>
    <n v="3"/>
    <n v="4"/>
    <n v="80"/>
    <n v="0"/>
    <n v="4"/>
    <s v="0-5"/>
    <n v="4"/>
    <n v="3"/>
    <n v="4"/>
    <n v="2"/>
    <n v="1"/>
    <n v="2"/>
    <s v="Below Avg"/>
    <m/>
    <s v="No"/>
    <s v="Low Risk"/>
  </r>
  <r>
    <n v="35"/>
    <x v="1"/>
    <s v="No"/>
    <s v="Travel_Rarely"/>
    <n v="1146"/>
    <x v="2"/>
    <n v="26"/>
    <n v="4"/>
    <s v="Life Sciences"/>
    <n v="1"/>
    <n v="2040"/>
    <n v="3"/>
    <s v="Female"/>
    <n v="31"/>
    <n v="3"/>
    <x v="2"/>
    <s v="Human Resources"/>
    <n v="4"/>
    <s v="Single"/>
    <n v="8837"/>
    <n v="16642"/>
    <n v="1"/>
    <s v="Y"/>
    <s v="Yes"/>
    <s v="Yes"/>
    <n v="16"/>
    <n v="3"/>
    <n v="3"/>
    <n v="80"/>
    <n v="0"/>
    <n v="9"/>
    <s v="6-15"/>
    <n v="2"/>
    <n v="3"/>
    <n v="9"/>
    <n v="0"/>
    <n v="1"/>
    <n v="7"/>
    <s v="Ok"/>
    <m/>
    <s v="No"/>
    <s v="Low Risk"/>
  </r>
  <r>
    <n v="38"/>
    <x v="1"/>
    <s v="No"/>
    <s v="Travel_Rarely"/>
    <n v="345"/>
    <x v="0"/>
    <n v="10"/>
    <n v="2"/>
    <s v="Life Sciences"/>
    <n v="1"/>
    <n v="2041"/>
    <n v="1"/>
    <s v="Female"/>
    <n v="100"/>
    <n v="3"/>
    <x v="0"/>
    <s v="Sales Executive"/>
    <n v="4"/>
    <s v="Married"/>
    <n v="5343"/>
    <n v="5982"/>
    <n v="1"/>
    <s v="Y"/>
    <s v="No"/>
    <s v="No"/>
    <n v="11"/>
    <n v="3"/>
    <n v="3"/>
    <n v="80"/>
    <n v="1"/>
    <n v="10"/>
    <s v="6-15"/>
    <n v="1"/>
    <n v="3"/>
    <n v="10"/>
    <n v="7"/>
    <n v="1"/>
    <n v="9"/>
    <s v="Below Avg"/>
    <m/>
    <s v="No"/>
    <s v="Low Risk"/>
  </r>
  <r>
    <n v="50"/>
    <x v="0"/>
    <s v="Yes"/>
    <s v="Travel_Frequently"/>
    <n v="878"/>
    <x v="0"/>
    <n v="1"/>
    <n v="4"/>
    <s v="Life Sciences"/>
    <n v="1"/>
    <n v="2044"/>
    <n v="2"/>
    <s v="Male"/>
    <n v="94"/>
    <n v="3"/>
    <x v="0"/>
    <s v="Sales Executive"/>
    <n v="3"/>
    <s v="Divorced"/>
    <n v="6728"/>
    <n v="14255"/>
    <n v="7"/>
    <s v="Y"/>
    <s v="No"/>
    <s v="No"/>
    <n v="12"/>
    <n v="3"/>
    <n v="4"/>
    <n v="80"/>
    <n v="2"/>
    <n v="12"/>
    <s v="6-15"/>
    <n v="3"/>
    <n v="3"/>
    <n v="6"/>
    <n v="3"/>
    <n v="0"/>
    <n v="1"/>
    <s v="Below Avg"/>
    <m/>
    <s v="No"/>
    <s v="Low Risk"/>
  </r>
  <r>
    <n v="36"/>
    <x v="1"/>
    <s v="No"/>
    <s v="Travel_Rarely"/>
    <n v="1120"/>
    <x v="0"/>
    <n v="11"/>
    <n v="4"/>
    <s v="Marketing"/>
    <n v="1"/>
    <n v="2045"/>
    <n v="2"/>
    <s v="Female"/>
    <n v="100"/>
    <n v="2"/>
    <x v="0"/>
    <s v="Sales Executive"/>
    <n v="4"/>
    <s v="Married"/>
    <n v="6652"/>
    <n v="14369"/>
    <n v="4"/>
    <s v="Y"/>
    <s v="No"/>
    <s v="No"/>
    <n v="13"/>
    <n v="3"/>
    <n v="1"/>
    <n v="80"/>
    <n v="1"/>
    <n v="8"/>
    <s v="6-15"/>
    <n v="2"/>
    <n v="2"/>
    <n v="6"/>
    <n v="3"/>
    <n v="0"/>
    <n v="0"/>
    <s v="Below Avg"/>
    <m/>
    <s v="No"/>
    <s v="Low Risk"/>
  </r>
  <r>
    <n v="45"/>
    <x v="1"/>
    <s v="No"/>
    <s v="Travel_Rarely"/>
    <n v="374"/>
    <x v="0"/>
    <n v="20"/>
    <n v="3"/>
    <s v="Life Sciences"/>
    <n v="1"/>
    <n v="2046"/>
    <n v="4"/>
    <s v="Female"/>
    <n v="50"/>
    <n v="3"/>
    <x v="0"/>
    <s v="Sales Executive"/>
    <n v="3"/>
    <s v="Single"/>
    <n v="4850"/>
    <n v="23333"/>
    <n v="8"/>
    <s v="Y"/>
    <s v="No"/>
    <s v="No"/>
    <n v="15"/>
    <n v="3"/>
    <n v="3"/>
    <n v="80"/>
    <n v="0"/>
    <n v="8"/>
    <s v="6-15"/>
    <n v="3"/>
    <n v="3"/>
    <n v="5"/>
    <n v="3"/>
    <n v="0"/>
    <n v="1"/>
    <s v="Below Avg"/>
    <m/>
    <s v="No"/>
    <s v="Low Risk"/>
  </r>
  <r>
    <n v="40"/>
    <x v="1"/>
    <s v="No"/>
    <s v="Travel_Rarely"/>
    <n v="1322"/>
    <x v="1"/>
    <n v="2"/>
    <n v="4"/>
    <s v="Life Sciences"/>
    <n v="1"/>
    <n v="2048"/>
    <n v="3"/>
    <s v="Male"/>
    <n v="52"/>
    <n v="2"/>
    <x v="1"/>
    <s v="Research Scientist"/>
    <n v="3"/>
    <s v="Single"/>
    <n v="2809"/>
    <n v="2725"/>
    <n v="2"/>
    <s v="Y"/>
    <s v="No"/>
    <s v="No"/>
    <n v="14"/>
    <n v="3"/>
    <n v="4"/>
    <n v="80"/>
    <n v="0"/>
    <n v="8"/>
    <s v="6-15"/>
    <n v="2"/>
    <n v="3"/>
    <n v="2"/>
    <n v="2"/>
    <n v="2"/>
    <n v="2"/>
    <s v="Below Avg"/>
    <m/>
    <s v="No"/>
    <s v="Low Risk"/>
  </r>
  <r>
    <n v="35"/>
    <x v="1"/>
    <s v="No"/>
    <s v="Travel_Frequently"/>
    <n v="1199"/>
    <x v="1"/>
    <n v="18"/>
    <n v="4"/>
    <s v="Life Sciences"/>
    <n v="1"/>
    <n v="2049"/>
    <n v="3"/>
    <s v="Male"/>
    <n v="80"/>
    <n v="3"/>
    <x v="0"/>
    <s v="Healthcare Representative"/>
    <n v="3"/>
    <s v="Married"/>
    <n v="5689"/>
    <n v="24594"/>
    <n v="1"/>
    <s v="Y"/>
    <s v="Yes"/>
    <s v="Yes"/>
    <n v="14"/>
    <n v="3"/>
    <n v="4"/>
    <n v="80"/>
    <n v="2"/>
    <n v="10"/>
    <s v="6-15"/>
    <n v="2"/>
    <n v="4"/>
    <n v="10"/>
    <n v="2"/>
    <n v="0"/>
    <n v="2"/>
    <s v="Ok"/>
    <m/>
    <s v="No"/>
    <s v="Low Risk"/>
  </r>
  <r>
    <n v="40"/>
    <x v="1"/>
    <s v="No"/>
    <s v="Travel_Rarely"/>
    <n v="1194"/>
    <x v="1"/>
    <n v="2"/>
    <n v="4"/>
    <s v="Medical"/>
    <n v="1"/>
    <n v="2051"/>
    <n v="3"/>
    <s v="Female"/>
    <n v="98"/>
    <n v="3"/>
    <x v="1"/>
    <s v="Research Scientist"/>
    <n v="3"/>
    <s v="Married"/>
    <n v="2001"/>
    <n v="12549"/>
    <n v="2"/>
    <s v="Y"/>
    <s v="No"/>
    <s v="No"/>
    <n v="14"/>
    <n v="3"/>
    <n v="2"/>
    <n v="80"/>
    <n v="3"/>
    <n v="20"/>
    <s v="&gt;15"/>
    <n v="2"/>
    <n v="3"/>
    <n v="5"/>
    <n v="3"/>
    <n v="0"/>
    <n v="2"/>
    <s v="Below Avg"/>
    <m/>
    <s v="No"/>
    <s v="Low Risk"/>
  </r>
  <r>
    <n v="35"/>
    <x v="1"/>
    <s v="No"/>
    <s v="Travel_Rarely"/>
    <n v="287"/>
    <x v="1"/>
    <n v="1"/>
    <n v="4"/>
    <s v="Life Sciences"/>
    <n v="1"/>
    <n v="2052"/>
    <n v="3"/>
    <s v="Female"/>
    <n v="62"/>
    <n v="1"/>
    <x v="1"/>
    <s v="Research Scientist"/>
    <n v="4"/>
    <s v="Married"/>
    <n v="2977"/>
    <n v="8952"/>
    <n v="1"/>
    <s v="Y"/>
    <s v="No"/>
    <s v="No"/>
    <n v="12"/>
    <n v="3"/>
    <n v="4"/>
    <n v="80"/>
    <n v="1"/>
    <n v="4"/>
    <s v="0-5"/>
    <n v="5"/>
    <n v="3"/>
    <n v="4"/>
    <n v="3"/>
    <n v="1"/>
    <n v="1"/>
    <s v="Below Avg"/>
    <m/>
    <s v="No"/>
    <s v="Low Risk"/>
  </r>
  <r>
    <n v="29"/>
    <x v="1"/>
    <s v="No"/>
    <s v="Travel_Rarely"/>
    <n v="1378"/>
    <x v="1"/>
    <n v="13"/>
    <n v="2"/>
    <s v="Other"/>
    <n v="1"/>
    <n v="2053"/>
    <n v="4"/>
    <s v="Male"/>
    <n v="46"/>
    <n v="2"/>
    <x v="0"/>
    <s v="Laboratory Technician"/>
    <n v="2"/>
    <s v="Married"/>
    <n v="4025"/>
    <n v="23679"/>
    <n v="4"/>
    <s v="Y"/>
    <s v="Yes"/>
    <s v="Yes"/>
    <n v="13"/>
    <n v="3"/>
    <n v="1"/>
    <n v="80"/>
    <n v="1"/>
    <n v="10"/>
    <s v="6-15"/>
    <n v="2"/>
    <n v="3"/>
    <n v="4"/>
    <n v="3"/>
    <n v="0"/>
    <n v="3"/>
    <s v="Below Avg"/>
    <m/>
    <s v="No"/>
    <s v="Low Risk"/>
  </r>
  <r>
    <n v="29"/>
    <x v="1"/>
    <s v="No"/>
    <s v="Travel_Rarely"/>
    <n v="468"/>
    <x v="1"/>
    <n v="28"/>
    <n v="4"/>
    <s v="Medical"/>
    <n v="1"/>
    <n v="2054"/>
    <n v="4"/>
    <s v="Female"/>
    <n v="73"/>
    <n v="2"/>
    <x v="1"/>
    <s v="Research Scientist"/>
    <n v="1"/>
    <s v="Single"/>
    <n v="3785"/>
    <n v="8489"/>
    <n v="1"/>
    <s v="Y"/>
    <s v="No"/>
    <s v="No"/>
    <n v="14"/>
    <n v="3"/>
    <n v="2"/>
    <n v="80"/>
    <n v="0"/>
    <n v="5"/>
    <s v="0-5"/>
    <n v="3"/>
    <n v="1"/>
    <n v="5"/>
    <n v="4"/>
    <n v="0"/>
    <n v="4"/>
    <s v="Below Avg"/>
    <m/>
    <s v="No"/>
    <s v="Low Risk"/>
  </r>
  <r>
    <n v="50"/>
    <x v="0"/>
    <s v="Yes"/>
    <s v="Travel_Rarely"/>
    <n v="410"/>
    <x v="0"/>
    <n v="28"/>
    <n v="3"/>
    <s v="Marketing"/>
    <n v="1"/>
    <n v="2055"/>
    <n v="4"/>
    <s v="Male"/>
    <n v="39"/>
    <n v="2"/>
    <x v="2"/>
    <s v="Sales Executive"/>
    <n v="1"/>
    <s v="Divorced"/>
    <n v="10854"/>
    <n v="16586"/>
    <n v="4"/>
    <s v="Y"/>
    <s v="Yes"/>
    <s v="Yes"/>
    <n v="13"/>
    <n v="3"/>
    <n v="2"/>
    <n v="80"/>
    <n v="1"/>
    <n v="20"/>
    <s v="&gt;15"/>
    <n v="3"/>
    <n v="3"/>
    <n v="3"/>
    <n v="2"/>
    <n v="2"/>
    <n v="0"/>
    <s v="Ok"/>
    <m/>
    <s v="No"/>
    <s v="Low Risk"/>
  </r>
  <r>
    <n v="39"/>
    <x v="1"/>
    <s v="No"/>
    <s v="Travel_Rarely"/>
    <n v="722"/>
    <x v="0"/>
    <n v="24"/>
    <n v="1"/>
    <s v="Marketing"/>
    <n v="1"/>
    <n v="2056"/>
    <n v="2"/>
    <s v="Female"/>
    <n v="60"/>
    <n v="2"/>
    <x v="3"/>
    <s v="Sales Executive"/>
    <n v="4"/>
    <s v="Married"/>
    <n v="12031"/>
    <n v="8828"/>
    <n v="0"/>
    <s v="Y"/>
    <s v="No"/>
    <s v="No"/>
    <n v="11"/>
    <n v="3"/>
    <n v="1"/>
    <n v="80"/>
    <n v="1"/>
    <n v="21"/>
    <s v="&gt;15"/>
    <n v="2"/>
    <n v="2"/>
    <n v="20"/>
    <n v="9"/>
    <n v="9"/>
    <n v="6"/>
    <s v="Ok"/>
    <m/>
    <s v="No"/>
    <s v="Low Risk"/>
  </r>
  <r>
    <n v="31"/>
    <x v="1"/>
    <s v="No"/>
    <s v="Non-Travel"/>
    <n v="325"/>
    <x v="1"/>
    <n v="5"/>
    <n v="3"/>
    <s v="Medical"/>
    <n v="1"/>
    <n v="2057"/>
    <n v="2"/>
    <s v="Male"/>
    <n v="74"/>
    <n v="3"/>
    <x v="0"/>
    <s v="Manufacturing Director"/>
    <n v="1"/>
    <s v="Single"/>
    <n v="9936"/>
    <n v="3787"/>
    <n v="0"/>
    <s v="Y"/>
    <s v="No"/>
    <s v="No"/>
    <n v="19"/>
    <n v="3"/>
    <n v="2"/>
    <n v="80"/>
    <n v="0"/>
    <n v="10"/>
    <s v="6-15"/>
    <n v="2"/>
    <n v="3"/>
    <n v="9"/>
    <n v="4"/>
    <n v="1"/>
    <n v="7"/>
    <s v="Ok"/>
    <m/>
    <s v="No"/>
    <s v="Low Risk"/>
  </r>
  <r>
    <n v="26"/>
    <x v="1"/>
    <s v="No"/>
    <s v="Travel_Rarely"/>
    <n v="1167"/>
    <x v="0"/>
    <n v="5"/>
    <n v="3"/>
    <s v="Other"/>
    <n v="1"/>
    <n v="2060"/>
    <n v="4"/>
    <s v="Female"/>
    <n v="30"/>
    <n v="2"/>
    <x v="1"/>
    <s v="Sales Representative"/>
    <n v="3"/>
    <s v="Single"/>
    <n v="2966"/>
    <n v="21378"/>
    <n v="0"/>
    <s v="Y"/>
    <s v="No"/>
    <s v="No"/>
    <n v="18"/>
    <n v="3"/>
    <n v="4"/>
    <n v="80"/>
    <n v="0"/>
    <n v="5"/>
    <s v="0-5"/>
    <n v="2"/>
    <n v="3"/>
    <n v="4"/>
    <n v="2"/>
    <n v="0"/>
    <n v="0"/>
    <s v="Below Avg"/>
    <m/>
    <s v="No"/>
    <s v="Low Risk"/>
  </r>
  <r>
    <n v="36"/>
    <x v="1"/>
    <s v="No"/>
    <s v="Travel_Frequently"/>
    <n v="884"/>
    <x v="1"/>
    <n v="23"/>
    <n v="2"/>
    <s v="Medical"/>
    <n v="1"/>
    <n v="2061"/>
    <n v="3"/>
    <s v="Male"/>
    <n v="41"/>
    <n v="4"/>
    <x v="0"/>
    <s v="Laboratory Technician"/>
    <n v="4"/>
    <s v="Married"/>
    <n v="2571"/>
    <n v="12290"/>
    <n v="4"/>
    <s v="Y"/>
    <s v="No"/>
    <s v="No"/>
    <n v="17"/>
    <n v="3"/>
    <n v="3"/>
    <n v="80"/>
    <n v="1"/>
    <n v="17"/>
    <s v="&gt;15"/>
    <n v="3"/>
    <n v="3"/>
    <n v="5"/>
    <n v="2"/>
    <n v="0"/>
    <n v="3"/>
    <s v="Below Avg"/>
    <m/>
    <s v="No"/>
    <s v="Low Risk"/>
  </r>
  <r>
    <n v="39"/>
    <x v="1"/>
    <s v="No"/>
    <s v="Travel_Rarely"/>
    <n v="613"/>
    <x v="1"/>
    <n v="6"/>
    <n v="1"/>
    <s v="Medical"/>
    <n v="1"/>
    <n v="2062"/>
    <n v="4"/>
    <s v="Male"/>
    <n v="42"/>
    <n v="2"/>
    <x v="2"/>
    <s v="Healthcare Representative"/>
    <n v="1"/>
    <s v="Married"/>
    <n v="9991"/>
    <n v="21457"/>
    <n v="4"/>
    <s v="Y"/>
    <s v="No"/>
    <s v="No"/>
    <n v="15"/>
    <n v="3"/>
    <n v="1"/>
    <n v="80"/>
    <n v="1"/>
    <n v="9"/>
    <s v="6-15"/>
    <n v="5"/>
    <n v="3"/>
    <n v="7"/>
    <n v="7"/>
    <n v="1"/>
    <n v="7"/>
    <s v="Ok"/>
    <m/>
    <s v="No"/>
    <s v="Low Risk"/>
  </r>
  <r>
    <n v="27"/>
    <x v="1"/>
    <s v="No"/>
    <s v="Travel_Rarely"/>
    <n v="155"/>
    <x v="1"/>
    <n v="4"/>
    <n v="3"/>
    <s v="Life Sciences"/>
    <n v="1"/>
    <n v="2064"/>
    <n v="2"/>
    <s v="Male"/>
    <n v="87"/>
    <n v="4"/>
    <x v="0"/>
    <s v="Manufacturing Director"/>
    <n v="2"/>
    <s v="Married"/>
    <n v="6142"/>
    <n v="5174"/>
    <n v="1"/>
    <s v="Y"/>
    <s v="Yes"/>
    <s v="Yes"/>
    <n v="20"/>
    <n v="4"/>
    <n v="2"/>
    <n v="80"/>
    <n v="1"/>
    <n v="6"/>
    <s v="6-15"/>
    <n v="0"/>
    <n v="3"/>
    <n v="6"/>
    <n v="2"/>
    <n v="0"/>
    <n v="3"/>
    <s v="Below Avg"/>
    <m/>
    <s v="No"/>
    <s v="Low Risk"/>
  </r>
  <r>
    <n v="49"/>
    <x v="1"/>
    <s v="No"/>
    <s v="Travel_Frequently"/>
    <n v="1023"/>
    <x v="0"/>
    <n v="2"/>
    <n v="3"/>
    <s v="Medical"/>
    <n v="1"/>
    <n v="2065"/>
    <n v="4"/>
    <s v="Male"/>
    <n v="63"/>
    <n v="2"/>
    <x v="0"/>
    <s v="Sales Executive"/>
    <n v="2"/>
    <s v="Married"/>
    <n v="5390"/>
    <n v="13243"/>
    <n v="2"/>
    <s v="Y"/>
    <s v="No"/>
    <s v="No"/>
    <n v="14"/>
    <n v="3"/>
    <n v="4"/>
    <n v="80"/>
    <n v="0"/>
    <n v="17"/>
    <s v="&gt;15"/>
    <n v="3"/>
    <n v="2"/>
    <n v="9"/>
    <n v="6"/>
    <n v="0"/>
    <n v="8"/>
    <s v="Ok"/>
    <m/>
    <s v="No"/>
    <s v="Low Risk"/>
  </r>
  <r>
    <n v="34"/>
    <x v="1"/>
    <s v="No"/>
    <s v="Travel_Rarely"/>
    <n v="628"/>
    <x v="1"/>
    <n v="8"/>
    <n v="3"/>
    <s v="Medical"/>
    <n v="1"/>
    <n v="2068"/>
    <n v="2"/>
    <s v="Male"/>
    <n v="82"/>
    <n v="4"/>
    <x v="0"/>
    <s v="Laboratory Technician"/>
    <n v="3"/>
    <s v="Married"/>
    <n v="4404"/>
    <n v="10228"/>
    <n v="2"/>
    <s v="Y"/>
    <s v="No"/>
    <s v="No"/>
    <n v="12"/>
    <n v="3"/>
    <n v="1"/>
    <n v="80"/>
    <n v="0"/>
    <n v="6"/>
    <s v="6-15"/>
    <n v="3"/>
    <n v="4"/>
    <n v="4"/>
    <n v="3"/>
    <n v="1"/>
    <n v="2"/>
    <s v="Ok"/>
    <m/>
    <e v="#DIV/0!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DA84D-59E9-42F0-877B-CCBFE42D13E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:J16" firstHeaderRow="0" firstDataRow="1" firstDataCol="1" rowPageCount="1" colPageCount="1"/>
  <pivotFields count="38">
    <pivotField numFmtId="1"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Attrition" fld="1" subtotal="count" showDataAs="percentOfTotal" baseField="5" baseItem="0" numFmtId="10"/>
    <dataField name="Count of EmployeeNumber" fld="10" subtotal="count" showDataAs="percentOfTotal" baseField="5" baseItem="0" numFmtId="1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dataOnly="0" labelOnly="1" fieldPosition="0">
        <references count="1">
          <reference field="5" count="1">
            <x v="0"/>
          </reference>
        </references>
      </pivotArea>
    </format>
    <format dxfId="14">
      <pivotArea dataOnly="0" labelOnly="1" fieldPosition="0">
        <references count="1">
          <reference field="5" count="1">
            <x v="1"/>
          </reference>
        </references>
      </pivotArea>
    </format>
    <format dxfId="13">
      <pivotArea dataOnly="0" labelOnly="1" fieldPosition="0">
        <references count="1">
          <reference field="5" count="1">
            <x v="1"/>
          </reference>
        </references>
      </pivotArea>
    </format>
    <format dxfId="12">
      <pivotArea dataOnly="0" labelOnly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965A3-D541-4E6C-93FF-84FBF16D81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I33" firstHeaderRow="1" firstDataRow="1" firstDataCol="1" rowPageCount="1" colPageCount="1"/>
  <pivotFields count="38">
    <pivotField numFmtId="1"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EC8D5-40F2-4C88-B4BC-65A3B92B801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6:M20" firstHeaderRow="1" firstDataRow="1" firstDataCol="1"/>
  <pivotFields count="40">
    <pivotField numFmtI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7" subtotal="average" baseField="5" baseItem="0"/>
  </dataFields>
  <formats count="4">
    <format dxfId="11">
      <pivotArea collapsedLevelsAreSubtotals="1" fieldPosition="0">
        <references count="1">
          <reference field="5" count="1">
            <x v="0"/>
          </reference>
        </references>
      </pivotArea>
    </format>
    <format dxfId="10">
      <pivotArea collapsedLevelsAreSubtotals="1" fieldPosition="0">
        <references count="1">
          <reference field="5" count="1">
            <x v="1"/>
          </reference>
        </references>
      </pivotArea>
    </format>
    <format dxfId="9">
      <pivotArea collapsedLevelsAreSubtotals="1" fieldPosition="0">
        <references count="1">
          <reference field="5" count="1">
            <x v="2"/>
          </reference>
        </references>
      </pivotArea>
    </format>
    <format dxfId="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CE9C8-AB3D-45CA-AD85-2A742CD8314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M10" firstHeaderRow="0" firstDataRow="1" firstDataCol="1" rowPageCount="1" colPageCount="1"/>
  <pivotFields count="40">
    <pivotField numFmtId="1"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Attrition" fld="1" subtotal="count" baseField="0" baseItem="0"/>
    <dataField name="Count of EmployeeNumber" fld="10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C27F-7A8D-4B50-8050-A4CB9D06085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D23" firstHeaderRow="1" firstDataRow="1" firstDataCol="1"/>
  <pivotFields count="38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Income" fld="19" subtotal="average" baseField="15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F0E37-0718-4D41-B5DC-31528480E0D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F10" firstHeaderRow="1" firstDataRow="2" firstDataCol="1"/>
  <pivotFields count="38"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25965-F452-4652-B857-7F9BE9B4302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34:C40" firstHeaderRow="1" firstDataRow="1" firstDataCol="1"/>
  <pivotFields count="42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Income" fld="19" subtotal="average" baseField="15" baseItem="0" numFmtId="1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64F10-0B88-42F6-B211-06DB064CF4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B5:C9" firstHeaderRow="1" firstDataRow="1" firstDataCol="1" rowPageCount="1" colPageCount="1"/>
  <pivotFields count="42">
    <pivotField numFmtId="1"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0FC5-E4F0-420A-80EE-3DBE4E3E0CC2}">
  <dimension ref="A1:AY1472"/>
  <sheetViews>
    <sheetView tabSelected="1" workbookViewId="0">
      <selection activeCell="B4" sqref="B4"/>
    </sheetView>
  </sheetViews>
  <sheetFormatPr defaultRowHeight="14.4" x14ac:dyDescent="0.3"/>
  <cols>
    <col min="3" max="3" width="12.77734375" bestFit="1" customWidth="1"/>
    <col min="4" max="4" width="19.109375" customWidth="1"/>
    <col min="6" max="6" width="15.33203125" customWidth="1"/>
    <col min="9" max="9" width="11.88671875" customWidth="1"/>
    <col min="10" max="10" width="13.6640625" bestFit="1" customWidth="1"/>
    <col min="11" max="11" width="15.44140625" bestFit="1" customWidth="1"/>
    <col min="12" max="12" width="20.6640625" bestFit="1" customWidth="1"/>
    <col min="14" max="14" width="9.88671875" bestFit="1" customWidth="1"/>
    <col min="15" max="15" width="13.33203125" bestFit="1" customWidth="1"/>
    <col min="17" max="17" width="22.33203125" customWidth="1"/>
    <col min="18" max="18" width="13.21875" bestFit="1" customWidth="1"/>
    <col min="19" max="19" width="11.5546875" bestFit="1" customWidth="1"/>
    <col min="20" max="20" width="13.33203125" bestFit="1" customWidth="1"/>
    <col min="21" max="21" width="10.88671875" bestFit="1" customWidth="1"/>
    <col min="22" max="22" width="20.44140625" bestFit="1" customWidth="1"/>
    <col min="25" max="25" width="14.33203125" customWidth="1"/>
    <col min="26" max="26" width="16" bestFit="1" customWidth="1"/>
    <col min="27" max="27" width="16.6640625" bestFit="1" customWidth="1"/>
    <col min="28" max="28" width="20.5546875" bestFit="1" customWidth="1"/>
    <col min="29" max="29" width="13.21875" bestFit="1" customWidth="1"/>
    <col min="30" max="30" width="15" bestFit="1" customWidth="1"/>
    <col min="31" max="31" width="16.109375" bestFit="1" customWidth="1"/>
    <col min="32" max="32" width="16.6640625" customWidth="1"/>
    <col min="33" max="33" width="19.33203125" bestFit="1" customWidth="1"/>
    <col min="34" max="34" width="14.77734375" bestFit="1" customWidth="1"/>
    <col min="35" max="35" width="14.88671875" bestFit="1" customWidth="1"/>
    <col min="36" max="36" width="16.77734375" bestFit="1" customWidth="1"/>
    <col min="37" max="37" width="19.44140625" customWidth="1"/>
    <col min="38" max="38" width="19.21875" customWidth="1"/>
    <col min="39" max="39" width="20.21875" customWidth="1"/>
    <col min="40" max="40" width="9.109375" bestFit="1" customWidth="1"/>
    <col min="41" max="41" width="13.77734375" customWidth="1"/>
    <col min="42" max="42" width="12.44140625" customWidth="1"/>
  </cols>
  <sheetData>
    <row r="1" spans="1:49" ht="14.4" customHeight="1" x14ac:dyDescent="0.3">
      <c r="A1" t="s">
        <v>0</v>
      </c>
      <c r="B1" t="s">
        <v>1</v>
      </c>
      <c r="C1" s="2" t="s">
        <v>70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5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2" t="s">
        <v>71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s="2" t="s">
        <v>79</v>
      </c>
      <c r="AG1" t="s">
        <v>29</v>
      </c>
      <c r="AH1" t="s">
        <v>30</v>
      </c>
      <c r="AI1" s="5" t="s">
        <v>31</v>
      </c>
      <c r="AJ1" t="s">
        <v>32</v>
      </c>
      <c r="AK1" t="s">
        <v>33</v>
      </c>
      <c r="AL1" t="s">
        <v>34</v>
      </c>
      <c r="AM1" s="20" t="s">
        <v>97</v>
      </c>
      <c r="AN1" s="2" t="s">
        <v>98</v>
      </c>
      <c r="AO1" s="2" t="s">
        <v>102</v>
      </c>
      <c r="AP1" s="22" t="s">
        <v>103</v>
      </c>
    </row>
    <row r="2" spans="1:49" x14ac:dyDescent="0.3">
      <c r="A2" s="5">
        <v>41</v>
      </c>
      <c r="B2" s="5" t="s">
        <v>35</v>
      </c>
      <c r="C2" s="5" t="str">
        <f>IF(LOWER(B2)="yes","Yes","No")</f>
        <v>Yes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 s="5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 s="5">
        <v>5993</v>
      </c>
      <c r="U2">
        <v>19479</v>
      </c>
      <c r="V2">
        <v>8</v>
      </c>
      <c r="W2" t="s">
        <v>42</v>
      </c>
      <c r="X2" t="s">
        <v>35</v>
      </c>
      <c r="Y2" t="str">
        <f>IF(LOWER(X2)="yes","Yes","No")</f>
        <v>Yes</v>
      </c>
      <c r="Z2">
        <v>11</v>
      </c>
      <c r="AA2">
        <v>3</v>
      </c>
      <c r="AB2">
        <v>1</v>
      </c>
      <c r="AC2">
        <v>80</v>
      </c>
      <c r="AD2">
        <v>0</v>
      </c>
      <c r="AE2" s="5">
        <v>8</v>
      </c>
      <c r="AF2" t="str">
        <f>IF(AE2&lt;=5,"0-5",IF(AE2&lt;=15,"6-15","&gt;15"))</f>
        <v>6-15</v>
      </c>
      <c r="AG2">
        <v>0</v>
      </c>
      <c r="AH2">
        <v>1</v>
      </c>
      <c r="AI2" s="5">
        <v>6</v>
      </c>
      <c r="AJ2">
        <v>4</v>
      </c>
      <c r="AK2">
        <v>0</v>
      </c>
      <c r="AL2">
        <v>5</v>
      </c>
      <c r="AM2" t="str">
        <f>IF(T2&lt;AVERAGEIF($F1:$F1471,F2,$T1:$T1471),"Below Avg","Ok")</f>
        <v>Below Avg</v>
      </c>
      <c r="AN2" s="21">
        <f>COUNTIF(X1:X1471,"Yes")/COUNTA(X1:X1471)*100</f>
        <v>28.280081577158395</v>
      </c>
      <c r="AO2" t="str">
        <f ca="1">IF(AND(AA2&gt;=4,Z2&lt;AVERAGEIF($F1:$F1471,F2,$Z2:$Z1471)),"Yes","No")</f>
        <v>No</v>
      </c>
      <c r="AP2" t="str">
        <f>IF(AND(AI2&lt;2,C2="Yes"),"High Risk","Low Risk")</f>
        <v>Low Risk</v>
      </c>
    </row>
    <row r="3" spans="1:49" x14ac:dyDescent="0.3">
      <c r="A3" s="5">
        <v>49</v>
      </c>
      <c r="B3" s="5" t="s">
        <v>43</v>
      </c>
      <c r="C3" s="5" t="str">
        <f t="shared" ref="C3:C66" si="0">IF(LOWER(B3)="yes","Yes","No")</f>
        <v>No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 s="5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 s="5">
        <v>5130</v>
      </c>
      <c r="U3">
        <v>24907</v>
      </c>
      <c r="V3">
        <v>1</v>
      </c>
      <c r="W3" t="s">
        <v>42</v>
      </c>
      <c r="X3" t="s">
        <v>43</v>
      </c>
      <c r="Y3" t="str">
        <f t="shared" ref="Y3:Y66" si="1">IF(LOWER(X3)="yes","Yes","No")</f>
        <v>No</v>
      </c>
      <c r="Z3">
        <v>23</v>
      </c>
      <c r="AA3">
        <v>4</v>
      </c>
      <c r="AB3">
        <v>4</v>
      </c>
      <c r="AC3">
        <v>80</v>
      </c>
      <c r="AD3">
        <v>1</v>
      </c>
      <c r="AE3" s="5">
        <v>10</v>
      </c>
      <c r="AF3" t="str">
        <f t="shared" ref="AF3:AF66" si="2">IF(AE3&lt;=5,"0-5",IF(AE3&lt;=15,"6-15","&gt;15"))</f>
        <v>6-15</v>
      </c>
      <c r="AG3">
        <v>3</v>
      </c>
      <c r="AH3">
        <v>3</v>
      </c>
      <c r="AI3" s="5">
        <v>10</v>
      </c>
      <c r="AJ3">
        <v>7</v>
      </c>
      <c r="AK3">
        <v>1</v>
      </c>
      <c r="AL3">
        <v>7</v>
      </c>
      <c r="AM3" t="str">
        <f t="shared" ref="AM3:AM66" si="3">IF(T3&lt;AVERAGEIF($F2:$F1472,F3,$T2:$T1472),"Below Avg","Ok")</f>
        <v>Below Avg</v>
      </c>
      <c r="AN3" s="21">
        <f t="shared" ref="AN3:AN66" si="4">COUNTIF(X2:X1472,"Yes")/COUNTA(X2:X1472)*100</f>
        <v>28.299319727891159</v>
      </c>
      <c r="AO3" t="str">
        <f t="shared" ref="AO3:AO66" ca="1" si="5">IF(AND(AA3&gt;=4,Z3&lt;AVERAGEIF($F2:$F1472,F3,$Z3:$Z1472)),"Yes","No")</f>
        <v>No</v>
      </c>
      <c r="AP3" t="str">
        <f t="shared" ref="AP3:AP66" si="6">IF(AND(AI3&lt;2,C3="Yes"),"High Risk","Low Risk")</f>
        <v>Low Risk</v>
      </c>
    </row>
    <row r="4" spans="1:49" x14ac:dyDescent="0.3">
      <c r="A4" s="5">
        <v>37</v>
      </c>
      <c r="B4" s="5" t="s">
        <v>35</v>
      </c>
      <c r="C4" s="5" t="str">
        <f t="shared" si="0"/>
        <v>Yes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 s="5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 s="5">
        <v>2090</v>
      </c>
      <c r="U4">
        <v>2396</v>
      </c>
      <c r="V4">
        <v>6</v>
      </c>
      <c r="W4" t="s">
        <v>42</v>
      </c>
      <c r="X4" t="s">
        <v>35</v>
      </c>
      <c r="Y4" t="str">
        <f t="shared" si="1"/>
        <v>Yes</v>
      </c>
      <c r="Z4">
        <v>15</v>
      </c>
      <c r="AA4">
        <v>3</v>
      </c>
      <c r="AB4">
        <v>2</v>
      </c>
      <c r="AC4">
        <v>80</v>
      </c>
      <c r="AD4">
        <v>0</v>
      </c>
      <c r="AE4" s="5">
        <v>7</v>
      </c>
      <c r="AF4" t="str">
        <f t="shared" si="2"/>
        <v>6-15</v>
      </c>
      <c r="AG4">
        <v>3</v>
      </c>
      <c r="AH4">
        <v>3</v>
      </c>
      <c r="AI4" s="5">
        <v>0</v>
      </c>
      <c r="AJ4">
        <v>0</v>
      </c>
      <c r="AK4">
        <v>0</v>
      </c>
      <c r="AL4">
        <v>0</v>
      </c>
      <c r="AM4" t="str">
        <f t="shared" si="3"/>
        <v>Below Avg</v>
      </c>
      <c r="AN4" s="21">
        <f t="shared" si="4"/>
        <v>28.250510551395507</v>
      </c>
      <c r="AO4" t="str">
        <f t="shared" ca="1" si="5"/>
        <v>No</v>
      </c>
      <c r="AP4" t="str">
        <f t="shared" si="6"/>
        <v>High Risk</v>
      </c>
    </row>
    <row r="5" spans="1:49" x14ac:dyDescent="0.3">
      <c r="A5" s="5">
        <v>33</v>
      </c>
      <c r="B5" s="5" t="s">
        <v>43</v>
      </c>
      <c r="C5" s="5" t="str">
        <f t="shared" si="0"/>
        <v>No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 s="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 s="5">
        <v>2909</v>
      </c>
      <c r="U5">
        <v>23159</v>
      </c>
      <c r="V5">
        <v>1</v>
      </c>
      <c r="W5" t="s">
        <v>42</v>
      </c>
      <c r="X5" t="s">
        <v>35</v>
      </c>
      <c r="Y5" t="str">
        <f t="shared" si="1"/>
        <v>Yes</v>
      </c>
      <c r="Z5">
        <v>11</v>
      </c>
      <c r="AA5">
        <v>3</v>
      </c>
      <c r="AB5">
        <v>3</v>
      </c>
      <c r="AC5">
        <v>80</v>
      </c>
      <c r="AD5">
        <v>0</v>
      </c>
      <c r="AE5" s="5">
        <v>8</v>
      </c>
      <c r="AF5" t="str">
        <f t="shared" si="2"/>
        <v>6-15</v>
      </c>
      <c r="AG5">
        <v>3</v>
      </c>
      <c r="AH5">
        <v>3</v>
      </c>
      <c r="AI5" s="5">
        <v>8</v>
      </c>
      <c r="AJ5">
        <v>7</v>
      </c>
      <c r="AK5">
        <v>3</v>
      </c>
      <c r="AL5">
        <v>0</v>
      </c>
      <c r="AM5" t="str">
        <f t="shared" si="3"/>
        <v>Below Avg</v>
      </c>
      <c r="AN5" s="21">
        <f t="shared" si="4"/>
        <v>28.269754768392367</v>
      </c>
      <c r="AO5" t="str">
        <f t="shared" ca="1" si="5"/>
        <v>No</v>
      </c>
      <c r="AP5" t="str">
        <f t="shared" si="6"/>
        <v>Low Risk</v>
      </c>
    </row>
    <row r="6" spans="1:49" ht="15.6" x14ac:dyDescent="0.3">
      <c r="A6" s="5">
        <v>27</v>
      </c>
      <c r="B6" s="5" t="s">
        <v>43</v>
      </c>
      <c r="C6" s="5" t="str">
        <f t="shared" si="0"/>
        <v>No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 s="5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 s="5">
        <v>3468</v>
      </c>
      <c r="U6">
        <v>16632</v>
      </c>
      <c r="V6">
        <v>9</v>
      </c>
      <c r="W6" t="s">
        <v>42</v>
      </c>
      <c r="X6" t="s">
        <v>43</v>
      </c>
      <c r="Y6" t="str">
        <f t="shared" si="1"/>
        <v>No</v>
      </c>
      <c r="Z6">
        <v>12</v>
      </c>
      <c r="AA6">
        <v>3</v>
      </c>
      <c r="AB6">
        <v>4</v>
      </c>
      <c r="AC6">
        <v>80</v>
      </c>
      <c r="AD6">
        <v>1</v>
      </c>
      <c r="AE6" s="5">
        <v>6</v>
      </c>
      <c r="AF6" t="str">
        <f t="shared" si="2"/>
        <v>6-15</v>
      </c>
      <c r="AG6">
        <v>3</v>
      </c>
      <c r="AH6">
        <v>3</v>
      </c>
      <c r="AI6" s="5">
        <v>2</v>
      </c>
      <c r="AJ6">
        <v>2</v>
      </c>
      <c r="AK6">
        <v>2</v>
      </c>
      <c r="AL6">
        <v>2</v>
      </c>
      <c r="AM6" t="str">
        <f t="shared" si="3"/>
        <v>Below Avg</v>
      </c>
      <c r="AN6" s="21">
        <f t="shared" si="4"/>
        <v>28.220858895705518</v>
      </c>
      <c r="AO6" t="str">
        <f t="shared" ca="1" si="5"/>
        <v>No</v>
      </c>
      <c r="AP6" t="str">
        <f t="shared" si="6"/>
        <v>Low Risk</v>
      </c>
      <c r="AU6" s="27" t="s">
        <v>83</v>
      </c>
      <c r="AV6" s="27"/>
      <c r="AW6" s="27"/>
    </row>
    <row r="7" spans="1:49" x14ac:dyDescent="0.3">
      <c r="A7" s="5">
        <v>32</v>
      </c>
      <c r="B7" s="5" t="s">
        <v>43</v>
      </c>
      <c r="C7" s="5" t="str">
        <f t="shared" si="0"/>
        <v>No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 s="5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 s="5">
        <v>3068</v>
      </c>
      <c r="U7">
        <v>11864</v>
      </c>
      <c r="V7">
        <v>0</v>
      </c>
      <c r="W7" t="s">
        <v>42</v>
      </c>
      <c r="X7" t="s">
        <v>43</v>
      </c>
      <c r="Y7" t="str">
        <f t="shared" si="1"/>
        <v>No</v>
      </c>
      <c r="Z7">
        <v>13</v>
      </c>
      <c r="AA7">
        <v>3</v>
      </c>
      <c r="AB7">
        <v>3</v>
      </c>
      <c r="AC7">
        <v>80</v>
      </c>
      <c r="AD7">
        <v>0</v>
      </c>
      <c r="AE7" s="5">
        <v>8</v>
      </c>
      <c r="AF7" t="str">
        <f t="shared" si="2"/>
        <v>6-15</v>
      </c>
      <c r="AG7">
        <v>2</v>
      </c>
      <c r="AH7">
        <v>2</v>
      </c>
      <c r="AI7" s="5">
        <v>7</v>
      </c>
      <c r="AJ7">
        <v>7</v>
      </c>
      <c r="AK7">
        <v>3</v>
      </c>
      <c r="AL7">
        <v>6</v>
      </c>
      <c r="AM7" t="str">
        <f t="shared" si="3"/>
        <v>Below Avg</v>
      </c>
      <c r="AN7" s="21">
        <f t="shared" si="4"/>
        <v>28.171896316507507</v>
      </c>
      <c r="AO7" t="str">
        <f t="shared" ca="1" si="5"/>
        <v>No</v>
      </c>
      <c r="AP7" t="str">
        <f t="shared" si="6"/>
        <v>Low Risk</v>
      </c>
      <c r="AU7" s="4">
        <f>COUNTIF(B1:B1471,"Yes")/COUNTA(B1:B1471)*100</f>
        <v>16.111488783140722</v>
      </c>
    </row>
    <row r="8" spans="1:49" x14ac:dyDescent="0.3">
      <c r="A8" s="5">
        <v>59</v>
      </c>
      <c r="B8" s="5" t="s">
        <v>43</v>
      </c>
      <c r="C8" s="5" t="str">
        <f t="shared" si="0"/>
        <v>No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 s="5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 s="5">
        <v>2670</v>
      </c>
      <c r="U8">
        <v>9964</v>
      </c>
      <c r="V8">
        <v>4</v>
      </c>
      <c r="W8" t="s">
        <v>42</v>
      </c>
      <c r="X8" t="s">
        <v>35</v>
      </c>
      <c r="Y8" t="str">
        <f t="shared" si="1"/>
        <v>Yes</v>
      </c>
      <c r="Z8">
        <v>20</v>
      </c>
      <c r="AA8">
        <v>4</v>
      </c>
      <c r="AB8">
        <v>1</v>
      </c>
      <c r="AC8">
        <v>80</v>
      </c>
      <c r="AD8">
        <v>3</v>
      </c>
      <c r="AE8" s="5">
        <v>12</v>
      </c>
      <c r="AF8" t="str">
        <f t="shared" si="2"/>
        <v>6-15</v>
      </c>
      <c r="AG8">
        <v>3</v>
      </c>
      <c r="AH8">
        <v>2</v>
      </c>
      <c r="AI8" s="5">
        <v>1</v>
      </c>
      <c r="AJ8">
        <v>0</v>
      </c>
      <c r="AK8">
        <v>0</v>
      </c>
      <c r="AL8">
        <v>0</v>
      </c>
      <c r="AM8" t="str">
        <f t="shared" si="3"/>
        <v>Below Avg</v>
      </c>
      <c r="AN8" s="21">
        <f t="shared" si="4"/>
        <v>28.191126279863482</v>
      </c>
      <c r="AO8" t="str">
        <f t="shared" ca="1" si="5"/>
        <v>No</v>
      </c>
      <c r="AP8" t="str">
        <f t="shared" si="6"/>
        <v>Low Risk</v>
      </c>
    </row>
    <row r="9" spans="1:49" x14ac:dyDescent="0.3">
      <c r="A9" s="5">
        <v>30</v>
      </c>
      <c r="B9" s="5" t="s">
        <v>43</v>
      </c>
      <c r="C9" s="5" t="str">
        <f t="shared" si="0"/>
        <v>No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 s="5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 s="5">
        <v>2693</v>
      </c>
      <c r="U9">
        <v>13335</v>
      </c>
      <c r="V9">
        <v>1</v>
      </c>
      <c r="W9" t="s">
        <v>42</v>
      </c>
      <c r="X9" t="s">
        <v>43</v>
      </c>
      <c r="Y9" t="str">
        <f t="shared" si="1"/>
        <v>No</v>
      </c>
      <c r="Z9">
        <v>22</v>
      </c>
      <c r="AA9">
        <v>4</v>
      </c>
      <c r="AB9">
        <v>2</v>
      </c>
      <c r="AC9">
        <v>80</v>
      </c>
      <c r="AD9">
        <v>1</v>
      </c>
      <c r="AE9" s="5">
        <v>1</v>
      </c>
      <c r="AF9" t="str">
        <f t="shared" si="2"/>
        <v>0-5</v>
      </c>
      <c r="AG9">
        <v>2</v>
      </c>
      <c r="AH9">
        <v>3</v>
      </c>
      <c r="AI9" s="5">
        <v>1</v>
      </c>
      <c r="AJ9">
        <v>0</v>
      </c>
      <c r="AK9">
        <v>0</v>
      </c>
      <c r="AL9">
        <v>0</v>
      </c>
      <c r="AM9" t="str">
        <f t="shared" si="3"/>
        <v>Below Avg</v>
      </c>
      <c r="AN9" s="21">
        <f t="shared" si="4"/>
        <v>28.210382513661202</v>
      </c>
      <c r="AO9" t="str">
        <f t="shared" ca="1" si="5"/>
        <v>No</v>
      </c>
      <c r="AP9" t="str">
        <f t="shared" si="6"/>
        <v>Low Risk</v>
      </c>
    </row>
    <row r="10" spans="1:49" ht="18" x14ac:dyDescent="0.35">
      <c r="A10" s="5">
        <v>38</v>
      </c>
      <c r="B10" s="5" t="s">
        <v>43</v>
      </c>
      <c r="C10" s="5" t="str">
        <f t="shared" si="0"/>
        <v>No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 s="5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 s="5">
        <v>9526</v>
      </c>
      <c r="U10">
        <v>8787</v>
      </c>
      <c r="V10">
        <v>0</v>
      </c>
      <c r="W10" t="s">
        <v>42</v>
      </c>
      <c r="X10" t="s">
        <v>43</v>
      </c>
      <c r="Y10" t="str">
        <f t="shared" si="1"/>
        <v>No</v>
      </c>
      <c r="Z10">
        <v>21</v>
      </c>
      <c r="AA10">
        <v>4</v>
      </c>
      <c r="AB10">
        <v>2</v>
      </c>
      <c r="AC10">
        <v>80</v>
      </c>
      <c r="AD10">
        <v>0</v>
      </c>
      <c r="AE10" s="5">
        <v>10</v>
      </c>
      <c r="AF10" t="str">
        <f t="shared" si="2"/>
        <v>6-15</v>
      </c>
      <c r="AG10">
        <v>2</v>
      </c>
      <c r="AH10">
        <v>3</v>
      </c>
      <c r="AI10" s="5">
        <v>9</v>
      </c>
      <c r="AJ10">
        <v>7</v>
      </c>
      <c r="AK10">
        <v>1</v>
      </c>
      <c r="AL10">
        <v>8</v>
      </c>
      <c r="AM10" t="str">
        <f t="shared" si="3"/>
        <v>Ok</v>
      </c>
      <c r="AN10" s="21">
        <f t="shared" si="4"/>
        <v>28.161312371838687</v>
      </c>
      <c r="AO10" t="str">
        <f t="shared" ca="1" si="5"/>
        <v>No</v>
      </c>
      <c r="AP10" t="str">
        <f t="shared" si="6"/>
        <v>Low Risk</v>
      </c>
      <c r="AU10" s="19" t="s">
        <v>88</v>
      </c>
      <c r="AV10" s="19"/>
      <c r="AW10" s="19"/>
    </row>
    <row r="11" spans="1:49" x14ac:dyDescent="0.3">
      <c r="A11" s="5">
        <v>36</v>
      </c>
      <c r="B11" s="5" t="s">
        <v>43</v>
      </c>
      <c r="C11" s="5" t="str">
        <f t="shared" si="0"/>
        <v>No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 s="5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 s="5">
        <v>5237</v>
      </c>
      <c r="U11">
        <v>16577</v>
      </c>
      <c r="V11">
        <v>6</v>
      </c>
      <c r="W11" t="s">
        <v>42</v>
      </c>
      <c r="X11" t="s">
        <v>43</v>
      </c>
      <c r="Y11" t="str">
        <f t="shared" si="1"/>
        <v>No</v>
      </c>
      <c r="Z11">
        <v>13</v>
      </c>
      <c r="AA11">
        <v>3</v>
      </c>
      <c r="AB11">
        <v>2</v>
      </c>
      <c r="AC11">
        <v>80</v>
      </c>
      <c r="AD11">
        <v>2</v>
      </c>
      <c r="AE11" s="5">
        <v>17</v>
      </c>
      <c r="AF11" t="str">
        <f t="shared" si="2"/>
        <v>&gt;15</v>
      </c>
      <c r="AG11">
        <v>3</v>
      </c>
      <c r="AH11">
        <v>2</v>
      </c>
      <c r="AI11" s="5">
        <v>7</v>
      </c>
      <c r="AJ11">
        <v>7</v>
      </c>
      <c r="AK11">
        <v>7</v>
      </c>
      <c r="AL11">
        <v>7</v>
      </c>
      <c r="AM11" t="str">
        <f t="shared" si="3"/>
        <v>Below Avg</v>
      </c>
      <c r="AN11" s="21">
        <f t="shared" si="4"/>
        <v>28.18057455540356</v>
      </c>
      <c r="AO11" t="str">
        <f t="shared" ca="1" si="5"/>
        <v>No</v>
      </c>
      <c r="AP11" t="str">
        <f t="shared" si="6"/>
        <v>Low Risk</v>
      </c>
      <c r="AU11" s="28" t="s">
        <v>90</v>
      </c>
      <c r="AV11" s="28"/>
    </row>
    <row r="12" spans="1:49" x14ac:dyDescent="0.3">
      <c r="A12" s="5">
        <v>35</v>
      </c>
      <c r="B12" s="5" t="s">
        <v>43</v>
      </c>
      <c r="C12" s="5" t="str">
        <f t="shared" si="0"/>
        <v>No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 s="5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 s="5">
        <v>2426</v>
      </c>
      <c r="U12">
        <v>16479</v>
      </c>
      <c r="V12">
        <v>0</v>
      </c>
      <c r="W12" t="s">
        <v>42</v>
      </c>
      <c r="X12" t="s">
        <v>43</v>
      </c>
      <c r="Y12" t="str">
        <f t="shared" si="1"/>
        <v>No</v>
      </c>
      <c r="Z12">
        <v>13</v>
      </c>
      <c r="AA12">
        <v>3</v>
      </c>
      <c r="AB12">
        <v>3</v>
      </c>
      <c r="AC12">
        <v>80</v>
      </c>
      <c r="AD12">
        <v>1</v>
      </c>
      <c r="AE12" s="5">
        <v>6</v>
      </c>
      <c r="AF12" t="str">
        <f t="shared" si="2"/>
        <v>6-15</v>
      </c>
      <c r="AG12">
        <v>5</v>
      </c>
      <c r="AH12">
        <v>3</v>
      </c>
      <c r="AI12" s="5">
        <v>5</v>
      </c>
      <c r="AJ12">
        <v>4</v>
      </c>
      <c r="AK12">
        <v>0</v>
      </c>
      <c r="AL12">
        <v>3</v>
      </c>
      <c r="AM12" t="str">
        <f t="shared" si="3"/>
        <v>Below Avg</v>
      </c>
      <c r="AN12" s="21">
        <f t="shared" si="4"/>
        <v>28.199863107460644</v>
      </c>
      <c r="AO12" t="str">
        <f t="shared" ca="1" si="5"/>
        <v>No</v>
      </c>
      <c r="AP12" t="str">
        <f t="shared" si="6"/>
        <v>Low Risk</v>
      </c>
      <c r="AU12">
        <f ca="1">AVERAGEIF(B1:B1471,"Yes",T2:T1471)</f>
        <v>6438.7974683544307</v>
      </c>
    </row>
    <row r="13" spans="1:49" x14ac:dyDescent="0.3">
      <c r="A13" s="5">
        <v>29</v>
      </c>
      <c r="B13" s="5" t="s">
        <v>43</v>
      </c>
      <c r="C13" s="5" t="str">
        <f t="shared" si="0"/>
        <v>No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 s="5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 s="5">
        <v>4193</v>
      </c>
      <c r="U13">
        <v>12682</v>
      </c>
      <c r="V13">
        <v>0</v>
      </c>
      <c r="W13" t="s">
        <v>42</v>
      </c>
      <c r="X13" t="s">
        <v>35</v>
      </c>
      <c r="Y13" t="str">
        <f t="shared" si="1"/>
        <v>Yes</v>
      </c>
      <c r="Z13">
        <v>12</v>
      </c>
      <c r="AA13">
        <v>3</v>
      </c>
      <c r="AB13">
        <v>4</v>
      </c>
      <c r="AC13">
        <v>80</v>
      </c>
      <c r="AD13">
        <v>0</v>
      </c>
      <c r="AE13" s="5">
        <v>10</v>
      </c>
      <c r="AF13" t="str">
        <f t="shared" si="2"/>
        <v>6-15</v>
      </c>
      <c r="AG13">
        <v>3</v>
      </c>
      <c r="AH13">
        <v>3</v>
      </c>
      <c r="AI13" s="5">
        <v>9</v>
      </c>
      <c r="AJ13">
        <v>5</v>
      </c>
      <c r="AK13">
        <v>0</v>
      </c>
      <c r="AL13">
        <v>8</v>
      </c>
      <c r="AM13" t="str">
        <f t="shared" si="3"/>
        <v>Below Avg</v>
      </c>
      <c r="AN13" s="21">
        <f t="shared" si="4"/>
        <v>28.219178082191782</v>
      </c>
      <c r="AO13" t="str">
        <f t="shared" ca="1" si="5"/>
        <v>No</v>
      </c>
      <c r="AP13" t="str">
        <f t="shared" si="6"/>
        <v>Low Risk</v>
      </c>
    </row>
    <row r="14" spans="1:49" x14ac:dyDescent="0.3">
      <c r="A14" s="5">
        <v>31</v>
      </c>
      <c r="B14" s="5" t="s">
        <v>43</v>
      </c>
      <c r="C14" s="5" t="str">
        <f t="shared" si="0"/>
        <v>No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 s="5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 s="5">
        <v>2911</v>
      </c>
      <c r="U14">
        <v>15170</v>
      </c>
      <c r="V14">
        <v>1</v>
      </c>
      <c r="W14" t="s">
        <v>42</v>
      </c>
      <c r="X14" t="s">
        <v>43</v>
      </c>
      <c r="Y14" t="str">
        <f t="shared" si="1"/>
        <v>No</v>
      </c>
      <c r="Z14">
        <v>17</v>
      </c>
      <c r="AA14">
        <v>3</v>
      </c>
      <c r="AB14">
        <v>4</v>
      </c>
      <c r="AC14">
        <v>80</v>
      </c>
      <c r="AD14">
        <v>1</v>
      </c>
      <c r="AE14" s="5">
        <v>5</v>
      </c>
      <c r="AF14" t="str">
        <f t="shared" si="2"/>
        <v>0-5</v>
      </c>
      <c r="AG14">
        <v>1</v>
      </c>
      <c r="AH14">
        <v>2</v>
      </c>
      <c r="AI14" s="5">
        <v>5</v>
      </c>
      <c r="AJ14">
        <v>2</v>
      </c>
      <c r="AK14">
        <v>4</v>
      </c>
      <c r="AL14">
        <v>3</v>
      </c>
      <c r="AM14" t="str">
        <f t="shared" si="3"/>
        <v>Below Avg</v>
      </c>
      <c r="AN14" s="21">
        <f t="shared" si="4"/>
        <v>28.238519533927349</v>
      </c>
      <c r="AO14" t="str">
        <f t="shared" ca="1" si="5"/>
        <v>No</v>
      </c>
      <c r="AP14" t="str">
        <f t="shared" si="6"/>
        <v>Low Risk</v>
      </c>
      <c r="AU14" t="s">
        <v>91</v>
      </c>
    </row>
    <row r="15" spans="1:49" x14ac:dyDescent="0.3">
      <c r="A15" s="5">
        <v>34</v>
      </c>
      <c r="B15" s="5" t="s">
        <v>43</v>
      </c>
      <c r="C15" s="5" t="str">
        <f t="shared" si="0"/>
        <v>No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 s="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 s="5">
        <v>2661</v>
      </c>
      <c r="U15">
        <v>8758</v>
      </c>
      <c r="V15">
        <v>0</v>
      </c>
      <c r="W15" t="s">
        <v>42</v>
      </c>
      <c r="X15" t="s">
        <v>43</v>
      </c>
      <c r="Y15" t="str">
        <f t="shared" si="1"/>
        <v>No</v>
      </c>
      <c r="Z15">
        <v>11</v>
      </c>
      <c r="AA15">
        <v>3</v>
      </c>
      <c r="AB15">
        <v>3</v>
      </c>
      <c r="AC15">
        <v>80</v>
      </c>
      <c r="AD15">
        <v>1</v>
      </c>
      <c r="AE15" s="5">
        <v>3</v>
      </c>
      <c r="AF15" t="str">
        <f t="shared" si="2"/>
        <v>0-5</v>
      </c>
      <c r="AG15">
        <v>2</v>
      </c>
      <c r="AH15">
        <v>3</v>
      </c>
      <c r="AI15" s="5">
        <v>2</v>
      </c>
      <c r="AJ15">
        <v>2</v>
      </c>
      <c r="AK15">
        <v>1</v>
      </c>
      <c r="AL15">
        <v>2</v>
      </c>
      <c r="AM15" t="str">
        <f t="shared" si="3"/>
        <v>Below Avg</v>
      </c>
      <c r="AN15" s="21">
        <f t="shared" si="4"/>
        <v>28.189300411522634</v>
      </c>
      <c r="AO15" t="str">
        <f t="shared" ca="1" si="5"/>
        <v>No</v>
      </c>
      <c r="AP15" t="str">
        <f t="shared" si="6"/>
        <v>Low Risk</v>
      </c>
      <c r="AU15">
        <f ca="1">AVERAGEIF(B1:B1471,"No",T2:T1471)</f>
        <v>6515.6826298701299</v>
      </c>
    </row>
    <row r="16" spans="1:49" x14ac:dyDescent="0.3">
      <c r="A16" s="5">
        <v>28</v>
      </c>
      <c r="B16" s="5" t="s">
        <v>35</v>
      </c>
      <c r="C16" s="5" t="str">
        <f t="shared" si="0"/>
        <v>Yes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 s="5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 s="5">
        <v>2028</v>
      </c>
      <c r="U16">
        <v>12947</v>
      </c>
      <c r="V16">
        <v>5</v>
      </c>
      <c r="W16" t="s">
        <v>42</v>
      </c>
      <c r="X16" t="s">
        <v>35</v>
      </c>
      <c r="Y16" t="str">
        <f t="shared" si="1"/>
        <v>Yes</v>
      </c>
      <c r="Z16">
        <v>14</v>
      </c>
      <c r="AA16">
        <v>3</v>
      </c>
      <c r="AB16">
        <v>2</v>
      </c>
      <c r="AC16">
        <v>80</v>
      </c>
      <c r="AD16">
        <v>0</v>
      </c>
      <c r="AE16" s="5">
        <v>6</v>
      </c>
      <c r="AF16" t="str">
        <f t="shared" si="2"/>
        <v>6-15</v>
      </c>
      <c r="AG16">
        <v>4</v>
      </c>
      <c r="AH16">
        <v>3</v>
      </c>
      <c r="AI16" s="5">
        <v>4</v>
      </c>
      <c r="AJ16">
        <v>2</v>
      </c>
      <c r="AK16">
        <v>0</v>
      </c>
      <c r="AL16">
        <v>3</v>
      </c>
      <c r="AM16" t="str">
        <f t="shared" si="3"/>
        <v>Below Avg</v>
      </c>
      <c r="AN16" s="21">
        <f t="shared" si="4"/>
        <v>28.208647906657514</v>
      </c>
      <c r="AO16" t="str">
        <f t="shared" ca="1" si="5"/>
        <v>No</v>
      </c>
      <c r="AP16" t="str">
        <f t="shared" si="6"/>
        <v>Low Risk</v>
      </c>
    </row>
    <row r="17" spans="1:51" x14ac:dyDescent="0.3">
      <c r="A17" s="5">
        <v>29</v>
      </c>
      <c r="B17" s="5" t="s">
        <v>43</v>
      </c>
      <c r="C17" s="5" t="str">
        <f t="shared" si="0"/>
        <v>No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 s="5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 s="5">
        <v>9980</v>
      </c>
      <c r="U17">
        <v>10195</v>
      </c>
      <c r="V17">
        <v>1</v>
      </c>
      <c r="W17" t="s">
        <v>42</v>
      </c>
      <c r="X17" t="s">
        <v>43</v>
      </c>
      <c r="Y17" t="str">
        <f t="shared" si="1"/>
        <v>No</v>
      </c>
      <c r="Z17">
        <v>11</v>
      </c>
      <c r="AA17">
        <v>3</v>
      </c>
      <c r="AB17">
        <v>3</v>
      </c>
      <c r="AC17">
        <v>80</v>
      </c>
      <c r="AD17">
        <v>1</v>
      </c>
      <c r="AE17" s="5">
        <v>10</v>
      </c>
      <c r="AF17" t="str">
        <f t="shared" si="2"/>
        <v>6-15</v>
      </c>
      <c r="AG17">
        <v>1</v>
      </c>
      <c r="AH17">
        <v>3</v>
      </c>
      <c r="AI17" s="5">
        <v>10</v>
      </c>
      <c r="AJ17">
        <v>9</v>
      </c>
      <c r="AK17">
        <v>8</v>
      </c>
      <c r="AL17">
        <v>8</v>
      </c>
      <c r="AM17" t="str">
        <f t="shared" si="3"/>
        <v>Ok</v>
      </c>
      <c r="AN17" s="21">
        <f t="shared" si="4"/>
        <v>28.228021978021978</v>
      </c>
      <c r="AO17" t="str">
        <f t="shared" ca="1" si="5"/>
        <v>No</v>
      </c>
      <c r="AP17" t="str">
        <f t="shared" si="6"/>
        <v>Low Risk</v>
      </c>
    </row>
    <row r="18" spans="1:51" x14ac:dyDescent="0.3">
      <c r="A18" s="5">
        <v>32</v>
      </c>
      <c r="B18" s="5" t="s">
        <v>43</v>
      </c>
      <c r="C18" s="5" t="str">
        <f t="shared" si="0"/>
        <v>No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 s="5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 s="5">
        <v>3298</v>
      </c>
      <c r="U18">
        <v>15053</v>
      </c>
      <c r="V18">
        <v>0</v>
      </c>
      <c r="W18" t="s">
        <v>42</v>
      </c>
      <c r="X18" t="s">
        <v>35</v>
      </c>
      <c r="Y18" t="str">
        <f t="shared" si="1"/>
        <v>Yes</v>
      </c>
      <c r="Z18">
        <v>12</v>
      </c>
      <c r="AA18">
        <v>3</v>
      </c>
      <c r="AB18">
        <v>4</v>
      </c>
      <c r="AC18">
        <v>80</v>
      </c>
      <c r="AD18">
        <v>2</v>
      </c>
      <c r="AE18" s="5">
        <v>7</v>
      </c>
      <c r="AF18" t="str">
        <f t="shared" si="2"/>
        <v>6-15</v>
      </c>
      <c r="AG18">
        <v>5</v>
      </c>
      <c r="AH18">
        <v>2</v>
      </c>
      <c r="AI18" s="5">
        <v>6</v>
      </c>
      <c r="AJ18">
        <v>2</v>
      </c>
      <c r="AK18">
        <v>0</v>
      </c>
      <c r="AL18">
        <v>5</v>
      </c>
      <c r="AM18" t="str">
        <f t="shared" si="3"/>
        <v>Below Avg</v>
      </c>
      <c r="AN18" s="21">
        <f t="shared" si="4"/>
        <v>28.178694158075601</v>
      </c>
      <c r="AO18" t="str">
        <f t="shared" ca="1" si="5"/>
        <v>No</v>
      </c>
      <c r="AP18" t="str">
        <f t="shared" si="6"/>
        <v>Low Risk</v>
      </c>
    </row>
    <row r="19" spans="1:51" ht="18" x14ac:dyDescent="0.35">
      <c r="A19" s="5">
        <v>22</v>
      </c>
      <c r="B19" s="5" t="s">
        <v>43</v>
      </c>
      <c r="C19" s="5" t="str">
        <f t="shared" si="0"/>
        <v>No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 s="5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 s="5">
        <v>2935</v>
      </c>
      <c r="U19">
        <v>7324</v>
      </c>
      <c r="V19">
        <v>1</v>
      </c>
      <c r="W19" t="s">
        <v>42</v>
      </c>
      <c r="X19" t="s">
        <v>35</v>
      </c>
      <c r="Y19" t="str">
        <f t="shared" si="1"/>
        <v>Yes</v>
      </c>
      <c r="Z19">
        <v>13</v>
      </c>
      <c r="AA19">
        <v>3</v>
      </c>
      <c r="AB19">
        <v>2</v>
      </c>
      <c r="AC19">
        <v>80</v>
      </c>
      <c r="AD19">
        <v>2</v>
      </c>
      <c r="AE19" s="5">
        <v>1</v>
      </c>
      <c r="AF19" t="str">
        <f t="shared" si="2"/>
        <v>0-5</v>
      </c>
      <c r="AG19">
        <v>2</v>
      </c>
      <c r="AH19">
        <v>2</v>
      </c>
      <c r="AI19" s="5">
        <v>1</v>
      </c>
      <c r="AJ19">
        <v>0</v>
      </c>
      <c r="AK19">
        <v>0</v>
      </c>
      <c r="AL19">
        <v>0</v>
      </c>
      <c r="AM19" t="str">
        <f t="shared" si="3"/>
        <v>Below Avg</v>
      </c>
      <c r="AN19" s="21">
        <f t="shared" si="4"/>
        <v>28.198074277854197</v>
      </c>
      <c r="AO19" t="str">
        <f t="shared" ca="1" si="5"/>
        <v>No</v>
      </c>
      <c r="AP19" t="str">
        <f t="shared" si="6"/>
        <v>Low Risk</v>
      </c>
      <c r="AU19" s="19" t="s">
        <v>96</v>
      </c>
      <c r="AV19" s="19"/>
      <c r="AW19" s="19"/>
      <c r="AX19" s="19"/>
      <c r="AY19" s="2"/>
    </row>
    <row r="20" spans="1:51" x14ac:dyDescent="0.3">
      <c r="A20" s="5">
        <v>53</v>
      </c>
      <c r="B20" s="5" t="s">
        <v>43</v>
      </c>
      <c r="C20" s="5" t="str">
        <f t="shared" si="0"/>
        <v>No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 s="5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 s="5">
        <v>15427</v>
      </c>
      <c r="U20">
        <v>22021</v>
      </c>
      <c r="V20">
        <v>2</v>
      </c>
      <c r="W20" t="s">
        <v>42</v>
      </c>
      <c r="X20" t="s">
        <v>43</v>
      </c>
      <c r="Y20" t="str">
        <f t="shared" si="1"/>
        <v>No</v>
      </c>
      <c r="Z20">
        <v>16</v>
      </c>
      <c r="AA20">
        <v>3</v>
      </c>
      <c r="AB20">
        <v>3</v>
      </c>
      <c r="AC20">
        <v>80</v>
      </c>
      <c r="AD20">
        <v>0</v>
      </c>
      <c r="AE20" s="5">
        <v>31</v>
      </c>
      <c r="AF20" t="str">
        <f t="shared" si="2"/>
        <v>&gt;15</v>
      </c>
      <c r="AG20">
        <v>3</v>
      </c>
      <c r="AH20">
        <v>3</v>
      </c>
      <c r="AI20" s="5">
        <v>25</v>
      </c>
      <c r="AJ20">
        <v>8</v>
      </c>
      <c r="AK20">
        <v>3</v>
      </c>
      <c r="AL20">
        <v>7</v>
      </c>
      <c r="AM20" t="str">
        <f t="shared" si="3"/>
        <v>Ok</v>
      </c>
      <c r="AN20" s="21">
        <f t="shared" si="4"/>
        <v>28.148657949070888</v>
      </c>
      <c r="AO20" t="str">
        <f t="shared" ca="1" si="5"/>
        <v>No</v>
      </c>
      <c r="AP20" t="str">
        <f t="shared" si="6"/>
        <v>Low Risk</v>
      </c>
    </row>
    <row r="21" spans="1:51" x14ac:dyDescent="0.3">
      <c r="A21" s="5">
        <v>38</v>
      </c>
      <c r="B21" s="5" t="s">
        <v>43</v>
      </c>
      <c r="C21" s="5" t="str">
        <f t="shared" si="0"/>
        <v>No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 s="5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 s="5">
        <v>3944</v>
      </c>
      <c r="U21">
        <v>4306</v>
      </c>
      <c r="V21">
        <v>5</v>
      </c>
      <c r="W21" t="s">
        <v>42</v>
      </c>
      <c r="X21" t="s">
        <v>35</v>
      </c>
      <c r="Y21" t="str">
        <f t="shared" si="1"/>
        <v>Yes</v>
      </c>
      <c r="Z21">
        <v>11</v>
      </c>
      <c r="AA21">
        <v>3</v>
      </c>
      <c r="AB21">
        <v>3</v>
      </c>
      <c r="AC21">
        <v>80</v>
      </c>
      <c r="AD21">
        <v>0</v>
      </c>
      <c r="AE21" s="5">
        <v>6</v>
      </c>
      <c r="AF21" t="str">
        <f t="shared" si="2"/>
        <v>6-15</v>
      </c>
      <c r="AG21">
        <v>3</v>
      </c>
      <c r="AH21">
        <v>3</v>
      </c>
      <c r="AI21" s="5">
        <v>3</v>
      </c>
      <c r="AJ21">
        <v>2</v>
      </c>
      <c r="AK21">
        <v>1</v>
      </c>
      <c r="AL21">
        <v>2</v>
      </c>
      <c r="AM21" t="str">
        <f t="shared" si="3"/>
        <v>Below Avg</v>
      </c>
      <c r="AN21" s="21">
        <f t="shared" si="4"/>
        <v>28.099173553719009</v>
      </c>
      <c r="AO21" t="str">
        <f t="shared" ca="1" si="5"/>
        <v>No</v>
      </c>
      <c r="AP21" t="str">
        <f t="shared" si="6"/>
        <v>Low Risk</v>
      </c>
    </row>
    <row r="22" spans="1:51" x14ac:dyDescent="0.3">
      <c r="A22" s="5">
        <v>24</v>
      </c>
      <c r="B22" s="5" t="s">
        <v>43</v>
      </c>
      <c r="C22" s="5" t="str">
        <f t="shared" si="0"/>
        <v>No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 s="5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 s="5">
        <v>4011</v>
      </c>
      <c r="U22">
        <v>8232</v>
      </c>
      <c r="V22">
        <v>0</v>
      </c>
      <c r="W22" t="s">
        <v>42</v>
      </c>
      <c r="X22" t="s">
        <v>43</v>
      </c>
      <c r="Y22" t="str">
        <f t="shared" si="1"/>
        <v>No</v>
      </c>
      <c r="Z22">
        <v>18</v>
      </c>
      <c r="AA22">
        <v>3</v>
      </c>
      <c r="AB22">
        <v>4</v>
      </c>
      <c r="AC22">
        <v>80</v>
      </c>
      <c r="AD22">
        <v>1</v>
      </c>
      <c r="AE22" s="5">
        <v>5</v>
      </c>
      <c r="AF22" t="str">
        <f t="shared" si="2"/>
        <v>0-5</v>
      </c>
      <c r="AG22">
        <v>5</v>
      </c>
      <c r="AH22">
        <v>2</v>
      </c>
      <c r="AI22" s="5">
        <v>4</v>
      </c>
      <c r="AJ22">
        <v>2</v>
      </c>
      <c r="AK22">
        <v>1</v>
      </c>
      <c r="AL22">
        <v>3</v>
      </c>
      <c r="AM22" t="str">
        <f t="shared" si="3"/>
        <v>Below Avg</v>
      </c>
      <c r="AN22" s="21">
        <f t="shared" si="4"/>
        <v>28.11853893866299</v>
      </c>
      <c r="AO22" t="str">
        <f t="shared" ca="1" si="5"/>
        <v>No</v>
      </c>
      <c r="AP22" t="str">
        <f t="shared" si="6"/>
        <v>Low Risk</v>
      </c>
    </row>
    <row r="23" spans="1:51" x14ac:dyDescent="0.3">
      <c r="A23" s="5">
        <v>36</v>
      </c>
      <c r="B23" s="5" t="s">
        <v>35</v>
      </c>
      <c r="C23" s="5" t="str">
        <f t="shared" si="0"/>
        <v>Yes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 s="5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 s="5">
        <v>3407</v>
      </c>
      <c r="U23">
        <v>6986</v>
      </c>
      <c r="V23">
        <v>7</v>
      </c>
      <c r="W23" t="s">
        <v>42</v>
      </c>
      <c r="X23" t="s">
        <v>43</v>
      </c>
      <c r="Y23" t="str">
        <f t="shared" si="1"/>
        <v>No</v>
      </c>
      <c r="Z23">
        <v>23</v>
      </c>
      <c r="AA23">
        <v>4</v>
      </c>
      <c r="AB23">
        <v>2</v>
      </c>
      <c r="AC23">
        <v>80</v>
      </c>
      <c r="AD23">
        <v>0</v>
      </c>
      <c r="AE23" s="5">
        <v>10</v>
      </c>
      <c r="AF23" t="str">
        <f t="shared" si="2"/>
        <v>6-15</v>
      </c>
      <c r="AG23">
        <v>4</v>
      </c>
      <c r="AH23">
        <v>3</v>
      </c>
      <c r="AI23" s="5">
        <v>5</v>
      </c>
      <c r="AJ23">
        <v>3</v>
      </c>
      <c r="AK23">
        <v>0</v>
      </c>
      <c r="AL23">
        <v>3</v>
      </c>
      <c r="AM23" t="str">
        <f t="shared" si="3"/>
        <v>Below Avg</v>
      </c>
      <c r="AN23" s="21">
        <f t="shared" si="4"/>
        <v>28.068965517241377</v>
      </c>
      <c r="AO23" t="str">
        <f t="shared" ca="1" si="5"/>
        <v>No</v>
      </c>
      <c r="AP23" t="str">
        <f t="shared" si="6"/>
        <v>Low Risk</v>
      </c>
    </row>
    <row r="24" spans="1:51" x14ac:dyDescent="0.3">
      <c r="A24" s="5">
        <v>34</v>
      </c>
      <c r="B24" s="5" t="s">
        <v>43</v>
      </c>
      <c r="C24" s="5" t="str">
        <f t="shared" si="0"/>
        <v>No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 s="5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 s="5">
        <v>11994</v>
      </c>
      <c r="U24">
        <v>21293</v>
      </c>
      <c r="V24">
        <v>0</v>
      </c>
      <c r="W24" t="s">
        <v>42</v>
      </c>
      <c r="X24" t="s">
        <v>43</v>
      </c>
      <c r="Y24" t="str">
        <f t="shared" si="1"/>
        <v>No</v>
      </c>
      <c r="Z24">
        <v>11</v>
      </c>
      <c r="AA24">
        <v>3</v>
      </c>
      <c r="AB24">
        <v>3</v>
      </c>
      <c r="AC24">
        <v>80</v>
      </c>
      <c r="AD24">
        <v>0</v>
      </c>
      <c r="AE24" s="5">
        <v>13</v>
      </c>
      <c r="AF24" t="str">
        <f t="shared" si="2"/>
        <v>6-15</v>
      </c>
      <c r="AG24">
        <v>4</v>
      </c>
      <c r="AH24">
        <v>3</v>
      </c>
      <c r="AI24" s="5">
        <v>12</v>
      </c>
      <c r="AJ24">
        <v>6</v>
      </c>
      <c r="AK24">
        <v>2</v>
      </c>
      <c r="AL24">
        <v>11</v>
      </c>
      <c r="AM24" t="str">
        <f t="shared" si="3"/>
        <v>Ok</v>
      </c>
      <c r="AN24" s="21">
        <f t="shared" si="4"/>
        <v>28.088336783988961</v>
      </c>
      <c r="AO24" t="str">
        <f t="shared" ca="1" si="5"/>
        <v>No</v>
      </c>
      <c r="AP24" t="str">
        <f t="shared" si="6"/>
        <v>Low Risk</v>
      </c>
    </row>
    <row r="25" spans="1:51" x14ac:dyDescent="0.3">
      <c r="A25" s="5">
        <v>21</v>
      </c>
      <c r="B25" s="5" t="s">
        <v>43</v>
      </c>
      <c r="C25" s="5" t="str">
        <f t="shared" si="0"/>
        <v>No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 s="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 s="5">
        <v>1232</v>
      </c>
      <c r="U25">
        <v>19281</v>
      </c>
      <c r="V25">
        <v>1</v>
      </c>
      <c r="W25" t="s">
        <v>42</v>
      </c>
      <c r="X25" t="s">
        <v>43</v>
      </c>
      <c r="Y25" t="str">
        <f t="shared" si="1"/>
        <v>No</v>
      </c>
      <c r="Z25">
        <v>14</v>
      </c>
      <c r="AA25">
        <v>3</v>
      </c>
      <c r="AB25">
        <v>4</v>
      </c>
      <c r="AC25">
        <v>80</v>
      </c>
      <c r="AD25">
        <v>0</v>
      </c>
      <c r="AE25" s="5">
        <v>0</v>
      </c>
      <c r="AF25" t="str">
        <f t="shared" si="2"/>
        <v>0-5</v>
      </c>
      <c r="AG25">
        <v>6</v>
      </c>
      <c r="AH25">
        <v>3</v>
      </c>
      <c r="AI25" s="5">
        <v>0</v>
      </c>
      <c r="AJ25">
        <v>0</v>
      </c>
      <c r="AK25">
        <v>0</v>
      </c>
      <c r="AL25">
        <v>0</v>
      </c>
      <c r="AM25" t="str">
        <f t="shared" si="3"/>
        <v>Below Avg</v>
      </c>
      <c r="AN25" s="21">
        <f t="shared" si="4"/>
        <v>28.107734806629836</v>
      </c>
      <c r="AO25" t="str">
        <f t="shared" ca="1" si="5"/>
        <v>No</v>
      </c>
      <c r="AP25" t="str">
        <f t="shared" si="6"/>
        <v>Low Risk</v>
      </c>
    </row>
    <row r="26" spans="1:51" x14ac:dyDescent="0.3">
      <c r="A26" s="5">
        <v>34</v>
      </c>
      <c r="B26" s="5" t="s">
        <v>35</v>
      </c>
      <c r="C26" s="5" t="str">
        <f t="shared" si="0"/>
        <v>Yes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 s="5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 s="5">
        <v>2960</v>
      </c>
      <c r="U26">
        <v>17102</v>
      </c>
      <c r="V26">
        <v>2</v>
      </c>
      <c r="W26" t="s">
        <v>42</v>
      </c>
      <c r="X26" t="s">
        <v>43</v>
      </c>
      <c r="Y26" t="str">
        <f t="shared" si="1"/>
        <v>No</v>
      </c>
      <c r="Z26">
        <v>11</v>
      </c>
      <c r="AA26">
        <v>3</v>
      </c>
      <c r="AB26">
        <v>3</v>
      </c>
      <c r="AC26">
        <v>80</v>
      </c>
      <c r="AD26">
        <v>0</v>
      </c>
      <c r="AE26" s="5">
        <v>8</v>
      </c>
      <c r="AF26" t="str">
        <f t="shared" si="2"/>
        <v>6-15</v>
      </c>
      <c r="AG26">
        <v>2</v>
      </c>
      <c r="AH26">
        <v>3</v>
      </c>
      <c r="AI26" s="5">
        <v>4</v>
      </c>
      <c r="AJ26">
        <v>2</v>
      </c>
      <c r="AK26">
        <v>1</v>
      </c>
      <c r="AL26">
        <v>3</v>
      </c>
      <c r="AM26" t="str">
        <f t="shared" si="3"/>
        <v>Below Avg</v>
      </c>
      <c r="AN26" s="21">
        <f t="shared" si="4"/>
        <v>28.127159640635796</v>
      </c>
      <c r="AO26" t="str">
        <f t="shared" ca="1" si="5"/>
        <v>No</v>
      </c>
      <c r="AP26" t="str">
        <f t="shared" si="6"/>
        <v>Low Risk</v>
      </c>
    </row>
    <row r="27" spans="1:51" x14ac:dyDescent="0.3">
      <c r="A27" s="5">
        <v>53</v>
      </c>
      <c r="B27" s="5" t="s">
        <v>43</v>
      </c>
      <c r="C27" s="5" t="str">
        <f t="shared" si="0"/>
        <v>No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 s="5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 s="5">
        <v>19094</v>
      </c>
      <c r="U27">
        <v>10735</v>
      </c>
      <c r="V27">
        <v>4</v>
      </c>
      <c r="W27" t="s">
        <v>42</v>
      </c>
      <c r="X27" t="s">
        <v>43</v>
      </c>
      <c r="Y27" t="str">
        <f t="shared" si="1"/>
        <v>No</v>
      </c>
      <c r="Z27">
        <v>11</v>
      </c>
      <c r="AA27">
        <v>3</v>
      </c>
      <c r="AB27">
        <v>4</v>
      </c>
      <c r="AC27">
        <v>80</v>
      </c>
      <c r="AD27">
        <v>1</v>
      </c>
      <c r="AE27" s="5">
        <v>26</v>
      </c>
      <c r="AF27" t="str">
        <f t="shared" si="2"/>
        <v>&gt;15</v>
      </c>
      <c r="AG27">
        <v>3</v>
      </c>
      <c r="AH27">
        <v>2</v>
      </c>
      <c r="AI27" s="5">
        <v>14</v>
      </c>
      <c r="AJ27">
        <v>13</v>
      </c>
      <c r="AK27">
        <v>4</v>
      </c>
      <c r="AL27">
        <v>8</v>
      </c>
      <c r="AM27" t="str">
        <f t="shared" si="3"/>
        <v>Ok</v>
      </c>
      <c r="AN27" s="21">
        <f t="shared" si="4"/>
        <v>28.146611341632088</v>
      </c>
      <c r="AO27" t="str">
        <f t="shared" ca="1" si="5"/>
        <v>No</v>
      </c>
      <c r="AP27" t="str">
        <f t="shared" si="6"/>
        <v>Low Risk</v>
      </c>
    </row>
    <row r="28" spans="1:51" x14ac:dyDescent="0.3">
      <c r="A28" s="5">
        <v>32</v>
      </c>
      <c r="B28" s="5" t="s">
        <v>35</v>
      </c>
      <c r="C28" s="5" t="str">
        <f t="shared" si="0"/>
        <v>Yes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 s="5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 s="5">
        <v>3919</v>
      </c>
      <c r="U28">
        <v>4681</v>
      </c>
      <c r="V28">
        <v>1</v>
      </c>
      <c r="W28" t="s">
        <v>42</v>
      </c>
      <c r="X28" t="s">
        <v>35</v>
      </c>
      <c r="Y28" t="str">
        <f t="shared" si="1"/>
        <v>Yes</v>
      </c>
      <c r="Z28">
        <v>22</v>
      </c>
      <c r="AA28">
        <v>4</v>
      </c>
      <c r="AB28">
        <v>2</v>
      </c>
      <c r="AC28">
        <v>80</v>
      </c>
      <c r="AD28">
        <v>0</v>
      </c>
      <c r="AE28" s="5">
        <v>10</v>
      </c>
      <c r="AF28" t="str">
        <f t="shared" si="2"/>
        <v>6-15</v>
      </c>
      <c r="AG28">
        <v>5</v>
      </c>
      <c r="AH28">
        <v>3</v>
      </c>
      <c r="AI28" s="5">
        <v>10</v>
      </c>
      <c r="AJ28">
        <v>2</v>
      </c>
      <c r="AK28">
        <v>6</v>
      </c>
      <c r="AL28">
        <v>7</v>
      </c>
      <c r="AM28" t="str">
        <f t="shared" si="3"/>
        <v>Below Avg</v>
      </c>
      <c r="AN28" s="21">
        <f t="shared" si="4"/>
        <v>28.166089965397923</v>
      </c>
      <c r="AO28" t="str">
        <f t="shared" ca="1" si="5"/>
        <v>No</v>
      </c>
      <c r="AP28" t="str">
        <f t="shared" si="6"/>
        <v>Low Risk</v>
      </c>
    </row>
    <row r="29" spans="1:51" x14ac:dyDescent="0.3">
      <c r="A29" s="5">
        <v>42</v>
      </c>
      <c r="B29" s="5" t="s">
        <v>43</v>
      </c>
      <c r="C29" s="5" t="str">
        <f t="shared" si="0"/>
        <v>No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 s="5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 s="5">
        <v>6825</v>
      </c>
      <c r="U29">
        <v>21173</v>
      </c>
      <c r="V29">
        <v>0</v>
      </c>
      <c r="W29" t="s">
        <v>42</v>
      </c>
      <c r="X29" t="s">
        <v>43</v>
      </c>
      <c r="Y29" t="str">
        <f t="shared" si="1"/>
        <v>No</v>
      </c>
      <c r="Z29">
        <v>11</v>
      </c>
      <c r="AA29">
        <v>3</v>
      </c>
      <c r="AB29">
        <v>4</v>
      </c>
      <c r="AC29">
        <v>80</v>
      </c>
      <c r="AD29">
        <v>1</v>
      </c>
      <c r="AE29" s="5">
        <v>10</v>
      </c>
      <c r="AF29" t="str">
        <f t="shared" si="2"/>
        <v>6-15</v>
      </c>
      <c r="AG29">
        <v>2</v>
      </c>
      <c r="AH29">
        <v>3</v>
      </c>
      <c r="AI29" s="5">
        <v>9</v>
      </c>
      <c r="AJ29">
        <v>7</v>
      </c>
      <c r="AK29">
        <v>4</v>
      </c>
      <c r="AL29">
        <v>2</v>
      </c>
      <c r="AM29" t="str">
        <f t="shared" si="3"/>
        <v>Below Avg</v>
      </c>
      <c r="AN29" s="21">
        <f t="shared" si="4"/>
        <v>28.185595567867033</v>
      </c>
      <c r="AO29" t="str">
        <f t="shared" ca="1" si="5"/>
        <v>No</v>
      </c>
      <c r="AP29" t="str">
        <f t="shared" si="6"/>
        <v>Low Risk</v>
      </c>
    </row>
    <row r="30" spans="1:51" x14ac:dyDescent="0.3">
      <c r="A30" s="5">
        <v>44</v>
      </c>
      <c r="B30" s="5" t="s">
        <v>43</v>
      </c>
      <c r="C30" s="5" t="str">
        <f t="shared" si="0"/>
        <v>No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 s="5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 s="5">
        <v>10248</v>
      </c>
      <c r="U30">
        <v>2094</v>
      </c>
      <c r="V30">
        <v>3</v>
      </c>
      <c r="W30" t="s">
        <v>42</v>
      </c>
      <c r="X30" t="s">
        <v>43</v>
      </c>
      <c r="Y30" t="str">
        <f t="shared" si="1"/>
        <v>No</v>
      </c>
      <c r="Z30">
        <v>14</v>
      </c>
      <c r="AA30">
        <v>3</v>
      </c>
      <c r="AB30">
        <v>4</v>
      </c>
      <c r="AC30">
        <v>80</v>
      </c>
      <c r="AD30">
        <v>1</v>
      </c>
      <c r="AE30" s="5">
        <v>24</v>
      </c>
      <c r="AF30" t="str">
        <f t="shared" si="2"/>
        <v>&gt;15</v>
      </c>
      <c r="AG30">
        <v>4</v>
      </c>
      <c r="AH30">
        <v>3</v>
      </c>
      <c r="AI30" s="5">
        <v>22</v>
      </c>
      <c r="AJ30">
        <v>6</v>
      </c>
      <c r="AK30">
        <v>5</v>
      </c>
      <c r="AL30">
        <v>17</v>
      </c>
      <c r="AM30" t="str">
        <f t="shared" si="3"/>
        <v>Ok</v>
      </c>
      <c r="AN30" s="21">
        <f t="shared" si="4"/>
        <v>28.135828135828135</v>
      </c>
      <c r="AO30" t="str">
        <f t="shared" ca="1" si="5"/>
        <v>No</v>
      </c>
      <c r="AP30" t="str">
        <f t="shared" si="6"/>
        <v>Low Risk</v>
      </c>
    </row>
    <row r="31" spans="1:51" x14ac:dyDescent="0.3">
      <c r="A31" s="5">
        <v>46</v>
      </c>
      <c r="B31" s="5" t="s">
        <v>43</v>
      </c>
      <c r="C31" s="5" t="str">
        <f t="shared" si="0"/>
        <v>No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 s="5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 s="5">
        <v>18947</v>
      </c>
      <c r="U31">
        <v>22822</v>
      </c>
      <c r="V31">
        <v>3</v>
      </c>
      <c r="W31" t="s">
        <v>42</v>
      </c>
      <c r="X31" t="s">
        <v>43</v>
      </c>
      <c r="Y31" t="str">
        <f t="shared" si="1"/>
        <v>No</v>
      </c>
      <c r="Z31">
        <v>12</v>
      </c>
      <c r="AA31">
        <v>3</v>
      </c>
      <c r="AB31">
        <v>4</v>
      </c>
      <c r="AC31">
        <v>80</v>
      </c>
      <c r="AD31">
        <v>0</v>
      </c>
      <c r="AE31" s="5">
        <v>22</v>
      </c>
      <c r="AF31" t="str">
        <f t="shared" si="2"/>
        <v>&gt;15</v>
      </c>
      <c r="AG31">
        <v>2</v>
      </c>
      <c r="AH31">
        <v>2</v>
      </c>
      <c r="AI31" s="5">
        <v>2</v>
      </c>
      <c r="AJ31">
        <v>2</v>
      </c>
      <c r="AK31">
        <v>2</v>
      </c>
      <c r="AL31">
        <v>1</v>
      </c>
      <c r="AM31" t="str">
        <f t="shared" si="3"/>
        <v>Ok</v>
      </c>
      <c r="AN31" s="21">
        <f t="shared" si="4"/>
        <v>28.155339805825243</v>
      </c>
      <c r="AO31" t="str">
        <f t="shared" ca="1" si="5"/>
        <v>No</v>
      </c>
      <c r="AP31" t="str">
        <f t="shared" si="6"/>
        <v>Low Risk</v>
      </c>
    </row>
    <row r="32" spans="1:51" x14ac:dyDescent="0.3">
      <c r="A32" s="5">
        <v>33</v>
      </c>
      <c r="B32" s="5" t="s">
        <v>43</v>
      </c>
      <c r="C32" s="5" t="str">
        <f t="shared" si="0"/>
        <v>No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 s="5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 s="5">
        <v>2496</v>
      </c>
      <c r="U32">
        <v>6670</v>
      </c>
      <c r="V32">
        <v>4</v>
      </c>
      <c r="W32" t="s">
        <v>42</v>
      </c>
      <c r="X32" t="s">
        <v>43</v>
      </c>
      <c r="Y32" t="str">
        <f t="shared" si="1"/>
        <v>No</v>
      </c>
      <c r="Z32">
        <v>11</v>
      </c>
      <c r="AA32">
        <v>3</v>
      </c>
      <c r="AB32">
        <v>4</v>
      </c>
      <c r="AC32">
        <v>80</v>
      </c>
      <c r="AD32">
        <v>0</v>
      </c>
      <c r="AE32" s="5">
        <v>7</v>
      </c>
      <c r="AF32" t="str">
        <f t="shared" si="2"/>
        <v>6-15</v>
      </c>
      <c r="AG32">
        <v>3</v>
      </c>
      <c r="AH32">
        <v>3</v>
      </c>
      <c r="AI32" s="5">
        <v>1</v>
      </c>
      <c r="AJ32">
        <v>1</v>
      </c>
      <c r="AK32">
        <v>0</v>
      </c>
      <c r="AL32">
        <v>0</v>
      </c>
      <c r="AM32" t="str">
        <f t="shared" si="3"/>
        <v>Below Avg</v>
      </c>
      <c r="AN32" s="21">
        <f t="shared" si="4"/>
        <v>28.174878556557946</v>
      </c>
      <c r="AO32" t="str">
        <f t="shared" ca="1" si="5"/>
        <v>No</v>
      </c>
      <c r="AP32" t="str">
        <f t="shared" si="6"/>
        <v>Low Risk</v>
      </c>
    </row>
    <row r="33" spans="1:42" x14ac:dyDescent="0.3">
      <c r="A33" s="5">
        <v>44</v>
      </c>
      <c r="B33" s="5" t="s">
        <v>43</v>
      </c>
      <c r="C33" s="5" t="str">
        <f t="shared" si="0"/>
        <v>No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 s="5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 s="5">
        <v>6465</v>
      </c>
      <c r="U33">
        <v>19121</v>
      </c>
      <c r="V33">
        <v>2</v>
      </c>
      <c r="W33" t="s">
        <v>42</v>
      </c>
      <c r="X33" t="s">
        <v>35</v>
      </c>
      <c r="Y33" t="str">
        <f t="shared" si="1"/>
        <v>Yes</v>
      </c>
      <c r="Z33">
        <v>13</v>
      </c>
      <c r="AA33">
        <v>3</v>
      </c>
      <c r="AB33">
        <v>4</v>
      </c>
      <c r="AC33">
        <v>80</v>
      </c>
      <c r="AD33">
        <v>0</v>
      </c>
      <c r="AE33" s="5">
        <v>9</v>
      </c>
      <c r="AF33" t="str">
        <f t="shared" si="2"/>
        <v>6-15</v>
      </c>
      <c r="AG33">
        <v>5</v>
      </c>
      <c r="AH33">
        <v>4</v>
      </c>
      <c r="AI33" s="5">
        <v>4</v>
      </c>
      <c r="AJ33">
        <v>2</v>
      </c>
      <c r="AK33">
        <v>1</v>
      </c>
      <c r="AL33">
        <v>3</v>
      </c>
      <c r="AM33" t="str">
        <f t="shared" si="3"/>
        <v>Ok</v>
      </c>
      <c r="AN33" s="21">
        <f t="shared" si="4"/>
        <v>28.194444444444443</v>
      </c>
      <c r="AO33" t="str">
        <f t="shared" ca="1" si="5"/>
        <v>No</v>
      </c>
      <c r="AP33" t="str">
        <f t="shared" si="6"/>
        <v>Low Risk</v>
      </c>
    </row>
    <row r="34" spans="1:42" x14ac:dyDescent="0.3">
      <c r="A34" s="5">
        <v>30</v>
      </c>
      <c r="B34" s="5" t="s">
        <v>43</v>
      </c>
      <c r="C34" s="5" t="str">
        <f t="shared" si="0"/>
        <v>No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 s="5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 s="5">
        <v>2206</v>
      </c>
      <c r="U34">
        <v>16117</v>
      </c>
      <c r="V34">
        <v>1</v>
      </c>
      <c r="W34" t="s">
        <v>42</v>
      </c>
      <c r="X34" t="s">
        <v>43</v>
      </c>
      <c r="Y34" t="str">
        <f t="shared" si="1"/>
        <v>No</v>
      </c>
      <c r="Z34">
        <v>13</v>
      </c>
      <c r="AA34">
        <v>3</v>
      </c>
      <c r="AB34">
        <v>1</v>
      </c>
      <c r="AC34">
        <v>80</v>
      </c>
      <c r="AD34">
        <v>0</v>
      </c>
      <c r="AE34" s="5">
        <v>10</v>
      </c>
      <c r="AF34" t="str">
        <f t="shared" si="2"/>
        <v>6-15</v>
      </c>
      <c r="AG34">
        <v>5</v>
      </c>
      <c r="AH34">
        <v>3</v>
      </c>
      <c r="AI34" s="5">
        <v>10</v>
      </c>
      <c r="AJ34">
        <v>0</v>
      </c>
      <c r="AK34">
        <v>1</v>
      </c>
      <c r="AL34">
        <v>8</v>
      </c>
      <c r="AM34" t="str">
        <f t="shared" si="3"/>
        <v>Below Avg</v>
      </c>
      <c r="AN34" s="21">
        <f t="shared" si="4"/>
        <v>28.214037526059766</v>
      </c>
      <c r="AO34" t="str">
        <f t="shared" ca="1" si="5"/>
        <v>No</v>
      </c>
      <c r="AP34" t="str">
        <f t="shared" si="6"/>
        <v>Low Risk</v>
      </c>
    </row>
    <row r="35" spans="1:42" x14ac:dyDescent="0.3">
      <c r="A35" s="5">
        <v>39</v>
      </c>
      <c r="B35" s="5" t="s">
        <v>35</v>
      </c>
      <c r="C35" s="5" t="str">
        <f t="shared" si="0"/>
        <v>Yes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 s="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 s="5">
        <v>2086</v>
      </c>
      <c r="U35">
        <v>3335</v>
      </c>
      <c r="V35">
        <v>3</v>
      </c>
      <c r="W35" t="s">
        <v>42</v>
      </c>
      <c r="X35" t="s">
        <v>43</v>
      </c>
      <c r="Y35" t="str">
        <f t="shared" si="1"/>
        <v>No</v>
      </c>
      <c r="Z35">
        <v>14</v>
      </c>
      <c r="AA35">
        <v>3</v>
      </c>
      <c r="AB35">
        <v>3</v>
      </c>
      <c r="AC35">
        <v>80</v>
      </c>
      <c r="AD35">
        <v>1</v>
      </c>
      <c r="AE35" s="5">
        <v>19</v>
      </c>
      <c r="AF35" t="str">
        <f t="shared" si="2"/>
        <v>&gt;15</v>
      </c>
      <c r="AG35">
        <v>6</v>
      </c>
      <c r="AH35">
        <v>4</v>
      </c>
      <c r="AI35" s="5">
        <v>1</v>
      </c>
      <c r="AJ35">
        <v>0</v>
      </c>
      <c r="AK35">
        <v>0</v>
      </c>
      <c r="AL35">
        <v>0</v>
      </c>
      <c r="AM35" t="str">
        <f t="shared" si="3"/>
        <v>Below Avg</v>
      </c>
      <c r="AN35" s="21">
        <f t="shared" si="4"/>
        <v>28.164116828929071</v>
      </c>
      <c r="AO35" t="str">
        <f t="shared" ca="1" si="5"/>
        <v>No</v>
      </c>
      <c r="AP35" t="str">
        <f t="shared" si="6"/>
        <v>High Risk</v>
      </c>
    </row>
    <row r="36" spans="1:42" x14ac:dyDescent="0.3">
      <c r="A36" s="5">
        <v>24</v>
      </c>
      <c r="B36" s="5" t="s">
        <v>35</v>
      </c>
      <c r="C36" s="5" t="str">
        <f t="shared" si="0"/>
        <v>Yes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 s="5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 s="5">
        <v>2293</v>
      </c>
      <c r="U36">
        <v>3020</v>
      </c>
      <c r="V36">
        <v>2</v>
      </c>
      <c r="W36" t="s">
        <v>42</v>
      </c>
      <c r="X36" t="s">
        <v>35</v>
      </c>
      <c r="Y36" t="str">
        <f t="shared" si="1"/>
        <v>Yes</v>
      </c>
      <c r="Z36">
        <v>16</v>
      </c>
      <c r="AA36">
        <v>3</v>
      </c>
      <c r="AB36">
        <v>1</v>
      </c>
      <c r="AC36">
        <v>80</v>
      </c>
      <c r="AD36">
        <v>1</v>
      </c>
      <c r="AE36" s="5">
        <v>6</v>
      </c>
      <c r="AF36" t="str">
        <f t="shared" si="2"/>
        <v>6-15</v>
      </c>
      <c r="AG36">
        <v>2</v>
      </c>
      <c r="AH36">
        <v>2</v>
      </c>
      <c r="AI36" s="5">
        <v>2</v>
      </c>
      <c r="AJ36">
        <v>0</v>
      </c>
      <c r="AK36">
        <v>2</v>
      </c>
      <c r="AL36">
        <v>0</v>
      </c>
      <c r="AM36" t="str">
        <f t="shared" si="3"/>
        <v>Below Avg</v>
      </c>
      <c r="AN36" s="21">
        <f t="shared" si="4"/>
        <v>28.183716075156578</v>
      </c>
      <c r="AO36" t="str">
        <f t="shared" ca="1" si="5"/>
        <v>No</v>
      </c>
      <c r="AP36" t="str">
        <f t="shared" si="6"/>
        <v>Low Risk</v>
      </c>
    </row>
    <row r="37" spans="1:42" x14ac:dyDescent="0.3">
      <c r="A37" s="5">
        <v>43</v>
      </c>
      <c r="B37" s="5" t="s">
        <v>43</v>
      </c>
      <c r="C37" s="5" t="str">
        <f t="shared" si="0"/>
        <v>No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 s="5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 s="5">
        <v>2645</v>
      </c>
      <c r="U37">
        <v>21923</v>
      </c>
      <c r="V37">
        <v>1</v>
      </c>
      <c r="W37" t="s">
        <v>42</v>
      </c>
      <c r="X37" t="s">
        <v>43</v>
      </c>
      <c r="Y37" t="str">
        <f t="shared" si="1"/>
        <v>No</v>
      </c>
      <c r="Z37">
        <v>12</v>
      </c>
      <c r="AA37">
        <v>3</v>
      </c>
      <c r="AB37">
        <v>4</v>
      </c>
      <c r="AC37">
        <v>80</v>
      </c>
      <c r="AD37">
        <v>2</v>
      </c>
      <c r="AE37" s="5">
        <v>6</v>
      </c>
      <c r="AF37" t="str">
        <f t="shared" si="2"/>
        <v>6-15</v>
      </c>
      <c r="AG37">
        <v>3</v>
      </c>
      <c r="AH37">
        <v>2</v>
      </c>
      <c r="AI37" s="5">
        <v>5</v>
      </c>
      <c r="AJ37">
        <v>3</v>
      </c>
      <c r="AK37">
        <v>1</v>
      </c>
      <c r="AL37">
        <v>4</v>
      </c>
      <c r="AM37" t="str">
        <f t="shared" si="3"/>
        <v>Below Avg</v>
      </c>
      <c r="AN37" s="21">
        <f t="shared" si="4"/>
        <v>28.203342618384404</v>
      </c>
      <c r="AO37" t="str">
        <f t="shared" ca="1" si="5"/>
        <v>No</v>
      </c>
      <c r="AP37" t="str">
        <f t="shared" si="6"/>
        <v>Low Risk</v>
      </c>
    </row>
    <row r="38" spans="1:42" x14ac:dyDescent="0.3">
      <c r="A38" s="5">
        <v>50</v>
      </c>
      <c r="B38" s="5" t="s">
        <v>35</v>
      </c>
      <c r="C38" s="5" t="str">
        <f t="shared" si="0"/>
        <v>Yes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 s="5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 s="5">
        <v>2683</v>
      </c>
      <c r="U38">
        <v>3810</v>
      </c>
      <c r="V38">
        <v>1</v>
      </c>
      <c r="W38" t="s">
        <v>42</v>
      </c>
      <c r="X38" t="s">
        <v>35</v>
      </c>
      <c r="Y38" t="str">
        <f t="shared" si="1"/>
        <v>Yes</v>
      </c>
      <c r="Z38">
        <v>14</v>
      </c>
      <c r="AA38">
        <v>3</v>
      </c>
      <c r="AB38">
        <v>3</v>
      </c>
      <c r="AC38">
        <v>80</v>
      </c>
      <c r="AD38">
        <v>0</v>
      </c>
      <c r="AE38" s="5">
        <v>3</v>
      </c>
      <c r="AF38" t="str">
        <f t="shared" si="2"/>
        <v>0-5</v>
      </c>
      <c r="AG38">
        <v>2</v>
      </c>
      <c r="AH38">
        <v>3</v>
      </c>
      <c r="AI38" s="5">
        <v>3</v>
      </c>
      <c r="AJ38">
        <v>2</v>
      </c>
      <c r="AK38">
        <v>0</v>
      </c>
      <c r="AL38">
        <v>2</v>
      </c>
      <c r="AM38" t="str">
        <f t="shared" si="3"/>
        <v>Below Avg</v>
      </c>
      <c r="AN38" s="21">
        <f t="shared" si="4"/>
        <v>28.153310104529616</v>
      </c>
      <c r="AO38" t="str">
        <f t="shared" ca="1" si="5"/>
        <v>No</v>
      </c>
      <c r="AP38" t="str">
        <f t="shared" si="6"/>
        <v>Low Risk</v>
      </c>
    </row>
    <row r="39" spans="1:42" x14ac:dyDescent="0.3">
      <c r="A39" s="5">
        <v>35</v>
      </c>
      <c r="B39" s="5" t="s">
        <v>43</v>
      </c>
      <c r="C39" s="5" t="str">
        <f t="shared" si="0"/>
        <v>No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 s="5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 s="5">
        <v>2014</v>
      </c>
      <c r="U39">
        <v>9687</v>
      </c>
      <c r="V39">
        <v>1</v>
      </c>
      <c r="W39" t="s">
        <v>42</v>
      </c>
      <c r="X39" t="s">
        <v>43</v>
      </c>
      <c r="Y39" t="str">
        <f t="shared" si="1"/>
        <v>No</v>
      </c>
      <c r="Z39">
        <v>13</v>
      </c>
      <c r="AA39">
        <v>3</v>
      </c>
      <c r="AB39">
        <v>1</v>
      </c>
      <c r="AC39">
        <v>80</v>
      </c>
      <c r="AD39">
        <v>0</v>
      </c>
      <c r="AE39" s="5">
        <v>2</v>
      </c>
      <c r="AF39" t="str">
        <f t="shared" si="2"/>
        <v>0-5</v>
      </c>
      <c r="AG39">
        <v>3</v>
      </c>
      <c r="AH39">
        <v>3</v>
      </c>
      <c r="AI39" s="5">
        <v>2</v>
      </c>
      <c r="AJ39">
        <v>2</v>
      </c>
      <c r="AK39">
        <v>2</v>
      </c>
      <c r="AL39">
        <v>2</v>
      </c>
      <c r="AM39" t="str">
        <f t="shared" si="3"/>
        <v>Below Avg</v>
      </c>
      <c r="AN39" s="21">
        <f t="shared" si="4"/>
        <v>28.172942817294285</v>
      </c>
      <c r="AO39" t="str">
        <f t="shared" ca="1" si="5"/>
        <v>No</v>
      </c>
      <c r="AP39" t="str">
        <f t="shared" si="6"/>
        <v>Low Risk</v>
      </c>
    </row>
    <row r="40" spans="1:42" x14ac:dyDescent="0.3">
      <c r="A40" s="5">
        <v>36</v>
      </c>
      <c r="B40" s="5" t="s">
        <v>43</v>
      </c>
      <c r="C40" s="5" t="str">
        <f t="shared" si="0"/>
        <v>No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 s="5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 s="5">
        <v>3419</v>
      </c>
      <c r="U40">
        <v>13072</v>
      </c>
      <c r="V40">
        <v>9</v>
      </c>
      <c r="W40" t="s">
        <v>42</v>
      </c>
      <c r="X40" t="s">
        <v>35</v>
      </c>
      <c r="Y40" t="str">
        <f t="shared" si="1"/>
        <v>Yes</v>
      </c>
      <c r="Z40">
        <v>14</v>
      </c>
      <c r="AA40">
        <v>3</v>
      </c>
      <c r="AB40">
        <v>4</v>
      </c>
      <c r="AC40">
        <v>80</v>
      </c>
      <c r="AD40">
        <v>1</v>
      </c>
      <c r="AE40" s="5">
        <v>6</v>
      </c>
      <c r="AF40" t="str">
        <f t="shared" si="2"/>
        <v>6-15</v>
      </c>
      <c r="AG40">
        <v>3</v>
      </c>
      <c r="AH40">
        <v>4</v>
      </c>
      <c r="AI40" s="5">
        <v>1</v>
      </c>
      <c r="AJ40">
        <v>1</v>
      </c>
      <c r="AK40">
        <v>0</v>
      </c>
      <c r="AL40">
        <v>0</v>
      </c>
      <c r="AM40" t="str">
        <f t="shared" si="3"/>
        <v>Below Avg</v>
      </c>
      <c r="AN40" s="21">
        <f t="shared" si="4"/>
        <v>28.122819260293092</v>
      </c>
      <c r="AO40" t="str">
        <f t="shared" ca="1" si="5"/>
        <v>No</v>
      </c>
      <c r="AP40" t="str">
        <f t="shared" si="6"/>
        <v>Low Risk</v>
      </c>
    </row>
    <row r="41" spans="1:42" x14ac:dyDescent="0.3">
      <c r="A41" s="5">
        <v>33</v>
      </c>
      <c r="B41" s="5" t="s">
        <v>43</v>
      </c>
      <c r="C41" s="5" t="str">
        <f t="shared" si="0"/>
        <v>No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 s="5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 s="5">
        <v>5376</v>
      </c>
      <c r="U41">
        <v>3193</v>
      </c>
      <c r="V41">
        <v>2</v>
      </c>
      <c r="W41" t="s">
        <v>42</v>
      </c>
      <c r="X41" t="s">
        <v>43</v>
      </c>
      <c r="Y41" t="str">
        <f t="shared" si="1"/>
        <v>No</v>
      </c>
      <c r="Z41">
        <v>19</v>
      </c>
      <c r="AA41">
        <v>3</v>
      </c>
      <c r="AB41">
        <v>1</v>
      </c>
      <c r="AC41">
        <v>80</v>
      </c>
      <c r="AD41">
        <v>2</v>
      </c>
      <c r="AE41" s="5">
        <v>10</v>
      </c>
      <c r="AF41" t="str">
        <f t="shared" si="2"/>
        <v>6-15</v>
      </c>
      <c r="AG41">
        <v>3</v>
      </c>
      <c r="AH41">
        <v>3</v>
      </c>
      <c r="AI41" s="5">
        <v>5</v>
      </c>
      <c r="AJ41">
        <v>3</v>
      </c>
      <c r="AK41">
        <v>1</v>
      </c>
      <c r="AL41">
        <v>3</v>
      </c>
      <c r="AM41" t="str">
        <f t="shared" si="3"/>
        <v>Below Avg</v>
      </c>
      <c r="AN41" s="21">
        <f t="shared" si="4"/>
        <v>28.14245810055866</v>
      </c>
      <c r="AO41" t="str">
        <f t="shared" ca="1" si="5"/>
        <v>No</v>
      </c>
      <c r="AP41" t="str">
        <f t="shared" si="6"/>
        <v>Low Risk</v>
      </c>
    </row>
    <row r="42" spans="1:42" x14ac:dyDescent="0.3">
      <c r="A42" s="5">
        <v>35</v>
      </c>
      <c r="B42" s="5" t="s">
        <v>43</v>
      </c>
      <c r="C42" s="5" t="str">
        <f t="shared" si="0"/>
        <v>No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 s="5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 s="5">
        <v>1951</v>
      </c>
      <c r="U42">
        <v>10910</v>
      </c>
      <c r="V42">
        <v>1</v>
      </c>
      <c r="W42" t="s">
        <v>42</v>
      </c>
      <c r="X42" t="s">
        <v>43</v>
      </c>
      <c r="Y42" t="str">
        <f t="shared" si="1"/>
        <v>No</v>
      </c>
      <c r="Z42">
        <v>12</v>
      </c>
      <c r="AA42">
        <v>3</v>
      </c>
      <c r="AB42">
        <v>3</v>
      </c>
      <c r="AC42">
        <v>80</v>
      </c>
      <c r="AD42">
        <v>1</v>
      </c>
      <c r="AE42" s="5">
        <v>1</v>
      </c>
      <c r="AF42" t="str">
        <f t="shared" si="2"/>
        <v>0-5</v>
      </c>
      <c r="AG42">
        <v>3</v>
      </c>
      <c r="AH42">
        <v>3</v>
      </c>
      <c r="AI42" s="5">
        <v>1</v>
      </c>
      <c r="AJ42">
        <v>0</v>
      </c>
      <c r="AK42">
        <v>0</v>
      </c>
      <c r="AL42">
        <v>0</v>
      </c>
      <c r="AM42" t="str">
        <f t="shared" si="3"/>
        <v>Below Avg</v>
      </c>
      <c r="AN42" s="21">
        <f t="shared" si="4"/>
        <v>28.092243186582809</v>
      </c>
      <c r="AO42" t="str">
        <f t="shared" ca="1" si="5"/>
        <v>No</v>
      </c>
      <c r="AP42" t="str">
        <f t="shared" si="6"/>
        <v>Low Risk</v>
      </c>
    </row>
    <row r="43" spans="1:42" x14ac:dyDescent="0.3">
      <c r="A43" s="5">
        <v>27</v>
      </c>
      <c r="B43" s="5" t="s">
        <v>43</v>
      </c>
      <c r="C43" s="5" t="str">
        <f t="shared" si="0"/>
        <v>No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 s="5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 s="5">
        <v>2341</v>
      </c>
      <c r="U43">
        <v>19715</v>
      </c>
      <c r="V43">
        <v>1</v>
      </c>
      <c r="W43" t="s">
        <v>42</v>
      </c>
      <c r="X43" t="s">
        <v>43</v>
      </c>
      <c r="Y43" t="str">
        <f t="shared" si="1"/>
        <v>No</v>
      </c>
      <c r="Z43">
        <v>13</v>
      </c>
      <c r="AA43">
        <v>3</v>
      </c>
      <c r="AB43">
        <v>4</v>
      </c>
      <c r="AC43">
        <v>80</v>
      </c>
      <c r="AD43">
        <v>1</v>
      </c>
      <c r="AE43" s="5">
        <v>1</v>
      </c>
      <c r="AF43" t="str">
        <f t="shared" si="2"/>
        <v>0-5</v>
      </c>
      <c r="AG43">
        <v>6</v>
      </c>
      <c r="AH43">
        <v>3</v>
      </c>
      <c r="AI43" s="5">
        <v>1</v>
      </c>
      <c r="AJ43">
        <v>0</v>
      </c>
      <c r="AK43">
        <v>0</v>
      </c>
      <c r="AL43">
        <v>0</v>
      </c>
      <c r="AM43" t="str">
        <f t="shared" si="3"/>
        <v>Below Avg</v>
      </c>
      <c r="AN43" s="21">
        <f t="shared" si="4"/>
        <v>28.11188811188811</v>
      </c>
      <c r="AO43" t="str">
        <f t="shared" ca="1" si="5"/>
        <v>No</v>
      </c>
      <c r="AP43" t="str">
        <f t="shared" si="6"/>
        <v>Low Risk</v>
      </c>
    </row>
    <row r="44" spans="1:42" x14ac:dyDescent="0.3">
      <c r="A44" s="5">
        <v>26</v>
      </c>
      <c r="B44" s="5" t="s">
        <v>35</v>
      </c>
      <c r="C44" s="5" t="str">
        <f t="shared" si="0"/>
        <v>Yes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 s="5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 s="5">
        <v>2293</v>
      </c>
      <c r="U44">
        <v>10558</v>
      </c>
      <c r="V44">
        <v>1</v>
      </c>
      <c r="W44" t="s">
        <v>42</v>
      </c>
      <c r="X44" t="s">
        <v>43</v>
      </c>
      <c r="Y44" t="str">
        <f t="shared" si="1"/>
        <v>No</v>
      </c>
      <c r="Z44">
        <v>12</v>
      </c>
      <c r="AA44">
        <v>3</v>
      </c>
      <c r="AB44">
        <v>3</v>
      </c>
      <c r="AC44">
        <v>80</v>
      </c>
      <c r="AD44">
        <v>0</v>
      </c>
      <c r="AE44" s="5">
        <v>1</v>
      </c>
      <c r="AF44" t="str">
        <f t="shared" si="2"/>
        <v>0-5</v>
      </c>
      <c r="AG44">
        <v>2</v>
      </c>
      <c r="AH44">
        <v>2</v>
      </c>
      <c r="AI44" s="5">
        <v>1</v>
      </c>
      <c r="AJ44">
        <v>0</v>
      </c>
      <c r="AK44">
        <v>0</v>
      </c>
      <c r="AL44">
        <v>1</v>
      </c>
      <c r="AM44" t="str">
        <f t="shared" si="3"/>
        <v>Below Avg</v>
      </c>
      <c r="AN44" s="21">
        <f t="shared" si="4"/>
        <v>28.131560531840449</v>
      </c>
      <c r="AO44" t="str">
        <f t="shared" ca="1" si="5"/>
        <v>No</v>
      </c>
      <c r="AP44" t="str">
        <f t="shared" si="6"/>
        <v>High Risk</v>
      </c>
    </row>
    <row r="45" spans="1:42" x14ac:dyDescent="0.3">
      <c r="A45" s="5">
        <v>27</v>
      </c>
      <c r="B45" s="5" t="s">
        <v>43</v>
      </c>
      <c r="C45" s="5" t="str">
        <f t="shared" si="0"/>
        <v>No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 s="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 s="5">
        <v>8726</v>
      </c>
      <c r="U45">
        <v>2975</v>
      </c>
      <c r="V45">
        <v>1</v>
      </c>
      <c r="W45" t="s">
        <v>42</v>
      </c>
      <c r="X45" t="s">
        <v>43</v>
      </c>
      <c r="Y45" t="str">
        <f t="shared" si="1"/>
        <v>No</v>
      </c>
      <c r="Z45">
        <v>15</v>
      </c>
      <c r="AA45">
        <v>3</v>
      </c>
      <c r="AB45">
        <v>4</v>
      </c>
      <c r="AC45">
        <v>80</v>
      </c>
      <c r="AD45">
        <v>0</v>
      </c>
      <c r="AE45" s="5">
        <v>9</v>
      </c>
      <c r="AF45" t="str">
        <f t="shared" si="2"/>
        <v>6-15</v>
      </c>
      <c r="AG45">
        <v>0</v>
      </c>
      <c r="AH45">
        <v>3</v>
      </c>
      <c r="AI45" s="5">
        <v>9</v>
      </c>
      <c r="AJ45">
        <v>8</v>
      </c>
      <c r="AK45">
        <v>1</v>
      </c>
      <c r="AL45">
        <v>7</v>
      </c>
      <c r="AM45" t="str">
        <f t="shared" si="3"/>
        <v>Ok</v>
      </c>
      <c r="AN45" s="21">
        <f t="shared" si="4"/>
        <v>28.15126050420168</v>
      </c>
      <c r="AO45" t="str">
        <f t="shared" ca="1" si="5"/>
        <v>No</v>
      </c>
      <c r="AP45" t="str">
        <f t="shared" si="6"/>
        <v>Low Risk</v>
      </c>
    </row>
    <row r="46" spans="1:42" x14ac:dyDescent="0.3">
      <c r="A46" s="5">
        <v>30</v>
      </c>
      <c r="B46" s="5" t="s">
        <v>43</v>
      </c>
      <c r="C46" s="5" t="str">
        <f t="shared" si="0"/>
        <v>No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 s="5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 s="5">
        <v>4011</v>
      </c>
      <c r="U46">
        <v>10781</v>
      </c>
      <c r="V46">
        <v>1</v>
      </c>
      <c r="W46" t="s">
        <v>42</v>
      </c>
      <c r="X46" t="s">
        <v>43</v>
      </c>
      <c r="Y46" t="str">
        <f t="shared" si="1"/>
        <v>No</v>
      </c>
      <c r="Z46">
        <v>23</v>
      </c>
      <c r="AA46">
        <v>4</v>
      </c>
      <c r="AB46">
        <v>4</v>
      </c>
      <c r="AC46">
        <v>80</v>
      </c>
      <c r="AD46">
        <v>0</v>
      </c>
      <c r="AE46" s="5">
        <v>12</v>
      </c>
      <c r="AF46" t="str">
        <f t="shared" si="2"/>
        <v>6-15</v>
      </c>
      <c r="AG46">
        <v>2</v>
      </c>
      <c r="AH46">
        <v>3</v>
      </c>
      <c r="AI46" s="5">
        <v>12</v>
      </c>
      <c r="AJ46">
        <v>8</v>
      </c>
      <c r="AK46">
        <v>3</v>
      </c>
      <c r="AL46">
        <v>7</v>
      </c>
      <c r="AM46" t="str">
        <f t="shared" si="3"/>
        <v>Below Avg</v>
      </c>
      <c r="AN46" s="21">
        <f t="shared" si="4"/>
        <v>28.170988086895587</v>
      </c>
      <c r="AO46" t="str">
        <f t="shared" ca="1" si="5"/>
        <v>No</v>
      </c>
      <c r="AP46" t="str">
        <f t="shared" si="6"/>
        <v>Low Risk</v>
      </c>
    </row>
    <row r="47" spans="1:42" x14ac:dyDescent="0.3">
      <c r="A47" s="5">
        <v>41</v>
      </c>
      <c r="B47" s="5" t="s">
        <v>35</v>
      </c>
      <c r="C47" s="5" t="str">
        <f t="shared" si="0"/>
        <v>Yes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 s="5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 s="5">
        <v>19545</v>
      </c>
      <c r="U47">
        <v>16280</v>
      </c>
      <c r="V47">
        <v>1</v>
      </c>
      <c r="W47" t="s">
        <v>42</v>
      </c>
      <c r="X47" t="s">
        <v>43</v>
      </c>
      <c r="Y47" t="str">
        <f t="shared" si="1"/>
        <v>No</v>
      </c>
      <c r="Z47">
        <v>12</v>
      </c>
      <c r="AA47">
        <v>3</v>
      </c>
      <c r="AB47">
        <v>4</v>
      </c>
      <c r="AC47">
        <v>80</v>
      </c>
      <c r="AD47">
        <v>0</v>
      </c>
      <c r="AE47" s="5">
        <v>23</v>
      </c>
      <c r="AF47" t="str">
        <f t="shared" si="2"/>
        <v>&gt;15</v>
      </c>
      <c r="AG47">
        <v>0</v>
      </c>
      <c r="AH47">
        <v>3</v>
      </c>
      <c r="AI47" s="5">
        <v>22</v>
      </c>
      <c r="AJ47">
        <v>15</v>
      </c>
      <c r="AK47">
        <v>15</v>
      </c>
      <c r="AL47">
        <v>8</v>
      </c>
      <c r="AM47" t="str">
        <f t="shared" si="3"/>
        <v>Ok</v>
      </c>
      <c r="AN47" s="21">
        <f t="shared" si="4"/>
        <v>28.190743338008417</v>
      </c>
      <c r="AO47" t="str">
        <f t="shared" ca="1" si="5"/>
        <v>No</v>
      </c>
      <c r="AP47" t="str">
        <f t="shared" si="6"/>
        <v>Low Risk</v>
      </c>
    </row>
    <row r="48" spans="1:42" x14ac:dyDescent="0.3">
      <c r="A48" s="5">
        <v>34</v>
      </c>
      <c r="B48" s="5" t="s">
        <v>43</v>
      </c>
      <c r="C48" s="5" t="str">
        <f t="shared" si="0"/>
        <v>No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 s="5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 s="5">
        <v>4568</v>
      </c>
      <c r="U48">
        <v>10034</v>
      </c>
      <c r="V48">
        <v>0</v>
      </c>
      <c r="W48" t="s">
        <v>42</v>
      </c>
      <c r="X48" t="s">
        <v>43</v>
      </c>
      <c r="Y48" t="str">
        <f t="shared" si="1"/>
        <v>No</v>
      </c>
      <c r="Z48">
        <v>20</v>
      </c>
      <c r="AA48">
        <v>4</v>
      </c>
      <c r="AB48">
        <v>3</v>
      </c>
      <c r="AC48">
        <v>80</v>
      </c>
      <c r="AD48">
        <v>0</v>
      </c>
      <c r="AE48" s="5">
        <v>10</v>
      </c>
      <c r="AF48" t="str">
        <f t="shared" si="2"/>
        <v>6-15</v>
      </c>
      <c r="AG48">
        <v>2</v>
      </c>
      <c r="AH48">
        <v>3</v>
      </c>
      <c r="AI48" s="5">
        <v>9</v>
      </c>
      <c r="AJ48">
        <v>5</v>
      </c>
      <c r="AK48">
        <v>8</v>
      </c>
      <c r="AL48">
        <v>7</v>
      </c>
      <c r="AM48" t="str">
        <f t="shared" si="3"/>
        <v>Below Avg</v>
      </c>
      <c r="AN48" s="21">
        <f t="shared" si="4"/>
        <v>28.210526315789476</v>
      </c>
      <c r="AO48" t="str">
        <f t="shared" ca="1" si="5"/>
        <v>No</v>
      </c>
      <c r="AP48" t="str">
        <f t="shared" si="6"/>
        <v>Low Risk</v>
      </c>
    </row>
    <row r="49" spans="1:42" x14ac:dyDescent="0.3">
      <c r="A49" s="5">
        <v>37</v>
      </c>
      <c r="B49" s="5" t="s">
        <v>43</v>
      </c>
      <c r="C49" s="5" t="str">
        <f t="shared" si="0"/>
        <v>No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 s="5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 s="5">
        <v>3022</v>
      </c>
      <c r="U49">
        <v>10227</v>
      </c>
      <c r="V49">
        <v>4</v>
      </c>
      <c r="W49" t="s">
        <v>42</v>
      </c>
      <c r="X49" t="s">
        <v>43</v>
      </c>
      <c r="Y49" t="str">
        <f t="shared" si="1"/>
        <v>No</v>
      </c>
      <c r="Z49">
        <v>21</v>
      </c>
      <c r="AA49">
        <v>4</v>
      </c>
      <c r="AB49">
        <v>1</v>
      </c>
      <c r="AC49">
        <v>80</v>
      </c>
      <c r="AD49">
        <v>0</v>
      </c>
      <c r="AE49" s="5">
        <v>8</v>
      </c>
      <c r="AF49" t="str">
        <f t="shared" si="2"/>
        <v>6-15</v>
      </c>
      <c r="AG49">
        <v>1</v>
      </c>
      <c r="AH49">
        <v>3</v>
      </c>
      <c r="AI49" s="5">
        <v>1</v>
      </c>
      <c r="AJ49">
        <v>0</v>
      </c>
      <c r="AK49">
        <v>0</v>
      </c>
      <c r="AL49">
        <v>0</v>
      </c>
      <c r="AM49" t="str">
        <f t="shared" si="3"/>
        <v>Below Avg</v>
      </c>
      <c r="AN49" s="21">
        <f t="shared" si="4"/>
        <v>28.230337078651687</v>
      </c>
      <c r="AO49" t="str">
        <f t="shared" ca="1" si="5"/>
        <v>No</v>
      </c>
      <c r="AP49" t="str">
        <f t="shared" si="6"/>
        <v>Low Risk</v>
      </c>
    </row>
    <row r="50" spans="1:42" x14ac:dyDescent="0.3">
      <c r="A50" s="5">
        <v>46</v>
      </c>
      <c r="B50" s="5" t="s">
        <v>43</v>
      </c>
      <c r="C50" s="5" t="str">
        <f t="shared" si="0"/>
        <v>No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 s="5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 s="5">
        <v>5772</v>
      </c>
      <c r="U50">
        <v>20445</v>
      </c>
      <c r="V50">
        <v>4</v>
      </c>
      <c r="W50" t="s">
        <v>42</v>
      </c>
      <c r="X50" t="s">
        <v>35</v>
      </c>
      <c r="Y50" t="str">
        <f t="shared" si="1"/>
        <v>Yes</v>
      </c>
      <c r="Z50">
        <v>21</v>
      </c>
      <c r="AA50">
        <v>4</v>
      </c>
      <c r="AB50">
        <v>3</v>
      </c>
      <c r="AC50">
        <v>80</v>
      </c>
      <c r="AD50">
        <v>0</v>
      </c>
      <c r="AE50" s="5">
        <v>14</v>
      </c>
      <c r="AF50" t="str">
        <f t="shared" si="2"/>
        <v>6-15</v>
      </c>
      <c r="AG50">
        <v>4</v>
      </c>
      <c r="AH50">
        <v>3</v>
      </c>
      <c r="AI50" s="5">
        <v>9</v>
      </c>
      <c r="AJ50">
        <v>6</v>
      </c>
      <c r="AK50">
        <v>0</v>
      </c>
      <c r="AL50">
        <v>8</v>
      </c>
      <c r="AM50" t="str">
        <f t="shared" si="3"/>
        <v>Below Avg</v>
      </c>
      <c r="AN50" s="21">
        <f t="shared" si="4"/>
        <v>28.250175685172174</v>
      </c>
      <c r="AO50" t="str">
        <f t="shared" ca="1" si="5"/>
        <v>No</v>
      </c>
      <c r="AP50" t="str">
        <f t="shared" si="6"/>
        <v>Low Risk</v>
      </c>
    </row>
    <row r="51" spans="1:42" x14ac:dyDescent="0.3">
      <c r="A51" s="5">
        <v>35</v>
      </c>
      <c r="B51" s="5" t="s">
        <v>43</v>
      </c>
      <c r="C51" s="5" t="str">
        <f t="shared" si="0"/>
        <v>No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 s="5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 s="5">
        <v>2269</v>
      </c>
      <c r="U51">
        <v>4892</v>
      </c>
      <c r="V51">
        <v>1</v>
      </c>
      <c r="W51" t="s">
        <v>42</v>
      </c>
      <c r="X51" t="s">
        <v>43</v>
      </c>
      <c r="Y51" t="str">
        <f t="shared" si="1"/>
        <v>No</v>
      </c>
      <c r="Z51">
        <v>19</v>
      </c>
      <c r="AA51">
        <v>3</v>
      </c>
      <c r="AB51">
        <v>4</v>
      </c>
      <c r="AC51">
        <v>80</v>
      </c>
      <c r="AD51">
        <v>0</v>
      </c>
      <c r="AE51" s="5">
        <v>1</v>
      </c>
      <c r="AF51" t="str">
        <f t="shared" si="2"/>
        <v>0-5</v>
      </c>
      <c r="AG51">
        <v>2</v>
      </c>
      <c r="AH51">
        <v>3</v>
      </c>
      <c r="AI51" s="5">
        <v>1</v>
      </c>
      <c r="AJ51">
        <v>0</v>
      </c>
      <c r="AK51">
        <v>0</v>
      </c>
      <c r="AL51">
        <v>1</v>
      </c>
      <c r="AM51" t="str">
        <f t="shared" si="3"/>
        <v>Below Avg</v>
      </c>
      <c r="AN51" s="21">
        <f t="shared" si="4"/>
        <v>28.270042194092827</v>
      </c>
      <c r="AO51" t="str">
        <f t="shared" ca="1" si="5"/>
        <v>No</v>
      </c>
      <c r="AP51" t="str">
        <f t="shared" si="6"/>
        <v>Low Risk</v>
      </c>
    </row>
    <row r="52" spans="1:42" x14ac:dyDescent="0.3">
      <c r="A52" s="5">
        <v>48</v>
      </c>
      <c r="B52" s="5" t="s">
        <v>35</v>
      </c>
      <c r="C52" s="5" t="str">
        <f t="shared" si="0"/>
        <v>Yes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 s="5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 s="5">
        <v>5381</v>
      </c>
      <c r="U52">
        <v>19294</v>
      </c>
      <c r="V52">
        <v>9</v>
      </c>
      <c r="W52" t="s">
        <v>42</v>
      </c>
      <c r="X52" t="s">
        <v>35</v>
      </c>
      <c r="Y52" t="str">
        <f t="shared" si="1"/>
        <v>Yes</v>
      </c>
      <c r="Z52">
        <v>13</v>
      </c>
      <c r="AA52">
        <v>3</v>
      </c>
      <c r="AB52">
        <v>4</v>
      </c>
      <c r="AC52">
        <v>80</v>
      </c>
      <c r="AD52">
        <v>0</v>
      </c>
      <c r="AE52" s="5">
        <v>23</v>
      </c>
      <c r="AF52" t="str">
        <f t="shared" si="2"/>
        <v>&gt;15</v>
      </c>
      <c r="AG52">
        <v>2</v>
      </c>
      <c r="AH52">
        <v>3</v>
      </c>
      <c r="AI52" s="5">
        <v>1</v>
      </c>
      <c r="AJ52">
        <v>0</v>
      </c>
      <c r="AK52">
        <v>0</v>
      </c>
      <c r="AL52">
        <v>0</v>
      </c>
      <c r="AM52" t="str">
        <f t="shared" si="3"/>
        <v>Below Avg</v>
      </c>
      <c r="AN52" s="21">
        <f t="shared" si="4"/>
        <v>28.219563687543982</v>
      </c>
      <c r="AO52" t="str">
        <f t="shared" ca="1" si="5"/>
        <v>No</v>
      </c>
      <c r="AP52" t="str">
        <f t="shared" si="6"/>
        <v>High Risk</v>
      </c>
    </row>
    <row r="53" spans="1:42" x14ac:dyDescent="0.3">
      <c r="A53" s="5">
        <v>28</v>
      </c>
      <c r="B53" s="5" t="s">
        <v>35</v>
      </c>
      <c r="C53" s="5" t="str">
        <f t="shared" si="0"/>
        <v>Yes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 s="5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 s="5">
        <v>3441</v>
      </c>
      <c r="U53">
        <v>11179</v>
      </c>
      <c r="V53">
        <v>1</v>
      </c>
      <c r="W53" t="s">
        <v>42</v>
      </c>
      <c r="X53" t="s">
        <v>35</v>
      </c>
      <c r="Y53" t="str">
        <f t="shared" si="1"/>
        <v>Yes</v>
      </c>
      <c r="Z53">
        <v>13</v>
      </c>
      <c r="AA53">
        <v>3</v>
      </c>
      <c r="AB53">
        <v>3</v>
      </c>
      <c r="AC53">
        <v>80</v>
      </c>
      <c r="AD53">
        <v>0</v>
      </c>
      <c r="AE53" s="5">
        <v>2</v>
      </c>
      <c r="AF53" t="str">
        <f t="shared" si="2"/>
        <v>0-5</v>
      </c>
      <c r="AG53">
        <v>3</v>
      </c>
      <c r="AH53">
        <v>2</v>
      </c>
      <c r="AI53" s="5">
        <v>2</v>
      </c>
      <c r="AJ53">
        <v>2</v>
      </c>
      <c r="AK53">
        <v>2</v>
      </c>
      <c r="AL53">
        <v>2</v>
      </c>
      <c r="AM53" t="str">
        <f t="shared" si="3"/>
        <v>Below Avg</v>
      </c>
      <c r="AN53" s="21">
        <f t="shared" si="4"/>
        <v>28.239436619718312</v>
      </c>
      <c r="AO53" t="str">
        <f t="shared" ca="1" si="5"/>
        <v>No</v>
      </c>
      <c r="AP53" t="str">
        <f t="shared" si="6"/>
        <v>Low Risk</v>
      </c>
    </row>
    <row r="54" spans="1:42" x14ac:dyDescent="0.3">
      <c r="A54" s="5">
        <v>44</v>
      </c>
      <c r="B54" s="5" t="s">
        <v>43</v>
      </c>
      <c r="C54" s="5" t="str">
        <f t="shared" si="0"/>
        <v>No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 s="5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 s="5">
        <v>5454</v>
      </c>
      <c r="U54">
        <v>4009</v>
      </c>
      <c r="V54">
        <v>5</v>
      </c>
      <c r="W54" t="s">
        <v>42</v>
      </c>
      <c r="X54" t="s">
        <v>35</v>
      </c>
      <c r="Y54" t="str">
        <f t="shared" si="1"/>
        <v>Yes</v>
      </c>
      <c r="Z54">
        <v>21</v>
      </c>
      <c r="AA54">
        <v>4</v>
      </c>
      <c r="AB54">
        <v>3</v>
      </c>
      <c r="AC54">
        <v>80</v>
      </c>
      <c r="AD54">
        <v>1</v>
      </c>
      <c r="AE54" s="5">
        <v>9</v>
      </c>
      <c r="AF54" t="str">
        <f t="shared" si="2"/>
        <v>6-15</v>
      </c>
      <c r="AG54">
        <v>2</v>
      </c>
      <c r="AH54">
        <v>2</v>
      </c>
      <c r="AI54" s="5">
        <v>4</v>
      </c>
      <c r="AJ54">
        <v>3</v>
      </c>
      <c r="AK54">
        <v>1</v>
      </c>
      <c r="AL54">
        <v>3</v>
      </c>
      <c r="AM54" t="str">
        <f t="shared" si="3"/>
        <v>Below Avg</v>
      </c>
      <c r="AN54" s="21">
        <f t="shared" si="4"/>
        <v>28.188865398167724</v>
      </c>
      <c r="AO54" t="str">
        <f t="shared" ca="1" si="5"/>
        <v>No</v>
      </c>
      <c r="AP54" t="str">
        <f t="shared" si="6"/>
        <v>Low Risk</v>
      </c>
    </row>
    <row r="55" spans="1:42" x14ac:dyDescent="0.3">
      <c r="A55" s="5">
        <v>35</v>
      </c>
      <c r="B55" s="5" t="s">
        <v>43</v>
      </c>
      <c r="C55" s="5" t="str">
        <f t="shared" si="0"/>
        <v>No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 s="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 s="5">
        <v>9884</v>
      </c>
      <c r="U55">
        <v>8302</v>
      </c>
      <c r="V55">
        <v>2</v>
      </c>
      <c r="W55" t="s">
        <v>42</v>
      </c>
      <c r="X55" t="s">
        <v>35</v>
      </c>
      <c r="Y55" t="str">
        <f t="shared" si="1"/>
        <v>Yes</v>
      </c>
      <c r="Z55">
        <v>13</v>
      </c>
      <c r="AA55">
        <v>3</v>
      </c>
      <c r="AB55">
        <v>3</v>
      </c>
      <c r="AC55">
        <v>80</v>
      </c>
      <c r="AD55">
        <v>1</v>
      </c>
      <c r="AE55" s="5">
        <v>10</v>
      </c>
      <c r="AF55" t="str">
        <f t="shared" si="2"/>
        <v>6-15</v>
      </c>
      <c r="AG55">
        <v>3</v>
      </c>
      <c r="AH55">
        <v>3</v>
      </c>
      <c r="AI55" s="5">
        <v>4</v>
      </c>
      <c r="AJ55">
        <v>0</v>
      </c>
      <c r="AK55">
        <v>2</v>
      </c>
      <c r="AL55">
        <v>3</v>
      </c>
      <c r="AM55" t="str">
        <f t="shared" si="3"/>
        <v>Ok</v>
      </c>
      <c r="AN55" s="21">
        <f t="shared" si="4"/>
        <v>28.138222849083217</v>
      </c>
      <c r="AO55" t="str">
        <f t="shared" ca="1" si="5"/>
        <v>No</v>
      </c>
      <c r="AP55" t="str">
        <f t="shared" si="6"/>
        <v>Low Risk</v>
      </c>
    </row>
    <row r="56" spans="1:42" x14ac:dyDescent="0.3">
      <c r="A56" s="5">
        <v>26</v>
      </c>
      <c r="B56" s="5" t="s">
        <v>43</v>
      </c>
      <c r="C56" s="5" t="str">
        <f t="shared" si="0"/>
        <v>No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 s="5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 s="5">
        <v>4157</v>
      </c>
      <c r="U56">
        <v>21436</v>
      </c>
      <c r="V56">
        <v>7</v>
      </c>
      <c r="W56" t="s">
        <v>42</v>
      </c>
      <c r="X56" t="s">
        <v>35</v>
      </c>
      <c r="Y56" t="str">
        <f t="shared" si="1"/>
        <v>Yes</v>
      </c>
      <c r="Z56">
        <v>19</v>
      </c>
      <c r="AA56">
        <v>3</v>
      </c>
      <c r="AB56">
        <v>3</v>
      </c>
      <c r="AC56">
        <v>80</v>
      </c>
      <c r="AD56">
        <v>1</v>
      </c>
      <c r="AE56" s="5">
        <v>5</v>
      </c>
      <c r="AF56" t="str">
        <f t="shared" si="2"/>
        <v>0-5</v>
      </c>
      <c r="AG56">
        <v>2</v>
      </c>
      <c r="AH56">
        <v>2</v>
      </c>
      <c r="AI56" s="5">
        <v>2</v>
      </c>
      <c r="AJ56">
        <v>2</v>
      </c>
      <c r="AK56">
        <v>0</v>
      </c>
      <c r="AL56">
        <v>0</v>
      </c>
      <c r="AM56" t="str">
        <f t="shared" si="3"/>
        <v>Below Avg</v>
      </c>
      <c r="AN56" s="21">
        <f t="shared" si="4"/>
        <v>28.087508821453778</v>
      </c>
      <c r="AO56" t="str">
        <f t="shared" ca="1" si="5"/>
        <v>No</v>
      </c>
      <c r="AP56" t="str">
        <f t="shared" si="6"/>
        <v>Low Risk</v>
      </c>
    </row>
    <row r="57" spans="1:42" x14ac:dyDescent="0.3">
      <c r="A57" s="5">
        <v>33</v>
      </c>
      <c r="B57" s="5" t="s">
        <v>43</v>
      </c>
      <c r="C57" s="5" t="str">
        <f t="shared" si="0"/>
        <v>No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 s="5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 s="5">
        <v>13458</v>
      </c>
      <c r="U57">
        <v>15146</v>
      </c>
      <c r="V57">
        <v>1</v>
      </c>
      <c r="W57" t="s">
        <v>42</v>
      </c>
      <c r="X57" t="s">
        <v>35</v>
      </c>
      <c r="Y57" t="str">
        <f t="shared" si="1"/>
        <v>Yes</v>
      </c>
      <c r="Z57">
        <v>12</v>
      </c>
      <c r="AA57">
        <v>3</v>
      </c>
      <c r="AB57">
        <v>3</v>
      </c>
      <c r="AC57">
        <v>80</v>
      </c>
      <c r="AD57">
        <v>0</v>
      </c>
      <c r="AE57" s="5">
        <v>15</v>
      </c>
      <c r="AF57" t="str">
        <f t="shared" si="2"/>
        <v>6-15</v>
      </c>
      <c r="AG57">
        <v>1</v>
      </c>
      <c r="AH57">
        <v>3</v>
      </c>
      <c r="AI57" s="5">
        <v>15</v>
      </c>
      <c r="AJ57">
        <v>14</v>
      </c>
      <c r="AK57">
        <v>8</v>
      </c>
      <c r="AL57">
        <v>12</v>
      </c>
      <c r="AM57" t="str">
        <f t="shared" si="3"/>
        <v>Ok</v>
      </c>
      <c r="AN57" s="21">
        <f t="shared" si="4"/>
        <v>28.03672316384181</v>
      </c>
      <c r="AO57" t="str">
        <f t="shared" ca="1" si="5"/>
        <v>No</v>
      </c>
      <c r="AP57" t="str">
        <f t="shared" si="6"/>
        <v>Low Risk</v>
      </c>
    </row>
    <row r="58" spans="1:42" x14ac:dyDescent="0.3">
      <c r="A58" s="5">
        <v>35</v>
      </c>
      <c r="B58" s="5" t="s">
        <v>43</v>
      </c>
      <c r="C58" s="5" t="str">
        <f t="shared" si="0"/>
        <v>No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 s="5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 s="5">
        <v>9069</v>
      </c>
      <c r="U58">
        <v>11031</v>
      </c>
      <c r="V58">
        <v>1</v>
      </c>
      <c r="W58" t="s">
        <v>42</v>
      </c>
      <c r="X58" t="s">
        <v>43</v>
      </c>
      <c r="Y58" t="str">
        <f t="shared" si="1"/>
        <v>No</v>
      </c>
      <c r="Z58">
        <v>22</v>
      </c>
      <c r="AA58">
        <v>4</v>
      </c>
      <c r="AB58">
        <v>4</v>
      </c>
      <c r="AC58">
        <v>80</v>
      </c>
      <c r="AD58">
        <v>1</v>
      </c>
      <c r="AE58" s="5">
        <v>9</v>
      </c>
      <c r="AF58" t="str">
        <f t="shared" si="2"/>
        <v>6-15</v>
      </c>
      <c r="AG58">
        <v>3</v>
      </c>
      <c r="AH58">
        <v>2</v>
      </c>
      <c r="AI58" s="5">
        <v>9</v>
      </c>
      <c r="AJ58">
        <v>8</v>
      </c>
      <c r="AK58">
        <v>1</v>
      </c>
      <c r="AL58">
        <v>8</v>
      </c>
      <c r="AM58" t="str">
        <f t="shared" si="3"/>
        <v>Ok</v>
      </c>
      <c r="AN58" s="21">
        <f t="shared" si="4"/>
        <v>27.985865724381625</v>
      </c>
      <c r="AO58" t="str">
        <f t="shared" ca="1" si="5"/>
        <v>No</v>
      </c>
      <c r="AP58" t="str">
        <f t="shared" si="6"/>
        <v>Low Risk</v>
      </c>
    </row>
    <row r="59" spans="1:42" x14ac:dyDescent="0.3">
      <c r="A59" s="5">
        <v>35</v>
      </c>
      <c r="B59" s="5" t="s">
        <v>43</v>
      </c>
      <c r="C59" s="5" t="str">
        <f t="shared" si="0"/>
        <v>No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 s="5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 s="5">
        <v>4014</v>
      </c>
      <c r="U59">
        <v>16002</v>
      </c>
      <c r="V59">
        <v>3</v>
      </c>
      <c r="W59" t="s">
        <v>42</v>
      </c>
      <c r="X59" t="s">
        <v>35</v>
      </c>
      <c r="Y59" t="str">
        <f t="shared" si="1"/>
        <v>Yes</v>
      </c>
      <c r="Z59">
        <v>15</v>
      </c>
      <c r="AA59">
        <v>3</v>
      </c>
      <c r="AB59">
        <v>3</v>
      </c>
      <c r="AC59">
        <v>80</v>
      </c>
      <c r="AD59">
        <v>1</v>
      </c>
      <c r="AE59" s="5">
        <v>4</v>
      </c>
      <c r="AF59" t="str">
        <f t="shared" si="2"/>
        <v>0-5</v>
      </c>
      <c r="AG59">
        <v>3</v>
      </c>
      <c r="AH59">
        <v>3</v>
      </c>
      <c r="AI59" s="5">
        <v>2</v>
      </c>
      <c r="AJ59">
        <v>2</v>
      </c>
      <c r="AK59">
        <v>2</v>
      </c>
      <c r="AL59">
        <v>2</v>
      </c>
      <c r="AM59" t="str">
        <f t="shared" si="3"/>
        <v>Below Avg</v>
      </c>
      <c r="AN59" s="21">
        <f t="shared" si="4"/>
        <v>27.934936350777935</v>
      </c>
      <c r="AO59" t="str">
        <f t="shared" ca="1" si="5"/>
        <v>No</v>
      </c>
      <c r="AP59" t="str">
        <f t="shared" si="6"/>
        <v>Low Risk</v>
      </c>
    </row>
    <row r="60" spans="1:42" x14ac:dyDescent="0.3">
      <c r="A60" s="5">
        <v>31</v>
      </c>
      <c r="B60" s="5" t="s">
        <v>43</v>
      </c>
      <c r="C60" s="5" t="str">
        <f t="shared" si="0"/>
        <v>No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 s="5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 s="5">
        <v>5915</v>
      </c>
      <c r="U60">
        <v>9528</v>
      </c>
      <c r="V60">
        <v>3</v>
      </c>
      <c r="W60" t="s">
        <v>42</v>
      </c>
      <c r="X60" t="s">
        <v>43</v>
      </c>
      <c r="Y60" t="str">
        <f t="shared" si="1"/>
        <v>No</v>
      </c>
      <c r="Z60">
        <v>22</v>
      </c>
      <c r="AA60">
        <v>4</v>
      </c>
      <c r="AB60">
        <v>4</v>
      </c>
      <c r="AC60">
        <v>80</v>
      </c>
      <c r="AD60">
        <v>1</v>
      </c>
      <c r="AE60" s="5">
        <v>10</v>
      </c>
      <c r="AF60" t="str">
        <f t="shared" si="2"/>
        <v>6-15</v>
      </c>
      <c r="AG60">
        <v>3</v>
      </c>
      <c r="AH60">
        <v>2</v>
      </c>
      <c r="AI60" s="5">
        <v>7</v>
      </c>
      <c r="AJ60">
        <v>7</v>
      </c>
      <c r="AK60">
        <v>1</v>
      </c>
      <c r="AL60">
        <v>7</v>
      </c>
      <c r="AM60" t="str">
        <f t="shared" si="3"/>
        <v>Below Avg</v>
      </c>
      <c r="AN60" s="21">
        <f t="shared" si="4"/>
        <v>27.954706298655342</v>
      </c>
      <c r="AO60" t="str">
        <f t="shared" ca="1" si="5"/>
        <v>No</v>
      </c>
      <c r="AP60" t="str">
        <f t="shared" si="6"/>
        <v>Low Risk</v>
      </c>
    </row>
    <row r="61" spans="1:42" x14ac:dyDescent="0.3">
      <c r="A61" s="5">
        <v>37</v>
      </c>
      <c r="B61" s="5" t="s">
        <v>43</v>
      </c>
      <c r="C61" s="5" t="str">
        <f t="shared" si="0"/>
        <v>No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 s="5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 s="5">
        <v>5993</v>
      </c>
      <c r="U61">
        <v>2689</v>
      </c>
      <c r="V61">
        <v>1</v>
      </c>
      <c r="W61" t="s">
        <v>42</v>
      </c>
      <c r="X61" t="s">
        <v>43</v>
      </c>
      <c r="Y61" t="str">
        <f t="shared" si="1"/>
        <v>No</v>
      </c>
      <c r="Z61">
        <v>18</v>
      </c>
      <c r="AA61">
        <v>3</v>
      </c>
      <c r="AB61">
        <v>3</v>
      </c>
      <c r="AC61">
        <v>80</v>
      </c>
      <c r="AD61">
        <v>1</v>
      </c>
      <c r="AE61" s="5">
        <v>7</v>
      </c>
      <c r="AF61" t="str">
        <f t="shared" si="2"/>
        <v>6-15</v>
      </c>
      <c r="AG61">
        <v>2</v>
      </c>
      <c r="AH61">
        <v>4</v>
      </c>
      <c r="AI61" s="5">
        <v>7</v>
      </c>
      <c r="AJ61">
        <v>5</v>
      </c>
      <c r="AK61">
        <v>0</v>
      </c>
      <c r="AL61">
        <v>7</v>
      </c>
      <c r="AM61" t="str">
        <f t="shared" si="3"/>
        <v>Below Avg</v>
      </c>
      <c r="AN61" s="21">
        <f t="shared" si="4"/>
        <v>27.90368271954674</v>
      </c>
      <c r="AO61" t="str">
        <f t="shared" ca="1" si="5"/>
        <v>No</v>
      </c>
      <c r="AP61" t="str">
        <f t="shared" si="6"/>
        <v>Low Risk</v>
      </c>
    </row>
    <row r="62" spans="1:42" x14ac:dyDescent="0.3">
      <c r="A62" s="5">
        <v>32</v>
      </c>
      <c r="B62" s="5" t="s">
        <v>43</v>
      </c>
      <c r="C62" s="5" t="str">
        <f t="shared" si="0"/>
        <v>No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 s="5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 s="5">
        <v>6162</v>
      </c>
      <c r="U62">
        <v>10877</v>
      </c>
      <c r="V62">
        <v>1</v>
      </c>
      <c r="W62" t="s">
        <v>42</v>
      </c>
      <c r="X62" t="s">
        <v>35</v>
      </c>
      <c r="Y62" t="str">
        <f t="shared" si="1"/>
        <v>Yes</v>
      </c>
      <c r="Z62">
        <v>22</v>
      </c>
      <c r="AA62">
        <v>4</v>
      </c>
      <c r="AB62">
        <v>2</v>
      </c>
      <c r="AC62">
        <v>80</v>
      </c>
      <c r="AD62">
        <v>1</v>
      </c>
      <c r="AE62" s="5">
        <v>9</v>
      </c>
      <c r="AF62" t="str">
        <f t="shared" si="2"/>
        <v>6-15</v>
      </c>
      <c r="AG62">
        <v>3</v>
      </c>
      <c r="AH62">
        <v>3</v>
      </c>
      <c r="AI62" s="5">
        <v>9</v>
      </c>
      <c r="AJ62">
        <v>8</v>
      </c>
      <c r="AK62">
        <v>7</v>
      </c>
      <c r="AL62">
        <v>8</v>
      </c>
      <c r="AM62" t="str">
        <f t="shared" si="3"/>
        <v>Below Avg</v>
      </c>
      <c r="AN62" s="21">
        <f t="shared" si="4"/>
        <v>27.923458540042525</v>
      </c>
      <c r="AO62" t="str">
        <f t="shared" ca="1" si="5"/>
        <v>No</v>
      </c>
      <c r="AP62" t="str">
        <f t="shared" si="6"/>
        <v>Low Risk</v>
      </c>
    </row>
    <row r="63" spans="1:42" x14ac:dyDescent="0.3">
      <c r="A63" s="5">
        <v>38</v>
      </c>
      <c r="B63" s="5" t="s">
        <v>43</v>
      </c>
      <c r="C63" s="5" t="str">
        <f t="shared" si="0"/>
        <v>No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 s="5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 s="5">
        <v>2406</v>
      </c>
      <c r="U63">
        <v>5456</v>
      </c>
      <c r="V63">
        <v>1</v>
      </c>
      <c r="W63" t="s">
        <v>42</v>
      </c>
      <c r="X63" t="s">
        <v>43</v>
      </c>
      <c r="Y63" t="str">
        <f t="shared" si="1"/>
        <v>No</v>
      </c>
      <c r="Z63">
        <v>11</v>
      </c>
      <c r="AA63">
        <v>3</v>
      </c>
      <c r="AB63">
        <v>4</v>
      </c>
      <c r="AC63">
        <v>80</v>
      </c>
      <c r="AD63">
        <v>0</v>
      </c>
      <c r="AE63" s="5">
        <v>10</v>
      </c>
      <c r="AF63" t="str">
        <f t="shared" si="2"/>
        <v>6-15</v>
      </c>
      <c r="AG63">
        <v>2</v>
      </c>
      <c r="AH63">
        <v>3</v>
      </c>
      <c r="AI63" s="5">
        <v>10</v>
      </c>
      <c r="AJ63">
        <v>3</v>
      </c>
      <c r="AK63">
        <v>9</v>
      </c>
      <c r="AL63">
        <v>9</v>
      </c>
      <c r="AM63" t="str">
        <f t="shared" si="3"/>
        <v>Below Avg</v>
      </c>
      <c r="AN63" s="21">
        <f t="shared" si="4"/>
        <v>27.943262411347519</v>
      </c>
      <c r="AO63" t="str">
        <f t="shared" ca="1" si="5"/>
        <v>No</v>
      </c>
      <c r="AP63" t="str">
        <f t="shared" si="6"/>
        <v>Low Risk</v>
      </c>
    </row>
    <row r="64" spans="1:42" x14ac:dyDescent="0.3">
      <c r="A64" s="5">
        <v>50</v>
      </c>
      <c r="B64" s="5" t="s">
        <v>43</v>
      </c>
      <c r="C64" s="5" t="str">
        <f t="shared" si="0"/>
        <v>No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 s="5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 s="5">
        <v>18740</v>
      </c>
      <c r="U64">
        <v>16701</v>
      </c>
      <c r="V64">
        <v>5</v>
      </c>
      <c r="W64" t="s">
        <v>42</v>
      </c>
      <c r="X64" t="s">
        <v>35</v>
      </c>
      <c r="Y64" t="str">
        <f t="shared" si="1"/>
        <v>Yes</v>
      </c>
      <c r="Z64">
        <v>12</v>
      </c>
      <c r="AA64">
        <v>3</v>
      </c>
      <c r="AB64">
        <v>4</v>
      </c>
      <c r="AC64">
        <v>80</v>
      </c>
      <c r="AD64">
        <v>1</v>
      </c>
      <c r="AE64" s="5">
        <v>29</v>
      </c>
      <c r="AF64" t="str">
        <f t="shared" si="2"/>
        <v>&gt;15</v>
      </c>
      <c r="AG64">
        <v>2</v>
      </c>
      <c r="AH64">
        <v>2</v>
      </c>
      <c r="AI64" s="5">
        <v>27</v>
      </c>
      <c r="AJ64">
        <v>3</v>
      </c>
      <c r="AK64">
        <v>13</v>
      </c>
      <c r="AL64">
        <v>8</v>
      </c>
      <c r="AM64" t="str">
        <f t="shared" si="3"/>
        <v>Ok</v>
      </c>
      <c r="AN64" s="21">
        <f t="shared" si="4"/>
        <v>27.892122072391768</v>
      </c>
      <c r="AO64" t="str">
        <f t="shared" ca="1" si="5"/>
        <v>No</v>
      </c>
      <c r="AP64" t="str">
        <f t="shared" si="6"/>
        <v>Low Risk</v>
      </c>
    </row>
    <row r="65" spans="1:42" x14ac:dyDescent="0.3">
      <c r="A65" s="5">
        <v>59</v>
      </c>
      <c r="B65" s="5" t="s">
        <v>43</v>
      </c>
      <c r="C65" s="5" t="str">
        <f t="shared" si="0"/>
        <v>No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 s="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 s="5">
        <v>7637</v>
      </c>
      <c r="U65">
        <v>2354</v>
      </c>
      <c r="V65">
        <v>7</v>
      </c>
      <c r="W65" t="s">
        <v>42</v>
      </c>
      <c r="X65" t="s">
        <v>43</v>
      </c>
      <c r="Y65" t="str">
        <f t="shared" si="1"/>
        <v>No</v>
      </c>
      <c r="Z65">
        <v>11</v>
      </c>
      <c r="AA65">
        <v>3</v>
      </c>
      <c r="AB65">
        <v>4</v>
      </c>
      <c r="AC65">
        <v>80</v>
      </c>
      <c r="AD65">
        <v>0</v>
      </c>
      <c r="AE65" s="5">
        <v>28</v>
      </c>
      <c r="AF65" t="str">
        <f t="shared" si="2"/>
        <v>&gt;15</v>
      </c>
      <c r="AG65">
        <v>3</v>
      </c>
      <c r="AH65">
        <v>2</v>
      </c>
      <c r="AI65" s="5">
        <v>21</v>
      </c>
      <c r="AJ65">
        <v>16</v>
      </c>
      <c r="AK65">
        <v>7</v>
      </c>
      <c r="AL65">
        <v>9</v>
      </c>
      <c r="AM65" t="str">
        <f t="shared" si="3"/>
        <v>Ok</v>
      </c>
      <c r="AN65" s="21">
        <f t="shared" si="4"/>
        <v>27.911931818181817</v>
      </c>
      <c r="AO65" t="str">
        <f t="shared" ca="1" si="5"/>
        <v>No</v>
      </c>
      <c r="AP65" t="str">
        <f t="shared" si="6"/>
        <v>Low Risk</v>
      </c>
    </row>
    <row r="66" spans="1:42" x14ac:dyDescent="0.3">
      <c r="A66" s="5">
        <v>36</v>
      </c>
      <c r="B66" s="5" t="s">
        <v>43</v>
      </c>
      <c r="C66" s="5" t="str">
        <f t="shared" si="0"/>
        <v>No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 s="5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 s="5">
        <v>10096</v>
      </c>
      <c r="U66">
        <v>8202</v>
      </c>
      <c r="V66">
        <v>1</v>
      </c>
      <c r="W66" t="s">
        <v>42</v>
      </c>
      <c r="X66" t="s">
        <v>43</v>
      </c>
      <c r="Y66" t="str">
        <f t="shared" si="1"/>
        <v>No</v>
      </c>
      <c r="Z66">
        <v>13</v>
      </c>
      <c r="AA66">
        <v>3</v>
      </c>
      <c r="AB66">
        <v>2</v>
      </c>
      <c r="AC66">
        <v>80</v>
      </c>
      <c r="AD66">
        <v>3</v>
      </c>
      <c r="AE66" s="5">
        <v>17</v>
      </c>
      <c r="AF66" t="str">
        <f t="shared" si="2"/>
        <v>&gt;15</v>
      </c>
      <c r="AG66">
        <v>2</v>
      </c>
      <c r="AH66">
        <v>3</v>
      </c>
      <c r="AI66" s="5">
        <v>17</v>
      </c>
      <c r="AJ66">
        <v>14</v>
      </c>
      <c r="AK66">
        <v>12</v>
      </c>
      <c r="AL66">
        <v>8</v>
      </c>
      <c r="AM66" t="str">
        <f t="shared" si="3"/>
        <v>Ok</v>
      </c>
      <c r="AN66" s="21">
        <f t="shared" si="4"/>
        <v>27.860696517412936</v>
      </c>
      <c r="AO66" t="str">
        <f t="shared" ca="1" si="5"/>
        <v>No</v>
      </c>
      <c r="AP66" t="str">
        <f t="shared" si="6"/>
        <v>Low Risk</v>
      </c>
    </row>
    <row r="67" spans="1:42" x14ac:dyDescent="0.3">
      <c r="A67" s="5">
        <v>55</v>
      </c>
      <c r="B67" s="5" t="s">
        <v>43</v>
      </c>
      <c r="C67" s="5" t="str">
        <f t="shared" ref="C67:C130" si="7">IF(LOWER(B67)="yes","Yes","No")</f>
        <v>No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 s="5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 s="5">
        <v>14756</v>
      </c>
      <c r="U67">
        <v>19730</v>
      </c>
      <c r="V67">
        <v>2</v>
      </c>
      <c r="W67" t="s">
        <v>42</v>
      </c>
      <c r="X67" t="s">
        <v>35</v>
      </c>
      <c r="Y67" t="str">
        <f t="shared" ref="Y67:Y130" si="8">IF(LOWER(X67)="yes","Yes","No")</f>
        <v>Yes</v>
      </c>
      <c r="Z67">
        <v>14</v>
      </c>
      <c r="AA67">
        <v>3</v>
      </c>
      <c r="AB67">
        <v>3</v>
      </c>
      <c r="AC67">
        <v>80</v>
      </c>
      <c r="AD67">
        <v>3</v>
      </c>
      <c r="AE67" s="5">
        <v>21</v>
      </c>
      <c r="AF67" t="str">
        <f t="shared" ref="AF67:AF130" si="9">IF(AE67&lt;=5,"0-5",IF(AE67&lt;=15,"6-15","&gt;15"))</f>
        <v>&gt;15</v>
      </c>
      <c r="AG67">
        <v>2</v>
      </c>
      <c r="AH67">
        <v>3</v>
      </c>
      <c r="AI67" s="5">
        <v>5</v>
      </c>
      <c r="AJ67">
        <v>0</v>
      </c>
      <c r="AK67">
        <v>0</v>
      </c>
      <c r="AL67">
        <v>2</v>
      </c>
      <c r="AM67" t="str">
        <f t="shared" ref="AM67:AM130" si="10">IF(T67&lt;AVERAGEIF($F66:$F1536,F67,$T66:$T1536),"Below Avg","Ok")</f>
        <v>Ok</v>
      </c>
      <c r="AN67" s="21">
        <f t="shared" ref="AN67:AN130" si="11">COUNTIF(X66:X1536,"Yes")/COUNTA(X66:X1536)*100</f>
        <v>27.880512091038405</v>
      </c>
      <c r="AO67" t="str">
        <f t="shared" ref="AO67:AO130" ca="1" si="12">IF(AND(AA67&gt;=4,Z67&lt;AVERAGEIF($F66:$F1536,F67,$Z67:$Z1536)),"Yes","No")</f>
        <v>No</v>
      </c>
      <c r="AP67" t="str">
        <f t="shared" ref="AP67:AP130" si="13">IF(AND(AI67&lt;2,C67="Yes"),"High Risk","Low Risk")</f>
        <v>Low Risk</v>
      </c>
    </row>
    <row r="68" spans="1:42" x14ac:dyDescent="0.3">
      <c r="A68" s="5">
        <v>36</v>
      </c>
      <c r="B68" s="5" t="s">
        <v>43</v>
      </c>
      <c r="C68" s="5" t="str">
        <f t="shared" si="7"/>
        <v>No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 s="5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 s="5">
        <v>6499</v>
      </c>
      <c r="U68">
        <v>22656</v>
      </c>
      <c r="V68">
        <v>1</v>
      </c>
      <c r="W68" t="s">
        <v>42</v>
      </c>
      <c r="X68" t="s">
        <v>43</v>
      </c>
      <c r="Y68" t="str">
        <f t="shared" si="8"/>
        <v>No</v>
      </c>
      <c r="Z68">
        <v>13</v>
      </c>
      <c r="AA68">
        <v>3</v>
      </c>
      <c r="AB68">
        <v>3</v>
      </c>
      <c r="AC68">
        <v>80</v>
      </c>
      <c r="AD68">
        <v>0</v>
      </c>
      <c r="AE68" s="5">
        <v>6</v>
      </c>
      <c r="AF68" t="str">
        <f t="shared" si="9"/>
        <v>6-15</v>
      </c>
      <c r="AG68">
        <v>3</v>
      </c>
      <c r="AH68">
        <v>3</v>
      </c>
      <c r="AI68" s="5">
        <v>6</v>
      </c>
      <c r="AJ68">
        <v>5</v>
      </c>
      <c r="AK68">
        <v>0</v>
      </c>
      <c r="AL68">
        <v>3</v>
      </c>
      <c r="AM68" t="str">
        <f t="shared" si="10"/>
        <v>Ok</v>
      </c>
      <c r="AN68" s="21">
        <f t="shared" si="11"/>
        <v>27.900355871886124</v>
      </c>
      <c r="AO68" t="str">
        <f t="shared" ca="1" si="12"/>
        <v>No</v>
      </c>
      <c r="AP68" t="str">
        <f t="shared" si="13"/>
        <v>Low Risk</v>
      </c>
    </row>
    <row r="69" spans="1:42" x14ac:dyDescent="0.3">
      <c r="A69" s="5">
        <v>45</v>
      </c>
      <c r="B69" s="5" t="s">
        <v>43</v>
      </c>
      <c r="C69" s="5" t="str">
        <f t="shared" si="7"/>
        <v>No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 s="5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 s="5">
        <v>9724</v>
      </c>
      <c r="U69">
        <v>18787</v>
      </c>
      <c r="V69">
        <v>2</v>
      </c>
      <c r="W69" t="s">
        <v>42</v>
      </c>
      <c r="X69" t="s">
        <v>43</v>
      </c>
      <c r="Y69" t="str">
        <f t="shared" si="8"/>
        <v>No</v>
      </c>
      <c r="Z69">
        <v>17</v>
      </c>
      <c r="AA69">
        <v>3</v>
      </c>
      <c r="AB69">
        <v>3</v>
      </c>
      <c r="AC69">
        <v>80</v>
      </c>
      <c r="AD69">
        <v>1</v>
      </c>
      <c r="AE69" s="5">
        <v>25</v>
      </c>
      <c r="AF69" t="str">
        <f t="shared" si="9"/>
        <v>&gt;15</v>
      </c>
      <c r="AG69">
        <v>2</v>
      </c>
      <c r="AH69">
        <v>3</v>
      </c>
      <c r="AI69" s="5">
        <v>1</v>
      </c>
      <c r="AJ69">
        <v>0</v>
      </c>
      <c r="AK69">
        <v>0</v>
      </c>
      <c r="AL69">
        <v>0</v>
      </c>
      <c r="AM69" t="str">
        <f t="shared" si="10"/>
        <v>Ok</v>
      </c>
      <c r="AN69" s="21">
        <f t="shared" si="11"/>
        <v>27.849002849002847</v>
      </c>
      <c r="AO69" t="str">
        <f t="shared" ca="1" si="12"/>
        <v>No</v>
      </c>
      <c r="AP69" t="str">
        <f t="shared" si="13"/>
        <v>Low Risk</v>
      </c>
    </row>
    <row r="70" spans="1:42" x14ac:dyDescent="0.3">
      <c r="A70" s="5">
        <v>35</v>
      </c>
      <c r="B70" s="5" t="s">
        <v>43</v>
      </c>
      <c r="C70" s="5" t="str">
        <f t="shared" si="7"/>
        <v>No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 s="5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 s="5">
        <v>2194</v>
      </c>
      <c r="U70">
        <v>5868</v>
      </c>
      <c r="V70">
        <v>4</v>
      </c>
      <c r="W70" t="s">
        <v>42</v>
      </c>
      <c r="X70" t="s">
        <v>43</v>
      </c>
      <c r="Y70" t="str">
        <f t="shared" si="8"/>
        <v>No</v>
      </c>
      <c r="Z70">
        <v>13</v>
      </c>
      <c r="AA70">
        <v>3</v>
      </c>
      <c r="AB70">
        <v>4</v>
      </c>
      <c r="AC70">
        <v>80</v>
      </c>
      <c r="AD70">
        <v>1</v>
      </c>
      <c r="AE70" s="5">
        <v>5</v>
      </c>
      <c r="AF70" t="str">
        <f t="shared" si="9"/>
        <v>0-5</v>
      </c>
      <c r="AG70">
        <v>2</v>
      </c>
      <c r="AH70">
        <v>2</v>
      </c>
      <c r="AI70" s="5">
        <v>3</v>
      </c>
      <c r="AJ70">
        <v>2</v>
      </c>
      <c r="AK70">
        <v>1</v>
      </c>
      <c r="AL70">
        <v>2</v>
      </c>
      <c r="AM70" t="str">
        <f t="shared" si="10"/>
        <v>Below Avg</v>
      </c>
      <c r="AN70" s="21">
        <f t="shared" si="11"/>
        <v>27.868852459016392</v>
      </c>
      <c r="AO70" t="str">
        <f t="shared" ca="1" si="12"/>
        <v>No</v>
      </c>
      <c r="AP70" t="str">
        <f t="shared" si="13"/>
        <v>Low Risk</v>
      </c>
    </row>
    <row r="71" spans="1:42" x14ac:dyDescent="0.3">
      <c r="A71" s="5">
        <v>36</v>
      </c>
      <c r="B71" s="5" t="s">
        <v>35</v>
      </c>
      <c r="C71" s="5" t="str">
        <f t="shared" si="7"/>
        <v>Yes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 s="5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 s="5">
        <v>3388</v>
      </c>
      <c r="U71">
        <v>21777</v>
      </c>
      <c r="V71">
        <v>0</v>
      </c>
      <c r="W71" t="s">
        <v>42</v>
      </c>
      <c r="X71" t="s">
        <v>35</v>
      </c>
      <c r="Y71" t="str">
        <f t="shared" si="8"/>
        <v>Yes</v>
      </c>
      <c r="Z71">
        <v>17</v>
      </c>
      <c r="AA71">
        <v>3</v>
      </c>
      <c r="AB71">
        <v>1</v>
      </c>
      <c r="AC71">
        <v>80</v>
      </c>
      <c r="AD71">
        <v>1</v>
      </c>
      <c r="AE71" s="5">
        <v>2</v>
      </c>
      <c r="AF71" t="str">
        <f t="shared" si="9"/>
        <v>0-5</v>
      </c>
      <c r="AG71">
        <v>0</v>
      </c>
      <c r="AH71">
        <v>2</v>
      </c>
      <c r="AI71" s="5">
        <v>1</v>
      </c>
      <c r="AJ71">
        <v>0</v>
      </c>
      <c r="AK71">
        <v>0</v>
      </c>
      <c r="AL71">
        <v>0</v>
      </c>
      <c r="AM71" t="str">
        <f t="shared" si="10"/>
        <v>Below Avg</v>
      </c>
      <c r="AN71" s="21">
        <f t="shared" si="11"/>
        <v>27.888730385164052</v>
      </c>
      <c r="AO71" t="str">
        <f t="shared" ca="1" si="12"/>
        <v>No</v>
      </c>
      <c r="AP71" t="str">
        <f t="shared" si="13"/>
        <v>High Risk</v>
      </c>
    </row>
    <row r="72" spans="1:42" x14ac:dyDescent="0.3">
      <c r="A72" s="5">
        <v>59</v>
      </c>
      <c r="B72" s="5" t="s">
        <v>43</v>
      </c>
      <c r="C72" s="5" t="str">
        <f t="shared" si="7"/>
        <v>No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 s="5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 s="5">
        <v>5473</v>
      </c>
      <c r="U72">
        <v>24668</v>
      </c>
      <c r="V72">
        <v>7</v>
      </c>
      <c r="W72" t="s">
        <v>42</v>
      </c>
      <c r="X72" t="s">
        <v>43</v>
      </c>
      <c r="Y72" t="str">
        <f t="shared" si="8"/>
        <v>No</v>
      </c>
      <c r="Z72">
        <v>11</v>
      </c>
      <c r="AA72">
        <v>3</v>
      </c>
      <c r="AB72">
        <v>4</v>
      </c>
      <c r="AC72">
        <v>80</v>
      </c>
      <c r="AD72">
        <v>0</v>
      </c>
      <c r="AE72" s="5">
        <v>20</v>
      </c>
      <c r="AF72" t="str">
        <f t="shared" si="9"/>
        <v>&gt;15</v>
      </c>
      <c r="AG72">
        <v>2</v>
      </c>
      <c r="AH72">
        <v>2</v>
      </c>
      <c r="AI72" s="5">
        <v>4</v>
      </c>
      <c r="AJ72">
        <v>3</v>
      </c>
      <c r="AK72">
        <v>1</v>
      </c>
      <c r="AL72">
        <v>3</v>
      </c>
      <c r="AM72" t="str">
        <f t="shared" si="10"/>
        <v>Below Avg</v>
      </c>
      <c r="AN72" s="21">
        <f t="shared" si="11"/>
        <v>27.908636688079941</v>
      </c>
      <c r="AO72" t="str">
        <f t="shared" ca="1" si="12"/>
        <v>No</v>
      </c>
      <c r="AP72" t="str">
        <f t="shared" si="13"/>
        <v>Low Risk</v>
      </c>
    </row>
    <row r="73" spans="1:42" x14ac:dyDescent="0.3">
      <c r="A73" s="5">
        <v>29</v>
      </c>
      <c r="B73" s="5" t="s">
        <v>43</v>
      </c>
      <c r="C73" s="5" t="str">
        <f t="shared" si="7"/>
        <v>No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 s="5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 s="5">
        <v>2703</v>
      </c>
      <c r="U73">
        <v>4956</v>
      </c>
      <c r="V73">
        <v>0</v>
      </c>
      <c r="W73" t="s">
        <v>42</v>
      </c>
      <c r="X73" t="s">
        <v>43</v>
      </c>
      <c r="Y73" t="str">
        <f t="shared" si="8"/>
        <v>No</v>
      </c>
      <c r="Z73">
        <v>23</v>
      </c>
      <c r="AA73">
        <v>4</v>
      </c>
      <c r="AB73">
        <v>4</v>
      </c>
      <c r="AC73">
        <v>80</v>
      </c>
      <c r="AD73">
        <v>1</v>
      </c>
      <c r="AE73" s="5">
        <v>6</v>
      </c>
      <c r="AF73" t="str">
        <f t="shared" si="9"/>
        <v>6-15</v>
      </c>
      <c r="AG73">
        <v>3</v>
      </c>
      <c r="AH73">
        <v>3</v>
      </c>
      <c r="AI73" s="5">
        <v>5</v>
      </c>
      <c r="AJ73">
        <v>4</v>
      </c>
      <c r="AK73">
        <v>0</v>
      </c>
      <c r="AL73">
        <v>4</v>
      </c>
      <c r="AM73" t="str">
        <f t="shared" si="10"/>
        <v>Below Avg</v>
      </c>
      <c r="AN73" s="21">
        <f t="shared" si="11"/>
        <v>27.857142857142858</v>
      </c>
      <c r="AO73" t="str">
        <f t="shared" ca="1" si="12"/>
        <v>No</v>
      </c>
      <c r="AP73" t="str">
        <f t="shared" si="13"/>
        <v>Low Risk</v>
      </c>
    </row>
    <row r="74" spans="1:42" x14ac:dyDescent="0.3">
      <c r="A74" s="5">
        <v>31</v>
      </c>
      <c r="B74" s="5" t="s">
        <v>43</v>
      </c>
      <c r="C74" s="5" t="str">
        <f t="shared" si="7"/>
        <v>No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 s="5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 s="5">
        <v>2501</v>
      </c>
      <c r="U74">
        <v>18775</v>
      </c>
      <c r="V74">
        <v>1</v>
      </c>
      <c r="W74" t="s">
        <v>42</v>
      </c>
      <c r="X74" t="s">
        <v>43</v>
      </c>
      <c r="Y74" t="str">
        <f t="shared" si="8"/>
        <v>No</v>
      </c>
      <c r="Z74">
        <v>17</v>
      </c>
      <c r="AA74">
        <v>3</v>
      </c>
      <c r="AB74">
        <v>2</v>
      </c>
      <c r="AC74">
        <v>80</v>
      </c>
      <c r="AD74">
        <v>0</v>
      </c>
      <c r="AE74" s="5">
        <v>1</v>
      </c>
      <c r="AF74" t="str">
        <f t="shared" si="9"/>
        <v>0-5</v>
      </c>
      <c r="AG74">
        <v>4</v>
      </c>
      <c r="AH74">
        <v>3</v>
      </c>
      <c r="AI74" s="5">
        <v>1</v>
      </c>
      <c r="AJ74">
        <v>1</v>
      </c>
      <c r="AK74">
        <v>1</v>
      </c>
      <c r="AL74">
        <v>0</v>
      </c>
      <c r="AM74" t="str">
        <f t="shared" si="10"/>
        <v>Below Avg</v>
      </c>
      <c r="AN74" s="21">
        <f t="shared" si="11"/>
        <v>27.877055039313799</v>
      </c>
      <c r="AO74" t="str">
        <f t="shared" ca="1" si="12"/>
        <v>No</v>
      </c>
      <c r="AP74" t="str">
        <f t="shared" si="13"/>
        <v>Low Risk</v>
      </c>
    </row>
    <row r="75" spans="1:42" x14ac:dyDescent="0.3">
      <c r="A75" s="5">
        <v>32</v>
      </c>
      <c r="B75" s="5" t="s">
        <v>43</v>
      </c>
      <c r="C75" s="5" t="str">
        <f t="shared" si="7"/>
        <v>No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 s="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 s="5">
        <v>6220</v>
      </c>
      <c r="U75">
        <v>7346</v>
      </c>
      <c r="V75">
        <v>1</v>
      </c>
      <c r="W75" t="s">
        <v>42</v>
      </c>
      <c r="X75" t="s">
        <v>43</v>
      </c>
      <c r="Y75" t="str">
        <f t="shared" si="8"/>
        <v>No</v>
      </c>
      <c r="Z75">
        <v>17</v>
      </c>
      <c r="AA75">
        <v>3</v>
      </c>
      <c r="AB75">
        <v>2</v>
      </c>
      <c r="AC75">
        <v>80</v>
      </c>
      <c r="AD75">
        <v>2</v>
      </c>
      <c r="AE75" s="5">
        <v>10</v>
      </c>
      <c r="AF75" t="str">
        <f t="shared" si="9"/>
        <v>6-15</v>
      </c>
      <c r="AG75">
        <v>3</v>
      </c>
      <c r="AH75">
        <v>3</v>
      </c>
      <c r="AI75" s="5">
        <v>10</v>
      </c>
      <c r="AJ75">
        <v>4</v>
      </c>
      <c r="AK75">
        <v>0</v>
      </c>
      <c r="AL75">
        <v>9</v>
      </c>
      <c r="AM75" t="str">
        <f t="shared" si="10"/>
        <v>Below Avg</v>
      </c>
      <c r="AN75" s="21">
        <f t="shared" si="11"/>
        <v>27.896995708154503</v>
      </c>
      <c r="AO75" t="str">
        <f t="shared" ca="1" si="12"/>
        <v>No</v>
      </c>
      <c r="AP75" t="str">
        <f t="shared" si="13"/>
        <v>Low Risk</v>
      </c>
    </row>
    <row r="76" spans="1:42" x14ac:dyDescent="0.3">
      <c r="A76" s="5">
        <v>36</v>
      </c>
      <c r="B76" s="5" t="s">
        <v>43</v>
      </c>
      <c r="C76" s="5" t="str">
        <f t="shared" si="7"/>
        <v>No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 s="5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 s="5">
        <v>3038</v>
      </c>
      <c r="U76">
        <v>22002</v>
      </c>
      <c r="V76">
        <v>3</v>
      </c>
      <c r="W76" t="s">
        <v>42</v>
      </c>
      <c r="X76" t="s">
        <v>43</v>
      </c>
      <c r="Y76" t="str">
        <f t="shared" si="8"/>
        <v>No</v>
      </c>
      <c r="Z76">
        <v>12</v>
      </c>
      <c r="AA76">
        <v>3</v>
      </c>
      <c r="AB76">
        <v>2</v>
      </c>
      <c r="AC76">
        <v>80</v>
      </c>
      <c r="AD76">
        <v>0</v>
      </c>
      <c r="AE76" s="5">
        <v>5</v>
      </c>
      <c r="AF76" t="str">
        <f t="shared" si="9"/>
        <v>0-5</v>
      </c>
      <c r="AG76">
        <v>3</v>
      </c>
      <c r="AH76">
        <v>3</v>
      </c>
      <c r="AI76" s="5">
        <v>1</v>
      </c>
      <c r="AJ76">
        <v>0</v>
      </c>
      <c r="AK76">
        <v>0</v>
      </c>
      <c r="AL76">
        <v>0</v>
      </c>
      <c r="AM76" t="str">
        <f t="shared" si="10"/>
        <v>Below Avg</v>
      </c>
      <c r="AN76" s="21">
        <f t="shared" si="11"/>
        <v>27.91696492483894</v>
      </c>
      <c r="AO76" t="str">
        <f t="shared" ca="1" si="12"/>
        <v>No</v>
      </c>
      <c r="AP76" t="str">
        <f t="shared" si="13"/>
        <v>Low Risk</v>
      </c>
    </row>
    <row r="77" spans="1:42" x14ac:dyDescent="0.3">
      <c r="A77" s="5">
        <v>31</v>
      </c>
      <c r="B77" s="5" t="s">
        <v>43</v>
      </c>
      <c r="C77" s="5" t="str">
        <f t="shared" si="7"/>
        <v>No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 s="5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 s="5">
        <v>4424</v>
      </c>
      <c r="U77">
        <v>20682</v>
      </c>
      <c r="V77">
        <v>1</v>
      </c>
      <c r="W77" t="s">
        <v>42</v>
      </c>
      <c r="X77" t="s">
        <v>43</v>
      </c>
      <c r="Y77" t="str">
        <f t="shared" si="8"/>
        <v>No</v>
      </c>
      <c r="Z77">
        <v>23</v>
      </c>
      <c r="AA77">
        <v>4</v>
      </c>
      <c r="AB77">
        <v>4</v>
      </c>
      <c r="AC77">
        <v>80</v>
      </c>
      <c r="AD77">
        <v>0</v>
      </c>
      <c r="AE77" s="5">
        <v>11</v>
      </c>
      <c r="AF77" t="str">
        <f t="shared" si="9"/>
        <v>6-15</v>
      </c>
      <c r="AG77">
        <v>2</v>
      </c>
      <c r="AH77">
        <v>3</v>
      </c>
      <c r="AI77" s="5">
        <v>11</v>
      </c>
      <c r="AJ77">
        <v>7</v>
      </c>
      <c r="AK77">
        <v>1</v>
      </c>
      <c r="AL77">
        <v>8</v>
      </c>
      <c r="AM77" t="str">
        <f t="shared" si="10"/>
        <v>Below Avg</v>
      </c>
      <c r="AN77" s="21">
        <f t="shared" si="11"/>
        <v>27.936962750716333</v>
      </c>
      <c r="AO77" t="str">
        <f t="shared" ca="1" si="12"/>
        <v>No</v>
      </c>
      <c r="AP77" t="str">
        <f t="shared" si="13"/>
        <v>Low Risk</v>
      </c>
    </row>
    <row r="78" spans="1:42" x14ac:dyDescent="0.3">
      <c r="A78" s="5">
        <v>35</v>
      </c>
      <c r="B78" s="5" t="s">
        <v>43</v>
      </c>
      <c r="C78" s="5" t="str">
        <f t="shared" si="7"/>
        <v>No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 s="5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 s="5">
        <v>4312</v>
      </c>
      <c r="U78">
        <v>23016</v>
      </c>
      <c r="V78">
        <v>0</v>
      </c>
      <c r="W78" t="s">
        <v>42</v>
      </c>
      <c r="X78" t="s">
        <v>43</v>
      </c>
      <c r="Y78" t="str">
        <f t="shared" si="8"/>
        <v>No</v>
      </c>
      <c r="Z78">
        <v>14</v>
      </c>
      <c r="AA78">
        <v>3</v>
      </c>
      <c r="AB78">
        <v>2</v>
      </c>
      <c r="AC78">
        <v>80</v>
      </c>
      <c r="AD78">
        <v>0</v>
      </c>
      <c r="AE78" s="5">
        <v>16</v>
      </c>
      <c r="AF78" t="str">
        <f t="shared" si="9"/>
        <v>&gt;15</v>
      </c>
      <c r="AG78">
        <v>2</v>
      </c>
      <c r="AH78">
        <v>3</v>
      </c>
      <c r="AI78" s="5">
        <v>15</v>
      </c>
      <c r="AJ78">
        <v>13</v>
      </c>
      <c r="AK78">
        <v>2</v>
      </c>
      <c r="AL78">
        <v>8</v>
      </c>
      <c r="AM78" t="str">
        <f t="shared" si="10"/>
        <v>Below Avg</v>
      </c>
      <c r="AN78" s="21">
        <f t="shared" si="11"/>
        <v>27.956989247311824</v>
      </c>
      <c r="AO78" t="str">
        <f t="shared" ca="1" si="12"/>
        <v>No</v>
      </c>
      <c r="AP78" t="str">
        <f t="shared" si="13"/>
        <v>Low Risk</v>
      </c>
    </row>
    <row r="79" spans="1:42" x14ac:dyDescent="0.3">
      <c r="A79" s="5">
        <v>45</v>
      </c>
      <c r="B79" s="5" t="s">
        <v>43</v>
      </c>
      <c r="C79" s="5" t="str">
        <f t="shared" si="7"/>
        <v>No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 s="5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 s="5">
        <v>13245</v>
      </c>
      <c r="U79">
        <v>15067</v>
      </c>
      <c r="V79">
        <v>4</v>
      </c>
      <c r="W79" t="s">
        <v>42</v>
      </c>
      <c r="X79" t="s">
        <v>35</v>
      </c>
      <c r="Y79" t="str">
        <f t="shared" si="8"/>
        <v>Yes</v>
      </c>
      <c r="Z79">
        <v>14</v>
      </c>
      <c r="AA79">
        <v>3</v>
      </c>
      <c r="AB79">
        <v>2</v>
      </c>
      <c r="AC79">
        <v>80</v>
      </c>
      <c r="AD79">
        <v>0</v>
      </c>
      <c r="AE79" s="5">
        <v>17</v>
      </c>
      <c r="AF79" t="str">
        <f t="shared" si="9"/>
        <v>&gt;15</v>
      </c>
      <c r="AG79">
        <v>3</v>
      </c>
      <c r="AH79">
        <v>4</v>
      </c>
      <c r="AI79" s="5">
        <v>0</v>
      </c>
      <c r="AJ79">
        <v>0</v>
      </c>
      <c r="AK79">
        <v>0</v>
      </c>
      <c r="AL79">
        <v>0</v>
      </c>
      <c r="AM79" t="str">
        <f t="shared" si="10"/>
        <v>Ok</v>
      </c>
      <c r="AN79" s="21">
        <f t="shared" si="11"/>
        <v>27.977044476327116</v>
      </c>
      <c r="AO79" t="str">
        <f t="shared" ca="1" si="12"/>
        <v>No</v>
      </c>
      <c r="AP79" t="str">
        <f t="shared" si="13"/>
        <v>Low Risk</v>
      </c>
    </row>
    <row r="80" spans="1:42" x14ac:dyDescent="0.3">
      <c r="A80" s="5">
        <v>37</v>
      </c>
      <c r="B80" s="5" t="s">
        <v>43</v>
      </c>
      <c r="C80" s="5" t="str">
        <f t="shared" si="7"/>
        <v>No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 s="5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 s="5">
        <v>13664</v>
      </c>
      <c r="U80">
        <v>25258</v>
      </c>
      <c r="V80">
        <v>4</v>
      </c>
      <c r="W80" t="s">
        <v>42</v>
      </c>
      <c r="X80" t="s">
        <v>43</v>
      </c>
      <c r="Y80" t="str">
        <f t="shared" si="8"/>
        <v>No</v>
      </c>
      <c r="Z80">
        <v>13</v>
      </c>
      <c r="AA80">
        <v>3</v>
      </c>
      <c r="AB80">
        <v>1</v>
      </c>
      <c r="AC80">
        <v>80</v>
      </c>
      <c r="AD80">
        <v>0</v>
      </c>
      <c r="AE80" s="5">
        <v>16</v>
      </c>
      <c r="AF80" t="str">
        <f t="shared" si="9"/>
        <v>&gt;15</v>
      </c>
      <c r="AG80">
        <v>3</v>
      </c>
      <c r="AH80">
        <v>4</v>
      </c>
      <c r="AI80" s="5">
        <v>5</v>
      </c>
      <c r="AJ80">
        <v>2</v>
      </c>
      <c r="AK80">
        <v>0</v>
      </c>
      <c r="AL80">
        <v>2</v>
      </c>
      <c r="AM80" t="str">
        <f t="shared" si="10"/>
        <v>Ok</v>
      </c>
      <c r="AN80" s="21">
        <f t="shared" si="11"/>
        <v>27.997128499641061</v>
      </c>
      <c r="AO80" t="str">
        <f t="shared" ca="1" si="12"/>
        <v>No</v>
      </c>
      <c r="AP80" t="str">
        <f t="shared" si="13"/>
        <v>Low Risk</v>
      </c>
    </row>
    <row r="81" spans="1:42" x14ac:dyDescent="0.3">
      <c r="A81" s="5">
        <v>46</v>
      </c>
      <c r="B81" s="5" t="s">
        <v>43</v>
      </c>
      <c r="C81" s="5" t="str">
        <f t="shared" si="7"/>
        <v>No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 s="5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 s="5">
        <v>5021</v>
      </c>
      <c r="U81">
        <v>10425</v>
      </c>
      <c r="V81">
        <v>8</v>
      </c>
      <c r="W81" t="s">
        <v>42</v>
      </c>
      <c r="X81" t="s">
        <v>35</v>
      </c>
      <c r="Y81" t="str">
        <f t="shared" si="8"/>
        <v>Yes</v>
      </c>
      <c r="Z81">
        <v>22</v>
      </c>
      <c r="AA81">
        <v>4</v>
      </c>
      <c r="AB81">
        <v>4</v>
      </c>
      <c r="AC81">
        <v>80</v>
      </c>
      <c r="AD81">
        <v>1</v>
      </c>
      <c r="AE81" s="5">
        <v>16</v>
      </c>
      <c r="AF81" t="str">
        <f t="shared" si="9"/>
        <v>&gt;15</v>
      </c>
      <c r="AG81">
        <v>2</v>
      </c>
      <c r="AH81">
        <v>3</v>
      </c>
      <c r="AI81" s="5">
        <v>4</v>
      </c>
      <c r="AJ81">
        <v>2</v>
      </c>
      <c r="AK81">
        <v>0</v>
      </c>
      <c r="AL81">
        <v>2</v>
      </c>
      <c r="AM81" t="str">
        <f t="shared" si="10"/>
        <v>Below Avg</v>
      </c>
      <c r="AN81" s="21">
        <f t="shared" si="11"/>
        <v>27.945402298850574</v>
      </c>
      <c r="AO81" t="str">
        <f t="shared" ca="1" si="12"/>
        <v>No</v>
      </c>
      <c r="AP81" t="str">
        <f t="shared" si="13"/>
        <v>Low Risk</v>
      </c>
    </row>
    <row r="82" spans="1:42" x14ac:dyDescent="0.3">
      <c r="A82" s="5">
        <v>30</v>
      </c>
      <c r="B82" s="5" t="s">
        <v>43</v>
      </c>
      <c r="C82" s="5" t="str">
        <f t="shared" si="7"/>
        <v>No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 s="5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 s="5">
        <v>5126</v>
      </c>
      <c r="U82">
        <v>15998</v>
      </c>
      <c r="V82">
        <v>1</v>
      </c>
      <c r="W82" t="s">
        <v>42</v>
      </c>
      <c r="X82" t="s">
        <v>35</v>
      </c>
      <c r="Y82" t="str">
        <f t="shared" si="8"/>
        <v>Yes</v>
      </c>
      <c r="Z82">
        <v>12</v>
      </c>
      <c r="AA82">
        <v>3</v>
      </c>
      <c r="AB82">
        <v>3</v>
      </c>
      <c r="AC82">
        <v>80</v>
      </c>
      <c r="AD82">
        <v>2</v>
      </c>
      <c r="AE82" s="5">
        <v>10</v>
      </c>
      <c r="AF82" t="str">
        <f t="shared" si="9"/>
        <v>6-15</v>
      </c>
      <c r="AG82">
        <v>1</v>
      </c>
      <c r="AH82">
        <v>2</v>
      </c>
      <c r="AI82" s="5">
        <v>10</v>
      </c>
      <c r="AJ82">
        <v>8</v>
      </c>
      <c r="AK82">
        <v>3</v>
      </c>
      <c r="AL82">
        <v>0</v>
      </c>
      <c r="AM82" t="str">
        <f t="shared" si="10"/>
        <v>Below Avg</v>
      </c>
      <c r="AN82" s="21">
        <f t="shared" si="11"/>
        <v>27.965492451473761</v>
      </c>
      <c r="AO82" t="str">
        <f t="shared" ca="1" si="12"/>
        <v>No</v>
      </c>
      <c r="AP82" t="str">
        <f t="shared" si="13"/>
        <v>Low Risk</v>
      </c>
    </row>
    <row r="83" spans="1:42" x14ac:dyDescent="0.3">
      <c r="A83" s="5">
        <v>35</v>
      </c>
      <c r="B83" s="5" t="s">
        <v>43</v>
      </c>
      <c r="C83" s="5" t="str">
        <f t="shared" si="7"/>
        <v>No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 s="5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 s="5">
        <v>2859</v>
      </c>
      <c r="U83">
        <v>26278</v>
      </c>
      <c r="V83">
        <v>1</v>
      </c>
      <c r="W83" t="s">
        <v>42</v>
      </c>
      <c r="X83" t="s">
        <v>43</v>
      </c>
      <c r="Y83" t="str">
        <f t="shared" si="8"/>
        <v>No</v>
      </c>
      <c r="Z83">
        <v>18</v>
      </c>
      <c r="AA83">
        <v>3</v>
      </c>
      <c r="AB83">
        <v>1</v>
      </c>
      <c r="AC83">
        <v>80</v>
      </c>
      <c r="AD83">
        <v>0</v>
      </c>
      <c r="AE83" s="5">
        <v>6</v>
      </c>
      <c r="AF83" t="str">
        <f t="shared" si="9"/>
        <v>6-15</v>
      </c>
      <c r="AG83">
        <v>3</v>
      </c>
      <c r="AH83">
        <v>3</v>
      </c>
      <c r="AI83" s="5">
        <v>6</v>
      </c>
      <c r="AJ83">
        <v>4</v>
      </c>
      <c r="AK83">
        <v>0</v>
      </c>
      <c r="AL83">
        <v>4</v>
      </c>
      <c r="AM83" t="str">
        <f t="shared" si="10"/>
        <v>Below Avg</v>
      </c>
      <c r="AN83" s="21">
        <f t="shared" si="11"/>
        <v>27.913669064748202</v>
      </c>
      <c r="AO83" t="str">
        <f t="shared" ca="1" si="12"/>
        <v>No</v>
      </c>
      <c r="AP83" t="str">
        <f t="shared" si="13"/>
        <v>Low Risk</v>
      </c>
    </row>
    <row r="84" spans="1:42" x14ac:dyDescent="0.3">
      <c r="A84" s="5">
        <v>55</v>
      </c>
      <c r="B84" s="5" t="s">
        <v>43</v>
      </c>
      <c r="C84" s="5" t="str">
        <f t="shared" si="7"/>
        <v>No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 s="5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 s="5">
        <v>10239</v>
      </c>
      <c r="U84">
        <v>18092</v>
      </c>
      <c r="V84">
        <v>3</v>
      </c>
      <c r="W84" t="s">
        <v>42</v>
      </c>
      <c r="X84" t="s">
        <v>43</v>
      </c>
      <c r="Y84" t="str">
        <f t="shared" si="8"/>
        <v>No</v>
      </c>
      <c r="Z84">
        <v>14</v>
      </c>
      <c r="AA84">
        <v>3</v>
      </c>
      <c r="AB84">
        <v>4</v>
      </c>
      <c r="AC84">
        <v>80</v>
      </c>
      <c r="AD84">
        <v>1</v>
      </c>
      <c r="AE84" s="5">
        <v>24</v>
      </c>
      <c r="AF84" t="str">
        <f t="shared" si="9"/>
        <v>&gt;15</v>
      </c>
      <c r="AG84">
        <v>4</v>
      </c>
      <c r="AH84">
        <v>3</v>
      </c>
      <c r="AI84" s="5">
        <v>1</v>
      </c>
      <c r="AJ84">
        <v>0</v>
      </c>
      <c r="AK84">
        <v>1</v>
      </c>
      <c r="AL84">
        <v>0</v>
      </c>
      <c r="AM84" t="str">
        <f t="shared" si="10"/>
        <v>Ok</v>
      </c>
      <c r="AN84" s="21">
        <f t="shared" si="11"/>
        <v>27.861771058315334</v>
      </c>
      <c r="AO84" t="str">
        <f t="shared" ca="1" si="12"/>
        <v>No</v>
      </c>
      <c r="AP84" t="str">
        <f t="shared" si="13"/>
        <v>Low Risk</v>
      </c>
    </row>
    <row r="85" spans="1:42" x14ac:dyDescent="0.3">
      <c r="A85" s="5">
        <v>38</v>
      </c>
      <c r="B85" s="5" t="s">
        <v>43</v>
      </c>
      <c r="C85" s="5" t="str">
        <f t="shared" si="7"/>
        <v>No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 s="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 s="5">
        <v>5329</v>
      </c>
      <c r="U85">
        <v>15717</v>
      </c>
      <c r="V85">
        <v>7</v>
      </c>
      <c r="W85" t="s">
        <v>42</v>
      </c>
      <c r="X85" t="s">
        <v>35</v>
      </c>
      <c r="Y85" t="str">
        <f t="shared" si="8"/>
        <v>Yes</v>
      </c>
      <c r="Z85">
        <v>12</v>
      </c>
      <c r="AA85">
        <v>3</v>
      </c>
      <c r="AB85">
        <v>4</v>
      </c>
      <c r="AC85">
        <v>80</v>
      </c>
      <c r="AD85">
        <v>3</v>
      </c>
      <c r="AE85" s="5">
        <v>17</v>
      </c>
      <c r="AF85" t="str">
        <f t="shared" si="9"/>
        <v>&gt;15</v>
      </c>
      <c r="AG85">
        <v>3</v>
      </c>
      <c r="AH85">
        <v>3</v>
      </c>
      <c r="AI85" s="5">
        <v>13</v>
      </c>
      <c r="AJ85">
        <v>11</v>
      </c>
      <c r="AK85">
        <v>1</v>
      </c>
      <c r="AL85">
        <v>9</v>
      </c>
      <c r="AM85" t="str">
        <f t="shared" si="10"/>
        <v>Below Avg</v>
      </c>
      <c r="AN85" s="21">
        <f t="shared" si="11"/>
        <v>27.881844380403457</v>
      </c>
      <c r="AO85" t="str">
        <f t="shared" ca="1" si="12"/>
        <v>No</v>
      </c>
      <c r="AP85" t="str">
        <f t="shared" si="13"/>
        <v>Low Risk</v>
      </c>
    </row>
    <row r="86" spans="1:42" x14ac:dyDescent="0.3">
      <c r="A86" s="5">
        <v>34</v>
      </c>
      <c r="B86" s="5" t="s">
        <v>43</v>
      </c>
      <c r="C86" s="5" t="str">
        <f t="shared" si="7"/>
        <v>No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 s="5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 s="5">
        <v>4325</v>
      </c>
      <c r="U86">
        <v>17736</v>
      </c>
      <c r="V86">
        <v>1</v>
      </c>
      <c r="W86" t="s">
        <v>42</v>
      </c>
      <c r="X86" t="s">
        <v>43</v>
      </c>
      <c r="Y86" t="str">
        <f t="shared" si="8"/>
        <v>No</v>
      </c>
      <c r="Z86">
        <v>15</v>
      </c>
      <c r="AA86">
        <v>3</v>
      </c>
      <c r="AB86">
        <v>3</v>
      </c>
      <c r="AC86">
        <v>80</v>
      </c>
      <c r="AD86">
        <v>0</v>
      </c>
      <c r="AE86" s="5">
        <v>5</v>
      </c>
      <c r="AF86" t="str">
        <f t="shared" si="9"/>
        <v>0-5</v>
      </c>
      <c r="AG86">
        <v>2</v>
      </c>
      <c r="AH86">
        <v>3</v>
      </c>
      <c r="AI86" s="5">
        <v>5</v>
      </c>
      <c r="AJ86">
        <v>2</v>
      </c>
      <c r="AK86">
        <v>1</v>
      </c>
      <c r="AL86">
        <v>3</v>
      </c>
      <c r="AM86" t="str">
        <f t="shared" si="10"/>
        <v>Below Avg</v>
      </c>
      <c r="AN86" s="21">
        <f t="shared" si="11"/>
        <v>27.901946647440518</v>
      </c>
      <c r="AO86" t="str">
        <f t="shared" ca="1" si="12"/>
        <v>No</v>
      </c>
      <c r="AP86" t="str">
        <f t="shared" si="13"/>
        <v>Low Risk</v>
      </c>
    </row>
    <row r="87" spans="1:42" x14ac:dyDescent="0.3">
      <c r="A87" s="5">
        <v>56</v>
      </c>
      <c r="B87" s="5" t="s">
        <v>43</v>
      </c>
      <c r="C87" s="5" t="str">
        <f t="shared" si="7"/>
        <v>No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 s="5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 s="5">
        <v>7260</v>
      </c>
      <c r="U87">
        <v>21698</v>
      </c>
      <c r="V87">
        <v>4</v>
      </c>
      <c r="W87" t="s">
        <v>42</v>
      </c>
      <c r="X87" t="s">
        <v>43</v>
      </c>
      <c r="Y87" t="str">
        <f t="shared" si="8"/>
        <v>No</v>
      </c>
      <c r="Z87">
        <v>11</v>
      </c>
      <c r="AA87">
        <v>3</v>
      </c>
      <c r="AB87">
        <v>1</v>
      </c>
      <c r="AC87">
        <v>80</v>
      </c>
      <c r="AD87">
        <v>0</v>
      </c>
      <c r="AE87" s="5">
        <v>37</v>
      </c>
      <c r="AF87" t="str">
        <f t="shared" si="9"/>
        <v>&gt;15</v>
      </c>
      <c r="AG87">
        <v>3</v>
      </c>
      <c r="AH87">
        <v>2</v>
      </c>
      <c r="AI87" s="5">
        <v>6</v>
      </c>
      <c r="AJ87">
        <v>4</v>
      </c>
      <c r="AK87">
        <v>0</v>
      </c>
      <c r="AL87">
        <v>2</v>
      </c>
      <c r="AM87" t="str">
        <f t="shared" si="10"/>
        <v>Ok</v>
      </c>
      <c r="AN87" s="21">
        <f t="shared" si="11"/>
        <v>27.849927849927852</v>
      </c>
      <c r="AO87" t="str">
        <f t="shared" ca="1" si="12"/>
        <v>No</v>
      </c>
      <c r="AP87" t="str">
        <f t="shared" si="13"/>
        <v>Low Risk</v>
      </c>
    </row>
    <row r="88" spans="1:42" x14ac:dyDescent="0.3">
      <c r="A88" s="5">
        <v>23</v>
      </c>
      <c r="B88" s="5" t="s">
        <v>43</v>
      </c>
      <c r="C88" s="5" t="str">
        <f t="shared" si="7"/>
        <v>No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 s="5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 s="5">
        <v>2322</v>
      </c>
      <c r="U88">
        <v>9518</v>
      </c>
      <c r="V88">
        <v>3</v>
      </c>
      <c r="W88" t="s">
        <v>42</v>
      </c>
      <c r="X88" t="s">
        <v>43</v>
      </c>
      <c r="Y88" t="str">
        <f t="shared" si="8"/>
        <v>No</v>
      </c>
      <c r="Z88">
        <v>13</v>
      </c>
      <c r="AA88">
        <v>3</v>
      </c>
      <c r="AB88">
        <v>3</v>
      </c>
      <c r="AC88">
        <v>80</v>
      </c>
      <c r="AD88">
        <v>1</v>
      </c>
      <c r="AE88" s="5">
        <v>3</v>
      </c>
      <c r="AF88" t="str">
        <f t="shared" si="9"/>
        <v>0-5</v>
      </c>
      <c r="AG88">
        <v>3</v>
      </c>
      <c r="AH88">
        <v>3</v>
      </c>
      <c r="AI88" s="5">
        <v>0</v>
      </c>
      <c r="AJ88">
        <v>0</v>
      </c>
      <c r="AK88">
        <v>0</v>
      </c>
      <c r="AL88">
        <v>0</v>
      </c>
      <c r="AM88" t="str">
        <f t="shared" si="10"/>
        <v>Below Avg</v>
      </c>
      <c r="AN88" s="21">
        <f t="shared" si="11"/>
        <v>27.870036101083034</v>
      </c>
      <c r="AO88" t="str">
        <f t="shared" ca="1" si="12"/>
        <v>No</v>
      </c>
      <c r="AP88" t="str">
        <f t="shared" si="13"/>
        <v>Low Risk</v>
      </c>
    </row>
    <row r="89" spans="1:42" x14ac:dyDescent="0.3">
      <c r="A89" s="5">
        <v>51</v>
      </c>
      <c r="B89" s="5" t="s">
        <v>43</v>
      </c>
      <c r="C89" s="5" t="str">
        <f t="shared" si="7"/>
        <v>No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 s="5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 s="5">
        <v>2075</v>
      </c>
      <c r="U89">
        <v>18725</v>
      </c>
      <c r="V89">
        <v>3</v>
      </c>
      <c r="W89" t="s">
        <v>42</v>
      </c>
      <c r="X89" t="s">
        <v>43</v>
      </c>
      <c r="Y89" t="str">
        <f t="shared" si="8"/>
        <v>No</v>
      </c>
      <c r="Z89">
        <v>23</v>
      </c>
      <c r="AA89">
        <v>4</v>
      </c>
      <c r="AB89">
        <v>2</v>
      </c>
      <c r="AC89">
        <v>80</v>
      </c>
      <c r="AD89">
        <v>2</v>
      </c>
      <c r="AE89" s="5">
        <v>10</v>
      </c>
      <c r="AF89" t="str">
        <f t="shared" si="9"/>
        <v>6-15</v>
      </c>
      <c r="AG89">
        <v>4</v>
      </c>
      <c r="AH89">
        <v>3</v>
      </c>
      <c r="AI89" s="5">
        <v>4</v>
      </c>
      <c r="AJ89">
        <v>2</v>
      </c>
      <c r="AK89">
        <v>0</v>
      </c>
      <c r="AL89">
        <v>3</v>
      </c>
      <c r="AM89" t="str">
        <f t="shared" si="10"/>
        <v>Below Avg</v>
      </c>
      <c r="AN89" s="21">
        <f t="shared" si="11"/>
        <v>27.890173410404621</v>
      </c>
      <c r="AO89" t="str">
        <f t="shared" ca="1" si="12"/>
        <v>No</v>
      </c>
      <c r="AP89" t="str">
        <f t="shared" si="13"/>
        <v>Low Risk</v>
      </c>
    </row>
    <row r="90" spans="1:42" x14ac:dyDescent="0.3">
      <c r="A90" s="5">
        <v>30</v>
      </c>
      <c r="B90" s="5" t="s">
        <v>43</v>
      </c>
      <c r="C90" s="5" t="str">
        <f t="shared" si="7"/>
        <v>No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 s="5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 s="5">
        <v>4152</v>
      </c>
      <c r="U90">
        <v>15830</v>
      </c>
      <c r="V90">
        <v>1</v>
      </c>
      <c r="W90" t="s">
        <v>42</v>
      </c>
      <c r="X90" t="s">
        <v>43</v>
      </c>
      <c r="Y90" t="str">
        <f t="shared" si="8"/>
        <v>No</v>
      </c>
      <c r="Z90">
        <v>19</v>
      </c>
      <c r="AA90">
        <v>3</v>
      </c>
      <c r="AB90">
        <v>1</v>
      </c>
      <c r="AC90">
        <v>80</v>
      </c>
      <c r="AD90">
        <v>3</v>
      </c>
      <c r="AE90" s="5">
        <v>11</v>
      </c>
      <c r="AF90" t="str">
        <f t="shared" si="9"/>
        <v>6-15</v>
      </c>
      <c r="AG90">
        <v>3</v>
      </c>
      <c r="AH90">
        <v>3</v>
      </c>
      <c r="AI90" s="5">
        <v>11</v>
      </c>
      <c r="AJ90">
        <v>10</v>
      </c>
      <c r="AK90">
        <v>10</v>
      </c>
      <c r="AL90">
        <v>8</v>
      </c>
      <c r="AM90" t="str">
        <f t="shared" si="10"/>
        <v>Below Avg</v>
      </c>
      <c r="AN90" s="21">
        <f t="shared" si="11"/>
        <v>27.910339840925523</v>
      </c>
      <c r="AO90" t="str">
        <f t="shared" ca="1" si="12"/>
        <v>No</v>
      </c>
      <c r="AP90" t="str">
        <f t="shared" si="13"/>
        <v>Low Risk</v>
      </c>
    </row>
    <row r="91" spans="1:42" x14ac:dyDescent="0.3">
      <c r="A91" s="5">
        <v>46</v>
      </c>
      <c r="B91" s="5" t="s">
        <v>35</v>
      </c>
      <c r="C91" s="5" t="str">
        <f t="shared" si="7"/>
        <v>Yes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 s="5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 s="5">
        <v>9619</v>
      </c>
      <c r="U91">
        <v>13596</v>
      </c>
      <c r="V91">
        <v>1</v>
      </c>
      <c r="W91" t="s">
        <v>42</v>
      </c>
      <c r="X91" t="s">
        <v>43</v>
      </c>
      <c r="Y91" t="str">
        <f t="shared" si="8"/>
        <v>No</v>
      </c>
      <c r="Z91">
        <v>16</v>
      </c>
      <c r="AA91">
        <v>3</v>
      </c>
      <c r="AB91">
        <v>4</v>
      </c>
      <c r="AC91">
        <v>80</v>
      </c>
      <c r="AD91">
        <v>0</v>
      </c>
      <c r="AE91" s="5">
        <v>9</v>
      </c>
      <c r="AF91" t="str">
        <f t="shared" si="9"/>
        <v>6-15</v>
      </c>
      <c r="AG91">
        <v>3</v>
      </c>
      <c r="AH91">
        <v>3</v>
      </c>
      <c r="AI91" s="5">
        <v>9</v>
      </c>
      <c r="AJ91">
        <v>8</v>
      </c>
      <c r="AK91">
        <v>4</v>
      </c>
      <c r="AL91">
        <v>7</v>
      </c>
      <c r="AM91" t="str">
        <f t="shared" si="10"/>
        <v>Ok</v>
      </c>
      <c r="AN91" s="21">
        <f t="shared" si="11"/>
        <v>27.930535455861072</v>
      </c>
      <c r="AO91" t="str">
        <f t="shared" ca="1" si="12"/>
        <v>No</v>
      </c>
      <c r="AP91" t="str">
        <f t="shared" si="13"/>
        <v>Low Risk</v>
      </c>
    </row>
    <row r="92" spans="1:42" x14ac:dyDescent="0.3">
      <c r="A92" s="5">
        <v>40</v>
      </c>
      <c r="B92" s="5" t="s">
        <v>43</v>
      </c>
      <c r="C92" s="5" t="str">
        <f t="shared" si="7"/>
        <v>No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 s="5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 s="5">
        <v>13503</v>
      </c>
      <c r="U92">
        <v>14115</v>
      </c>
      <c r="V92">
        <v>1</v>
      </c>
      <c r="W92" t="s">
        <v>42</v>
      </c>
      <c r="X92" t="s">
        <v>43</v>
      </c>
      <c r="Y92" t="str">
        <f t="shared" si="8"/>
        <v>No</v>
      </c>
      <c r="Z92">
        <v>22</v>
      </c>
      <c r="AA92">
        <v>4</v>
      </c>
      <c r="AB92">
        <v>4</v>
      </c>
      <c r="AC92">
        <v>80</v>
      </c>
      <c r="AD92">
        <v>1</v>
      </c>
      <c r="AE92" s="5">
        <v>22</v>
      </c>
      <c r="AF92" t="str">
        <f t="shared" si="9"/>
        <v>&gt;15</v>
      </c>
      <c r="AG92">
        <v>3</v>
      </c>
      <c r="AH92">
        <v>2</v>
      </c>
      <c r="AI92" s="5">
        <v>22</v>
      </c>
      <c r="AJ92">
        <v>3</v>
      </c>
      <c r="AK92">
        <v>11</v>
      </c>
      <c r="AL92">
        <v>11</v>
      </c>
      <c r="AM92" t="str">
        <f t="shared" si="10"/>
        <v>Ok</v>
      </c>
      <c r="AN92" s="21">
        <f t="shared" si="11"/>
        <v>27.950760318609703</v>
      </c>
      <c r="AO92" t="str">
        <f t="shared" ca="1" si="12"/>
        <v>No</v>
      </c>
      <c r="AP92" t="str">
        <f t="shared" si="13"/>
        <v>Low Risk</v>
      </c>
    </row>
    <row r="93" spans="1:42" x14ac:dyDescent="0.3">
      <c r="A93" s="5">
        <v>51</v>
      </c>
      <c r="B93" s="5" t="s">
        <v>43</v>
      </c>
      <c r="C93" s="5" t="str">
        <f t="shared" si="7"/>
        <v>No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 s="5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 s="5">
        <v>5441</v>
      </c>
      <c r="U93">
        <v>8423</v>
      </c>
      <c r="V93">
        <v>0</v>
      </c>
      <c r="W93" t="s">
        <v>42</v>
      </c>
      <c r="X93" t="s">
        <v>35</v>
      </c>
      <c r="Y93" t="str">
        <f t="shared" si="8"/>
        <v>Yes</v>
      </c>
      <c r="Z93">
        <v>22</v>
      </c>
      <c r="AA93">
        <v>4</v>
      </c>
      <c r="AB93">
        <v>4</v>
      </c>
      <c r="AC93">
        <v>80</v>
      </c>
      <c r="AD93">
        <v>0</v>
      </c>
      <c r="AE93" s="5">
        <v>11</v>
      </c>
      <c r="AF93" t="str">
        <f t="shared" si="9"/>
        <v>6-15</v>
      </c>
      <c r="AG93">
        <v>2</v>
      </c>
      <c r="AH93">
        <v>1</v>
      </c>
      <c r="AI93" s="5">
        <v>10</v>
      </c>
      <c r="AJ93">
        <v>7</v>
      </c>
      <c r="AK93">
        <v>1</v>
      </c>
      <c r="AL93">
        <v>0</v>
      </c>
      <c r="AM93" t="str">
        <f t="shared" si="10"/>
        <v>Below Avg</v>
      </c>
      <c r="AN93" s="21">
        <f t="shared" si="11"/>
        <v>27.971014492753621</v>
      </c>
      <c r="AO93" t="str">
        <f t="shared" ca="1" si="12"/>
        <v>No</v>
      </c>
      <c r="AP93" t="str">
        <f t="shared" si="13"/>
        <v>Low Risk</v>
      </c>
    </row>
    <row r="94" spans="1:42" x14ac:dyDescent="0.3">
      <c r="A94" s="5">
        <v>30</v>
      </c>
      <c r="B94" s="5" t="s">
        <v>43</v>
      </c>
      <c r="C94" s="5" t="str">
        <f t="shared" si="7"/>
        <v>No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 s="5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 s="5">
        <v>5209</v>
      </c>
      <c r="U94">
        <v>19760</v>
      </c>
      <c r="V94">
        <v>1</v>
      </c>
      <c r="W94" t="s">
        <v>42</v>
      </c>
      <c r="X94" t="s">
        <v>35</v>
      </c>
      <c r="Y94" t="str">
        <f t="shared" si="8"/>
        <v>Yes</v>
      </c>
      <c r="Z94">
        <v>12</v>
      </c>
      <c r="AA94">
        <v>3</v>
      </c>
      <c r="AB94">
        <v>2</v>
      </c>
      <c r="AC94">
        <v>80</v>
      </c>
      <c r="AD94">
        <v>3</v>
      </c>
      <c r="AE94" s="5">
        <v>11</v>
      </c>
      <c r="AF94" t="str">
        <f t="shared" si="9"/>
        <v>6-15</v>
      </c>
      <c r="AG94">
        <v>4</v>
      </c>
      <c r="AH94">
        <v>2</v>
      </c>
      <c r="AI94" s="5">
        <v>11</v>
      </c>
      <c r="AJ94">
        <v>8</v>
      </c>
      <c r="AK94">
        <v>2</v>
      </c>
      <c r="AL94">
        <v>7</v>
      </c>
      <c r="AM94" t="str">
        <f t="shared" si="10"/>
        <v>Below Avg</v>
      </c>
      <c r="AN94" s="21">
        <f t="shared" si="11"/>
        <v>27.991298042059466</v>
      </c>
      <c r="AO94" t="str">
        <f t="shared" ca="1" si="12"/>
        <v>No</v>
      </c>
      <c r="AP94" t="str">
        <f t="shared" si="13"/>
        <v>Low Risk</v>
      </c>
    </row>
    <row r="95" spans="1:42" x14ac:dyDescent="0.3">
      <c r="A95" s="5">
        <v>46</v>
      </c>
      <c r="B95" s="5" t="s">
        <v>43</v>
      </c>
      <c r="C95" s="5" t="str">
        <f t="shared" si="7"/>
        <v>No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 s="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 s="5">
        <v>10673</v>
      </c>
      <c r="U95">
        <v>3142</v>
      </c>
      <c r="V95">
        <v>2</v>
      </c>
      <c r="W95" t="s">
        <v>42</v>
      </c>
      <c r="X95" t="s">
        <v>35</v>
      </c>
      <c r="Y95" t="str">
        <f t="shared" si="8"/>
        <v>Yes</v>
      </c>
      <c r="Z95">
        <v>13</v>
      </c>
      <c r="AA95">
        <v>3</v>
      </c>
      <c r="AB95">
        <v>3</v>
      </c>
      <c r="AC95">
        <v>80</v>
      </c>
      <c r="AD95">
        <v>1</v>
      </c>
      <c r="AE95" s="5">
        <v>21</v>
      </c>
      <c r="AF95" t="str">
        <f t="shared" si="9"/>
        <v>&gt;15</v>
      </c>
      <c r="AG95">
        <v>5</v>
      </c>
      <c r="AH95">
        <v>2</v>
      </c>
      <c r="AI95" s="5">
        <v>10</v>
      </c>
      <c r="AJ95">
        <v>9</v>
      </c>
      <c r="AK95">
        <v>9</v>
      </c>
      <c r="AL95">
        <v>5</v>
      </c>
      <c r="AM95" t="str">
        <f t="shared" si="10"/>
        <v>Ok</v>
      </c>
      <c r="AN95" s="21">
        <f t="shared" si="11"/>
        <v>27.939042089985488</v>
      </c>
      <c r="AO95" t="str">
        <f t="shared" ca="1" si="12"/>
        <v>No</v>
      </c>
      <c r="AP95" t="str">
        <f t="shared" si="13"/>
        <v>Low Risk</v>
      </c>
    </row>
    <row r="96" spans="1:42" x14ac:dyDescent="0.3">
      <c r="A96" s="5">
        <v>32</v>
      </c>
      <c r="B96" s="5" t="s">
        <v>43</v>
      </c>
      <c r="C96" s="5" t="str">
        <f t="shared" si="7"/>
        <v>No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 s="5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 s="5">
        <v>5010</v>
      </c>
      <c r="U96">
        <v>24301</v>
      </c>
      <c r="V96">
        <v>1</v>
      </c>
      <c r="W96" t="s">
        <v>42</v>
      </c>
      <c r="X96" t="s">
        <v>43</v>
      </c>
      <c r="Y96" t="str">
        <f t="shared" si="8"/>
        <v>No</v>
      </c>
      <c r="Z96">
        <v>16</v>
      </c>
      <c r="AA96">
        <v>3</v>
      </c>
      <c r="AB96">
        <v>1</v>
      </c>
      <c r="AC96">
        <v>80</v>
      </c>
      <c r="AD96">
        <v>0</v>
      </c>
      <c r="AE96" s="5">
        <v>12</v>
      </c>
      <c r="AF96" t="str">
        <f t="shared" si="9"/>
        <v>6-15</v>
      </c>
      <c r="AG96">
        <v>0</v>
      </c>
      <c r="AH96">
        <v>3</v>
      </c>
      <c r="AI96" s="5">
        <v>11</v>
      </c>
      <c r="AJ96">
        <v>8</v>
      </c>
      <c r="AK96">
        <v>5</v>
      </c>
      <c r="AL96">
        <v>7</v>
      </c>
      <c r="AM96" t="str">
        <f t="shared" si="10"/>
        <v>Below Avg</v>
      </c>
      <c r="AN96" s="21">
        <f t="shared" si="11"/>
        <v>27.886710239651418</v>
      </c>
      <c r="AO96" t="str">
        <f t="shared" ca="1" si="12"/>
        <v>No</v>
      </c>
      <c r="AP96" t="str">
        <f t="shared" si="13"/>
        <v>Low Risk</v>
      </c>
    </row>
    <row r="97" spans="1:42" x14ac:dyDescent="0.3">
      <c r="A97" s="5">
        <v>54</v>
      </c>
      <c r="B97" s="5" t="s">
        <v>43</v>
      </c>
      <c r="C97" s="5" t="str">
        <f t="shared" si="7"/>
        <v>No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 s="5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 s="5">
        <v>13549</v>
      </c>
      <c r="U97">
        <v>24001</v>
      </c>
      <c r="V97">
        <v>9</v>
      </c>
      <c r="W97" t="s">
        <v>42</v>
      </c>
      <c r="X97" t="s">
        <v>43</v>
      </c>
      <c r="Y97" t="str">
        <f t="shared" si="8"/>
        <v>No</v>
      </c>
      <c r="Z97">
        <v>12</v>
      </c>
      <c r="AA97">
        <v>3</v>
      </c>
      <c r="AB97">
        <v>1</v>
      </c>
      <c r="AC97">
        <v>80</v>
      </c>
      <c r="AD97">
        <v>1</v>
      </c>
      <c r="AE97" s="5">
        <v>16</v>
      </c>
      <c r="AF97" t="str">
        <f t="shared" si="9"/>
        <v>&gt;15</v>
      </c>
      <c r="AG97">
        <v>5</v>
      </c>
      <c r="AH97">
        <v>1</v>
      </c>
      <c r="AI97" s="5">
        <v>4</v>
      </c>
      <c r="AJ97">
        <v>3</v>
      </c>
      <c r="AK97">
        <v>0</v>
      </c>
      <c r="AL97">
        <v>3</v>
      </c>
      <c r="AM97" t="str">
        <f t="shared" si="10"/>
        <v>Ok</v>
      </c>
      <c r="AN97" s="21">
        <f t="shared" si="11"/>
        <v>27.834302325581394</v>
      </c>
      <c r="AO97" t="str">
        <f t="shared" ca="1" si="12"/>
        <v>No</v>
      </c>
      <c r="AP97" t="str">
        <f t="shared" si="13"/>
        <v>Low Risk</v>
      </c>
    </row>
    <row r="98" spans="1:42" x14ac:dyDescent="0.3">
      <c r="A98" s="5">
        <v>24</v>
      </c>
      <c r="B98" s="5" t="s">
        <v>43</v>
      </c>
      <c r="C98" s="5" t="str">
        <f t="shared" si="7"/>
        <v>No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 s="5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 s="5">
        <v>4999</v>
      </c>
      <c r="U98">
        <v>17519</v>
      </c>
      <c r="V98">
        <v>0</v>
      </c>
      <c r="W98" t="s">
        <v>42</v>
      </c>
      <c r="X98" t="s">
        <v>43</v>
      </c>
      <c r="Y98" t="str">
        <f t="shared" si="8"/>
        <v>No</v>
      </c>
      <c r="Z98">
        <v>21</v>
      </c>
      <c r="AA98">
        <v>4</v>
      </c>
      <c r="AB98">
        <v>1</v>
      </c>
      <c r="AC98">
        <v>80</v>
      </c>
      <c r="AD98">
        <v>1</v>
      </c>
      <c r="AE98" s="5">
        <v>4</v>
      </c>
      <c r="AF98" t="str">
        <f t="shared" si="9"/>
        <v>0-5</v>
      </c>
      <c r="AG98">
        <v>2</v>
      </c>
      <c r="AH98">
        <v>2</v>
      </c>
      <c r="AI98" s="5">
        <v>3</v>
      </c>
      <c r="AJ98">
        <v>2</v>
      </c>
      <c r="AK98">
        <v>0</v>
      </c>
      <c r="AL98">
        <v>2</v>
      </c>
      <c r="AM98" t="str">
        <f t="shared" si="10"/>
        <v>Below Avg</v>
      </c>
      <c r="AN98" s="21">
        <f t="shared" si="11"/>
        <v>27.854545454545455</v>
      </c>
      <c r="AO98" t="str">
        <f t="shared" ca="1" si="12"/>
        <v>No</v>
      </c>
      <c r="AP98" t="str">
        <f t="shared" si="13"/>
        <v>Low Risk</v>
      </c>
    </row>
    <row r="99" spans="1:42" x14ac:dyDescent="0.3">
      <c r="A99" s="5">
        <v>28</v>
      </c>
      <c r="B99" s="5" t="s">
        <v>43</v>
      </c>
      <c r="C99" s="5" t="str">
        <f t="shared" si="7"/>
        <v>No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 s="5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 s="5">
        <v>4221</v>
      </c>
      <c r="U99">
        <v>8863</v>
      </c>
      <c r="V99">
        <v>1</v>
      </c>
      <c r="W99" t="s">
        <v>42</v>
      </c>
      <c r="X99" t="s">
        <v>43</v>
      </c>
      <c r="Y99" t="str">
        <f t="shared" si="8"/>
        <v>No</v>
      </c>
      <c r="Z99">
        <v>15</v>
      </c>
      <c r="AA99">
        <v>3</v>
      </c>
      <c r="AB99">
        <v>2</v>
      </c>
      <c r="AC99">
        <v>80</v>
      </c>
      <c r="AD99">
        <v>0</v>
      </c>
      <c r="AE99" s="5">
        <v>5</v>
      </c>
      <c r="AF99" t="str">
        <f t="shared" si="9"/>
        <v>0-5</v>
      </c>
      <c r="AG99">
        <v>3</v>
      </c>
      <c r="AH99">
        <v>4</v>
      </c>
      <c r="AI99" s="5">
        <v>5</v>
      </c>
      <c r="AJ99">
        <v>4</v>
      </c>
      <c r="AK99">
        <v>0</v>
      </c>
      <c r="AL99">
        <v>4</v>
      </c>
      <c r="AM99" t="str">
        <f t="shared" si="10"/>
        <v>Below Avg</v>
      </c>
      <c r="AN99" s="21">
        <f t="shared" si="11"/>
        <v>27.874818049490539</v>
      </c>
      <c r="AO99" t="str">
        <f t="shared" ca="1" si="12"/>
        <v>No</v>
      </c>
      <c r="AP99" t="str">
        <f t="shared" si="13"/>
        <v>Low Risk</v>
      </c>
    </row>
    <row r="100" spans="1:42" x14ac:dyDescent="0.3">
      <c r="A100" s="5">
        <v>58</v>
      </c>
      <c r="B100" s="5" t="s">
        <v>43</v>
      </c>
      <c r="C100" s="5" t="str">
        <f t="shared" si="7"/>
        <v>No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 s="5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 s="5">
        <v>13872</v>
      </c>
      <c r="U100">
        <v>24409</v>
      </c>
      <c r="V100">
        <v>0</v>
      </c>
      <c r="W100" t="s">
        <v>42</v>
      </c>
      <c r="X100" t="s">
        <v>43</v>
      </c>
      <c r="Y100" t="str">
        <f t="shared" si="8"/>
        <v>No</v>
      </c>
      <c r="Z100">
        <v>13</v>
      </c>
      <c r="AA100">
        <v>3</v>
      </c>
      <c r="AB100">
        <v>3</v>
      </c>
      <c r="AC100">
        <v>80</v>
      </c>
      <c r="AD100">
        <v>0</v>
      </c>
      <c r="AE100" s="5">
        <v>38</v>
      </c>
      <c r="AF100" t="str">
        <f t="shared" si="9"/>
        <v>&gt;15</v>
      </c>
      <c r="AG100">
        <v>1</v>
      </c>
      <c r="AH100">
        <v>2</v>
      </c>
      <c r="AI100" s="5">
        <v>37</v>
      </c>
      <c r="AJ100">
        <v>10</v>
      </c>
      <c r="AK100">
        <v>1</v>
      </c>
      <c r="AL100">
        <v>8</v>
      </c>
      <c r="AM100" t="str">
        <f t="shared" si="10"/>
        <v>Ok</v>
      </c>
      <c r="AN100" s="21">
        <f t="shared" si="11"/>
        <v>27.895120174799708</v>
      </c>
      <c r="AO100" t="str">
        <f t="shared" ca="1" si="12"/>
        <v>No</v>
      </c>
      <c r="AP100" t="str">
        <f t="shared" si="13"/>
        <v>Low Risk</v>
      </c>
    </row>
    <row r="101" spans="1:42" x14ac:dyDescent="0.3">
      <c r="A101" s="5">
        <v>44</v>
      </c>
      <c r="B101" s="5" t="s">
        <v>43</v>
      </c>
      <c r="C101" s="5" t="str">
        <f t="shared" si="7"/>
        <v>No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 s="5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 s="5">
        <v>2042</v>
      </c>
      <c r="U101">
        <v>25043</v>
      </c>
      <c r="V101">
        <v>4</v>
      </c>
      <c r="W101" t="s">
        <v>42</v>
      </c>
      <c r="X101" t="s">
        <v>43</v>
      </c>
      <c r="Y101" t="str">
        <f t="shared" si="8"/>
        <v>No</v>
      </c>
      <c r="Z101">
        <v>12</v>
      </c>
      <c r="AA101">
        <v>3</v>
      </c>
      <c r="AB101">
        <v>3</v>
      </c>
      <c r="AC101">
        <v>80</v>
      </c>
      <c r="AD101">
        <v>1</v>
      </c>
      <c r="AE101" s="5">
        <v>17</v>
      </c>
      <c r="AF101" t="str">
        <f t="shared" si="9"/>
        <v>&gt;15</v>
      </c>
      <c r="AG101">
        <v>3</v>
      </c>
      <c r="AH101">
        <v>4</v>
      </c>
      <c r="AI101" s="5">
        <v>3</v>
      </c>
      <c r="AJ101">
        <v>2</v>
      </c>
      <c r="AK101">
        <v>1</v>
      </c>
      <c r="AL101">
        <v>2</v>
      </c>
      <c r="AM101" t="str">
        <f t="shared" si="10"/>
        <v>Below Avg</v>
      </c>
      <c r="AN101" s="21">
        <f t="shared" si="11"/>
        <v>27.915451895043731</v>
      </c>
      <c r="AO101" t="str">
        <f t="shared" ca="1" si="12"/>
        <v>No</v>
      </c>
      <c r="AP101" t="str">
        <f t="shared" si="13"/>
        <v>Low Risk</v>
      </c>
    </row>
    <row r="102" spans="1:42" x14ac:dyDescent="0.3">
      <c r="A102" s="5">
        <v>37</v>
      </c>
      <c r="B102" s="5" t="s">
        <v>35</v>
      </c>
      <c r="C102" s="5" t="str">
        <f t="shared" si="7"/>
        <v>Yes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 s="5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 s="5">
        <v>2073</v>
      </c>
      <c r="U102">
        <v>23648</v>
      </c>
      <c r="V102">
        <v>4</v>
      </c>
      <c r="W102" t="s">
        <v>42</v>
      </c>
      <c r="X102" t="s">
        <v>35</v>
      </c>
      <c r="Y102" t="str">
        <f t="shared" si="8"/>
        <v>Yes</v>
      </c>
      <c r="Z102">
        <v>22</v>
      </c>
      <c r="AA102">
        <v>4</v>
      </c>
      <c r="AB102">
        <v>4</v>
      </c>
      <c r="AC102">
        <v>80</v>
      </c>
      <c r="AD102">
        <v>0</v>
      </c>
      <c r="AE102" s="5">
        <v>7</v>
      </c>
      <c r="AF102" t="str">
        <f t="shared" si="9"/>
        <v>6-15</v>
      </c>
      <c r="AG102">
        <v>3</v>
      </c>
      <c r="AH102">
        <v>3</v>
      </c>
      <c r="AI102" s="5">
        <v>3</v>
      </c>
      <c r="AJ102">
        <v>2</v>
      </c>
      <c r="AK102">
        <v>0</v>
      </c>
      <c r="AL102">
        <v>2</v>
      </c>
      <c r="AM102" t="str">
        <f t="shared" si="10"/>
        <v>Below Avg</v>
      </c>
      <c r="AN102" s="21">
        <f t="shared" si="11"/>
        <v>27.935813274981765</v>
      </c>
      <c r="AO102" t="str">
        <f t="shared" ca="1" si="12"/>
        <v>No</v>
      </c>
      <c r="AP102" t="str">
        <f t="shared" si="13"/>
        <v>Low Risk</v>
      </c>
    </row>
    <row r="103" spans="1:42" x14ac:dyDescent="0.3">
      <c r="A103" s="5">
        <v>32</v>
      </c>
      <c r="B103" s="5" t="s">
        <v>43</v>
      </c>
      <c r="C103" s="5" t="str">
        <f t="shared" si="7"/>
        <v>No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 s="5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 s="5">
        <v>2956</v>
      </c>
      <c r="U103">
        <v>15178</v>
      </c>
      <c r="V103">
        <v>1</v>
      </c>
      <c r="W103" t="s">
        <v>42</v>
      </c>
      <c r="X103" t="s">
        <v>43</v>
      </c>
      <c r="Y103" t="str">
        <f t="shared" si="8"/>
        <v>No</v>
      </c>
      <c r="Z103">
        <v>13</v>
      </c>
      <c r="AA103">
        <v>3</v>
      </c>
      <c r="AB103">
        <v>4</v>
      </c>
      <c r="AC103">
        <v>80</v>
      </c>
      <c r="AD103">
        <v>0</v>
      </c>
      <c r="AE103" s="5">
        <v>1</v>
      </c>
      <c r="AF103" t="str">
        <f t="shared" si="9"/>
        <v>0-5</v>
      </c>
      <c r="AG103">
        <v>2</v>
      </c>
      <c r="AH103">
        <v>3</v>
      </c>
      <c r="AI103" s="5">
        <v>1</v>
      </c>
      <c r="AJ103">
        <v>0</v>
      </c>
      <c r="AK103">
        <v>0</v>
      </c>
      <c r="AL103">
        <v>0</v>
      </c>
      <c r="AM103" t="str">
        <f t="shared" si="10"/>
        <v>Below Avg</v>
      </c>
      <c r="AN103" s="21">
        <f t="shared" si="11"/>
        <v>27.956204379562045</v>
      </c>
      <c r="AO103" t="str">
        <f t="shared" ca="1" si="12"/>
        <v>No</v>
      </c>
      <c r="AP103" t="str">
        <f t="shared" si="13"/>
        <v>Low Risk</v>
      </c>
    </row>
    <row r="104" spans="1:42" x14ac:dyDescent="0.3">
      <c r="A104" s="5">
        <v>20</v>
      </c>
      <c r="B104" s="5" t="s">
        <v>35</v>
      </c>
      <c r="C104" s="5" t="str">
        <f t="shared" si="7"/>
        <v>Yes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 s="5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 s="5">
        <v>2926</v>
      </c>
      <c r="U104">
        <v>19783</v>
      </c>
      <c r="V104">
        <v>1</v>
      </c>
      <c r="W104" t="s">
        <v>42</v>
      </c>
      <c r="X104" t="s">
        <v>35</v>
      </c>
      <c r="Y104" t="str">
        <f t="shared" si="8"/>
        <v>Yes</v>
      </c>
      <c r="Z104">
        <v>18</v>
      </c>
      <c r="AA104">
        <v>3</v>
      </c>
      <c r="AB104">
        <v>2</v>
      </c>
      <c r="AC104">
        <v>80</v>
      </c>
      <c r="AD104">
        <v>0</v>
      </c>
      <c r="AE104" s="5">
        <v>1</v>
      </c>
      <c r="AF104" t="str">
        <f t="shared" si="9"/>
        <v>0-5</v>
      </c>
      <c r="AG104">
        <v>5</v>
      </c>
      <c r="AH104">
        <v>3</v>
      </c>
      <c r="AI104" s="5">
        <v>1</v>
      </c>
      <c r="AJ104">
        <v>0</v>
      </c>
      <c r="AK104">
        <v>1</v>
      </c>
      <c r="AL104">
        <v>0</v>
      </c>
      <c r="AM104" t="str">
        <f t="shared" si="10"/>
        <v>Below Avg</v>
      </c>
      <c r="AN104" s="21">
        <f t="shared" si="11"/>
        <v>27.903579254930605</v>
      </c>
      <c r="AO104" t="str">
        <f t="shared" ca="1" si="12"/>
        <v>No</v>
      </c>
      <c r="AP104" t="str">
        <f t="shared" si="13"/>
        <v>High Risk</v>
      </c>
    </row>
    <row r="105" spans="1:42" x14ac:dyDescent="0.3">
      <c r="A105" s="5">
        <v>34</v>
      </c>
      <c r="B105" s="5" t="s">
        <v>43</v>
      </c>
      <c r="C105" s="5" t="str">
        <f t="shared" si="7"/>
        <v>No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 s="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 s="5">
        <v>4809</v>
      </c>
      <c r="U105">
        <v>12482</v>
      </c>
      <c r="V105">
        <v>1</v>
      </c>
      <c r="W105" t="s">
        <v>42</v>
      </c>
      <c r="X105" t="s">
        <v>43</v>
      </c>
      <c r="Y105" t="str">
        <f t="shared" si="8"/>
        <v>No</v>
      </c>
      <c r="Z105">
        <v>14</v>
      </c>
      <c r="AA105">
        <v>3</v>
      </c>
      <c r="AB105">
        <v>3</v>
      </c>
      <c r="AC105">
        <v>80</v>
      </c>
      <c r="AD105">
        <v>0</v>
      </c>
      <c r="AE105" s="5">
        <v>16</v>
      </c>
      <c r="AF105" t="str">
        <f t="shared" si="9"/>
        <v>&gt;15</v>
      </c>
      <c r="AG105">
        <v>3</v>
      </c>
      <c r="AH105">
        <v>3</v>
      </c>
      <c r="AI105" s="5">
        <v>16</v>
      </c>
      <c r="AJ105">
        <v>13</v>
      </c>
      <c r="AK105">
        <v>2</v>
      </c>
      <c r="AL105">
        <v>10</v>
      </c>
      <c r="AM105" t="str">
        <f t="shared" si="10"/>
        <v>Below Avg</v>
      </c>
      <c r="AN105" s="21">
        <f t="shared" si="11"/>
        <v>27.923976608187136</v>
      </c>
      <c r="AO105" t="str">
        <f t="shared" ca="1" si="12"/>
        <v>No</v>
      </c>
      <c r="AP105" t="str">
        <f t="shared" si="13"/>
        <v>Low Risk</v>
      </c>
    </row>
    <row r="106" spans="1:42" x14ac:dyDescent="0.3">
      <c r="A106" s="5">
        <v>37</v>
      </c>
      <c r="B106" s="5" t="s">
        <v>43</v>
      </c>
      <c r="C106" s="5" t="str">
        <f t="shared" si="7"/>
        <v>No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 s="5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 s="5">
        <v>5163</v>
      </c>
      <c r="U106">
        <v>15850</v>
      </c>
      <c r="V106">
        <v>5</v>
      </c>
      <c r="W106" t="s">
        <v>42</v>
      </c>
      <c r="X106" t="s">
        <v>43</v>
      </c>
      <c r="Y106" t="str">
        <f t="shared" si="8"/>
        <v>No</v>
      </c>
      <c r="Z106">
        <v>14</v>
      </c>
      <c r="AA106">
        <v>3</v>
      </c>
      <c r="AB106">
        <v>4</v>
      </c>
      <c r="AC106">
        <v>80</v>
      </c>
      <c r="AD106">
        <v>1</v>
      </c>
      <c r="AE106" s="5">
        <v>17</v>
      </c>
      <c r="AF106" t="str">
        <f t="shared" si="9"/>
        <v>&gt;15</v>
      </c>
      <c r="AG106">
        <v>2</v>
      </c>
      <c r="AH106">
        <v>4</v>
      </c>
      <c r="AI106" s="5">
        <v>1</v>
      </c>
      <c r="AJ106">
        <v>0</v>
      </c>
      <c r="AK106">
        <v>0</v>
      </c>
      <c r="AL106">
        <v>0</v>
      </c>
      <c r="AM106" t="str">
        <f t="shared" si="10"/>
        <v>Below Avg</v>
      </c>
      <c r="AN106" s="21">
        <f t="shared" si="11"/>
        <v>27.871250914411121</v>
      </c>
      <c r="AO106" t="str">
        <f t="shared" ca="1" si="12"/>
        <v>No</v>
      </c>
      <c r="AP106" t="str">
        <f t="shared" si="13"/>
        <v>Low Risk</v>
      </c>
    </row>
    <row r="107" spans="1:42" x14ac:dyDescent="0.3">
      <c r="A107" s="5">
        <v>59</v>
      </c>
      <c r="B107" s="5" t="s">
        <v>43</v>
      </c>
      <c r="C107" s="5" t="str">
        <f t="shared" si="7"/>
        <v>No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 s="5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 s="5">
        <v>18844</v>
      </c>
      <c r="U107">
        <v>21922</v>
      </c>
      <c r="V107">
        <v>9</v>
      </c>
      <c r="W107" t="s">
        <v>42</v>
      </c>
      <c r="X107" t="s">
        <v>43</v>
      </c>
      <c r="Y107" t="str">
        <f t="shared" si="8"/>
        <v>No</v>
      </c>
      <c r="Z107">
        <v>21</v>
      </c>
      <c r="AA107">
        <v>4</v>
      </c>
      <c r="AB107">
        <v>4</v>
      </c>
      <c r="AC107">
        <v>80</v>
      </c>
      <c r="AD107">
        <v>1</v>
      </c>
      <c r="AE107" s="5">
        <v>30</v>
      </c>
      <c r="AF107" t="str">
        <f t="shared" si="9"/>
        <v>&gt;15</v>
      </c>
      <c r="AG107">
        <v>3</v>
      </c>
      <c r="AH107">
        <v>3</v>
      </c>
      <c r="AI107" s="5">
        <v>3</v>
      </c>
      <c r="AJ107">
        <v>2</v>
      </c>
      <c r="AK107">
        <v>2</v>
      </c>
      <c r="AL107">
        <v>2</v>
      </c>
      <c r="AM107" t="str">
        <f t="shared" si="10"/>
        <v>Ok</v>
      </c>
      <c r="AN107" s="21">
        <f t="shared" si="11"/>
        <v>27.891654465592975</v>
      </c>
      <c r="AO107" t="str">
        <f t="shared" ca="1" si="12"/>
        <v>No</v>
      </c>
      <c r="AP107" t="str">
        <f t="shared" si="13"/>
        <v>Low Risk</v>
      </c>
    </row>
    <row r="108" spans="1:42" x14ac:dyDescent="0.3">
      <c r="A108" s="5">
        <v>50</v>
      </c>
      <c r="B108" s="5" t="s">
        <v>43</v>
      </c>
      <c r="C108" s="5" t="str">
        <f t="shared" si="7"/>
        <v>No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 s="5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 s="5">
        <v>18172</v>
      </c>
      <c r="U108">
        <v>9755</v>
      </c>
      <c r="V108">
        <v>3</v>
      </c>
      <c r="W108" t="s">
        <v>42</v>
      </c>
      <c r="X108" t="s">
        <v>35</v>
      </c>
      <c r="Y108" t="str">
        <f t="shared" si="8"/>
        <v>Yes</v>
      </c>
      <c r="Z108">
        <v>19</v>
      </c>
      <c r="AA108">
        <v>3</v>
      </c>
      <c r="AB108">
        <v>1</v>
      </c>
      <c r="AC108">
        <v>80</v>
      </c>
      <c r="AD108">
        <v>0</v>
      </c>
      <c r="AE108" s="5">
        <v>28</v>
      </c>
      <c r="AF108" t="str">
        <f t="shared" si="9"/>
        <v>&gt;15</v>
      </c>
      <c r="AG108">
        <v>1</v>
      </c>
      <c r="AH108">
        <v>2</v>
      </c>
      <c r="AI108" s="5">
        <v>8</v>
      </c>
      <c r="AJ108">
        <v>3</v>
      </c>
      <c r="AK108">
        <v>0</v>
      </c>
      <c r="AL108">
        <v>7</v>
      </c>
      <c r="AM108" t="str">
        <f t="shared" si="10"/>
        <v>Ok</v>
      </c>
      <c r="AN108" s="21">
        <f t="shared" si="11"/>
        <v>27.912087912087912</v>
      </c>
      <c r="AO108" t="str">
        <f t="shared" ca="1" si="12"/>
        <v>No</v>
      </c>
      <c r="AP108" t="str">
        <f t="shared" si="13"/>
        <v>Low Risk</v>
      </c>
    </row>
    <row r="109" spans="1:42" x14ac:dyDescent="0.3">
      <c r="A109" s="5">
        <v>25</v>
      </c>
      <c r="B109" s="5" t="s">
        <v>35</v>
      </c>
      <c r="C109" s="5" t="str">
        <f t="shared" si="7"/>
        <v>Yes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 s="5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 s="5">
        <v>5744</v>
      </c>
      <c r="U109">
        <v>26959</v>
      </c>
      <c r="V109">
        <v>1</v>
      </c>
      <c r="W109" t="s">
        <v>42</v>
      </c>
      <c r="X109" t="s">
        <v>35</v>
      </c>
      <c r="Y109" t="str">
        <f t="shared" si="8"/>
        <v>Yes</v>
      </c>
      <c r="Z109">
        <v>11</v>
      </c>
      <c r="AA109">
        <v>3</v>
      </c>
      <c r="AB109">
        <v>4</v>
      </c>
      <c r="AC109">
        <v>80</v>
      </c>
      <c r="AD109">
        <v>0</v>
      </c>
      <c r="AE109" s="5">
        <v>6</v>
      </c>
      <c r="AF109" t="str">
        <f t="shared" si="9"/>
        <v>6-15</v>
      </c>
      <c r="AG109">
        <v>1</v>
      </c>
      <c r="AH109">
        <v>3</v>
      </c>
      <c r="AI109" s="5">
        <v>6</v>
      </c>
      <c r="AJ109">
        <v>4</v>
      </c>
      <c r="AK109">
        <v>0</v>
      </c>
      <c r="AL109">
        <v>3</v>
      </c>
      <c r="AM109" t="str">
        <f t="shared" si="10"/>
        <v>Below Avg</v>
      </c>
      <c r="AN109" s="21">
        <f t="shared" si="11"/>
        <v>27.932551319648091</v>
      </c>
      <c r="AO109" t="str">
        <f t="shared" ca="1" si="12"/>
        <v>No</v>
      </c>
      <c r="AP109" t="str">
        <f t="shared" si="13"/>
        <v>Low Risk</v>
      </c>
    </row>
    <row r="110" spans="1:42" x14ac:dyDescent="0.3">
      <c r="A110" s="5">
        <v>25</v>
      </c>
      <c r="B110" s="5" t="s">
        <v>43</v>
      </c>
      <c r="C110" s="5" t="str">
        <f t="shared" si="7"/>
        <v>No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 s="5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 s="5">
        <v>2889</v>
      </c>
      <c r="U110">
        <v>26897</v>
      </c>
      <c r="V110">
        <v>1</v>
      </c>
      <c r="W110" t="s">
        <v>42</v>
      </c>
      <c r="X110" t="s">
        <v>43</v>
      </c>
      <c r="Y110" t="str">
        <f t="shared" si="8"/>
        <v>No</v>
      </c>
      <c r="Z110">
        <v>11</v>
      </c>
      <c r="AA110">
        <v>3</v>
      </c>
      <c r="AB110">
        <v>3</v>
      </c>
      <c r="AC110">
        <v>80</v>
      </c>
      <c r="AD110">
        <v>2</v>
      </c>
      <c r="AE110" s="5">
        <v>2</v>
      </c>
      <c r="AF110" t="str">
        <f t="shared" si="9"/>
        <v>0-5</v>
      </c>
      <c r="AG110">
        <v>2</v>
      </c>
      <c r="AH110">
        <v>3</v>
      </c>
      <c r="AI110" s="5">
        <v>2</v>
      </c>
      <c r="AJ110">
        <v>2</v>
      </c>
      <c r="AK110">
        <v>2</v>
      </c>
      <c r="AL110">
        <v>1</v>
      </c>
      <c r="AM110" t="str">
        <f t="shared" si="10"/>
        <v>Below Avg</v>
      </c>
      <c r="AN110" s="21">
        <f t="shared" si="11"/>
        <v>27.879677182685253</v>
      </c>
      <c r="AO110" t="str">
        <f t="shared" ca="1" si="12"/>
        <v>No</v>
      </c>
      <c r="AP110" t="str">
        <f t="shared" si="13"/>
        <v>Low Risk</v>
      </c>
    </row>
    <row r="111" spans="1:42" x14ac:dyDescent="0.3">
      <c r="A111" s="5">
        <v>22</v>
      </c>
      <c r="B111" s="5" t="s">
        <v>43</v>
      </c>
      <c r="C111" s="5" t="str">
        <f t="shared" si="7"/>
        <v>No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 s="5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 s="5">
        <v>2871</v>
      </c>
      <c r="U111">
        <v>23785</v>
      </c>
      <c r="V111">
        <v>1</v>
      </c>
      <c r="W111" t="s">
        <v>42</v>
      </c>
      <c r="X111" t="s">
        <v>43</v>
      </c>
      <c r="Y111" t="str">
        <f t="shared" si="8"/>
        <v>No</v>
      </c>
      <c r="Z111">
        <v>15</v>
      </c>
      <c r="AA111">
        <v>3</v>
      </c>
      <c r="AB111">
        <v>3</v>
      </c>
      <c r="AC111">
        <v>80</v>
      </c>
      <c r="AD111">
        <v>0</v>
      </c>
      <c r="AE111" s="5">
        <v>1</v>
      </c>
      <c r="AF111" t="str">
        <f t="shared" si="9"/>
        <v>0-5</v>
      </c>
      <c r="AG111">
        <v>5</v>
      </c>
      <c r="AH111">
        <v>3</v>
      </c>
      <c r="AI111" s="5">
        <v>0</v>
      </c>
      <c r="AJ111">
        <v>0</v>
      </c>
      <c r="AK111">
        <v>0</v>
      </c>
      <c r="AL111">
        <v>0</v>
      </c>
      <c r="AM111" t="str">
        <f t="shared" si="10"/>
        <v>Below Avg</v>
      </c>
      <c r="AN111" s="21">
        <f t="shared" si="11"/>
        <v>27.826725403817914</v>
      </c>
      <c r="AO111" t="str">
        <f t="shared" ca="1" si="12"/>
        <v>No</v>
      </c>
      <c r="AP111" t="str">
        <f t="shared" si="13"/>
        <v>Low Risk</v>
      </c>
    </row>
    <row r="112" spans="1:42" x14ac:dyDescent="0.3">
      <c r="A112" s="5">
        <v>51</v>
      </c>
      <c r="B112" s="5" t="s">
        <v>43</v>
      </c>
      <c r="C112" s="5" t="str">
        <f t="shared" si="7"/>
        <v>No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 s="5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 s="5">
        <v>7484</v>
      </c>
      <c r="U112">
        <v>25796</v>
      </c>
      <c r="V112">
        <v>3</v>
      </c>
      <c r="W112" t="s">
        <v>42</v>
      </c>
      <c r="X112" t="s">
        <v>43</v>
      </c>
      <c r="Y112" t="str">
        <f t="shared" si="8"/>
        <v>No</v>
      </c>
      <c r="Z112">
        <v>20</v>
      </c>
      <c r="AA112">
        <v>4</v>
      </c>
      <c r="AB112">
        <v>3</v>
      </c>
      <c r="AC112">
        <v>80</v>
      </c>
      <c r="AD112">
        <v>0</v>
      </c>
      <c r="AE112" s="5">
        <v>23</v>
      </c>
      <c r="AF112" t="str">
        <f t="shared" si="9"/>
        <v>&gt;15</v>
      </c>
      <c r="AG112">
        <v>1</v>
      </c>
      <c r="AH112">
        <v>2</v>
      </c>
      <c r="AI112" s="5">
        <v>13</v>
      </c>
      <c r="AJ112">
        <v>12</v>
      </c>
      <c r="AK112">
        <v>12</v>
      </c>
      <c r="AL112">
        <v>8</v>
      </c>
      <c r="AM112" t="str">
        <f t="shared" si="10"/>
        <v>Ok</v>
      </c>
      <c r="AN112" s="21">
        <f t="shared" si="11"/>
        <v>27.847171197648791</v>
      </c>
      <c r="AO112" t="str">
        <f t="shared" ca="1" si="12"/>
        <v>No</v>
      </c>
      <c r="AP112" t="str">
        <f t="shared" si="13"/>
        <v>Low Risk</v>
      </c>
    </row>
    <row r="113" spans="1:42" x14ac:dyDescent="0.3">
      <c r="A113" s="5">
        <v>34</v>
      </c>
      <c r="B113" s="5" t="s">
        <v>35</v>
      </c>
      <c r="C113" s="5" t="str">
        <f t="shared" si="7"/>
        <v>Yes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 s="5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 s="5">
        <v>6074</v>
      </c>
      <c r="U113">
        <v>22887</v>
      </c>
      <c r="V113">
        <v>1</v>
      </c>
      <c r="W113" t="s">
        <v>42</v>
      </c>
      <c r="X113" t="s">
        <v>35</v>
      </c>
      <c r="Y113" t="str">
        <f t="shared" si="8"/>
        <v>Yes</v>
      </c>
      <c r="Z113">
        <v>24</v>
      </c>
      <c r="AA113">
        <v>4</v>
      </c>
      <c r="AB113">
        <v>4</v>
      </c>
      <c r="AC113">
        <v>80</v>
      </c>
      <c r="AD113">
        <v>0</v>
      </c>
      <c r="AE113" s="5">
        <v>9</v>
      </c>
      <c r="AF113" t="str">
        <f t="shared" si="9"/>
        <v>6-15</v>
      </c>
      <c r="AG113">
        <v>3</v>
      </c>
      <c r="AH113">
        <v>3</v>
      </c>
      <c r="AI113" s="5">
        <v>9</v>
      </c>
      <c r="AJ113">
        <v>7</v>
      </c>
      <c r="AK113">
        <v>0</v>
      </c>
      <c r="AL113">
        <v>6</v>
      </c>
      <c r="AM113" t="str">
        <f t="shared" si="10"/>
        <v>Below Avg</v>
      </c>
      <c r="AN113" s="21">
        <f t="shared" si="11"/>
        <v>27.867647058823529</v>
      </c>
      <c r="AO113" t="str">
        <f t="shared" ca="1" si="12"/>
        <v>No</v>
      </c>
      <c r="AP113" t="str">
        <f t="shared" si="13"/>
        <v>Low Risk</v>
      </c>
    </row>
    <row r="114" spans="1:42" x14ac:dyDescent="0.3">
      <c r="A114" s="5">
        <v>54</v>
      </c>
      <c r="B114" s="5" t="s">
        <v>43</v>
      </c>
      <c r="C114" s="5" t="str">
        <f t="shared" si="7"/>
        <v>No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 s="5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 s="5">
        <v>17328</v>
      </c>
      <c r="U114">
        <v>13871</v>
      </c>
      <c r="V114">
        <v>2</v>
      </c>
      <c r="W114" t="s">
        <v>42</v>
      </c>
      <c r="X114" t="s">
        <v>35</v>
      </c>
      <c r="Y114" t="str">
        <f t="shared" si="8"/>
        <v>Yes</v>
      </c>
      <c r="Z114">
        <v>12</v>
      </c>
      <c r="AA114">
        <v>3</v>
      </c>
      <c r="AB114">
        <v>3</v>
      </c>
      <c r="AC114">
        <v>80</v>
      </c>
      <c r="AD114">
        <v>0</v>
      </c>
      <c r="AE114" s="5">
        <v>23</v>
      </c>
      <c r="AF114" t="str">
        <f t="shared" si="9"/>
        <v>&gt;15</v>
      </c>
      <c r="AG114">
        <v>3</v>
      </c>
      <c r="AH114">
        <v>3</v>
      </c>
      <c r="AI114" s="5">
        <v>5</v>
      </c>
      <c r="AJ114">
        <v>3</v>
      </c>
      <c r="AK114">
        <v>4</v>
      </c>
      <c r="AL114">
        <v>4</v>
      </c>
      <c r="AM114" t="str">
        <f t="shared" si="10"/>
        <v>Ok</v>
      </c>
      <c r="AN114" s="21">
        <f t="shared" si="11"/>
        <v>27.888153053715968</v>
      </c>
      <c r="AO114" t="str">
        <f t="shared" ca="1" si="12"/>
        <v>No</v>
      </c>
      <c r="AP114" t="str">
        <f t="shared" si="13"/>
        <v>Low Risk</v>
      </c>
    </row>
    <row r="115" spans="1:42" x14ac:dyDescent="0.3">
      <c r="A115" s="5">
        <v>24</v>
      </c>
      <c r="B115" s="5" t="s">
        <v>43</v>
      </c>
      <c r="C115" s="5" t="str">
        <f t="shared" si="7"/>
        <v>No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 s="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 s="5">
        <v>2774</v>
      </c>
      <c r="U115">
        <v>13257</v>
      </c>
      <c r="V115">
        <v>0</v>
      </c>
      <c r="W115" t="s">
        <v>42</v>
      </c>
      <c r="X115" t="s">
        <v>43</v>
      </c>
      <c r="Y115" t="str">
        <f t="shared" si="8"/>
        <v>No</v>
      </c>
      <c r="Z115">
        <v>12</v>
      </c>
      <c r="AA115">
        <v>3</v>
      </c>
      <c r="AB115">
        <v>3</v>
      </c>
      <c r="AC115">
        <v>80</v>
      </c>
      <c r="AD115">
        <v>1</v>
      </c>
      <c r="AE115" s="5">
        <v>6</v>
      </c>
      <c r="AF115" t="str">
        <f t="shared" si="9"/>
        <v>6-15</v>
      </c>
      <c r="AG115">
        <v>2</v>
      </c>
      <c r="AH115">
        <v>3</v>
      </c>
      <c r="AI115" s="5">
        <v>5</v>
      </c>
      <c r="AJ115">
        <v>3</v>
      </c>
      <c r="AK115">
        <v>1</v>
      </c>
      <c r="AL115">
        <v>2</v>
      </c>
      <c r="AM115" t="str">
        <f t="shared" si="10"/>
        <v>Below Avg</v>
      </c>
      <c r="AN115" s="21">
        <f t="shared" si="11"/>
        <v>27.835051546391753</v>
      </c>
      <c r="AO115" t="str">
        <f t="shared" ca="1" si="12"/>
        <v>No</v>
      </c>
      <c r="AP115" t="str">
        <f t="shared" si="13"/>
        <v>Low Risk</v>
      </c>
    </row>
    <row r="116" spans="1:42" x14ac:dyDescent="0.3">
      <c r="A116" s="5">
        <v>34</v>
      </c>
      <c r="B116" s="5" t="s">
        <v>43</v>
      </c>
      <c r="C116" s="5" t="str">
        <f t="shared" si="7"/>
        <v>No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 s="5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 s="5">
        <v>4505</v>
      </c>
      <c r="U116">
        <v>15000</v>
      </c>
      <c r="V116">
        <v>6</v>
      </c>
      <c r="W116" t="s">
        <v>42</v>
      </c>
      <c r="X116" t="s">
        <v>43</v>
      </c>
      <c r="Y116" t="str">
        <f t="shared" si="8"/>
        <v>No</v>
      </c>
      <c r="Z116">
        <v>15</v>
      </c>
      <c r="AA116">
        <v>3</v>
      </c>
      <c r="AB116">
        <v>3</v>
      </c>
      <c r="AC116">
        <v>80</v>
      </c>
      <c r="AD116">
        <v>1</v>
      </c>
      <c r="AE116" s="5">
        <v>12</v>
      </c>
      <c r="AF116" t="str">
        <f t="shared" si="9"/>
        <v>6-15</v>
      </c>
      <c r="AG116">
        <v>3</v>
      </c>
      <c r="AH116">
        <v>3</v>
      </c>
      <c r="AI116" s="5">
        <v>1</v>
      </c>
      <c r="AJ116">
        <v>0</v>
      </c>
      <c r="AK116">
        <v>0</v>
      </c>
      <c r="AL116">
        <v>0</v>
      </c>
      <c r="AM116" t="str">
        <f t="shared" si="10"/>
        <v>Below Avg</v>
      </c>
      <c r="AN116" s="21">
        <f t="shared" si="11"/>
        <v>27.78187177597642</v>
      </c>
      <c r="AO116" t="str">
        <f t="shared" ca="1" si="12"/>
        <v>No</v>
      </c>
      <c r="AP116" t="str">
        <f t="shared" si="13"/>
        <v>Low Risk</v>
      </c>
    </row>
    <row r="117" spans="1:42" x14ac:dyDescent="0.3">
      <c r="A117" s="5">
        <v>37</v>
      </c>
      <c r="B117" s="5" t="s">
        <v>43</v>
      </c>
      <c r="C117" s="5" t="str">
        <f t="shared" si="7"/>
        <v>No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 s="5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 s="5">
        <v>7428</v>
      </c>
      <c r="U117">
        <v>14506</v>
      </c>
      <c r="V117">
        <v>2</v>
      </c>
      <c r="W117" t="s">
        <v>42</v>
      </c>
      <c r="X117" t="s">
        <v>43</v>
      </c>
      <c r="Y117" t="str">
        <f t="shared" si="8"/>
        <v>No</v>
      </c>
      <c r="Z117">
        <v>12</v>
      </c>
      <c r="AA117">
        <v>3</v>
      </c>
      <c r="AB117">
        <v>1</v>
      </c>
      <c r="AC117">
        <v>80</v>
      </c>
      <c r="AD117">
        <v>0</v>
      </c>
      <c r="AE117" s="5">
        <v>12</v>
      </c>
      <c r="AF117" t="str">
        <f t="shared" si="9"/>
        <v>6-15</v>
      </c>
      <c r="AG117">
        <v>3</v>
      </c>
      <c r="AH117">
        <v>3</v>
      </c>
      <c r="AI117" s="5">
        <v>5</v>
      </c>
      <c r="AJ117">
        <v>3</v>
      </c>
      <c r="AK117">
        <v>1</v>
      </c>
      <c r="AL117">
        <v>3</v>
      </c>
      <c r="AM117" t="str">
        <f t="shared" si="10"/>
        <v>Ok</v>
      </c>
      <c r="AN117" s="21">
        <f t="shared" si="11"/>
        <v>27.802359882005902</v>
      </c>
      <c r="AO117" t="str">
        <f t="shared" ca="1" si="12"/>
        <v>No</v>
      </c>
      <c r="AP117" t="str">
        <f t="shared" si="13"/>
        <v>Low Risk</v>
      </c>
    </row>
    <row r="118" spans="1:42" x14ac:dyDescent="0.3">
      <c r="A118" s="5">
        <v>34</v>
      </c>
      <c r="B118" s="5" t="s">
        <v>43</v>
      </c>
      <c r="C118" s="5" t="str">
        <f t="shared" si="7"/>
        <v>No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 s="5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 s="5">
        <v>11631</v>
      </c>
      <c r="U118">
        <v>5615</v>
      </c>
      <c r="V118">
        <v>2</v>
      </c>
      <c r="W118" t="s">
        <v>42</v>
      </c>
      <c r="X118" t="s">
        <v>43</v>
      </c>
      <c r="Y118" t="str">
        <f t="shared" si="8"/>
        <v>No</v>
      </c>
      <c r="Z118">
        <v>12</v>
      </c>
      <c r="AA118">
        <v>3</v>
      </c>
      <c r="AB118">
        <v>4</v>
      </c>
      <c r="AC118">
        <v>80</v>
      </c>
      <c r="AD118">
        <v>0</v>
      </c>
      <c r="AE118" s="5">
        <v>14</v>
      </c>
      <c r="AF118" t="str">
        <f t="shared" si="9"/>
        <v>6-15</v>
      </c>
      <c r="AG118">
        <v>6</v>
      </c>
      <c r="AH118">
        <v>3</v>
      </c>
      <c r="AI118" s="5">
        <v>11</v>
      </c>
      <c r="AJ118">
        <v>10</v>
      </c>
      <c r="AK118">
        <v>5</v>
      </c>
      <c r="AL118">
        <v>8</v>
      </c>
      <c r="AM118" t="str">
        <f t="shared" si="10"/>
        <v>Ok</v>
      </c>
      <c r="AN118" s="21">
        <f t="shared" si="11"/>
        <v>27.822878228782287</v>
      </c>
      <c r="AO118" t="str">
        <f t="shared" ca="1" si="12"/>
        <v>No</v>
      </c>
      <c r="AP118" t="str">
        <f t="shared" si="13"/>
        <v>Low Risk</v>
      </c>
    </row>
    <row r="119" spans="1:42" x14ac:dyDescent="0.3">
      <c r="A119" s="5">
        <v>36</v>
      </c>
      <c r="B119" s="5" t="s">
        <v>43</v>
      </c>
      <c r="C119" s="5" t="str">
        <f t="shared" si="7"/>
        <v>No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 s="5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 s="5">
        <v>9738</v>
      </c>
      <c r="U119">
        <v>22952</v>
      </c>
      <c r="V119">
        <v>0</v>
      </c>
      <c r="W119" t="s">
        <v>42</v>
      </c>
      <c r="X119" t="s">
        <v>43</v>
      </c>
      <c r="Y119" t="str">
        <f t="shared" si="8"/>
        <v>No</v>
      </c>
      <c r="Z119">
        <v>14</v>
      </c>
      <c r="AA119">
        <v>3</v>
      </c>
      <c r="AB119">
        <v>3</v>
      </c>
      <c r="AC119">
        <v>80</v>
      </c>
      <c r="AD119">
        <v>1</v>
      </c>
      <c r="AE119" s="5">
        <v>10</v>
      </c>
      <c r="AF119" t="str">
        <f t="shared" si="9"/>
        <v>6-15</v>
      </c>
      <c r="AG119">
        <v>6</v>
      </c>
      <c r="AH119">
        <v>3</v>
      </c>
      <c r="AI119" s="5">
        <v>9</v>
      </c>
      <c r="AJ119">
        <v>7</v>
      </c>
      <c r="AK119">
        <v>2</v>
      </c>
      <c r="AL119">
        <v>8</v>
      </c>
      <c r="AM119" t="str">
        <f t="shared" si="10"/>
        <v>Ok</v>
      </c>
      <c r="AN119" s="21">
        <f t="shared" si="11"/>
        <v>27.843426883308712</v>
      </c>
      <c r="AO119" t="str">
        <f t="shared" ca="1" si="12"/>
        <v>No</v>
      </c>
      <c r="AP119" t="str">
        <f t="shared" si="13"/>
        <v>Low Risk</v>
      </c>
    </row>
    <row r="120" spans="1:42" x14ac:dyDescent="0.3">
      <c r="A120" s="5">
        <v>36</v>
      </c>
      <c r="B120" s="5" t="s">
        <v>43</v>
      </c>
      <c r="C120" s="5" t="str">
        <f t="shared" si="7"/>
        <v>No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 s="5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 s="5">
        <v>2835</v>
      </c>
      <c r="U120">
        <v>2561</v>
      </c>
      <c r="V120">
        <v>5</v>
      </c>
      <c r="W120" t="s">
        <v>42</v>
      </c>
      <c r="X120" t="s">
        <v>43</v>
      </c>
      <c r="Y120" t="str">
        <f t="shared" si="8"/>
        <v>No</v>
      </c>
      <c r="Z120">
        <v>22</v>
      </c>
      <c r="AA120">
        <v>4</v>
      </c>
      <c r="AB120">
        <v>1</v>
      </c>
      <c r="AC120">
        <v>80</v>
      </c>
      <c r="AD120">
        <v>1</v>
      </c>
      <c r="AE120" s="5">
        <v>7</v>
      </c>
      <c r="AF120" t="str">
        <f t="shared" si="9"/>
        <v>6-15</v>
      </c>
      <c r="AG120">
        <v>2</v>
      </c>
      <c r="AH120">
        <v>3</v>
      </c>
      <c r="AI120" s="5">
        <v>1</v>
      </c>
      <c r="AJ120">
        <v>0</v>
      </c>
      <c r="AK120">
        <v>0</v>
      </c>
      <c r="AL120">
        <v>0</v>
      </c>
      <c r="AM120" t="str">
        <f t="shared" si="10"/>
        <v>Below Avg</v>
      </c>
      <c r="AN120" s="21">
        <f t="shared" si="11"/>
        <v>27.8640059127864</v>
      </c>
      <c r="AO120" t="str">
        <f t="shared" ca="1" si="12"/>
        <v>No</v>
      </c>
      <c r="AP120" t="str">
        <f t="shared" si="13"/>
        <v>Low Risk</v>
      </c>
    </row>
    <row r="121" spans="1:42" x14ac:dyDescent="0.3">
      <c r="A121" s="5">
        <v>43</v>
      </c>
      <c r="B121" s="5" t="s">
        <v>43</v>
      </c>
      <c r="C121" s="5" t="str">
        <f t="shared" si="7"/>
        <v>No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 s="5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 s="5">
        <v>16959</v>
      </c>
      <c r="U121">
        <v>19494</v>
      </c>
      <c r="V121">
        <v>1</v>
      </c>
      <c r="W121" t="s">
        <v>42</v>
      </c>
      <c r="X121" t="s">
        <v>35</v>
      </c>
      <c r="Y121" t="str">
        <f t="shared" si="8"/>
        <v>Yes</v>
      </c>
      <c r="Z121">
        <v>12</v>
      </c>
      <c r="AA121">
        <v>3</v>
      </c>
      <c r="AB121">
        <v>4</v>
      </c>
      <c r="AC121">
        <v>80</v>
      </c>
      <c r="AD121">
        <v>2</v>
      </c>
      <c r="AE121" s="5">
        <v>25</v>
      </c>
      <c r="AF121" t="str">
        <f t="shared" si="9"/>
        <v>&gt;15</v>
      </c>
      <c r="AG121">
        <v>3</v>
      </c>
      <c r="AH121">
        <v>4</v>
      </c>
      <c r="AI121" s="5">
        <v>25</v>
      </c>
      <c r="AJ121">
        <v>12</v>
      </c>
      <c r="AK121">
        <v>4</v>
      </c>
      <c r="AL121">
        <v>12</v>
      </c>
      <c r="AM121" t="str">
        <f t="shared" si="10"/>
        <v>Ok</v>
      </c>
      <c r="AN121" s="21">
        <f t="shared" si="11"/>
        <v>27.884615384615387</v>
      </c>
      <c r="AO121" t="str">
        <f t="shared" ca="1" si="12"/>
        <v>No</v>
      </c>
      <c r="AP121" t="str">
        <f t="shared" si="13"/>
        <v>Low Risk</v>
      </c>
    </row>
    <row r="122" spans="1:42" x14ac:dyDescent="0.3">
      <c r="A122" s="5">
        <v>30</v>
      </c>
      <c r="B122" s="5" t="s">
        <v>43</v>
      </c>
      <c r="C122" s="5" t="str">
        <f t="shared" si="7"/>
        <v>No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 s="5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 s="5">
        <v>2613</v>
      </c>
      <c r="U122">
        <v>22310</v>
      </c>
      <c r="V122">
        <v>1</v>
      </c>
      <c r="W122" t="s">
        <v>42</v>
      </c>
      <c r="X122" t="s">
        <v>43</v>
      </c>
      <c r="Y122" t="str">
        <f t="shared" si="8"/>
        <v>No</v>
      </c>
      <c r="Z122">
        <v>25</v>
      </c>
      <c r="AA122">
        <v>4</v>
      </c>
      <c r="AB122">
        <v>3</v>
      </c>
      <c r="AC122">
        <v>80</v>
      </c>
      <c r="AD122">
        <v>3</v>
      </c>
      <c r="AE122" s="5">
        <v>10</v>
      </c>
      <c r="AF122" t="str">
        <f t="shared" si="9"/>
        <v>6-15</v>
      </c>
      <c r="AG122">
        <v>2</v>
      </c>
      <c r="AH122">
        <v>2</v>
      </c>
      <c r="AI122" s="5">
        <v>10</v>
      </c>
      <c r="AJ122">
        <v>7</v>
      </c>
      <c r="AK122">
        <v>0</v>
      </c>
      <c r="AL122">
        <v>9</v>
      </c>
      <c r="AM122" t="str">
        <f t="shared" si="10"/>
        <v>Below Avg</v>
      </c>
      <c r="AN122" s="21">
        <f t="shared" si="11"/>
        <v>27.905255366395266</v>
      </c>
      <c r="AO122" t="str">
        <f t="shared" ca="1" si="12"/>
        <v>No</v>
      </c>
      <c r="AP122" t="str">
        <f t="shared" si="13"/>
        <v>Low Risk</v>
      </c>
    </row>
    <row r="123" spans="1:42" x14ac:dyDescent="0.3">
      <c r="A123" s="5">
        <v>33</v>
      </c>
      <c r="B123" s="5" t="s">
        <v>43</v>
      </c>
      <c r="C123" s="5" t="str">
        <f t="shared" si="7"/>
        <v>No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 s="5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 s="5">
        <v>6146</v>
      </c>
      <c r="U123">
        <v>15480</v>
      </c>
      <c r="V123">
        <v>0</v>
      </c>
      <c r="W123" t="s">
        <v>42</v>
      </c>
      <c r="X123" t="s">
        <v>43</v>
      </c>
      <c r="Y123" t="str">
        <f t="shared" si="8"/>
        <v>No</v>
      </c>
      <c r="Z123">
        <v>13</v>
      </c>
      <c r="AA123">
        <v>3</v>
      </c>
      <c r="AB123">
        <v>1</v>
      </c>
      <c r="AC123">
        <v>80</v>
      </c>
      <c r="AD123">
        <v>1</v>
      </c>
      <c r="AE123" s="5">
        <v>8</v>
      </c>
      <c r="AF123" t="str">
        <f t="shared" si="9"/>
        <v>6-15</v>
      </c>
      <c r="AG123">
        <v>2</v>
      </c>
      <c r="AH123">
        <v>4</v>
      </c>
      <c r="AI123" s="5">
        <v>7</v>
      </c>
      <c r="AJ123">
        <v>7</v>
      </c>
      <c r="AK123">
        <v>0</v>
      </c>
      <c r="AL123">
        <v>7</v>
      </c>
      <c r="AM123" t="str">
        <f t="shared" si="10"/>
        <v>Below Avg</v>
      </c>
      <c r="AN123" s="21">
        <f t="shared" si="11"/>
        <v>27.851851851851851</v>
      </c>
      <c r="AO123" t="str">
        <f t="shared" ca="1" si="12"/>
        <v>No</v>
      </c>
      <c r="AP123" t="str">
        <f t="shared" si="13"/>
        <v>Low Risk</v>
      </c>
    </row>
    <row r="124" spans="1:42" x14ac:dyDescent="0.3">
      <c r="A124" s="5">
        <v>56</v>
      </c>
      <c r="B124" s="5" t="s">
        <v>35</v>
      </c>
      <c r="C124" s="5" t="str">
        <f t="shared" si="7"/>
        <v>Yes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 s="5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 s="5">
        <v>4963</v>
      </c>
      <c r="U124">
        <v>4510</v>
      </c>
      <c r="V124">
        <v>9</v>
      </c>
      <c r="W124" t="s">
        <v>42</v>
      </c>
      <c r="X124" t="s">
        <v>35</v>
      </c>
      <c r="Y124" t="str">
        <f t="shared" si="8"/>
        <v>Yes</v>
      </c>
      <c r="Z124">
        <v>18</v>
      </c>
      <c r="AA124">
        <v>3</v>
      </c>
      <c r="AB124">
        <v>1</v>
      </c>
      <c r="AC124">
        <v>80</v>
      </c>
      <c r="AD124">
        <v>3</v>
      </c>
      <c r="AE124" s="5">
        <v>7</v>
      </c>
      <c r="AF124" t="str">
        <f t="shared" si="9"/>
        <v>6-15</v>
      </c>
      <c r="AG124">
        <v>2</v>
      </c>
      <c r="AH124">
        <v>3</v>
      </c>
      <c r="AI124" s="5">
        <v>5</v>
      </c>
      <c r="AJ124">
        <v>4</v>
      </c>
      <c r="AK124">
        <v>4</v>
      </c>
      <c r="AL124">
        <v>3</v>
      </c>
      <c r="AM124" t="str">
        <f t="shared" si="10"/>
        <v>Below Avg</v>
      </c>
      <c r="AN124" s="21">
        <f t="shared" si="11"/>
        <v>27.872498146775389</v>
      </c>
      <c r="AO124" t="str">
        <f t="shared" ca="1" si="12"/>
        <v>No</v>
      </c>
      <c r="AP124" t="str">
        <f t="shared" si="13"/>
        <v>Low Risk</v>
      </c>
    </row>
    <row r="125" spans="1:42" x14ac:dyDescent="0.3">
      <c r="A125" s="5">
        <v>51</v>
      </c>
      <c r="B125" s="5" t="s">
        <v>43</v>
      </c>
      <c r="C125" s="5" t="str">
        <f t="shared" si="7"/>
        <v>No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 s="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 s="5">
        <v>19537</v>
      </c>
      <c r="U125">
        <v>6462</v>
      </c>
      <c r="V125">
        <v>7</v>
      </c>
      <c r="W125" t="s">
        <v>42</v>
      </c>
      <c r="X125" t="s">
        <v>43</v>
      </c>
      <c r="Y125" t="str">
        <f t="shared" si="8"/>
        <v>No</v>
      </c>
      <c r="Z125">
        <v>13</v>
      </c>
      <c r="AA125">
        <v>3</v>
      </c>
      <c r="AB125">
        <v>3</v>
      </c>
      <c r="AC125">
        <v>80</v>
      </c>
      <c r="AD125">
        <v>0</v>
      </c>
      <c r="AE125" s="5">
        <v>23</v>
      </c>
      <c r="AF125" t="str">
        <f t="shared" si="9"/>
        <v>&gt;15</v>
      </c>
      <c r="AG125">
        <v>5</v>
      </c>
      <c r="AH125">
        <v>3</v>
      </c>
      <c r="AI125" s="5">
        <v>20</v>
      </c>
      <c r="AJ125">
        <v>18</v>
      </c>
      <c r="AK125">
        <v>15</v>
      </c>
      <c r="AL125">
        <v>15</v>
      </c>
      <c r="AM125" t="str">
        <f t="shared" si="10"/>
        <v>Ok</v>
      </c>
      <c r="AN125" s="21">
        <f t="shared" si="11"/>
        <v>27.893175074183979</v>
      </c>
      <c r="AO125" t="str">
        <f t="shared" ca="1" si="12"/>
        <v>No</v>
      </c>
      <c r="AP125" t="str">
        <f t="shared" si="13"/>
        <v>Low Risk</v>
      </c>
    </row>
    <row r="126" spans="1:42" x14ac:dyDescent="0.3">
      <c r="A126" s="5">
        <v>31</v>
      </c>
      <c r="B126" s="5" t="s">
        <v>35</v>
      </c>
      <c r="C126" s="5" t="str">
        <f t="shared" si="7"/>
        <v>Yes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 s="5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 s="5">
        <v>6172</v>
      </c>
      <c r="U126">
        <v>20739</v>
      </c>
      <c r="V126">
        <v>4</v>
      </c>
      <c r="W126" t="s">
        <v>42</v>
      </c>
      <c r="X126" t="s">
        <v>35</v>
      </c>
      <c r="Y126" t="str">
        <f t="shared" si="8"/>
        <v>Yes</v>
      </c>
      <c r="Z126">
        <v>18</v>
      </c>
      <c r="AA126">
        <v>3</v>
      </c>
      <c r="AB126">
        <v>2</v>
      </c>
      <c r="AC126">
        <v>80</v>
      </c>
      <c r="AD126">
        <v>0</v>
      </c>
      <c r="AE126" s="5">
        <v>12</v>
      </c>
      <c r="AF126" t="str">
        <f t="shared" si="9"/>
        <v>6-15</v>
      </c>
      <c r="AG126">
        <v>3</v>
      </c>
      <c r="AH126">
        <v>2</v>
      </c>
      <c r="AI126" s="5">
        <v>7</v>
      </c>
      <c r="AJ126">
        <v>7</v>
      </c>
      <c r="AK126">
        <v>7</v>
      </c>
      <c r="AL126">
        <v>7</v>
      </c>
      <c r="AM126" t="str">
        <f t="shared" si="10"/>
        <v>Below Avg</v>
      </c>
      <c r="AN126" s="21">
        <f t="shared" si="11"/>
        <v>27.839643652561247</v>
      </c>
      <c r="AO126" t="str">
        <f t="shared" ca="1" si="12"/>
        <v>No</v>
      </c>
      <c r="AP126" t="str">
        <f t="shared" si="13"/>
        <v>Low Risk</v>
      </c>
    </row>
    <row r="127" spans="1:42" x14ac:dyDescent="0.3">
      <c r="A127" s="5">
        <v>26</v>
      </c>
      <c r="B127" s="5" t="s">
        <v>43</v>
      </c>
      <c r="C127" s="5" t="str">
        <f t="shared" si="7"/>
        <v>No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 s="5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 s="5">
        <v>2368</v>
      </c>
      <c r="U127">
        <v>23300</v>
      </c>
      <c r="V127">
        <v>1</v>
      </c>
      <c r="W127" t="s">
        <v>42</v>
      </c>
      <c r="X127" t="s">
        <v>43</v>
      </c>
      <c r="Y127" t="str">
        <f t="shared" si="8"/>
        <v>No</v>
      </c>
      <c r="Z127">
        <v>19</v>
      </c>
      <c r="AA127">
        <v>3</v>
      </c>
      <c r="AB127">
        <v>3</v>
      </c>
      <c r="AC127">
        <v>80</v>
      </c>
      <c r="AD127">
        <v>0</v>
      </c>
      <c r="AE127" s="5">
        <v>5</v>
      </c>
      <c r="AF127" t="str">
        <f t="shared" si="9"/>
        <v>0-5</v>
      </c>
      <c r="AG127">
        <v>3</v>
      </c>
      <c r="AH127">
        <v>2</v>
      </c>
      <c r="AI127" s="5">
        <v>5</v>
      </c>
      <c r="AJ127">
        <v>4</v>
      </c>
      <c r="AK127">
        <v>4</v>
      </c>
      <c r="AL127">
        <v>3</v>
      </c>
      <c r="AM127" t="str">
        <f t="shared" si="10"/>
        <v>Below Avg</v>
      </c>
      <c r="AN127" s="21">
        <f t="shared" si="11"/>
        <v>27.860326894502229</v>
      </c>
      <c r="AO127" t="str">
        <f t="shared" ca="1" si="12"/>
        <v>No</v>
      </c>
      <c r="AP127" t="str">
        <f t="shared" si="13"/>
        <v>Low Risk</v>
      </c>
    </row>
    <row r="128" spans="1:42" x14ac:dyDescent="0.3">
      <c r="A128" s="5">
        <v>58</v>
      </c>
      <c r="B128" s="5" t="s">
        <v>35</v>
      </c>
      <c r="C128" s="5" t="str">
        <f t="shared" si="7"/>
        <v>Yes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 s="5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 s="5">
        <v>10312</v>
      </c>
      <c r="U128">
        <v>3465</v>
      </c>
      <c r="V128">
        <v>1</v>
      </c>
      <c r="W128" t="s">
        <v>42</v>
      </c>
      <c r="X128" t="s">
        <v>43</v>
      </c>
      <c r="Y128" t="str">
        <f t="shared" si="8"/>
        <v>No</v>
      </c>
      <c r="Z128">
        <v>12</v>
      </c>
      <c r="AA128">
        <v>3</v>
      </c>
      <c r="AB128">
        <v>4</v>
      </c>
      <c r="AC128">
        <v>80</v>
      </c>
      <c r="AD128">
        <v>1</v>
      </c>
      <c r="AE128" s="5">
        <v>40</v>
      </c>
      <c r="AF128" t="str">
        <f t="shared" si="9"/>
        <v>&gt;15</v>
      </c>
      <c r="AG128">
        <v>3</v>
      </c>
      <c r="AH128">
        <v>2</v>
      </c>
      <c r="AI128" s="5">
        <v>40</v>
      </c>
      <c r="AJ128">
        <v>10</v>
      </c>
      <c r="AK128">
        <v>15</v>
      </c>
      <c r="AL128">
        <v>6</v>
      </c>
      <c r="AM128" t="str">
        <f t="shared" si="10"/>
        <v>Ok</v>
      </c>
      <c r="AN128" s="21">
        <f t="shared" si="11"/>
        <v>27.806691449814124</v>
      </c>
      <c r="AO128" t="str">
        <f t="shared" ca="1" si="12"/>
        <v>No</v>
      </c>
      <c r="AP128" t="str">
        <f t="shared" si="13"/>
        <v>Low Risk</v>
      </c>
    </row>
    <row r="129" spans="1:42" x14ac:dyDescent="0.3">
      <c r="A129" s="5">
        <v>19</v>
      </c>
      <c r="B129" s="5" t="s">
        <v>35</v>
      </c>
      <c r="C129" s="5" t="str">
        <f t="shared" si="7"/>
        <v>Yes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 s="5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 s="5">
        <v>1675</v>
      </c>
      <c r="U129">
        <v>26820</v>
      </c>
      <c r="V129">
        <v>1</v>
      </c>
      <c r="W129" t="s">
        <v>42</v>
      </c>
      <c r="X129" t="s">
        <v>35</v>
      </c>
      <c r="Y129" t="str">
        <f t="shared" si="8"/>
        <v>Yes</v>
      </c>
      <c r="Z129">
        <v>19</v>
      </c>
      <c r="AA129">
        <v>3</v>
      </c>
      <c r="AB129">
        <v>4</v>
      </c>
      <c r="AC129">
        <v>80</v>
      </c>
      <c r="AD129">
        <v>0</v>
      </c>
      <c r="AE129" s="5">
        <v>0</v>
      </c>
      <c r="AF129" t="str">
        <f t="shared" si="9"/>
        <v>0-5</v>
      </c>
      <c r="AG129">
        <v>2</v>
      </c>
      <c r="AH129">
        <v>2</v>
      </c>
      <c r="AI129" s="5">
        <v>0</v>
      </c>
      <c r="AJ129">
        <v>0</v>
      </c>
      <c r="AK129">
        <v>0</v>
      </c>
      <c r="AL129">
        <v>0</v>
      </c>
      <c r="AM129" t="str">
        <f t="shared" si="10"/>
        <v>Below Avg</v>
      </c>
      <c r="AN129" s="21">
        <f t="shared" si="11"/>
        <v>27.827380952380953</v>
      </c>
      <c r="AO129" t="str">
        <f t="shared" ca="1" si="12"/>
        <v>No</v>
      </c>
      <c r="AP129" t="str">
        <f t="shared" si="13"/>
        <v>High Risk</v>
      </c>
    </row>
    <row r="130" spans="1:42" x14ac:dyDescent="0.3">
      <c r="A130" s="5">
        <v>22</v>
      </c>
      <c r="B130" s="5" t="s">
        <v>43</v>
      </c>
      <c r="C130" s="5" t="str">
        <f t="shared" si="7"/>
        <v>No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 s="5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 s="5">
        <v>2523</v>
      </c>
      <c r="U130">
        <v>19299</v>
      </c>
      <c r="V130">
        <v>0</v>
      </c>
      <c r="W130" t="s">
        <v>42</v>
      </c>
      <c r="X130" t="s">
        <v>43</v>
      </c>
      <c r="Y130" t="str">
        <f t="shared" si="8"/>
        <v>No</v>
      </c>
      <c r="Z130">
        <v>14</v>
      </c>
      <c r="AA130">
        <v>3</v>
      </c>
      <c r="AB130">
        <v>3</v>
      </c>
      <c r="AC130">
        <v>80</v>
      </c>
      <c r="AD130">
        <v>1</v>
      </c>
      <c r="AE130" s="5">
        <v>3</v>
      </c>
      <c r="AF130" t="str">
        <f t="shared" si="9"/>
        <v>0-5</v>
      </c>
      <c r="AG130">
        <v>2</v>
      </c>
      <c r="AH130">
        <v>3</v>
      </c>
      <c r="AI130" s="5">
        <v>2</v>
      </c>
      <c r="AJ130">
        <v>1</v>
      </c>
      <c r="AK130">
        <v>2</v>
      </c>
      <c r="AL130">
        <v>1</v>
      </c>
      <c r="AM130" t="str">
        <f t="shared" si="10"/>
        <v>Below Avg</v>
      </c>
      <c r="AN130" s="21">
        <f t="shared" si="11"/>
        <v>27.848101265822784</v>
      </c>
      <c r="AO130" t="str">
        <f t="shared" ca="1" si="12"/>
        <v>No</v>
      </c>
      <c r="AP130" t="str">
        <f t="shared" si="13"/>
        <v>Low Risk</v>
      </c>
    </row>
    <row r="131" spans="1:42" x14ac:dyDescent="0.3">
      <c r="A131" s="5">
        <v>49</v>
      </c>
      <c r="B131" s="5" t="s">
        <v>43</v>
      </c>
      <c r="C131" s="5" t="str">
        <f t="shared" ref="C131:C194" si="14">IF(LOWER(B131)="yes","Yes","No")</f>
        <v>No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 s="5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 s="5">
        <v>6567</v>
      </c>
      <c r="U131">
        <v>5549</v>
      </c>
      <c r="V131">
        <v>1</v>
      </c>
      <c r="W131" t="s">
        <v>42</v>
      </c>
      <c r="X131" t="s">
        <v>43</v>
      </c>
      <c r="Y131" t="str">
        <f t="shared" ref="Y131:Y194" si="15">IF(LOWER(X131)="yes","Yes","No")</f>
        <v>No</v>
      </c>
      <c r="Z131">
        <v>14</v>
      </c>
      <c r="AA131">
        <v>3</v>
      </c>
      <c r="AB131">
        <v>3</v>
      </c>
      <c r="AC131">
        <v>80</v>
      </c>
      <c r="AD131">
        <v>0</v>
      </c>
      <c r="AE131" s="5">
        <v>16</v>
      </c>
      <c r="AF131" t="str">
        <f t="shared" ref="AF131:AF194" si="16">IF(AE131&lt;=5,"0-5",IF(AE131&lt;=15,"6-15","&gt;15"))</f>
        <v>&gt;15</v>
      </c>
      <c r="AG131">
        <v>2</v>
      </c>
      <c r="AH131">
        <v>2</v>
      </c>
      <c r="AI131" s="5">
        <v>15</v>
      </c>
      <c r="AJ131">
        <v>11</v>
      </c>
      <c r="AK131">
        <v>5</v>
      </c>
      <c r="AL131">
        <v>11</v>
      </c>
      <c r="AM131" t="str">
        <f t="shared" ref="AM131:AM194" si="17">IF(T131&lt;AVERAGEIF($F130:$F1600,F131,$T130:$T1600),"Below Avg","Ok")</f>
        <v>Ok</v>
      </c>
      <c r="AN131" s="21">
        <f t="shared" ref="AN131:AN194" si="18">COUNTIF(X130:X1600,"Yes")/COUNTA(X130:X1600)*100</f>
        <v>27.794336810730254</v>
      </c>
      <c r="AO131" t="str">
        <f t="shared" ref="AO131:AO194" ca="1" si="19">IF(AND(AA131&gt;=4,Z131&lt;AVERAGEIF($F130:$F1600,F131,$Z131:$Z1600)),"Yes","No")</f>
        <v>No</v>
      </c>
      <c r="AP131" t="str">
        <f t="shared" ref="AP131:AP194" si="20">IF(AND(AI131&lt;2,C131="Yes"),"High Risk","Low Risk")</f>
        <v>Low Risk</v>
      </c>
    </row>
    <row r="132" spans="1:42" x14ac:dyDescent="0.3">
      <c r="A132" s="5">
        <v>43</v>
      </c>
      <c r="B132" s="5" t="s">
        <v>43</v>
      </c>
      <c r="C132" s="5" t="str">
        <f t="shared" si="14"/>
        <v>No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 s="5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 s="5">
        <v>4739</v>
      </c>
      <c r="U132">
        <v>16090</v>
      </c>
      <c r="V132">
        <v>4</v>
      </c>
      <c r="W132" t="s">
        <v>42</v>
      </c>
      <c r="X132" t="s">
        <v>43</v>
      </c>
      <c r="Y132" t="str">
        <f t="shared" si="15"/>
        <v>No</v>
      </c>
      <c r="Z132">
        <v>12</v>
      </c>
      <c r="AA132">
        <v>3</v>
      </c>
      <c r="AB132">
        <v>4</v>
      </c>
      <c r="AC132">
        <v>80</v>
      </c>
      <c r="AD132">
        <v>0</v>
      </c>
      <c r="AE132" s="5">
        <v>18</v>
      </c>
      <c r="AF132" t="str">
        <f t="shared" si="16"/>
        <v>&gt;15</v>
      </c>
      <c r="AG132">
        <v>2</v>
      </c>
      <c r="AH132">
        <v>3</v>
      </c>
      <c r="AI132" s="5">
        <v>3</v>
      </c>
      <c r="AJ132">
        <v>2</v>
      </c>
      <c r="AK132">
        <v>1</v>
      </c>
      <c r="AL132">
        <v>2</v>
      </c>
      <c r="AM132" t="str">
        <f t="shared" si="17"/>
        <v>Below Avg</v>
      </c>
      <c r="AN132" s="21">
        <f t="shared" si="18"/>
        <v>27.815063385533183</v>
      </c>
      <c r="AO132" t="str">
        <f t="shared" ca="1" si="19"/>
        <v>No</v>
      </c>
      <c r="AP132" t="str">
        <f t="shared" si="20"/>
        <v>Low Risk</v>
      </c>
    </row>
    <row r="133" spans="1:42" x14ac:dyDescent="0.3">
      <c r="A133" s="5">
        <v>50</v>
      </c>
      <c r="B133" s="5" t="s">
        <v>43</v>
      </c>
      <c r="C133" s="5" t="str">
        <f t="shared" si="14"/>
        <v>No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 s="5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 s="5">
        <v>9208</v>
      </c>
      <c r="U133">
        <v>6645</v>
      </c>
      <c r="V133">
        <v>4</v>
      </c>
      <c r="W133" t="s">
        <v>42</v>
      </c>
      <c r="X133" t="s">
        <v>43</v>
      </c>
      <c r="Y133" t="str">
        <f t="shared" si="15"/>
        <v>No</v>
      </c>
      <c r="Z133">
        <v>11</v>
      </c>
      <c r="AA133">
        <v>3</v>
      </c>
      <c r="AB133">
        <v>4</v>
      </c>
      <c r="AC133">
        <v>80</v>
      </c>
      <c r="AD133">
        <v>0</v>
      </c>
      <c r="AE133" s="5">
        <v>16</v>
      </c>
      <c r="AF133" t="str">
        <f t="shared" si="16"/>
        <v>&gt;15</v>
      </c>
      <c r="AG133">
        <v>3</v>
      </c>
      <c r="AH133">
        <v>3</v>
      </c>
      <c r="AI133" s="5">
        <v>2</v>
      </c>
      <c r="AJ133">
        <v>2</v>
      </c>
      <c r="AK133">
        <v>2</v>
      </c>
      <c r="AL133">
        <v>1</v>
      </c>
      <c r="AM133" t="str">
        <f t="shared" si="17"/>
        <v>Ok</v>
      </c>
      <c r="AN133" s="21">
        <f t="shared" si="18"/>
        <v>27.835820895522389</v>
      </c>
      <c r="AO133" t="str">
        <f t="shared" ca="1" si="19"/>
        <v>No</v>
      </c>
      <c r="AP133" t="str">
        <f t="shared" si="20"/>
        <v>Low Risk</v>
      </c>
    </row>
    <row r="134" spans="1:42" x14ac:dyDescent="0.3">
      <c r="A134" s="5">
        <v>31</v>
      </c>
      <c r="B134" s="5" t="s">
        <v>35</v>
      </c>
      <c r="C134" s="5" t="str">
        <f t="shared" si="14"/>
        <v>Yes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 s="5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 s="5">
        <v>4559</v>
      </c>
      <c r="U134">
        <v>24788</v>
      </c>
      <c r="V134">
        <v>3</v>
      </c>
      <c r="W134" t="s">
        <v>42</v>
      </c>
      <c r="X134" t="s">
        <v>35</v>
      </c>
      <c r="Y134" t="str">
        <f t="shared" si="15"/>
        <v>Yes</v>
      </c>
      <c r="Z134">
        <v>11</v>
      </c>
      <c r="AA134">
        <v>3</v>
      </c>
      <c r="AB134">
        <v>3</v>
      </c>
      <c r="AC134">
        <v>80</v>
      </c>
      <c r="AD134">
        <v>1</v>
      </c>
      <c r="AE134" s="5">
        <v>4</v>
      </c>
      <c r="AF134" t="str">
        <f t="shared" si="16"/>
        <v>0-5</v>
      </c>
      <c r="AG134">
        <v>2</v>
      </c>
      <c r="AH134">
        <v>3</v>
      </c>
      <c r="AI134" s="5">
        <v>2</v>
      </c>
      <c r="AJ134">
        <v>2</v>
      </c>
      <c r="AK134">
        <v>2</v>
      </c>
      <c r="AL134">
        <v>2</v>
      </c>
      <c r="AM134" t="str">
        <f t="shared" si="17"/>
        <v>Below Avg</v>
      </c>
      <c r="AN134" s="21">
        <f t="shared" si="18"/>
        <v>27.856609410007465</v>
      </c>
      <c r="AO134" t="str">
        <f t="shared" ca="1" si="19"/>
        <v>No</v>
      </c>
      <c r="AP134" t="str">
        <f t="shared" si="20"/>
        <v>Low Risk</v>
      </c>
    </row>
    <row r="135" spans="1:42" x14ac:dyDescent="0.3">
      <c r="A135" s="5">
        <v>41</v>
      </c>
      <c r="B135" s="5" t="s">
        <v>43</v>
      </c>
      <c r="C135" s="5" t="str">
        <f t="shared" si="14"/>
        <v>No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 s="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 s="5">
        <v>8189</v>
      </c>
      <c r="U135">
        <v>21196</v>
      </c>
      <c r="V135">
        <v>3</v>
      </c>
      <c r="W135" t="s">
        <v>42</v>
      </c>
      <c r="X135" t="s">
        <v>35</v>
      </c>
      <c r="Y135" t="str">
        <f t="shared" si="15"/>
        <v>Yes</v>
      </c>
      <c r="Z135">
        <v>13</v>
      </c>
      <c r="AA135">
        <v>3</v>
      </c>
      <c r="AB135">
        <v>3</v>
      </c>
      <c r="AC135">
        <v>80</v>
      </c>
      <c r="AD135">
        <v>1</v>
      </c>
      <c r="AE135" s="5">
        <v>12</v>
      </c>
      <c r="AF135" t="str">
        <f t="shared" si="16"/>
        <v>6-15</v>
      </c>
      <c r="AG135">
        <v>2</v>
      </c>
      <c r="AH135">
        <v>3</v>
      </c>
      <c r="AI135" s="5">
        <v>9</v>
      </c>
      <c r="AJ135">
        <v>7</v>
      </c>
      <c r="AK135">
        <v>0</v>
      </c>
      <c r="AL135">
        <v>7</v>
      </c>
      <c r="AM135" t="str">
        <f t="shared" si="17"/>
        <v>Ok</v>
      </c>
      <c r="AN135" s="21">
        <f t="shared" si="18"/>
        <v>27.877428998505234</v>
      </c>
      <c r="AO135" t="str">
        <f t="shared" ca="1" si="19"/>
        <v>No</v>
      </c>
      <c r="AP135" t="str">
        <f t="shared" si="20"/>
        <v>Low Risk</v>
      </c>
    </row>
    <row r="136" spans="1:42" x14ac:dyDescent="0.3">
      <c r="A136" s="5">
        <v>26</v>
      </c>
      <c r="B136" s="5" t="s">
        <v>43</v>
      </c>
      <c r="C136" s="5" t="str">
        <f t="shared" si="14"/>
        <v>No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 s="5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 s="5">
        <v>2942</v>
      </c>
      <c r="U136">
        <v>8916</v>
      </c>
      <c r="V136">
        <v>1</v>
      </c>
      <c r="W136" t="s">
        <v>42</v>
      </c>
      <c r="X136" t="s">
        <v>43</v>
      </c>
      <c r="Y136" t="str">
        <f t="shared" si="15"/>
        <v>No</v>
      </c>
      <c r="Z136">
        <v>23</v>
      </c>
      <c r="AA136">
        <v>4</v>
      </c>
      <c r="AB136">
        <v>4</v>
      </c>
      <c r="AC136">
        <v>80</v>
      </c>
      <c r="AD136">
        <v>1</v>
      </c>
      <c r="AE136" s="5">
        <v>8</v>
      </c>
      <c r="AF136" t="str">
        <f t="shared" si="16"/>
        <v>6-15</v>
      </c>
      <c r="AG136">
        <v>3</v>
      </c>
      <c r="AH136">
        <v>3</v>
      </c>
      <c r="AI136" s="5">
        <v>8</v>
      </c>
      <c r="AJ136">
        <v>7</v>
      </c>
      <c r="AK136">
        <v>5</v>
      </c>
      <c r="AL136">
        <v>7</v>
      </c>
      <c r="AM136" t="str">
        <f t="shared" si="17"/>
        <v>Below Avg</v>
      </c>
      <c r="AN136" s="21">
        <f t="shared" si="18"/>
        <v>27.823485415108451</v>
      </c>
      <c r="AO136" t="str">
        <f t="shared" ca="1" si="19"/>
        <v>No</v>
      </c>
      <c r="AP136" t="str">
        <f t="shared" si="20"/>
        <v>Low Risk</v>
      </c>
    </row>
    <row r="137" spans="1:42" x14ac:dyDescent="0.3">
      <c r="A137" s="5">
        <v>36</v>
      </c>
      <c r="B137" s="5" t="s">
        <v>43</v>
      </c>
      <c r="C137" s="5" t="str">
        <f t="shared" si="14"/>
        <v>No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 s="5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 s="5">
        <v>4941</v>
      </c>
      <c r="U137">
        <v>2819</v>
      </c>
      <c r="V137">
        <v>6</v>
      </c>
      <c r="W137" t="s">
        <v>42</v>
      </c>
      <c r="X137" t="s">
        <v>43</v>
      </c>
      <c r="Y137" t="str">
        <f t="shared" si="15"/>
        <v>No</v>
      </c>
      <c r="Z137">
        <v>20</v>
      </c>
      <c r="AA137">
        <v>4</v>
      </c>
      <c r="AB137">
        <v>4</v>
      </c>
      <c r="AC137">
        <v>80</v>
      </c>
      <c r="AD137">
        <v>2</v>
      </c>
      <c r="AE137" s="5">
        <v>7</v>
      </c>
      <c r="AF137" t="str">
        <f t="shared" si="16"/>
        <v>6-15</v>
      </c>
      <c r="AG137">
        <v>0</v>
      </c>
      <c r="AH137">
        <v>3</v>
      </c>
      <c r="AI137" s="5">
        <v>3</v>
      </c>
      <c r="AJ137">
        <v>2</v>
      </c>
      <c r="AK137">
        <v>0</v>
      </c>
      <c r="AL137">
        <v>1</v>
      </c>
      <c r="AM137" t="str">
        <f t="shared" si="17"/>
        <v>Below Avg</v>
      </c>
      <c r="AN137" s="21">
        <f t="shared" si="18"/>
        <v>27.769461077844309</v>
      </c>
      <c r="AO137" t="str">
        <f t="shared" ca="1" si="19"/>
        <v>No</v>
      </c>
      <c r="AP137" t="str">
        <f t="shared" si="20"/>
        <v>Low Risk</v>
      </c>
    </row>
    <row r="138" spans="1:42" x14ac:dyDescent="0.3">
      <c r="A138" s="5">
        <v>51</v>
      </c>
      <c r="B138" s="5" t="s">
        <v>35</v>
      </c>
      <c r="C138" s="5" t="str">
        <f t="shared" si="14"/>
        <v>Yes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 s="5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 s="5">
        <v>10650</v>
      </c>
      <c r="U138">
        <v>25150</v>
      </c>
      <c r="V138">
        <v>2</v>
      </c>
      <c r="W138" t="s">
        <v>42</v>
      </c>
      <c r="X138" t="s">
        <v>43</v>
      </c>
      <c r="Y138" t="str">
        <f t="shared" si="15"/>
        <v>No</v>
      </c>
      <c r="Z138">
        <v>15</v>
      </c>
      <c r="AA138">
        <v>3</v>
      </c>
      <c r="AB138">
        <v>4</v>
      </c>
      <c r="AC138">
        <v>80</v>
      </c>
      <c r="AD138">
        <v>0</v>
      </c>
      <c r="AE138" s="5">
        <v>18</v>
      </c>
      <c r="AF138" t="str">
        <f t="shared" si="16"/>
        <v>&gt;15</v>
      </c>
      <c r="AG138">
        <v>2</v>
      </c>
      <c r="AH138">
        <v>3</v>
      </c>
      <c r="AI138" s="5">
        <v>4</v>
      </c>
      <c r="AJ138">
        <v>2</v>
      </c>
      <c r="AK138">
        <v>0</v>
      </c>
      <c r="AL138">
        <v>3</v>
      </c>
      <c r="AM138" t="str">
        <f t="shared" si="17"/>
        <v>Ok</v>
      </c>
      <c r="AN138" s="21">
        <f t="shared" si="18"/>
        <v>27.790262172284645</v>
      </c>
      <c r="AO138" t="str">
        <f t="shared" ca="1" si="19"/>
        <v>No</v>
      </c>
      <c r="AP138" t="str">
        <f t="shared" si="20"/>
        <v>Low Risk</v>
      </c>
    </row>
    <row r="139" spans="1:42" x14ac:dyDescent="0.3">
      <c r="A139" s="5">
        <v>39</v>
      </c>
      <c r="B139" s="5" t="s">
        <v>43</v>
      </c>
      <c r="C139" s="5" t="str">
        <f t="shared" si="14"/>
        <v>No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 s="5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 s="5">
        <v>5902</v>
      </c>
      <c r="U139">
        <v>14590</v>
      </c>
      <c r="V139">
        <v>4</v>
      </c>
      <c r="W139" t="s">
        <v>42</v>
      </c>
      <c r="X139" t="s">
        <v>43</v>
      </c>
      <c r="Y139" t="str">
        <f t="shared" si="15"/>
        <v>No</v>
      </c>
      <c r="Z139">
        <v>14</v>
      </c>
      <c r="AA139">
        <v>3</v>
      </c>
      <c r="AB139">
        <v>3</v>
      </c>
      <c r="AC139">
        <v>80</v>
      </c>
      <c r="AD139">
        <v>1</v>
      </c>
      <c r="AE139" s="5">
        <v>17</v>
      </c>
      <c r="AF139" t="str">
        <f t="shared" si="16"/>
        <v>&gt;15</v>
      </c>
      <c r="AG139">
        <v>1</v>
      </c>
      <c r="AH139">
        <v>4</v>
      </c>
      <c r="AI139" s="5">
        <v>15</v>
      </c>
      <c r="AJ139">
        <v>11</v>
      </c>
      <c r="AK139">
        <v>5</v>
      </c>
      <c r="AL139">
        <v>9</v>
      </c>
      <c r="AM139" t="str">
        <f t="shared" si="17"/>
        <v>Below Avg</v>
      </c>
      <c r="AN139" s="21">
        <f t="shared" si="18"/>
        <v>27.811094452773617</v>
      </c>
      <c r="AO139" t="str">
        <f t="shared" ca="1" si="19"/>
        <v>No</v>
      </c>
      <c r="AP139" t="str">
        <f t="shared" si="20"/>
        <v>Low Risk</v>
      </c>
    </row>
    <row r="140" spans="1:42" x14ac:dyDescent="0.3">
      <c r="A140" s="5">
        <v>25</v>
      </c>
      <c r="B140" s="5" t="s">
        <v>43</v>
      </c>
      <c r="C140" s="5" t="str">
        <f t="shared" si="14"/>
        <v>No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 s="5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 s="5">
        <v>8639</v>
      </c>
      <c r="U140">
        <v>24835</v>
      </c>
      <c r="V140">
        <v>2</v>
      </c>
      <c r="W140" t="s">
        <v>42</v>
      </c>
      <c r="X140" t="s">
        <v>43</v>
      </c>
      <c r="Y140" t="str">
        <f t="shared" si="15"/>
        <v>No</v>
      </c>
      <c r="Z140">
        <v>18</v>
      </c>
      <c r="AA140">
        <v>3</v>
      </c>
      <c r="AB140">
        <v>4</v>
      </c>
      <c r="AC140">
        <v>80</v>
      </c>
      <c r="AD140">
        <v>0</v>
      </c>
      <c r="AE140" s="5">
        <v>6</v>
      </c>
      <c r="AF140" t="str">
        <f t="shared" si="16"/>
        <v>6-15</v>
      </c>
      <c r="AG140">
        <v>3</v>
      </c>
      <c r="AH140">
        <v>3</v>
      </c>
      <c r="AI140" s="5">
        <v>2</v>
      </c>
      <c r="AJ140">
        <v>2</v>
      </c>
      <c r="AK140">
        <v>2</v>
      </c>
      <c r="AL140">
        <v>2</v>
      </c>
      <c r="AM140" t="str">
        <f t="shared" si="17"/>
        <v>Ok</v>
      </c>
      <c r="AN140" s="21">
        <f t="shared" si="18"/>
        <v>27.831957989497376</v>
      </c>
      <c r="AO140" t="str">
        <f t="shared" ca="1" si="19"/>
        <v>No</v>
      </c>
      <c r="AP140" t="str">
        <f t="shared" si="20"/>
        <v>Low Risk</v>
      </c>
    </row>
    <row r="141" spans="1:42" x14ac:dyDescent="0.3">
      <c r="A141" s="5">
        <v>30</v>
      </c>
      <c r="B141" s="5" t="s">
        <v>43</v>
      </c>
      <c r="C141" s="5" t="str">
        <f t="shared" si="14"/>
        <v>No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 s="5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 s="5">
        <v>6347</v>
      </c>
      <c r="U141">
        <v>13982</v>
      </c>
      <c r="V141">
        <v>0</v>
      </c>
      <c r="W141" t="s">
        <v>42</v>
      </c>
      <c r="X141" t="s">
        <v>35</v>
      </c>
      <c r="Y141" t="str">
        <f t="shared" si="15"/>
        <v>Yes</v>
      </c>
      <c r="Z141">
        <v>19</v>
      </c>
      <c r="AA141">
        <v>3</v>
      </c>
      <c r="AB141">
        <v>4</v>
      </c>
      <c r="AC141">
        <v>80</v>
      </c>
      <c r="AD141">
        <v>0</v>
      </c>
      <c r="AE141" s="5">
        <v>12</v>
      </c>
      <c r="AF141" t="str">
        <f t="shared" si="16"/>
        <v>6-15</v>
      </c>
      <c r="AG141">
        <v>2</v>
      </c>
      <c r="AH141">
        <v>1</v>
      </c>
      <c r="AI141" s="5">
        <v>11</v>
      </c>
      <c r="AJ141">
        <v>9</v>
      </c>
      <c r="AK141">
        <v>4</v>
      </c>
      <c r="AL141">
        <v>7</v>
      </c>
      <c r="AM141" t="str">
        <f t="shared" si="17"/>
        <v>Below Avg</v>
      </c>
      <c r="AN141" s="21">
        <f t="shared" si="18"/>
        <v>27.852852852852855</v>
      </c>
      <c r="AO141" t="str">
        <f t="shared" ca="1" si="19"/>
        <v>No</v>
      </c>
      <c r="AP141" t="str">
        <f t="shared" si="20"/>
        <v>Low Risk</v>
      </c>
    </row>
    <row r="142" spans="1:42" x14ac:dyDescent="0.3">
      <c r="A142" s="5">
        <v>32</v>
      </c>
      <c r="B142" s="5" t="s">
        <v>35</v>
      </c>
      <c r="C142" s="5" t="str">
        <f t="shared" si="14"/>
        <v>Yes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 s="5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 s="5">
        <v>4200</v>
      </c>
      <c r="U142">
        <v>10224</v>
      </c>
      <c r="V142">
        <v>7</v>
      </c>
      <c r="W142" t="s">
        <v>42</v>
      </c>
      <c r="X142" t="s">
        <v>43</v>
      </c>
      <c r="Y142" t="str">
        <f t="shared" si="15"/>
        <v>No</v>
      </c>
      <c r="Z142">
        <v>22</v>
      </c>
      <c r="AA142">
        <v>4</v>
      </c>
      <c r="AB142">
        <v>1</v>
      </c>
      <c r="AC142">
        <v>80</v>
      </c>
      <c r="AD142">
        <v>0</v>
      </c>
      <c r="AE142" s="5">
        <v>10</v>
      </c>
      <c r="AF142" t="str">
        <f t="shared" si="16"/>
        <v>6-15</v>
      </c>
      <c r="AG142">
        <v>2</v>
      </c>
      <c r="AH142">
        <v>4</v>
      </c>
      <c r="AI142" s="5">
        <v>5</v>
      </c>
      <c r="AJ142">
        <v>4</v>
      </c>
      <c r="AK142">
        <v>0</v>
      </c>
      <c r="AL142">
        <v>4</v>
      </c>
      <c r="AM142" t="str">
        <f t="shared" si="17"/>
        <v>Below Avg</v>
      </c>
      <c r="AN142" s="21">
        <f t="shared" si="18"/>
        <v>27.873779113448531</v>
      </c>
      <c r="AO142" t="str">
        <f t="shared" ca="1" si="19"/>
        <v>No</v>
      </c>
      <c r="AP142" t="str">
        <f t="shared" si="20"/>
        <v>Low Risk</v>
      </c>
    </row>
    <row r="143" spans="1:42" x14ac:dyDescent="0.3">
      <c r="A143" s="5">
        <v>45</v>
      </c>
      <c r="B143" s="5" t="s">
        <v>43</v>
      </c>
      <c r="C143" s="5" t="str">
        <f t="shared" si="14"/>
        <v>No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 s="5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 s="5">
        <v>3452</v>
      </c>
      <c r="U143">
        <v>9752</v>
      </c>
      <c r="V143">
        <v>5</v>
      </c>
      <c r="W143" t="s">
        <v>42</v>
      </c>
      <c r="X143" t="s">
        <v>43</v>
      </c>
      <c r="Y143" t="str">
        <f t="shared" si="15"/>
        <v>No</v>
      </c>
      <c r="Z143">
        <v>13</v>
      </c>
      <c r="AA143">
        <v>3</v>
      </c>
      <c r="AB143">
        <v>2</v>
      </c>
      <c r="AC143">
        <v>80</v>
      </c>
      <c r="AD143">
        <v>0</v>
      </c>
      <c r="AE143" s="5">
        <v>9</v>
      </c>
      <c r="AF143" t="str">
        <f t="shared" si="16"/>
        <v>6-15</v>
      </c>
      <c r="AG143">
        <v>2</v>
      </c>
      <c r="AH143">
        <v>2</v>
      </c>
      <c r="AI143" s="5">
        <v>6</v>
      </c>
      <c r="AJ143">
        <v>5</v>
      </c>
      <c r="AK143">
        <v>0</v>
      </c>
      <c r="AL143">
        <v>3</v>
      </c>
      <c r="AM143" t="str">
        <f t="shared" si="17"/>
        <v>Below Avg</v>
      </c>
      <c r="AN143" s="21">
        <f t="shared" si="18"/>
        <v>27.819548872180448</v>
      </c>
      <c r="AO143" t="str">
        <f t="shared" ca="1" si="19"/>
        <v>No</v>
      </c>
      <c r="AP143" t="str">
        <f t="shared" si="20"/>
        <v>Low Risk</v>
      </c>
    </row>
    <row r="144" spans="1:42" x14ac:dyDescent="0.3">
      <c r="A144" s="5">
        <v>38</v>
      </c>
      <c r="B144" s="5" t="s">
        <v>43</v>
      </c>
      <c r="C144" s="5" t="str">
        <f t="shared" si="14"/>
        <v>No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 s="5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 s="5">
        <v>4317</v>
      </c>
      <c r="U144">
        <v>2302</v>
      </c>
      <c r="V144">
        <v>3</v>
      </c>
      <c r="W144" t="s">
        <v>42</v>
      </c>
      <c r="X144" t="s">
        <v>35</v>
      </c>
      <c r="Y144" t="str">
        <f t="shared" si="15"/>
        <v>Yes</v>
      </c>
      <c r="Z144">
        <v>20</v>
      </c>
      <c r="AA144">
        <v>4</v>
      </c>
      <c r="AB144">
        <v>2</v>
      </c>
      <c r="AC144">
        <v>80</v>
      </c>
      <c r="AD144">
        <v>0</v>
      </c>
      <c r="AE144" s="5">
        <v>19</v>
      </c>
      <c r="AF144" t="str">
        <f t="shared" si="16"/>
        <v>&gt;15</v>
      </c>
      <c r="AG144">
        <v>2</v>
      </c>
      <c r="AH144">
        <v>3</v>
      </c>
      <c r="AI144" s="5">
        <v>3</v>
      </c>
      <c r="AJ144">
        <v>2</v>
      </c>
      <c r="AK144">
        <v>2</v>
      </c>
      <c r="AL144">
        <v>2</v>
      </c>
      <c r="AM144" t="str">
        <f t="shared" si="17"/>
        <v>Below Avg</v>
      </c>
      <c r="AN144" s="21">
        <f t="shared" si="18"/>
        <v>27.840481565086534</v>
      </c>
      <c r="AO144" t="str">
        <f t="shared" ca="1" si="19"/>
        <v>No</v>
      </c>
      <c r="AP144" t="str">
        <f t="shared" si="20"/>
        <v>Low Risk</v>
      </c>
    </row>
    <row r="145" spans="1:42" x14ac:dyDescent="0.3">
      <c r="A145" s="5">
        <v>30</v>
      </c>
      <c r="B145" s="5" t="s">
        <v>43</v>
      </c>
      <c r="C145" s="5" t="str">
        <f t="shared" si="14"/>
        <v>No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 s="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 s="5">
        <v>2632</v>
      </c>
      <c r="U145">
        <v>23910</v>
      </c>
      <c r="V145">
        <v>1</v>
      </c>
      <c r="W145" t="s">
        <v>42</v>
      </c>
      <c r="X145" t="s">
        <v>43</v>
      </c>
      <c r="Y145" t="str">
        <f t="shared" si="15"/>
        <v>No</v>
      </c>
      <c r="Z145">
        <v>14</v>
      </c>
      <c r="AA145">
        <v>3</v>
      </c>
      <c r="AB145">
        <v>3</v>
      </c>
      <c r="AC145">
        <v>80</v>
      </c>
      <c r="AD145">
        <v>0</v>
      </c>
      <c r="AE145" s="5">
        <v>5</v>
      </c>
      <c r="AF145" t="str">
        <f t="shared" si="16"/>
        <v>0-5</v>
      </c>
      <c r="AG145">
        <v>4</v>
      </c>
      <c r="AH145">
        <v>2</v>
      </c>
      <c r="AI145" s="5">
        <v>5</v>
      </c>
      <c r="AJ145">
        <v>4</v>
      </c>
      <c r="AK145">
        <v>0</v>
      </c>
      <c r="AL145">
        <v>4</v>
      </c>
      <c r="AM145" t="str">
        <f t="shared" si="17"/>
        <v>Below Avg</v>
      </c>
      <c r="AN145" s="21">
        <f t="shared" si="18"/>
        <v>27.861445783132531</v>
      </c>
      <c r="AO145" t="str">
        <f t="shared" ca="1" si="19"/>
        <v>No</v>
      </c>
      <c r="AP145" t="str">
        <f t="shared" si="20"/>
        <v>Low Risk</v>
      </c>
    </row>
    <row r="146" spans="1:42" x14ac:dyDescent="0.3">
      <c r="A146" s="5">
        <v>32</v>
      </c>
      <c r="B146" s="5" t="s">
        <v>43</v>
      </c>
      <c r="C146" s="5" t="str">
        <f t="shared" si="14"/>
        <v>No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 s="5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 s="5">
        <v>4668</v>
      </c>
      <c r="U146">
        <v>22812</v>
      </c>
      <c r="V146">
        <v>0</v>
      </c>
      <c r="W146" t="s">
        <v>42</v>
      </c>
      <c r="X146" t="s">
        <v>43</v>
      </c>
      <c r="Y146" t="str">
        <f t="shared" si="15"/>
        <v>No</v>
      </c>
      <c r="Z146">
        <v>17</v>
      </c>
      <c r="AA146">
        <v>3</v>
      </c>
      <c r="AB146">
        <v>4</v>
      </c>
      <c r="AC146">
        <v>80</v>
      </c>
      <c r="AD146">
        <v>3</v>
      </c>
      <c r="AE146" s="5">
        <v>9</v>
      </c>
      <c r="AF146" t="str">
        <f t="shared" si="16"/>
        <v>6-15</v>
      </c>
      <c r="AG146">
        <v>2</v>
      </c>
      <c r="AH146">
        <v>4</v>
      </c>
      <c r="AI146" s="5">
        <v>8</v>
      </c>
      <c r="AJ146">
        <v>7</v>
      </c>
      <c r="AK146">
        <v>0</v>
      </c>
      <c r="AL146">
        <v>7</v>
      </c>
      <c r="AM146" t="str">
        <f t="shared" si="17"/>
        <v>Below Avg</v>
      </c>
      <c r="AN146" s="21">
        <f t="shared" si="18"/>
        <v>27.807083647324792</v>
      </c>
      <c r="AO146" t="str">
        <f t="shared" ca="1" si="19"/>
        <v>No</v>
      </c>
      <c r="AP146" t="str">
        <f t="shared" si="20"/>
        <v>Low Risk</v>
      </c>
    </row>
    <row r="147" spans="1:42" x14ac:dyDescent="0.3">
      <c r="A147" s="5">
        <v>30</v>
      </c>
      <c r="B147" s="5" t="s">
        <v>43</v>
      </c>
      <c r="C147" s="5" t="str">
        <f t="shared" si="14"/>
        <v>No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 s="5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 s="5">
        <v>3204</v>
      </c>
      <c r="U147">
        <v>10415</v>
      </c>
      <c r="V147">
        <v>5</v>
      </c>
      <c r="W147" t="s">
        <v>42</v>
      </c>
      <c r="X147" t="s">
        <v>43</v>
      </c>
      <c r="Y147" t="str">
        <f t="shared" si="15"/>
        <v>No</v>
      </c>
      <c r="Z147">
        <v>14</v>
      </c>
      <c r="AA147">
        <v>3</v>
      </c>
      <c r="AB147">
        <v>4</v>
      </c>
      <c r="AC147">
        <v>80</v>
      </c>
      <c r="AD147">
        <v>1</v>
      </c>
      <c r="AE147" s="5">
        <v>8</v>
      </c>
      <c r="AF147" t="str">
        <f t="shared" si="16"/>
        <v>6-15</v>
      </c>
      <c r="AG147">
        <v>3</v>
      </c>
      <c r="AH147">
        <v>3</v>
      </c>
      <c r="AI147" s="5">
        <v>3</v>
      </c>
      <c r="AJ147">
        <v>2</v>
      </c>
      <c r="AK147">
        <v>2</v>
      </c>
      <c r="AL147">
        <v>2</v>
      </c>
      <c r="AM147" t="str">
        <f t="shared" si="17"/>
        <v>Below Avg</v>
      </c>
      <c r="AN147" s="21">
        <f t="shared" si="18"/>
        <v>27.828054298642535</v>
      </c>
      <c r="AO147" t="str">
        <f t="shared" ca="1" si="19"/>
        <v>No</v>
      </c>
      <c r="AP147" t="str">
        <f t="shared" si="20"/>
        <v>Low Risk</v>
      </c>
    </row>
    <row r="148" spans="1:42" x14ac:dyDescent="0.3">
      <c r="A148" s="5">
        <v>30</v>
      </c>
      <c r="B148" s="5" t="s">
        <v>43</v>
      </c>
      <c r="C148" s="5" t="str">
        <f t="shared" si="14"/>
        <v>No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 s="5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 s="5">
        <v>2720</v>
      </c>
      <c r="U148">
        <v>11162</v>
      </c>
      <c r="V148">
        <v>0</v>
      </c>
      <c r="W148" t="s">
        <v>42</v>
      </c>
      <c r="X148" t="s">
        <v>43</v>
      </c>
      <c r="Y148" t="str">
        <f t="shared" si="15"/>
        <v>No</v>
      </c>
      <c r="Z148">
        <v>13</v>
      </c>
      <c r="AA148">
        <v>3</v>
      </c>
      <c r="AB148">
        <v>4</v>
      </c>
      <c r="AC148">
        <v>80</v>
      </c>
      <c r="AD148">
        <v>0</v>
      </c>
      <c r="AE148" s="5">
        <v>6</v>
      </c>
      <c r="AF148" t="str">
        <f t="shared" si="16"/>
        <v>6-15</v>
      </c>
      <c r="AG148">
        <v>3</v>
      </c>
      <c r="AH148">
        <v>3</v>
      </c>
      <c r="AI148" s="5">
        <v>5</v>
      </c>
      <c r="AJ148">
        <v>3</v>
      </c>
      <c r="AK148">
        <v>1</v>
      </c>
      <c r="AL148">
        <v>2</v>
      </c>
      <c r="AM148" t="str">
        <f t="shared" si="17"/>
        <v>Below Avg</v>
      </c>
      <c r="AN148" s="21">
        <f t="shared" si="18"/>
        <v>27.849056603773587</v>
      </c>
      <c r="AO148" t="str">
        <f t="shared" ca="1" si="19"/>
        <v>No</v>
      </c>
      <c r="AP148" t="str">
        <f t="shared" si="20"/>
        <v>Low Risk</v>
      </c>
    </row>
    <row r="149" spans="1:42" x14ac:dyDescent="0.3">
      <c r="A149" s="5">
        <v>41</v>
      </c>
      <c r="B149" s="5" t="s">
        <v>43</v>
      </c>
      <c r="C149" s="5" t="str">
        <f t="shared" si="14"/>
        <v>No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 s="5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 s="5">
        <v>17181</v>
      </c>
      <c r="U149">
        <v>12888</v>
      </c>
      <c r="V149">
        <v>4</v>
      </c>
      <c r="W149" t="s">
        <v>42</v>
      </c>
      <c r="X149" t="s">
        <v>43</v>
      </c>
      <c r="Y149" t="str">
        <f t="shared" si="15"/>
        <v>No</v>
      </c>
      <c r="Z149">
        <v>13</v>
      </c>
      <c r="AA149">
        <v>3</v>
      </c>
      <c r="AB149">
        <v>2</v>
      </c>
      <c r="AC149">
        <v>80</v>
      </c>
      <c r="AD149">
        <v>1</v>
      </c>
      <c r="AE149" s="5">
        <v>21</v>
      </c>
      <c r="AF149" t="str">
        <f t="shared" si="16"/>
        <v>&gt;15</v>
      </c>
      <c r="AG149">
        <v>2</v>
      </c>
      <c r="AH149">
        <v>2</v>
      </c>
      <c r="AI149" s="5">
        <v>7</v>
      </c>
      <c r="AJ149">
        <v>6</v>
      </c>
      <c r="AK149">
        <v>7</v>
      </c>
      <c r="AL149">
        <v>7</v>
      </c>
      <c r="AM149" t="str">
        <f t="shared" si="17"/>
        <v>Ok</v>
      </c>
      <c r="AN149" s="21">
        <f t="shared" si="18"/>
        <v>27.870090634441087</v>
      </c>
      <c r="AO149" t="str">
        <f t="shared" ca="1" si="19"/>
        <v>No</v>
      </c>
      <c r="AP149" t="str">
        <f t="shared" si="20"/>
        <v>Low Risk</v>
      </c>
    </row>
    <row r="150" spans="1:42" x14ac:dyDescent="0.3">
      <c r="A150" s="5">
        <v>41</v>
      </c>
      <c r="B150" s="5" t="s">
        <v>43</v>
      </c>
      <c r="C150" s="5" t="str">
        <f t="shared" si="14"/>
        <v>No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 s="5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 s="5">
        <v>2238</v>
      </c>
      <c r="U150">
        <v>6961</v>
      </c>
      <c r="V150">
        <v>2</v>
      </c>
      <c r="W150" t="s">
        <v>42</v>
      </c>
      <c r="X150" t="s">
        <v>43</v>
      </c>
      <c r="Y150" t="str">
        <f t="shared" si="15"/>
        <v>No</v>
      </c>
      <c r="Z150">
        <v>21</v>
      </c>
      <c r="AA150">
        <v>4</v>
      </c>
      <c r="AB150">
        <v>4</v>
      </c>
      <c r="AC150">
        <v>80</v>
      </c>
      <c r="AD150">
        <v>1</v>
      </c>
      <c r="AE150" s="5">
        <v>7</v>
      </c>
      <c r="AF150" t="str">
        <f t="shared" si="16"/>
        <v>6-15</v>
      </c>
      <c r="AG150">
        <v>2</v>
      </c>
      <c r="AH150">
        <v>3</v>
      </c>
      <c r="AI150" s="5">
        <v>5</v>
      </c>
      <c r="AJ150">
        <v>0</v>
      </c>
      <c r="AK150">
        <v>1</v>
      </c>
      <c r="AL150">
        <v>4</v>
      </c>
      <c r="AM150" t="str">
        <f t="shared" si="17"/>
        <v>Below Avg</v>
      </c>
      <c r="AN150" s="21">
        <f t="shared" si="18"/>
        <v>27.89115646258503</v>
      </c>
      <c r="AO150" t="str">
        <f t="shared" ca="1" si="19"/>
        <v>No</v>
      </c>
      <c r="AP150" t="str">
        <f t="shared" si="20"/>
        <v>Low Risk</v>
      </c>
    </row>
    <row r="151" spans="1:42" x14ac:dyDescent="0.3">
      <c r="A151" s="5">
        <v>19</v>
      </c>
      <c r="B151" s="5" t="s">
        <v>43</v>
      </c>
      <c r="C151" s="5" t="str">
        <f t="shared" si="14"/>
        <v>No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 s="5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 s="5">
        <v>1483</v>
      </c>
      <c r="U151">
        <v>16102</v>
      </c>
      <c r="V151">
        <v>1</v>
      </c>
      <c r="W151" t="s">
        <v>42</v>
      </c>
      <c r="X151" t="s">
        <v>43</v>
      </c>
      <c r="Y151" t="str">
        <f t="shared" si="15"/>
        <v>No</v>
      </c>
      <c r="Z151">
        <v>14</v>
      </c>
      <c r="AA151">
        <v>3</v>
      </c>
      <c r="AB151">
        <v>4</v>
      </c>
      <c r="AC151">
        <v>80</v>
      </c>
      <c r="AD151">
        <v>0</v>
      </c>
      <c r="AE151" s="5">
        <v>1</v>
      </c>
      <c r="AF151" t="str">
        <f t="shared" si="16"/>
        <v>0-5</v>
      </c>
      <c r="AG151">
        <v>3</v>
      </c>
      <c r="AH151">
        <v>3</v>
      </c>
      <c r="AI151" s="5">
        <v>1</v>
      </c>
      <c r="AJ151">
        <v>0</v>
      </c>
      <c r="AK151">
        <v>0</v>
      </c>
      <c r="AL151">
        <v>0</v>
      </c>
      <c r="AM151" t="str">
        <f t="shared" si="17"/>
        <v>Below Avg</v>
      </c>
      <c r="AN151" s="21">
        <f t="shared" si="18"/>
        <v>27.912254160363087</v>
      </c>
      <c r="AO151" t="str">
        <f t="shared" ca="1" si="19"/>
        <v>No</v>
      </c>
      <c r="AP151" t="str">
        <f t="shared" si="20"/>
        <v>Low Risk</v>
      </c>
    </row>
    <row r="152" spans="1:42" x14ac:dyDescent="0.3">
      <c r="A152" s="5">
        <v>40</v>
      </c>
      <c r="B152" s="5" t="s">
        <v>43</v>
      </c>
      <c r="C152" s="5" t="str">
        <f t="shared" si="14"/>
        <v>No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 s="5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 s="5">
        <v>5605</v>
      </c>
      <c r="U152">
        <v>8504</v>
      </c>
      <c r="V152">
        <v>1</v>
      </c>
      <c r="W152" t="s">
        <v>42</v>
      </c>
      <c r="X152" t="s">
        <v>43</v>
      </c>
      <c r="Y152" t="str">
        <f t="shared" si="15"/>
        <v>No</v>
      </c>
      <c r="Z152">
        <v>11</v>
      </c>
      <c r="AA152">
        <v>3</v>
      </c>
      <c r="AB152">
        <v>1</v>
      </c>
      <c r="AC152">
        <v>80</v>
      </c>
      <c r="AD152">
        <v>1</v>
      </c>
      <c r="AE152" s="5">
        <v>20</v>
      </c>
      <c r="AF152" t="str">
        <f t="shared" si="16"/>
        <v>&gt;15</v>
      </c>
      <c r="AG152">
        <v>2</v>
      </c>
      <c r="AH152">
        <v>3</v>
      </c>
      <c r="AI152" s="5">
        <v>20</v>
      </c>
      <c r="AJ152">
        <v>7</v>
      </c>
      <c r="AK152">
        <v>2</v>
      </c>
      <c r="AL152">
        <v>13</v>
      </c>
      <c r="AM152" t="str">
        <f t="shared" si="17"/>
        <v>Below Avg</v>
      </c>
      <c r="AN152" s="21">
        <f t="shared" si="18"/>
        <v>27.9333838001514</v>
      </c>
      <c r="AO152" t="str">
        <f t="shared" ca="1" si="19"/>
        <v>No</v>
      </c>
      <c r="AP152" t="str">
        <f t="shared" si="20"/>
        <v>Low Risk</v>
      </c>
    </row>
    <row r="153" spans="1:42" x14ac:dyDescent="0.3">
      <c r="A153" s="5">
        <v>35</v>
      </c>
      <c r="B153" s="5" t="s">
        <v>43</v>
      </c>
      <c r="C153" s="5" t="str">
        <f t="shared" si="14"/>
        <v>No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 s="5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 s="5">
        <v>7295</v>
      </c>
      <c r="U153">
        <v>11439</v>
      </c>
      <c r="V153">
        <v>1</v>
      </c>
      <c r="W153" t="s">
        <v>42</v>
      </c>
      <c r="X153" t="s">
        <v>43</v>
      </c>
      <c r="Y153" t="str">
        <f t="shared" si="15"/>
        <v>No</v>
      </c>
      <c r="Z153">
        <v>13</v>
      </c>
      <c r="AA153">
        <v>3</v>
      </c>
      <c r="AB153">
        <v>1</v>
      </c>
      <c r="AC153">
        <v>80</v>
      </c>
      <c r="AD153">
        <v>2</v>
      </c>
      <c r="AE153" s="5">
        <v>10</v>
      </c>
      <c r="AF153" t="str">
        <f t="shared" si="16"/>
        <v>6-15</v>
      </c>
      <c r="AG153">
        <v>3</v>
      </c>
      <c r="AH153">
        <v>3</v>
      </c>
      <c r="AI153" s="5">
        <v>10</v>
      </c>
      <c r="AJ153">
        <v>8</v>
      </c>
      <c r="AK153">
        <v>0</v>
      </c>
      <c r="AL153">
        <v>6</v>
      </c>
      <c r="AM153" t="str">
        <f t="shared" si="17"/>
        <v>Ok</v>
      </c>
      <c r="AN153" s="21">
        <f t="shared" si="18"/>
        <v>27.954545454545453</v>
      </c>
      <c r="AO153" t="str">
        <f t="shared" ca="1" si="19"/>
        <v>No</v>
      </c>
      <c r="AP153" t="str">
        <f t="shared" si="20"/>
        <v>Low Risk</v>
      </c>
    </row>
    <row r="154" spans="1:42" x14ac:dyDescent="0.3">
      <c r="A154" s="5">
        <v>53</v>
      </c>
      <c r="B154" s="5" t="s">
        <v>43</v>
      </c>
      <c r="C154" s="5" t="str">
        <f t="shared" si="14"/>
        <v>No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 s="5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 s="5">
        <v>2306</v>
      </c>
      <c r="U154">
        <v>16047</v>
      </c>
      <c r="V154">
        <v>2</v>
      </c>
      <c r="W154" t="s">
        <v>42</v>
      </c>
      <c r="X154" t="s">
        <v>35</v>
      </c>
      <c r="Y154" t="str">
        <f t="shared" si="15"/>
        <v>Yes</v>
      </c>
      <c r="Z154">
        <v>20</v>
      </c>
      <c r="AA154">
        <v>4</v>
      </c>
      <c r="AB154">
        <v>4</v>
      </c>
      <c r="AC154">
        <v>80</v>
      </c>
      <c r="AD154">
        <v>1</v>
      </c>
      <c r="AE154" s="5">
        <v>13</v>
      </c>
      <c r="AF154" t="str">
        <f t="shared" si="16"/>
        <v>6-15</v>
      </c>
      <c r="AG154">
        <v>3</v>
      </c>
      <c r="AH154">
        <v>1</v>
      </c>
      <c r="AI154" s="5">
        <v>7</v>
      </c>
      <c r="AJ154">
        <v>7</v>
      </c>
      <c r="AK154">
        <v>4</v>
      </c>
      <c r="AL154">
        <v>5</v>
      </c>
      <c r="AM154" t="str">
        <f t="shared" si="17"/>
        <v>Below Avg</v>
      </c>
      <c r="AN154" s="21">
        <f t="shared" si="18"/>
        <v>27.975739196360877</v>
      </c>
      <c r="AO154" t="str">
        <f t="shared" ca="1" si="19"/>
        <v>No</v>
      </c>
      <c r="AP154" t="str">
        <f t="shared" si="20"/>
        <v>Low Risk</v>
      </c>
    </row>
    <row r="155" spans="1:42" x14ac:dyDescent="0.3">
      <c r="A155" s="5">
        <v>45</v>
      </c>
      <c r="B155" s="5" t="s">
        <v>43</v>
      </c>
      <c r="C155" s="5" t="str">
        <f t="shared" si="14"/>
        <v>No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 s="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 s="5">
        <v>2348</v>
      </c>
      <c r="U155">
        <v>10901</v>
      </c>
      <c r="V155">
        <v>8</v>
      </c>
      <c r="W155" t="s">
        <v>42</v>
      </c>
      <c r="X155" t="s">
        <v>43</v>
      </c>
      <c r="Y155" t="str">
        <f t="shared" si="15"/>
        <v>No</v>
      </c>
      <c r="Z155">
        <v>18</v>
      </c>
      <c r="AA155">
        <v>3</v>
      </c>
      <c r="AB155">
        <v>3</v>
      </c>
      <c r="AC155">
        <v>80</v>
      </c>
      <c r="AD155">
        <v>1</v>
      </c>
      <c r="AE155" s="5">
        <v>20</v>
      </c>
      <c r="AF155" t="str">
        <f t="shared" si="16"/>
        <v>&gt;15</v>
      </c>
      <c r="AG155">
        <v>2</v>
      </c>
      <c r="AH155">
        <v>1</v>
      </c>
      <c r="AI155" s="5">
        <v>17</v>
      </c>
      <c r="AJ155">
        <v>9</v>
      </c>
      <c r="AK155">
        <v>0</v>
      </c>
      <c r="AL155">
        <v>15</v>
      </c>
      <c r="AM155" t="str">
        <f t="shared" si="17"/>
        <v>Below Avg</v>
      </c>
      <c r="AN155" s="21">
        <f t="shared" si="18"/>
        <v>27.996965098634298</v>
      </c>
      <c r="AO155" t="str">
        <f t="shared" ca="1" si="19"/>
        <v>No</v>
      </c>
      <c r="AP155" t="str">
        <f t="shared" si="20"/>
        <v>Low Risk</v>
      </c>
    </row>
    <row r="156" spans="1:42" x14ac:dyDescent="0.3">
      <c r="A156" s="5">
        <v>32</v>
      </c>
      <c r="B156" s="5" t="s">
        <v>43</v>
      </c>
      <c r="C156" s="5" t="str">
        <f t="shared" si="14"/>
        <v>No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 s="5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 s="5">
        <v>8998</v>
      </c>
      <c r="U156">
        <v>15589</v>
      </c>
      <c r="V156">
        <v>1</v>
      </c>
      <c r="W156" t="s">
        <v>42</v>
      </c>
      <c r="X156" t="s">
        <v>43</v>
      </c>
      <c r="Y156" t="str">
        <f t="shared" si="15"/>
        <v>No</v>
      </c>
      <c r="Z156">
        <v>14</v>
      </c>
      <c r="AA156">
        <v>3</v>
      </c>
      <c r="AB156">
        <v>4</v>
      </c>
      <c r="AC156">
        <v>80</v>
      </c>
      <c r="AD156">
        <v>0</v>
      </c>
      <c r="AE156" s="5">
        <v>9</v>
      </c>
      <c r="AF156" t="str">
        <f t="shared" si="16"/>
        <v>6-15</v>
      </c>
      <c r="AG156">
        <v>2</v>
      </c>
      <c r="AH156">
        <v>3</v>
      </c>
      <c r="AI156" s="5">
        <v>9</v>
      </c>
      <c r="AJ156">
        <v>8</v>
      </c>
      <c r="AK156">
        <v>3</v>
      </c>
      <c r="AL156">
        <v>7</v>
      </c>
      <c r="AM156" t="str">
        <f t="shared" si="17"/>
        <v>Ok</v>
      </c>
      <c r="AN156" s="21">
        <f t="shared" si="18"/>
        <v>27.942293090356873</v>
      </c>
      <c r="AO156" t="str">
        <f t="shared" ca="1" si="19"/>
        <v>No</v>
      </c>
      <c r="AP156" t="str">
        <f t="shared" si="20"/>
        <v>Low Risk</v>
      </c>
    </row>
    <row r="157" spans="1:42" x14ac:dyDescent="0.3">
      <c r="A157" s="5">
        <v>29</v>
      </c>
      <c r="B157" s="5" t="s">
        <v>43</v>
      </c>
      <c r="C157" s="5" t="str">
        <f t="shared" si="14"/>
        <v>No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 s="5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 s="5">
        <v>4319</v>
      </c>
      <c r="U157">
        <v>26283</v>
      </c>
      <c r="V157">
        <v>1</v>
      </c>
      <c r="W157" t="s">
        <v>42</v>
      </c>
      <c r="X157" t="s">
        <v>43</v>
      </c>
      <c r="Y157" t="str">
        <f t="shared" si="15"/>
        <v>No</v>
      </c>
      <c r="Z157">
        <v>13</v>
      </c>
      <c r="AA157">
        <v>3</v>
      </c>
      <c r="AB157">
        <v>1</v>
      </c>
      <c r="AC157">
        <v>80</v>
      </c>
      <c r="AD157">
        <v>1</v>
      </c>
      <c r="AE157" s="5">
        <v>10</v>
      </c>
      <c r="AF157" t="str">
        <f t="shared" si="16"/>
        <v>6-15</v>
      </c>
      <c r="AG157">
        <v>1</v>
      </c>
      <c r="AH157">
        <v>3</v>
      </c>
      <c r="AI157" s="5">
        <v>10</v>
      </c>
      <c r="AJ157">
        <v>7</v>
      </c>
      <c r="AK157">
        <v>0</v>
      </c>
      <c r="AL157">
        <v>9</v>
      </c>
      <c r="AM157" t="str">
        <f t="shared" si="17"/>
        <v>Below Avg</v>
      </c>
      <c r="AN157" s="21">
        <f t="shared" si="18"/>
        <v>27.96352583586626</v>
      </c>
      <c r="AO157" t="str">
        <f t="shared" ca="1" si="19"/>
        <v>No</v>
      </c>
      <c r="AP157" t="str">
        <f t="shared" si="20"/>
        <v>Low Risk</v>
      </c>
    </row>
    <row r="158" spans="1:42" x14ac:dyDescent="0.3">
      <c r="A158" s="5">
        <v>51</v>
      </c>
      <c r="B158" s="5" t="s">
        <v>43</v>
      </c>
      <c r="C158" s="5" t="str">
        <f t="shared" si="14"/>
        <v>No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 s="5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 s="5">
        <v>6132</v>
      </c>
      <c r="U158">
        <v>13983</v>
      </c>
      <c r="V158">
        <v>2</v>
      </c>
      <c r="W158" t="s">
        <v>42</v>
      </c>
      <c r="X158" t="s">
        <v>43</v>
      </c>
      <c r="Y158" t="str">
        <f t="shared" si="15"/>
        <v>No</v>
      </c>
      <c r="Z158">
        <v>17</v>
      </c>
      <c r="AA158">
        <v>3</v>
      </c>
      <c r="AB158">
        <v>3</v>
      </c>
      <c r="AC158">
        <v>80</v>
      </c>
      <c r="AD158">
        <v>0</v>
      </c>
      <c r="AE158" s="5">
        <v>10</v>
      </c>
      <c r="AF158" t="str">
        <f t="shared" si="16"/>
        <v>6-15</v>
      </c>
      <c r="AG158">
        <v>2</v>
      </c>
      <c r="AH158">
        <v>3</v>
      </c>
      <c r="AI158" s="5">
        <v>1</v>
      </c>
      <c r="AJ158">
        <v>0</v>
      </c>
      <c r="AK158">
        <v>0</v>
      </c>
      <c r="AL158">
        <v>0</v>
      </c>
      <c r="AM158" t="str">
        <f t="shared" si="17"/>
        <v>Below Avg</v>
      </c>
      <c r="AN158" s="21">
        <f t="shared" si="18"/>
        <v>27.984790874524716</v>
      </c>
      <c r="AO158" t="str">
        <f t="shared" ca="1" si="19"/>
        <v>No</v>
      </c>
      <c r="AP158" t="str">
        <f t="shared" si="20"/>
        <v>Low Risk</v>
      </c>
    </row>
    <row r="159" spans="1:42" x14ac:dyDescent="0.3">
      <c r="A159" s="5">
        <v>58</v>
      </c>
      <c r="B159" s="5" t="s">
        <v>43</v>
      </c>
      <c r="C159" s="5" t="str">
        <f t="shared" si="14"/>
        <v>No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 s="5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 s="5">
        <v>3346</v>
      </c>
      <c r="U159">
        <v>11873</v>
      </c>
      <c r="V159">
        <v>4</v>
      </c>
      <c r="W159" t="s">
        <v>42</v>
      </c>
      <c r="X159" t="s">
        <v>35</v>
      </c>
      <c r="Y159" t="str">
        <f t="shared" si="15"/>
        <v>Yes</v>
      </c>
      <c r="Z159">
        <v>20</v>
      </c>
      <c r="AA159">
        <v>4</v>
      </c>
      <c r="AB159">
        <v>2</v>
      </c>
      <c r="AC159">
        <v>80</v>
      </c>
      <c r="AD159">
        <v>1</v>
      </c>
      <c r="AE159" s="5">
        <v>9</v>
      </c>
      <c r="AF159" t="str">
        <f t="shared" si="16"/>
        <v>6-15</v>
      </c>
      <c r="AG159">
        <v>3</v>
      </c>
      <c r="AH159">
        <v>2</v>
      </c>
      <c r="AI159" s="5">
        <v>1</v>
      </c>
      <c r="AJ159">
        <v>0</v>
      </c>
      <c r="AK159">
        <v>0</v>
      </c>
      <c r="AL159">
        <v>0</v>
      </c>
      <c r="AM159" t="str">
        <f t="shared" si="17"/>
        <v>Below Avg</v>
      </c>
      <c r="AN159" s="21">
        <f t="shared" si="18"/>
        <v>28.006088280060879</v>
      </c>
      <c r="AO159" t="str">
        <f t="shared" ca="1" si="19"/>
        <v>No</v>
      </c>
      <c r="AP159" t="str">
        <f t="shared" si="20"/>
        <v>Low Risk</v>
      </c>
    </row>
    <row r="160" spans="1:42" x14ac:dyDescent="0.3">
      <c r="A160" s="5">
        <v>40</v>
      </c>
      <c r="B160" s="5" t="s">
        <v>43</v>
      </c>
      <c r="C160" s="5" t="str">
        <f t="shared" si="14"/>
        <v>No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 s="5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 s="5">
        <v>10855</v>
      </c>
      <c r="U160">
        <v>8552</v>
      </c>
      <c r="V160">
        <v>7</v>
      </c>
      <c r="W160" t="s">
        <v>42</v>
      </c>
      <c r="X160" t="s">
        <v>43</v>
      </c>
      <c r="Y160" t="str">
        <f t="shared" si="15"/>
        <v>No</v>
      </c>
      <c r="Z160">
        <v>11</v>
      </c>
      <c r="AA160">
        <v>3</v>
      </c>
      <c r="AB160">
        <v>1</v>
      </c>
      <c r="AC160">
        <v>80</v>
      </c>
      <c r="AD160">
        <v>1</v>
      </c>
      <c r="AE160" s="5">
        <v>15</v>
      </c>
      <c r="AF160" t="str">
        <f t="shared" si="16"/>
        <v>6-15</v>
      </c>
      <c r="AG160">
        <v>2</v>
      </c>
      <c r="AH160">
        <v>2</v>
      </c>
      <c r="AI160" s="5">
        <v>12</v>
      </c>
      <c r="AJ160">
        <v>11</v>
      </c>
      <c r="AK160">
        <v>2</v>
      </c>
      <c r="AL160">
        <v>11</v>
      </c>
      <c r="AM160" t="str">
        <f t="shared" si="17"/>
        <v>Ok</v>
      </c>
      <c r="AN160" s="21">
        <f t="shared" si="18"/>
        <v>28.027418126428028</v>
      </c>
      <c r="AO160" t="str">
        <f t="shared" ca="1" si="19"/>
        <v>No</v>
      </c>
      <c r="AP160" t="str">
        <f t="shared" si="20"/>
        <v>Low Risk</v>
      </c>
    </row>
    <row r="161" spans="1:42" x14ac:dyDescent="0.3">
      <c r="A161" s="5">
        <v>34</v>
      </c>
      <c r="B161" s="5" t="s">
        <v>43</v>
      </c>
      <c r="C161" s="5" t="str">
        <f t="shared" si="14"/>
        <v>No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 s="5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 s="5">
        <v>2231</v>
      </c>
      <c r="U161">
        <v>11314</v>
      </c>
      <c r="V161">
        <v>6</v>
      </c>
      <c r="W161" t="s">
        <v>42</v>
      </c>
      <c r="X161" t="s">
        <v>43</v>
      </c>
      <c r="Y161" t="str">
        <f t="shared" si="15"/>
        <v>No</v>
      </c>
      <c r="Z161">
        <v>18</v>
      </c>
      <c r="AA161">
        <v>3</v>
      </c>
      <c r="AB161">
        <v>4</v>
      </c>
      <c r="AC161">
        <v>80</v>
      </c>
      <c r="AD161">
        <v>1</v>
      </c>
      <c r="AE161" s="5">
        <v>6</v>
      </c>
      <c r="AF161" t="str">
        <f t="shared" si="16"/>
        <v>6-15</v>
      </c>
      <c r="AG161">
        <v>3</v>
      </c>
      <c r="AH161">
        <v>3</v>
      </c>
      <c r="AI161" s="5">
        <v>4</v>
      </c>
      <c r="AJ161">
        <v>3</v>
      </c>
      <c r="AK161">
        <v>1</v>
      </c>
      <c r="AL161">
        <v>2</v>
      </c>
      <c r="AM161" t="str">
        <f t="shared" si="17"/>
        <v>Below Avg</v>
      </c>
      <c r="AN161" s="21">
        <f t="shared" si="18"/>
        <v>27.972560975609756</v>
      </c>
      <c r="AO161" t="str">
        <f t="shared" ca="1" si="19"/>
        <v>No</v>
      </c>
      <c r="AP161" t="str">
        <f t="shared" si="20"/>
        <v>Low Risk</v>
      </c>
    </row>
    <row r="162" spans="1:42" x14ac:dyDescent="0.3">
      <c r="A162" s="5">
        <v>22</v>
      </c>
      <c r="B162" s="5" t="s">
        <v>43</v>
      </c>
      <c r="C162" s="5" t="str">
        <f t="shared" si="14"/>
        <v>No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 s="5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 s="5">
        <v>2323</v>
      </c>
      <c r="U162">
        <v>11992</v>
      </c>
      <c r="V162">
        <v>1</v>
      </c>
      <c r="W162" t="s">
        <v>42</v>
      </c>
      <c r="X162" t="s">
        <v>43</v>
      </c>
      <c r="Y162" t="str">
        <f t="shared" si="15"/>
        <v>No</v>
      </c>
      <c r="Z162">
        <v>24</v>
      </c>
      <c r="AA162">
        <v>4</v>
      </c>
      <c r="AB162">
        <v>1</v>
      </c>
      <c r="AC162">
        <v>80</v>
      </c>
      <c r="AD162">
        <v>2</v>
      </c>
      <c r="AE162" s="5">
        <v>2</v>
      </c>
      <c r="AF162" t="str">
        <f t="shared" si="16"/>
        <v>0-5</v>
      </c>
      <c r="AG162">
        <v>6</v>
      </c>
      <c r="AH162">
        <v>3</v>
      </c>
      <c r="AI162" s="5">
        <v>2</v>
      </c>
      <c r="AJ162">
        <v>2</v>
      </c>
      <c r="AK162">
        <v>2</v>
      </c>
      <c r="AL162">
        <v>2</v>
      </c>
      <c r="AM162" t="str">
        <f t="shared" si="17"/>
        <v>Below Avg</v>
      </c>
      <c r="AN162" s="21">
        <f t="shared" si="18"/>
        <v>27.993897787948129</v>
      </c>
      <c r="AO162" t="str">
        <f t="shared" ca="1" si="19"/>
        <v>No</v>
      </c>
      <c r="AP162" t="str">
        <f t="shared" si="20"/>
        <v>Low Risk</v>
      </c>
    </row>
    <row r="163" spans="1:42" x14ac:dyDescent="0.3">
      <c r="A163" s="5">
        <v>27</v>
      </c>
      <c r="B163" s="5" t="s">
        <v>43</v>
      </c>
      <c r="C163" s="5" t="str">
        <f t="shared" si="14"/>
        <v>No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 s="5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 s="5">
        <v>2024</v>
      </c>
      <c r="U163">
        <v>5970</v>
      </c>
      <c r="V163">
        <v>6</v>
      </c>
      <c r="W163" t="s">
        <v>42</v>
      </c>
      <c r="X163" t="s">
        <v>43</v>
      </c>
      <c r="Y163" t="str">
        <f t="shared" si="15"/>
        <v>No</v>
      </c>
      <c r="Z163">
        <v>18</v>
      </c>
      <c r="AA163">
        <v>3</v>
      </c>
      <c r="AB163">
        <v>4</v>
      </c>
      <c r="AC163">
        <v>80</v>
      </c>
      <c r="AD163">
        <v>1</v>
      </c>
      <c r="AE163" s="5">
        <v>6</v>
      </c>
      <c r="AF163" t="str">
        <f t="shared" si="16"/>
        <v>6-15</v>
      </c>
      <c r="AG163">
        <v>1</v>
      </c>
      <c r="AH163">
        <v>1</v>
      </c>
      <c r="AI163" s="5">
        <v>2</v>
      </c>
      <c r="AJ163">
        <v>2</v>
      </c>
      <c r="AK163">
        <v>2</v>
      </c>
      <c r="AL163">
        <v>2</v>
      </c>
      <c r="AM163" t="str">
        <f t="shared" si="17"/>
        <v>Below Avg</v>
      </c>
      <c r="AN163" s="21">
        <f t="shared" si="18"/>
        <v>28.015267175572518</v>
      </c>
      <c r="AO163" t="str">
        <f t="shared" ca="1" si="19"/>
        <v>No</v>
      </c>
      <c r="AP163" t="str">
        <f t="shared" si="20"/>
        <v>Low Risk</v>
      </c>
    </row>
    <row r="164" spans="1:42" x14ac:dyDescent="0.3">
      <c r="A164" s="5">
        <v>28</v>
      </c>
      <c r="B164" s="5" t="s">
        <v>43</v>
      </c>
      <c r="C164" s="5" t="str">
        <f t="shared" si="14"/>
        <v>No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 s="5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 s="5">
        <v>2713</v>
      </c>
      <c r="U164">
        <v>6672</v>
      </c>
      <c r="V164">
        <v>1</v>
      </c>
      <c r="W164" t="s">
        <v>42</v>
      </c>
      <c r="X164" t="s">
        <v>43</v>
      </c>
      <c r="Y164" t="str">
        <f t="shared" si="15"/>
        <v>No</v>
      </c>
      <c r="Z164">
        <v>11</v>
      </c>
      <c r="AA164">
        <v>3</v>
      </c>
      <c r="AB164">
        <v>3</v>
      </c>
      <c r="AC164">
        <v>80</v>
      </c>
      <c r="AD164">
        <v>1</v>
      </c>
      <c r="AE164" s="5">
        <v>5</v>
      </c>
      <c r="AF164" t="str">
        <f t="shared" si="16"/>
        <v>0-5</v>
      </c>
      <c r="AG164">
        <v>2</v>
      </c>
      <c r="AH164">
        <v>1</v>
      </c>
      <c r="AI164" s="5">
        <v>5</v>
      </c>
      <c r="AJ164">
        <v>2</v>
      </c>
      <c r="AK164">
        <v>0</v>
      </c>
      <c r="AL164">
        <v>2</v>
      </c>
      <c r="AM164" t="str">
        <f t="shared" si="17"/>
        <v>Below Avg</v>
      </c>
      <c r="AN164" s="21">
        <f t="shared" si="18"/>
        <v>28.036669213139803</v>
      </c>
      <c r="AO164" t="str">
        <f t="shared" ca="1" si="19"/>
        <v>No</v>
      </c>
      <c r="AP164" t="str">
        <f t="shared" si="20"/>
        <v>Low Risk</v>
      </c>
    </row>
    <row r="165" spans="1:42" x14ac:dyDescent="0.3">
      <c r="A165" s="5">
        <v>57</v>
      </c>
      <c r="B165" s="5" t="s">
        <v>43</v>
      </c>
      <c r="C165" s="5" t="str">
        <f t="shared" si="14"/>
        <v>No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 s="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 s="5">
        <v>9439</v>
      </c>
      <c r="U165">
        <v>23402</v>
      </c>
      <c r="V165">
        <v>3</v>
      </c>
      <c r="W165" t="s">
        <v>42</v>
      </c>
      <c r="X165" t="s">
        <v>35</v>
      </c>
      <c r="Y165" t="str">
        <f t="shared" si="15"/>
        <v>Yes</v>
      </c>
      <c r="Z165">
        <v>16</v>
      </c>
      <c r="AA165">
        <v>3</v>
      </c>
      <c r="AB165">
        <v>2</v>
      </c>
      <c r="AC165">
        <v>80</v>
      </c>
      <c r="AD165">
        <v>1</v>
      </c>
      <c r="AE165" s="5">
        <v>12</v>
      </c>
      <c r="AF165" t="str">
        <f t="shared" si="16"/>
        <v>6-15</v>
      </c>
      <c r="AG165">
        <v>2</v>
      </c>
      <c r="AH165">
        <v>1</v>
      </c>
      <c r="AI165" s="5">
        <v>5</v>
      </c>
      <c r="AJ165">
        <v>3</v>
      </c>
      <c r="AK165">
        <v>1</v>
      </c>
      <c r="AL165">
        <v>4</v>
      </c>
      <c r="AM165" t="str">
        <f t="shared" si="17"/>
        <v>Ok</v>
      </c>
      <c r="AN165" s="21">
        <f t="shared" si="18"/>
        <v>28.058103975535172</v>
      </c>
      <c r="AO165" t="str">
        <f t="shared" ca="1" si="19"/>
        <v>No</v>
      </c>
      <c r="AP165" t="str">
        <f t="shared" si="20"/>
        <v>Low Risk</v>
      </c>
    </row>
    <row r="166" spans="1:42" x14ac:dyDescent="0.3">
      <c r="A166" s="5">
        <v>27</v>
      </c>
      <c r="B166" s="5" t="s">
        <v>43</v>
      </c>
      <c r="C166" s="5" t="str">
        <f t="shared" si="14"/>
        <v>No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 s="5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 s="5">
        <v>2566</v>
      </c>
      <c r="U166">
        <v>25326</v>
      </c>
      <c r="V166">
        <v>1</v>
      </c>
      <c r="W166" t="s">
        <v>42</v>
      </c>
      <c r="X166" t="s">
        <v>35</v>
      </c>
      <c r="Y166" t="str">
        <f t="shared" si="15"/>
        <v>Yes</v>
      </c>
      <c r="Z166">
        <v>15</v>
      </c>
      <c r="AA166">
        <v>3</v>
      </c>
      <c r="AB166">
        <v>4</v>
      </c>
      <c r="AC166">
        <v>80</v>
      </c>
      <c r="AD166">
        <v>1</v>
      </c>
      <c r="AE166" s="5">
        <v>1</v>
      </c>
      <c r="AF166" t="str">
        <f t="shared" si="16"/>
        <v>0-5</v>
      </c>
      <c r="AG166">
        <v>2</v>
      </c>
      <c r="AH166">
        <v>2</v>
      </c>
      <c r="AI166" s="5">
        <v>1</v>
      </c>
      <c r="AJ166">
        <v>1</v>
      </c>
      <c r="AK166">
        <v>0</v>
      </c>
      <c r="AL166">
        <v>1</v>
      </c>
      <c r="AM166" t="str">
        <f t="shared" si="17"/>
        <v>Below Avg</v>
      </c>
      <c r="AN166" s="21">
        <f t="shared" si="18"/>
        <v>28.079571537872994</v>
      </c>
      <c r="AO166" t="str">
        <f t="shared" ca="1" si="19"/>
        <v>No</v>
      </c>
      <c r="AP166" t="str">
        <f t="shared" si="20"/>
        <v>Low Risk</v>
      </c>
    </row>
    <row r="167" spans="1:42" x14ac:dyDescent="0.3">
      <c r="A167" s="5">
        <v>50</v>
      </c>
      <c r="B167" s="5" t="s">
        <v>43</v>
      </c>
      <c r="C167" s="5" t="str">
        <f t="shared" si="14"/>
        <v>No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 s="5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 s="5">
        <v>19926</v>
      </c>
      <c r="U167">
        <v>17053</v>
      </c>
      <c r="V167">
        <v>3</v>
      </c>
      <c r="W167" t="s">
        <v>42</v>
      </c>
      <c r="X167" t="s">
        <v>43</v>
      </c>
      <c r="Y167" t="str">
        <f t="shared" si="15"/>
        <v>No</v>
      </c>
      <c r="Z167">
        <v>15</v>
      </c>
      <c r="AA167">
        <v>3</v>
      </c>
      <c r="AB167">
        <v>2</v>
      </c>
      <c r="AC167">
        <v>80</v>
      </c>
      <c r="AD167">
        <v>0</v>
      </c>
      <c r="AE167" s="5">
        <v>21</v>
      </c>
      <c r="AF167" t="str">
        <f t="shared" si="16"/>
        <v>&gt;15</v>
      </c>
      <c r="AG167">
        <v>5</v>
      </c>
      <c r="AH167">
        <v>3</v>
      </c>
      <c r="AI167" s="5">
        <v>5</v>
      </c>
      <c r="AJ167">
        <v>4</v>
      </c>
      <c r="AK167">
        <v>4</v>
      </c>
      <c r="AL167">
        <v>4</v>
      </c>
      <c r="AM167" t="str">
        <f t="shared" si="17"/>
        <v>Ok</v>
      </c>
      <c r="AN167" s="21">
        <f t="shared" si="18"/>
        <v>28.024502297090354</v>
      </c>
      <c r="AO167" t="str">
        <f t="shared" ca="1" si="19"/>
        <v>No</v>
      </c>
      <c r="AP167" t="str">
        <f t="shared" si="20"/>
        <v>Low Risk</v>
      </c>
    </row>
    <row r="168" spans="1:42" x14ac:dyDescent="0.3">
      <c r="A168" s="5">
        <v>41</v>
      </c>
      <c r="B168" s="5" t="s">
        <v>43</v>
      </c>
      <c r="C168" s="5" t="str">
        <f t="shared" si="14"/>
        <v>No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 s="5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 s="5">
        <v>2451</v>
      </c>
      <c r="U168">
        <v>4609</v>
      </c>
      <c r="V168">
        <v>4</v>
      </c>
      <c r="W168" t="s">
        <v>42</v>
      </c>
      <c r="X168" t="s">
        <v>43</v>
      </c>
      <c r="Y168" t="str">
        <f t="shared" si="15"/>
        <v>No</v>
      </c>
      <c r="Z168">
        <v>12</v>
      </c>
      <c r="AA168">
        <v>3</v>
      </c>
      <c r="AB168">
        <v>1</v>
      </c>
      <c r="AC168">
        <v>80</v>
      </c>
      <c r="AD168">
        <v>1</v>
      </c>
      <c r="AE168" s="5">
        <v>13</v>
      </c>
      <c r="AF168" t="str">
        <f t="shared" si="16"/>
        <v>6-15</v>
      </c>
      <c r="AG168">
        <v>2</v>
      </c>
      <c r="AH168">
        <v>3</v>
      </c>
      <c r="AI168" s="5">
        <v>9</v>
      </c>
      <c r="AJ168">
        <v>8</v>
      </c>
      <c r="AK168">
        <v>1</v>
      </c>
      <c r="AL168">
        <v>8</v>
      </c>
      <c r="AM168" t="str">
        <f t="shared" si="17"/>
        <v>Below Avg</v>
      </c>
      <c r="AN168" s="21">
        <f t="shared" si="18"/>
        <v>27.969348659003828</v>
      </c>
      <c r="AO168" t="str">
        <f t="shared" ca="1" si="19"/>
        <v>No</v>
      </c>
      <c r="AP168" t="str">
        <f t="shared" si="20"/>
        <v>Low Risk</v>
      </c>
    </row>
    <row r="169" spans="1:42" x14ac:dyDescent="0.3">
      <c r="A169" s="5">
        <v>30</v>
      </c>
      <c r="B169" s="5" t="s">
        <v>43</v>
      </c>
      <c r="C169" s="5" t="str">
        <f t="shared" si="14"/>
        <v>No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 s="5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 s="5">
        <v>9419</v>
      </c>
      <c r="U169">
        <v>8053</v>
      </c>
      <c r="V169">
        <v>2</v>
      </c>
      <c r="W169" t="s">
        <v>42</v>
      </c>
      <c r="X169" t="s">
        <v>43</v>
      </c>
      <c r="Y169" t="str">
        <f t="shared" si="15"/>
        <v>No</v>
      </c>
      <c r="Z169">
        <v>12</v>
      </c>
      <c r="AA169">
        <v>3</v>
      </c>
      <c r="AB169">
        <v>3</v>
      </c>
      <c r="AC169">
        <v>80</v>
      </c>
      <c r="AD169">
        <v>1</v>
      </c>
      <c r="AE169" s="5">
        <v>12</v>
      </c>
      <c r="AF169" t="str">
        <f t="shared" si="16"/>
        <v>6-15</v>
      </c>
      <c r="AG169">
        <v>2</v>
      </c>
      <c r="AH169">
        <v>3</v>
      </c>
      <c r="AI169" s="5">
        <v>10</v>
      </c>
      <c r="AJ169">
        <v>9</v>
      </c>
      <c r="AK169">
        <v>7</v>
      </c>
      <c r="AL169">
        <v>4</v>
      </c>
      <c r="AM169" t="str">
        <f t="shared" si="17"/>
        <v>Ok</v>
      </c>
      <c r="AN169" s="21">
        <f t="shared" si="18"/>
        <v>27.990797546012271</v>
      </c>
      <c r="AO169" t="str">
        <f t="shared" ca="1" si="19"/>
        <v>No</v>
      </c>
      <c r="AP169" t="str">
        <f t="shared" si="20"/>
        <v>Low Risk</v>
      </c>
    </row>
    <row r="170" spans="1:42" x14ac:dyDescent="0.3">
      <c r="A170" s="5">
        <v>38</v>
      </c>
      <c r="B170" s="5" t="s">
        <v>43</v>
      </c>
      <c r="C170" s="5" t="str">
        <f t="shared" si="14"/>
        <v>No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 s="5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 s="5">
        <v>8686</v>
      </c>
      <c r="U170">
        <v>12930</v>
      </c>
      <c r="V170">
        <v>4</v>
      </c>
      <c r="W170" t="s">
        <v>42</v>
      </c>
      <c r="X170" t="s">
        <v>43</v>
      </c>
      <c r="Y170" t="str">
        <f t="shared" si="15"/>
        <v>No</v>
      </c>
      <c r="Z170">
        <v>22</v>
      </c>
      <c r="AA170">
        <v>4</v>
      </c>
      <c r="AB170">
        <v>3</v>
      </c>
      <c r="AC170">
        <v>80</v>
      </c>
      <c r="AD170">
        <v>0</v>
      </c>
      <c r="AE170" s="5">
        <v>12</v>
      </c>
      <c r="AF170" t="str">
        <f t="shared" si="16"/>
        <v>6-15</v>
      </c>
      <c r="AG170">
        <v>2</v>
      </c>
      <c r="AH170">
        <v>4</v>
      </c>
      <c r="AI170" s="5">
        <v>8</v>
      </c>
      <c r="AJ170">
        <v>3</v>
      </c>
      <c r="AK170">
        <v>0</v>
      </c>
      <c r="AL170">
        <v>7</v>
      </c>
      <c r="AM170" t="str">
        <f t="shared" si="17"/>
        <v>Ok</v>
      </c>
      <c r="AN170" s="21">
        <f t="shared" si="18"/>
        <v>28.012279355333845</v>
      </c>
      <c r="AO170" t="str">
        <f t="shared" ca="1" si="19"/>
        <v>No</v>
      </c>
      <c r="AP170" t="str">
        <f t="shared" si="20"/>
        <v>Low Risk</v>
      </c>
    </row>
    <row r="171" spans="1:42" x14ac:dyDescent="0.3">
      <c r="A171" s="5">
        <v>32</v>
      </c>
      <c r="B171" s="5" t="s">
        <v>43</v>
      </c>
      <c r="C171" s="5" t="str">
        <f t="shared" si="14"/>
        <v>No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 s="5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 s="5">
        <v>3038</v>
      </c>
      <c r="U171">
        <v>12430</v>
      </c>
      <c r="V171">
        <v>3</v>
      </c>
      <c r="W171" t="s">
        <v>42</v>
      </c>
      <c r="X171" t="s">
        <v>43</v>
      </c>
      <c r="Y171" t="str">
        <f t="shared" si="15"/>
        <v>No</v>
      </c>
      <c r="Z171">
        <v>20</v>
      </c>
      <c r="AA171">
        <v>4</v>
      </c>
      <c r="AB171">
        <v>1</v>
      </c>
      <c r="AC171">
        <v>80</v>
      </c>
      <c r="AD171">
        <v>0</v>
      </c>
      <c r="AE171" s="5">
        <v>8</v>
      </c>
      <c r="AF171" t="str">
        <f t="shared" si="16"/>
        <v>6-15</v>
      </c>
      <c r="AG171">
        <v>2</v>
      </c>
      <c r="AH171">
        <v>3</v>
      </c>
      <c r="AI171" s="5">
        <v>5</v>
      </c>
      <c r="AJ171">
        <v>4</v>
      </c>
      <c r="AK171">
        <v>1</v>
      </c>
      <c r="AL171">
        <v>4</v>
      </c>
      <c r="AM171" t="str">
        <f t="shared" si="17"/>
        <v>Below Avg</v>
      </c>
      <c r="AN171" s="21">
        <f t="shared" si="18"/>
        <v>28.033794162826421</v>
      </c>
      <c r="AO171" t="str">
        <f t="shared" ca="1" si="19"/>
        <v>No</v>
      </c>
      <c r="AP171" t="str">
        <f t="shared" si="20"/>
        <v>Low Risk</v>
      </c>
    </row>
    <row r="172" spans="1:42" x14ac:dyDescent="0.3">
      <c r="A172" s="5">
        <v>27</v>
      </c>
      <c r="B172" s="5" t="s">
        <v>43</v>
      </c>
      <c r="C172" s="5" t="str">
        <f t="shared" si="14"/>
        <v>No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 s="5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 s="5">
        <v>3058</v>
      </c>
      <c r="U172">
        <v>13364</v>
      </c>
      <c r="V172">
        <v>0</v>
      </c>
      <c r="W172" t="s">
        <v>42</v>
      </c>
      <c r="X172" t="s">
        <v>35</v>
      </c>
      <c r="Y172" t="str">
        <f t="shared" si="15"/>
        <v>Yes</v>
      </c>
      <c r="Z172">
        <v>16</v>
      </c>
      <c r="AA172">
        <v>3</v>
      </c>
      <c r="AB172">
        <v>4</v>
      </c>
      <c r="AC172">
        <v>80</v>
      </c>
      <c r="AD172">
        <v>1</v>
      </c>
      <c r="AE172" s="5">
        <v>6</v>
      </c>
      <c r="AF172" t="str">
        <f t="shared" si="16"/>
        <v>6-15</v>
      </c>
      <c r="AG172">
        <v>3</v>
      </c>
      <c r="AH172">
        <v>2</v>
      </c>
      <c r="AI172" s="5">
        <v>5</v>
      </c>
      <c r="AJ172">
        <v>2</v>
      </c>
      <c r="AK172">
        <v>1</v>
      </c>
      <c r="AL172">
        <v>1</v>
      </c>
      <c r="AM172" t="str">
        <f t="shared" si="17"/>
        <v>Below Avg</v>
      </c>
      <c r="AN172" s="21">
        <f t="shared" si="18"/>
        <v>28.055342044581096</v>
      </c>
      <c r="AO172" t="str">
        <f t="shared" ca="1" si="19"/>
        <v>No</v>
      </c>
      <c r="AP172" t="str">
        <f t="shared" si="20"/>
        <v>Low Risk</v>
      </c>
    </row>
    <row r="173" spans="1:42" x14ac:dyDescent="0.3">
      <c r="A173" s="5">
        <v>19</v>
      </c>
      <c r="B173" s="5" t="s">
        <v>35</v>
      </c>
      <c r="C173" s="5" t="str">
        <f t="shared" si="14"/>
        <v>Yes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 s="5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 s="5">
        <v>2325</v>
      </c>
      <c r="U173">
        <v>20989</v>
      </c>
      <c r="V173">
        <v>0</v>
      </c>
      <c r="W173" t="s">
        <v>42</v>
      </c>
      <c r="X173" t="s">
        <v>43</v>
      </c>
      <c r="Y173" t="str">
        <f t="shared" si="15"/>
        <v>No</v>
      </c>
      <c r="Z173">
        <v>21</v>
      </c>
      <c r="AA173">
        <v>4</v>
      </c>
      <c r="AB173">
        <v>1</v>
      </c>
      <c r="AC173">
        <v>80</v>
      </c>
      <c r="AD173">
        <v>0</v>
      </c>
      <c r="AE173" s="5">
        <v>1</v>
      </c>
      <c r="AF173" t="str">
        <f t="shared" si="16"/>
        <v>0-5</v>
      </c>
      <c r="AG173">
        <v>5</v>
      </c>
      <c r="AH173">
        <v>4</v>
      </c>
      <c r="AI173" s="5">
        <v>0</v>
      </c>
      <c r="AJ173">
        <v>0</v>
      </c>
      <c r="AK173">
        <v>0</v>
      </c>
      <c r="AL173">
        <v>0</v>
      </c>
      <c r="AM173" t="str">
        <f t="shared" si="17"/>
        <v>Below Avg</v>
      </c>
      <c r="AN173" s="21">
        <f t="shared" si="18"/>
        <v>28.076923076923077</v>
      </c>
      <c r="AO173" t="str">
        <f t="shared" ca="1" si="19"/>
        <v>No</v>
      </c>
      <c r="AP173" t="str">
        <f t="shared" si="20"/>
        <v>High Risk</v>
      </c>
    </row>
    <row r="174" spans="1:42" x14ac:dyDescent="0.3">
      <c r="A174" s="5">
        <v>36</v>
      </c>
      <c r="B174" s="5" t="s">
        <v>43</v>
      </c>
      <c r="C174" s="5" t="str">
        <f t="shared" si="14"/>
        <v>No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 s="5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 s="5">
        <v>2088</v>
      </c>
      <c r="U174">
        <v>15062</v>
      </c>
      <c r="V174">
        <v>4</v>
      </c>
      <c r="W174" t="s">
        <v>42</v>
      </c>
      <c r="X174" t="s">
        <v>43</v>
      </c>
      <c r="Y174" t="str">
        <f t="shared" si="15"/>
        <v>No</v>
      </c>
      <c r="Z174">
        <v>12</v>
      </c>
      <c r="AA174">
        <v>3</v>
      </c>
      <c r="AB174">
        <v>3</v>
      </c>
      <c r="AC174">
        <v>80</v>
      </c>
      <c r="AD174">
        <v>0</v>
      </c>
      <c r="AE174" s="5">
        <v>13</v>
      </c>
      <c r="AF174" t="str">
        <f t="shared" si="16"/>
        <v>6-15</v>
      </c>
      <c r="AG174">
        <v>3</v>
      </c>
      <c r="AH174">
        <v>2</v>
      </c>
      <c r="AI174" s="5">
        <v>8</v>
      </c>
      <c r="AJ174">
        <v>7</v>
      </c>
      <c r="AK174">
        <v>7</v>
      </c>
      <c r="AL174">
        <v>2</v>
      </c>
      <c r="AM174" t="str">
        <f t="shared" si="17"/>
        <v>Below Avg</v>
      </c>
      <c r="AN174" s="21">
        <f t="shared" si="18"/>
        <v>28.021555042340264</v>
      </c>
      <c r="AO174" t="str">
        <f t="shared" ca="1" si="19"/>
        <v>No</v>
      </c>
      <c r="AP174" t="str">
        <f t="shared" si="20"/>
        <v>Low Risk</v>
      </c>
    </row>
    <row r="175" spans="1:42" x14ac:dyDescent="0.3">
      <c r="A175" s="5">
        <v>30</v>
      </c>
      <c r="B175" s="5" t="s">
        <v>43</v>
      </c>
      <c r="C175" s="5" t="str">
        <f t="shared" si="14"/>
        <v>No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 s="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 s="5">
        <v>3072</v>
      </c>
      <c r="U175">
        <v>11012</v>
      </c>
      <c r="V175">
        <v>1</v>
      </c>
      <c r="W175" t="s">
        <v>42</v>
      </c>
      <c r="X175" t="s">
        <v>43</v>
      </c>
      <c r="Y175" t="str">
        <f t="shared" si="15"/>
        <v>No</v>
      </c>
      <c r="Z175">
        <v>11</v>
      </c>
      <c r="AA175">
        <v>3</v>
      </c>
      <c r="AB175">
        <v>3</v>
      </c>
      <c r="AC175">
        <v>80</v>
      </c>
      <c r="AD175">
        <v>2</v>
      </c>
      <c r="AE175" s="5">
        <v>12</v>
      </c>
      <c r="AF175" t="str">
        <f t="shared" si="16"/>
        <v>6-15</v>
      </c>
      <c r="AG175">
        <v>4</v>
      </c>
      <c r="AH175">
        <v>3</v>
      </c>
      <c r="AI175" s="5">
        <v>12</v>
      </c>
      <c r="AJ175">
        <v>9</v>
      </c>
      <c r="AK175">
        <v>6</v>
      </c>
      <c r="AL175">
        <v>10</v>
      </c>
      <c r="AM175" t="str">
        <f t="shared" si="17"/>
        <v>Below Avg</v>
      </c>
      <c r="AN175" s="21">
        <f t="shared" si="18"/>
        <v>28.043143297380585</v>
      </c>
      <c r="AO175" t="str">
        <f t="shared" ca="1" si="19"/>
        <v>No</v>
      </c>
      <c r="AP175" t="str">
        <f t="shared" si="20"/>
        <v>Low Risk</v>
      </c>
    </row>
    <row r="176" spans="1:42" x14ac:dyDescent="0.3">
      <c r="A176" s="5">
        <v>45</v>
      </c>
      <c r="B176" s="5" t="s">
        <v>43</v>
      </c>
      <c r="C176" s="5" t="str">
        <f t="shared" si="14"/>
        <v>No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 s="5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 s="5">
        <v>5006</v>
      </c>
      <c r="U176">
        <v>6319</v>
      </c>
      <c r="V176">
        <v>4</v>
      </c>
      <c r="W176" t="s">
        <v>42</v>
      </c>
      <c r="X176" t="s">
        <v>35</v>
      </c>
      <c r="Y176" t="str">
        <f t="shared" si="15"/>
        <v>Yes</v>
      </c>
      <c r="Z176">
        <v>11</v>
      </c>
      <c r="AA176">
        <v>3</v>
      </c>
      <c r="AB176">
        <v>1</v>
      </c>
      <c r="AC176">
        <v>80</v>
      </c>
      <c r="AD176">
        <v>1</v>
      </c>
      <c r="AE176" s="5">
        <v>9</v>
      </c>
      <c r="AF176" t="str">
        <f t="shared" si="16"/>
        <v>6-15</v>
      </c>
      <c r="AG176">
        <v>3</v>
      </c>
      <c r="AH176">
        <v>4</v>
      </c>
      <c r="AI176" s="5">
        <v>5</v>
      </c>
      <c r="AJ176">
        <v>4</v>
      </c>
      <c r="AK176">
        <v>0</v>
      </c>
      <c r="AL176">
        <v>3</v>
      </c>
      <c r="AM176" t="str">
        <f t="shared" si="17"/>
        <v>Below Avg</v>
      </c>
      <c r="AN176" s="21">
        <f t="shared" si="18"/>
        <v>28.064764841942946</v>
      </c>
      <c r="AO176" t="str">
        <f t="shared" ca="1" si="19"/>
        <v>No</v>
      </c>
      <c r="AP176" t="str">
        <f t="shared" si="20"/>
        <v>Low Risk</v>
      </c>
    </row>
    <row r="177" spans="1:42" x14ac:dyDescent="0.3">
      <c r="A177" s="5">
        <v>56</v>
      </c>
      <c r="B177" s="5" t="s">
        <v>43</v>
      </c>
      <c r="C177" s="5" t="str">
        <f t="shared" si="14"/>
        <v>No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 s="5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 s="5">
        <v>4257</v>
      </c>
      <c r="U177">
        <v>13939</v>
      </c>
      <c r="V177">
        <v>4</v>
      </c>
      <c r="W177" t="s">
        <v>42</v>
      </c>
      <c r="X177" t="s">
        <v>35</v>
      </c>
      <c r="Y177" t="str">
        <f t="shared" si="15"/>
        <v>Yes</v>
      </c>
      <c r="Z177">
        <v>18</v>
      </c>
      <c r="AA177">
        <v>3</v>
      </c>
      <c r="AB177">
        <v>3</v>
      </c>
      <c r="AC177">
        <v>80</v>
      </c>
      <c r="AD177">
        <v>1</v>
      </c>
      <c r="AE177" s="5">
        <v>19</v>
      </c>
      <c r="AF177" t="str">
        <f t="shared" si="16"/>
        <v>&gt;15</v>
      </c>
      <c r="AG177">
        <v>3</v>
      </c>
      <c r="AH177">
        <v>3</v>
      </c>
      <c r="AI177" s="5">
        <v>2</v>
      </c>
      <c r="AJ177">
        <v>2</v>
      </c>
      <c r="AK177">
        <v>2</v>
      </c>
      <c r="AL177">
        <v>2</v>
      </c>
      <c r="AM177" t="str">
        <f t="shared" si="17"/>
        <v>Below Avg</v>
      </c>
      <c r="AN177" s="21">
        <f t="shared" si="18"/>
        <v>28.086419753086421</v>
      </c>
      <c r="AO177" t="str">
        <f t="shared" ca="1" si="19"/>
        <v>No</v>
      </c>
      <c r="AP177" t="str">
        <f t="shared" si="20"/>
        <v>Low Risk</v>
      </c>
    </row>
    <row r="178" spans="1:42" x14ac:dyDescent="0.3">
      <c r="A178" s="5">
        <v>33</v>
      </c>
      <c r="B178" s="5" t="s">
        <v>43</v>
      </c>
      <c r="C178" s="5" t="str">
        <f t="shared" si="14"/>
        <v>No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 s="5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 s="5">
        <v>2500</v>
      </c>
      <c r="U178">
        <v>10515</v>
      </c>
      <c r="V178">
        <v>0</v>
      </c>
      <c r="W178" t="s">
        <v>42</v>
      </c>
      <c r="X178" t="s">
        <v>43</v>
      </c>
      <c r="Y178" t="str">
        <f t="shared" si="15"/>
        <v>No</v>
      </c>
      <c r="Z178">
        <v>14</v>
      </c>
      <c r="AA178">
        <v>3</v>
      </c>
      <c r="AB178">
        <v>1</v>
      </c>
      <c r="AC178">
        <v>80</v>
      </c>
      <c r="AD178">
        <v>0</v>
      </c>
      <c r="AE178" s="5">
        <v>4</v>
      </c>
      <c r="AF178" t="str">
        <f t="shared" si="16"/>
        <v>0-5</v>
      </c>
      <c r="AG178">
        <v>2</v>
      </c>
      <c r="AH178">
        <v>4</v>
      </c>
      <c r="AI178" s="5">
        <v>3</v>
      </c>
      <c r="AJ178">
        <v>1</v>
      </c>
      <c r="AK178">
        <v>0</v>
      </c>
      <c r="AL178">
        <v>2</v>
      </c>
      <c r="AM178" t="str">
        <f t="shared" si="17"/>
        <v>Below Avg</v>
      </c>
      <c r="AN178" s="21">
        <f t="shared" si="18"/>
        <v>28.030888030888029</v>
      </c>
      <c r="AO178" t="str">
        <f t="shared" ca="1" si="19"/>
        <v>No</v>
      </c>
      <c r="AP178" t="str">
        <f t="shared" si="20"/>
        <v>Low Risk</v>
      </c>
    </row>
    <row r="179" spans="1:42" x14ac:dyDescent="0.3">
      <c r="A179" s="5">
        <v>19</v>
      </c>
      <c r="B179" s="5" t="s">
        <v>35</v>
      </c>
      <c r="C179" s="5" t="str">
        <f t="shared" si="14"/>
        <v>Yes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 s="5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 s="5">
        <v>1102</v>
      </c>
      <c r="U179">
        <v>9241</v>
      </c>
      <c r="V179">
        <v>1</v>
      </c>
      <c r="W179" t="s">
        <v>42</v>
      </c>
      <c r="X179" t="s">
        <v>43</v>
      </c>
      <c r="Y179" t="str">
        <f t="shared" si="15"/>
        <v>No</v>
      </c>
      <c r="Z179">
        <v>22</v>
      </c>
      <c r="AA179">
        <v>4</v>
      </c>
      <c r="AB179">
        <v>3</v>
      </c>
      <c r="AC179">
        <v>80</v>
      </c>
      <c r="AD179">
        <v>0</v>
      </c>
      <c r="AE179" s="5">
        <v>1</v>
      </c>
      <c r="AF179" t="str">
        <f t="shared" si="16"/>
        <v>0-5</v>
      </c>
      <c r="AG179">
        <v>3</v>
      </c>
      <c r="AH179">
        <v>2</v>
      </c>
      <c r="AI179" s="5">
        <v>1</v>
      </c>
      <c r="AJ179">
        <v>0</v>
      </c>
      <c r="AK179">
        <v>1</v>
      </c>
      <c r="AL179">
        <v>0</v>
      </c>
      <c r="AM179" t="str">
        <f t="shared" si="17"/>
        <v>Below Avg</v>
      </c>
      <c r="AN179" s="21">
        <f t="shared" si="18"/>
        <v>27.975270479134469</v>
      </c>
      <c r="AO179" t="str">
        <f t="shared" ca="1" si="19"/>
        <v>No</v>
      </c>
      <c r="AP179" t="str">
        <f t="shared" si="20"/>
        <v>High Risk</v>
      </c>
    </row>
    <row r="180" spans="1:42" x14ac:dyDescent="0.3">
      <c r="A180" s="5">
        <v>46</v>
      </c>
      <c r="B180" s="5" t="s">
        <v>43</v>
      </c>
      <c r="C180" s="5" t="str">
        <f t="shared" si="14"/>
        <v>No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 s="5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 s="5">
        <v>10453</v>
      </c>
      <c r="U180">
        <v>2137</v>
      </c>
      <c r="V180">
        <v>1</v>
      </c>
      <c r="W180" t="s">
        <v>42</v>
      </c>
      <c r="X180" t="s">
        <v>43</v>
      </c>
      <c r="Y180" t="str">
        <f t="shared" si="15"/>
        <v>No</v>
      </c>
      <c r="Z180">
        <v>25</v>
      </c>
      <c r="AA180">
        <v>4</v>
      </c>
      <c r="AB180">
        <v>3</v>
      </c>
      <c r="AC180">
        <v>80</v>
      </c>
      <c r="AD180">
        <v>3</v>
      </c>
      <c r="AE180" s="5">
        <v>24</v>
      </c>
      <c r="AF180" t="str">
        <f t="shared" si="16"/>
        <v>&gt;15</v>
      </c>
      <c r="AG180">
        <v>2</v>
      </c>
      <c r="AH180">
        <v>3</v>
      </c>
      <c r="AI180" s="5">
        <v>24</v>
      </c>
      <c r="AJ180">
        <v>13</v>
      </c>
      <c r="AK180">
        <v>15</v>
      </c>
      <c r="AL180">
        <v>7</v>
      </c>
      <c r="AM180" t="str">
        <f t="shared" si="17"/>
        <v>Ok</v>
      </c>
      <c r="AN180" s="21">
        <f t="shared" si="18"/>
        <v>27.996906419180199</v>
      </c>
      <c r="AO180" t="str">
        <f t="shared" ca="1" si="19"/>
        <v>No</v>
      </c>
      <c r="AP180" t="str">
        <f t="shared" si="20"/>
        <v>Low Risk</v>
      </c>
    </row>
    <row r="181" spans="1:42" x14ac:dyDescent="0.3">
      <c r="A181" s="5">
        <v>38</v>
      </c>
      <c r="B181" s="5" t="s">
        <v>43</v>
      </c>
      <c r="C181" s="5" t="str">
        <f t="shared" si="14"/>
        <v>No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 s="5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 s="5">
        <v>2288</v>
      </c>
      <c r="U181">
        <v>6319</v>
      </c>
      <c r="V181">
        <v>1</v>
      </c>
      <c r="W181" t="s">
        <v>42</v>
      </c>
      <c r="X181" t="s">
        <v>43</v>
      </c>
      <c r="Y181" t="str">
        <f t="shared" si="15"/>
        <v>No</v>
      </c>
      <c r="Z181">
        <v>12</v>
      </c>
      <c r="AA181">
        <v>3</v>
      </c>
      <c r="AB181">
        <v>3</v>
      </c>
      <c r="AC181">
        <v>80</v>
      </c>
      <c r="AD181">
        <v>0</v>
      </c>
      <c r="AE181" s="5">
        <v>2</v>
      </c>
      <c r="AF181" t="str">
        <f t="shared" si="16"/>
        <v>0-5</v>
      </c>
      <c r="AG181">
        <v>3</v>
      </c>
      <c r="AH181">
        <v>3</v>
      </c>
      <c r="AI181" s="5">
        <v>2</v>
      </c>
      <c r="AJ181">
        <v>2</v>
      </c>
      <c r="AK181">
        <v>2</v>
      </c>
      <c r="AL181">
        <v>1</v>
      </c>
      <c r="AM181" t="str">
        <f t="shared" si="17"/>
        <v>Below Avg</v>
      </c>
      <c r="AN181" s="21">
        <f t="shared" si="18"/>
        <v>28.018575851393191</v>
      </c>
      <c r="AO181" t="str">
        <f t="shared" ca="1" si="19"/>
        <v>No</v>
      </c>
      <c r="AP181" t="str">
        <f t="shared" si="20"/>
        <v>Low Risk</v>
      </c>
    </row>
    <row r="182" spans="1:42" x14ac:dyDescent="0.3">
      <c r="A182" s="5">
        <v>31</v>
      </c>
      <c r="B182" s="5" t="s">
        <v>43</v>
      </c>
      <c r="C182" s="5" t="str">
        <f t="shared" si="14"/>
        <v>No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 s="5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 s="5">
        <v>3929</v>
      </c>
      <c r="U182">
        <v>6984</v>
      </c>
      <c r="V182">
        <v>8</v>
      </c>
      <c r="W182" t="s">
        <v>42</v>
      </c>
      <c r="X182" t="s">
        <v>35</v>
      </c>
      <c r="Y182" t="str">
        <f t="shared" si="15"/>
        <v>Yes</v>
      </c>
      <c r="Z182">
        <v>23</v>
      </c>
      <c r="AA182">
        <v>4</v>
      </c>
      <c r="AB182">
        <v>3</v>
      </c>
      <c r="AC182">
        <v>80</v>
      </c>
      <c r="AD182">
        <v>1</v>
      </c>
      <c r="AE182" s="5">
        <v>7</v>
      </c>
      <c r="AF182" t="str">
        <f t="shared" si="16"/>
        <v>6-15</v>
      </c>
      <c r="AG182">
        <v>0</v>
      </c>
      <c r="AH182">
        <v>3</v>
      </c>
      <c r="AI182" s="5">
        <v>4</v>
      </c>
      <c r="AJ182">
        <v>2</v>
      </c>
      <c r="AK182">
        <v>0</v>
      </c>
      <c r="AL182">
        <v>2</v>
      </c>
      <c r="AM182" t="str">
        <f t="shared" si="17"/>
        <v>Below Avg</v>
      </c>
      <c r="AN182" s="21">
        <f t="shared" si="18"/>
        <v>28.040278853601858</v>
      </c>
      <c r="AO182" t="str">
        <f t="shared" ca="1" si="19"/>
        <v>No</v>
      </c>
      <c r="AP182" t="str">
        <f t="shared" si="20"/>
        <v>Low Risk</v>
      </c>
    </row>
    <row r="183" spans="1:42" x14ac:dyDescent="0.3">
      <c r="A183" s="5">
        <v>34</v>
      </c>
      <c r="B183" s="5" t="s">
        <v>43</v>
      </c>
      <c r="C183" s="5" t="str">
        <f t="shared" si="14"/>
        <v>No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 s="5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 s="5">
        <v>2311</v>
      </c>
      <c r="U183">
        <v>5711</v>
      </c>
      <c r="V183">
        <v>2</v>
      </c>
      <c r="W183" t="s">
        <v>42</v>
      </c>
      <c r="X183" t="s">
        <v>43</v>
      </c>
      <c r="Y183" t="str">
        <f t="shared" si="15"/>
        <v>No</v>
      </c>
      <c r="Z183">
        <v>15</v>
      </c>
      <c r="AA183">
        <v>3</v>
      </c>
      <c r="AB183">
        <v>4</v>
      </c>
      <c r="AC183">
        <v>80</v>
      </c>
      <c r="AD183">
        <v>0</v>
      </c>
      <c r="AE183" s="5">
        <v>9</v>
      </c>
      <c r="AF183" t="str">
        <f t="shared" si="16"/>
        <v>6-15</v>
      </c>
      <c r="AG183">
        <v>3</v>
      </c>
      <c r="AH183">
        <v>3</v>
      </c>
      <c r="AI183" s="5">
        <v>3</v>
      </c>
      <c r="AJ183">
        <v>2</v>
      </c>
      <c r="AK183">
        <v>1</v>
      </c>
      <c r="AL183">
        <v>2</v>
      </c>
      <c r="AM183" t="str">
        <f t="shared" si="17"/>
        <v>Below Avg</v>
      </c>
      <c r="AN183" s="21">
        <f t="shared" si="18"/>
        <v>28.062015503875969</v>
      </c>
      <c r="AO183" t="str">
        <f t="shared" ca="1" si="19"/>
        <v>No</v>
      </c>
      <c r="AP183" t="str">
        <f t="shared" si="20"/>
        <v>Low Risk</v>
      </c>
    </row>
    <row r="184" spans="1:42" x14ac:dyDescent="0.3">
      <c r="A184" s="5">
        <v>41</v>
      </c>
      <c r="B184" s="5" t="s">
        <v>35</v>
      </c>
      <c r="C184" s="5" t="str">
        <f t="shared" si="14"/>
        <v>Yes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 s="5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 s="5">
        <v>3140</v>
      </c>
      <c r="U184">
        <v>21728</v>
      </c>
      <c r="V184">
        <v>1</v>
      </c>
      <c r="W184" t="s">
        <v>42</v>
      </c>
      <c r="X184" t="s">
        <v>35</v>
      </c>
      <c r="Y184" t="str">
        <f t="shared" si="15"/>
        <v>Yes</v>
      </c>
      <c r="Z184">
        <v>22</v>
      </c>
      <c r="AA184">
        <v>4</v>
      </c>
      <c r="AB184">
        <v>4</v>
      </c>
      <c r="AC184">
        <v>80</v>
      </c>
      <c r="AD184">
        <v>0</v>
      </c>
      <c r="AE184" s="5">
        <v>4</v>
      </c>
      <c r="AF184" t="str">
        <f t="shared" si="16"/>
        <v>0-5</v>
      </c>
      <c r="AG184">
        <v>5</v>
      </c>
      <c r="AH184">
        <v>2</v>
      </c>
      <c r="AI184" s="5">
        <v>4</v>
      </c>
      <c r="AJ184">
        <v>3</v>
      </c>
      <c r="AK184">
        <v>0</v>
      </c>
      <c r="AL184">
        <v>2</v>
      </c>
      <c r="AM184" t="str">
        <f t="shared" si="17"/>
        <v>Below Avg</v>
      </c>
      <c r="AN184" s="21">
        <f t="shared" si="18"/>
        <v>28.006206361520558</v>
      </c>
      <c r="AO184" t="str">
        <f t="shared" ca="1" si="19"/>
        <v>No</v>
      </c>
      <c r="AP184" t="str">
        <f t="shared" si="20"/>
        <v>Low Risk</v>
      </c>
    </row>
    <row r="185" spans="1:42" x14ac:dyDescent="0.3">
      <c r="A185" s="5">
        <v>50</v>
      </c>
      <c r="B185" s="5" t="s">
        <v>43</v>
      </c>
      <c r="C185" s="5" t="str">
        <f t="shared" si="14"/>
        <v>No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 s="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 s="5">
        <v>3690</v>
      </c>
      <c r="U185">
        <v>3425</v>
      </c>
      <c r="V185">
        <v>2</v>
      </c>
      <c r="W185" t="s">
        <v>42</v>
      </c>
      <c r="X185" t="s">
        <v>43</v>
      </c>
      <c r="Y185" t="str">
        <f t="shared" si="15"/>
        <v>No</v>
      </c>
      <c r="Z185">
        <v>15</v>
      </c>
      <c r="AA185">
        <v>3</v>
      </c>
      <c r="AB185">
        <v>4</v>
      </c>
      <c r="AC185">
        <v>80</v>
      </c>
      <c r="AD185">
        <v>1</v>
      </c>
      <c r="AE185" s="5">
        <v>5</v>
      </c>
      <c r="AF185" t="str">
        <f t="shared" si="16"/>
        <v>0-5</v>
      </c>
      <c r="AG185">
        <v>2</v>
      </c>
      <c r="AH185">
        <v>2</v>
      </c>
      <c r="AI185" s="5">
        <v>3</v>
      </c>
      <c r="AJ185">
        <v>2</v>
      </c>
      <c r="AK185">
        <v>0</v>
      </c>
      <c r="AL185">
        <v>2</v>
      </c>
      <c r="AM185" t="str">
        <f t="shared" si="17"/>
        <v>Below Avg</v>
      </c>
      <c r="AN185" s="21">
        <f t="shared" si="18"/>
        <v>28.027950310559007</v>
      </c>
      <c r="AO185" t="str">
        <f t="shared" ca="1" si="19"/>
        <v>No</v>
      </c>
      <c r="AP185" t="str">
        <f t="shared" si="20"/>
        <v>Low Risk</v>
      </c>
    </row>
    <row r="186" spans="1:42" x14ac:dyDescent="0.3">
      <c r="A186" s="5">
        <v>53</v>
      </c>
      <c r="B186" s="5" t="s">
        <v>43</v>
      </c>
      <c r="C186" s="5" t="str">
        <f t="shared" si="14"/>
        <v>No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 s="5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 s="5">
        <v>4450</v>
      </c>
      <c r="U186">
        <v>26250</v>
      </c>
      <c r="V186">
        <v>1</v>
      </c>
      <c r="W186" t="s">
        <v>42</v>
      </c>
      <c r="X186" t="s">
        <v>43</v>
      </c>
      <c r="Y186" t="str">
        <f t="shared" si="15"/>
        <v>No</v>
      </c>
      <c r="Z186">
        <v>11</v>
      </c>
      <c r="AA186">
        <v>3</v>
      </c>
      <c r="AB186">
        <v>3</v>
      </c>
      <c r="AC186">
        <v>80</v>
      </c>
      <c r="AD186">
        <v>2</v>
      </c>
      <c r="AE186" s="5">
        <v>5</v>
      </c>
      <c r="AF186" t="str">
        <f t="shared" si="16"/>
        <v>0-5</v>
      </c>
      <c r="AG186">
        <v>3</v>
      </c>
      <c r="AH186">
        <v>3</v>
      </c>
      <c r="AI186" s="5">
        <v>4</v>
      </c>
      <c r="AJ186">
        <v>2</v>
      </c>
      <c r="AK186">
        <v>1</v>
      </c>
      <c r="AL186">
        <v>3</v>
      </c>
      <c r="AM186" t="str">
        <f t="shared" si="17"/>
        <v>Below Avg</v>
      </c>
      <c r="AN186" s="21">
        <f t="shared" si="18"/>
        <v>27.972027972027973</v>
      </c>
      <c r="AO186" t="str">
        <f t="shared" ca="1" si="19"/>
        <v>No</v>
      </c>
      <c r="AP186" t="str">
        <f t="shared" si="20"/>
        <v>Low Risk</v>
      </c>
    </row>
    <row r="187" spans="1:42" x14ac:dyDescent="0.3">
      <c r="A187" s="5">
        <v>33</v>
      </c>
      <c r="B187" s="5" t="s">
        <v>43</v>
      </c>
      <c r="C187" s="5" t="str">
        <f t="shared" si="14"/>
        <v>No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 s="5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 s="5">
        <v>2756</v>
      </c>
      <c r="U187">
        <v>4673</v>
      </c>
      <c r="V187">
        <v>1</v>
      </c>
      <c r="W187" t="s">
        <v>42</v>
      </c>
      <c r="X187" t="s">
        <v>43</v>
      </c>
      <c r="Y187" t="str">
        <f t="shared" si="15"/>
        <v>No</v>
      </c>
      <c r="Z187">
        <v>13</v>
      </c>
      <c r="AA187">
        <v>3</v>
      </c>
      <c r="AB187">
        <v>4</v>
      </c>
      <c r="AC187">
        <v>80</v>
      </c>
      <c r="AD187">
        <v>1</v>
      </c>
      <c r="AE187" s="5">
        <v>8</v>
      </c>
      <c r="AF187" t="str">
        <f t="shared" si="16"/>
        <v>6-15</v>
      </c>
      <c r="AG187">
        <v>5</v>
      </c>
      <c r="AH187">
        <v>3</v>
      </c>
      <c r="AI187" s="5">
        <v>8</v>
      </c>
      <c r="AJ187">
        <v>7</v>
      </c>
      <c r="AK187">
        <v>1</v>
      </c>
      <c r="AL187">
        <v>6</v>
      </c>
      <c r="AM187" t="str">
        <f t="shared" si="17"/>
        <v>Below Avg</v>
      </c>
      <c r="AN187" s="21">
        <f t="shared" si="18"/>
        <v>27.993779160186627</v>
      </c>
      <c r="AO187" t="str">
        <f t="shared" ca="1" si="19"/>
        <v>No</v>
      </c>
      <c r="AP187" t="str">
        <f t="shared" si="20"/>
        <v>Low Risk</v>
      </c>
    </row>
    <row r="188" spans="1:42" x14ac:dyDescent="0.3">
      <c r="A188" s="5">
        <v>40</v>
      </c>
      <c r="B188" s="5" t="s">
        <v>43</v>
      </c>
      <c r="C188" s="5" t="str">
        <f t="shared" si="14"/>
        <v>No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 s="5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 s="5">
        <v>19033</v>
      </c>
      <c r="U188">
        <v>6499</v>
      </c>
      <c r="V188">
        <v>1</v>
      </c>
      <c r="W188" t="s">
        <v>42</v>
      </c>
      <c r="X188" t="s">
        <v>43</v>
      </c>
      <c r="Y188" t="str">
        <f t="shared" si="15"/>
        <v>No</v>
      </c>
      <c r="Z188">
        <v>14</v>
      </c>
      <c r="AA188">
        <v>3</v>
      </c>
      <c r="AB188">
        <v>2</v>
      </c>
      <c r="AC188">
        <v>80</v>
      </c>
      <c r="AD188">
        <v>1</v>
      </c>
      <c r="AE188" s="5">
        <v>21</v>
      </c>
      <c r="AF188" t="str">
        <f t="shared" si="16"/>
        <v>&gt;15</v>
      </c>
      <c r="AG188">
        <v>2</v>
      </c>
      <c r="AH188">
        <v>3</v>
      </c>
      <c r="AI188" s="5">
        <v>20</v>
      </c>
      <c r="AJ188">
        <v>8</v>
      </c>
      <c r="AK188">
        <v>9</v>
      </c>
      <c r="AL188">
        <v>9</v>
      </c>
      <c r="AM188" t="str">
        <f t="shared" si="17"/>
        <v>Ok</v>
      </c>
      <c r="AN188" s="21">
        <f t="shared" si="18"/>
        <v>28.01556420233463</v>
      </c>
      <c r="AO188" t="str">
        <f t="shared" ca="1" si="19"/>
        <v>No</v>
      </c>
      <c r="AP188" t="str">
        <f t="shared" si="20"/>
        <v>Low Risk</v>
      </c>
    </row>
    <row r="189" spans="1:42" x14ac:dyDescent="0.3">
      <c r="A189" s="5">
        <v>55</v>
      </c>
      <c r="B189" s="5" t="s">
        <v>43</v>
      </c>
      <c r="C189" s="5" t="str">
        <f t="shared" si="14"/>
        <v>No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 s="5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 s="5">
        <v>18722</v>
      </c>
      <c r="U189">
        <v>13339</v>
      </c>
      <c r="V189">
        <v>8</v>
      </c>
      <c r="W189" t="s">
        <v>42</v>
      </c>
      <c r="X189" t="s">
        <v>43</v>
      </c>
      <c r="Y189" t="str">
        <f t="shared" si="15"/>
        <v>No</v>
      </c>
      <c r="Z189">
        <v>11</v>
      </c>
      <c r="AA189">
        <v>3</v>
      </c>
      <c r="AB189">
        <v>4</v>
      </c>
      <c r="AC189">
        <v>80</v>
      </c>
      <c r="AD189">
        <v>0</v>
      </c>
      <c r="AE189" s="5">
        <v>36</v>
      </c>
      <c r="AF189" t="str">
        <f t="shared" si="16"/>
        <v>&gt;15</v>
      </c>
      <c r="AG189">
        <v>3</v>
      </c>
      <c r="AH189">
        <v>3</v>
      </c>
      <c r="AI189" s="5">
        <v>24</v>
      </c>
      <c r="AJ189">
        <v>15</v>
      </c>
      <c r="AK189">
        <v>2</v>
      </c>
      <c r="AL189">
        <v>15</v>
      </c>
      <c r="AM189" t="str">
        <f t="shared" si="17"/>
        <v>Ok</v>
      </c>
      <c r="AN189" s="21">
        <f t="shared" si="18"/>
        <v>28.037383177570092</v>
      </c>
      <c r="AO189" t="str">
        <f t="shared" ca="1" si="19"/>
        <v>No</v>
      </c>
      <c r="AP189" t="str">
        <f t="shared" si="20"/>
        <v>Low Risk</v>
      </c>
    </row>
    <row r="190" spans="1:42" x14ac:dyDescent="0.3">
      <c r="A190" s="5">
        <v>34</v>
      </c>
      <c r="B190" s="5" t="s">
        <v>43</v>
      </c>
      <c r="C190" s="5" t="str">
        <f t="shared" si="14"/>
        <v>No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 s="5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 s="5">
        <v>9547</v>
      </c>
      <c r="U190">
        <v>14074</v>
      </c>
      <c r="V190">
        <v>1</v>
      </c>
      <c r="W190" t="s">
        <v>42</v>
      </c>
      <c r="X190" t="s">
        <v>43</v>
      </c>
      <c r="Y190" t="str">
        <f t="shared" si="15"/>
        <v>No</v>
      </c>
      <c r="Z190">
        <v>17</v>
      </c>
      <c r="AA190">
        <v>3</v>
      </c>
      <c r="AB190">
        <v>3</v>
      </c>
      <c r="AC190">
        <v>80</v>
      </c>
      <c r="AD190">
        <v>0</v>
      </c>
      <c r="AE190" s="5">
        <v>10</v>
      </c>
      <c r="AF190" t="str">
        <f t="shared" si="16"/>
        <v>6-15</v>
      </c>
      <c r="AG190">
        <v>2</v>
      </c>
      <c r="AH190">
        <v>2</v>
      </c>
      <c r="AI190" s="5">
        <v>10</v>
      </c>
      <c r="AJ190">
        <v>9</v>
      </c>
      <c r="AK190">
        <v>1</v>
      </c>
      <c r="AL190">
        <v>9</v>
      </c>
      <c r="AM190" t="str">
        <f t="shared" si="17"/>
        <v>Ok</v>
      </c>
      <c r="AN190" s="21">
        <f t="shared" si="18"/>
        <v>28.059236165237721</v>
      </c>
      <c r="AO190" t="str">
        <f t="shared" ca="1" si="19"/>
        <v>No</v>
      </c>
      <c r="AP190" t="str">
        <f t="shared" si="20"/>
        <v>Low Risk</v>
      </c>
    </row>
    <row r="191" spans="1:42" x14ac:dyDescent="0.3">
      <c r="A191" s="5">
        <v>51</v>
      </c>
      <c r="B191" s="5" t="s">
        <v>43</v>
      </c>
      <c r="C191" s="5" t="str">
        <f t="shared" si="14"/>
        <v>No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 s="5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 s="5">
        <v>13734</v>
      </c>
      <c r="U191">
        <v>7192</v>
      </c>
      <c r="V191">
        <v>3</v>
      </c>
      <c r="W191" t="s">
        <v>42</v>
      </c>
      <c r="X191" t="s">
        <v>43</v>
      </c>
      <c r="Y191" t="str">
        <f t="shared" si="15"/>
        <v>No</v>
      </c>
      <c r="Z191">
        <v>18</v>
      </c>
      <c r="AA191">
        <v>3</v>
      </c>
      <c r="AB191">
        <v>3</v>
      </c>
      <c r="AC191">
        <v>80</v>
      </c>
      <c r="AD191">
        <v>0</v>
      </c>
      <c r="AE191" s="5">
        <v>21</v>
      </c>
      <c r="AF191" t="str">
        <f t="shared" si="16"/>
        <v>&gt;15</v>
      </c>
      <c r="AG191">
        <v>6</v>
      </c>
      <c r="AH191">
        <v>3</v>
      </c>
      <c r="AI191" s="5">
        <v>7</v>
      </c>
      <c r="AJ191">
        <v>7</v>
      </c>
      <c r="AK191">
        <v>1</v>
      </c>
      <c r="AL191">
        <v>0</v>
      </c>
      <c r="AM191" t="str">
        <f t="shared" si="17"/>
        <v>Ok</v>
      </c>
      <c r="AN191" s="21">
        <f t="shared" si="18"/>
        <v>28.081123244929795</v>
      </c>
      <c r="AO191" t="str">
        <f t="shared" ca="1" si="19"/>
        <v>No</v>
      </c>
      <c r="AP191" t="str">
        <f t="shared" si="20"/>
        <v>Low Risk</v>
      </c>
    </row>
    <row r="192" spans="1:42" x14ac:dyDescent="0.3">
      <c r="A192" s="5">
        <v>52</v>
      </c>
      <c r="B192" s="5" t="s">
        <v>43</v>
      </c>
      <c r="C192" s="5" t="str">
        <f t="shared" si="14"/>
        <v>No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 s="5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 s="5">
        <v>19999</v>
      </c>
      <c r="U192">
        <v>5678</v>
      </c>
      <c r="V192">
        <v>0</v>
      </c>
      <c r="W192" t="s">
        <v>42</v>
      </c>
      <c r="X192" t="s">
        <v>43</v>
      </c>
      <c r="Y192" t="str">
        <f t="shared" si="15"/>
        <v>No</v>
      </c>
      <c r="Z192">
        <v>14</v>
      </c>
      <c r="AA192">
        <v>3</v>
      </c>
      <c r="AB192">
        <v>1</v>
      </c>
      <c r="AC192">
        <v>80</v>
      </c>
      <c r="AD192">
        <v>1</v>
      </c>
      <c r="AE192" s="5">
        <v>34</v>
      </c>
      <c r="AF192" t="str">
        <f t="shared" si="16"/>
        <v>&gt;15</v>
      </c>
      <c r="AG192">
        <v>5</v>
      </c>
      <c r="AH192">
        <v>3</v>
      </c>
      <c r="AI192" s="5">
        <v>33</v>
      </c>
      <c r="AJ192">
        <v>18</v>
      </c>
      <c r="AK192">
        <v>11</v>
      </c>
      <c r="AL192">
        <v>9</v>
      </c>
      <c r="AM192" t="str">
        <f t="shared" si="17"/>
        <v>Ok</v>
      </c>
      <c r="AN192" s="21">
        <f t="shared" si="18"/>
        <v>28.103044496487119</v>
      </c>
      <c r="AO192" t="str">
        <f t="shared" ca="1" si="19"/>
        <v>No</v>
      </c>
      <c r="AP192" t="str">
        <f t="shared" si="20"/>
        <v>Low Risk</v>
      </c>
    </row>
    <row r="193" spans="1:42" x14ac:dyDescent="0.3">
      <c r="A193" s="5">
        <v>27</v>
      </c>
      <c r="B193" s="5" t="s">
        <v>43</v>
      </c>
      <c r="C193" s="5" t="str">
        <f t="shared" si="14"/>
        <v>No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 s="5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 s="5">
        <v>2279</v>
      </c>
      <c r="U193">
        <v>11781</v>
      </c>
      <c r="V193">
        <v>1</v>
      </c>
      <c r="W193" t="s">
        <v>42</v>
      </c>
      <c r="X193" t="s">
        <v>43</v>
      </c>
      <c r="Y193" t="str">
        <f t="shared" si="15"/>
        <v>No</v>
      </c>
      <c r="Z193">
        <v>16</v>
      </c>
      <c r="AA193">
        <v>3</v>
      </c>
      <c r="AB193">
        <v>4</v>
      </c>
      <c r="AC193">
        <v>80</v>
      </c>
      <c r="AD193">
        <v>0</v>
      </c>
      <c r="AE193" s="5">
        <v>7</v>
      </c>
      <c r="AF193" t="str">
        <f t="shared" si="16"/>
        <v>6-15</v>
      </c>
      <c r="AG193">
        <v>2</v>
      </c>
      <c r="AH193">
        <v>2</v>
      </c>
      <c r="AI193" s="5">
        <v>7</v>
      </c>
      <c r="AJ193">
        <v>7</v>
      </c>
      <c r="AK193">
        <v>0</v>
      </c>
      <c r="AL193">
        <v>3</v>
      </c>
      <c r="AM193" t="str">
        <f t="shared" si="17"/>
        <v>Below Avg</v>
      </c>
      <c r="AN193" s="21">
        <f t="shared" si="18"/>
        <v>28.125</v>
      </c>
      <c r="AO193" t="str">
        <f t="shared" ca="1" si="19"/>
        <v>No</v>
      </c>
      <c r="AP193" t="str">
        <f t="shared" si="20"/>
        <v>Low Risk</v>
      </c>
    </row>
    <row r="194" spans="1:42" x14ac:dyDescent="0.3">
      <c r="A194" s="5">
        <v>35</v>
      </c>
      <c r="B194" s="5" t="s">
        <v>35</v>
      </c>
      <c r="C194" s="5" t="str">
        <f t="shared" si="14"/>
        <v>Yes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 s="5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 s="5">
        <v>5916</v>
      </c>
      <c r="U194">
        <v>15497</v>
      </c>
      <c r="V194">
        <v>3</v>
      </c>
      <c r="W194" t="s">
        <v>42</v>
      </c>
      <c r="X194" t="s">
        <v>35</v>
      </c>
      <c r="Y194" t="str">
        <f t="shared" si="15"/>
        <v>Yes</v>
      </c>
      <c r="Z194">
        <v>13</v>
      </c>
      <c r="AA194">
        <v>3</v>
      </c>
      <c r="AB194">
        <v>1</v>
      </c>
      <c r="AC194">
        <v>80</v>
      </c>
      <c r="AD194">
        <v>0</v>
      </c>
      <c r="AE194" s="5">
        <v>8</v>
      </c>
      <c r="AF194" t="str">
        <f t="shared" si="16"/>
        <v>6-15</v>
      </c>
      <c r="AG194">
        <v>1</v>
      </c>
      <c r="AH194">
        <v>3</v>
      </c>
      <c r="AI194" s="5">
        <v>1</v>
      </c>
      <c r="AJ194">
        <v>0</v>
      </c>
      <c r="AK194">
        <v>0</v>
      </c>
      <c r="AL194">
        <v>1</v>
      </c>
      <c r="AM194" t="str">
        <f t="shared" si="17"/>
        <v>Below Avg</v>
      </c>
      <c r="AN194" s="21">
        <f t="shared" si="18"/>
        <v>28.146989835809226</v>
      </c>
      <c r="AO194" t="str">
        <f t="shared" ca="1" si="19"/>
        <v>No</v>
      </c>
      <c r="AP194" t="str">
        <f t="shared" si="20"/>
        <v>High Risk</v>
      </c>
    </row>
    <row r="195" spans="1:42" x14ac:dyDescent="0.3">
      <c r="A195" s="5">
        <v>43</v>
      </c>
      <c r="B195" s="5" t="s">
        <v>43</v>
      </c>
      <c r="C195" s="5" t="str">
        <f t="shared" ref="C195:C258" si="21">IF(LOWER(B195)="yes","Yes","No")</f>
        <v>No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 s="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 s="5">
        <v>2089</v>
      </c>
      <c r="U195">
        <v>5228</v>
      </c>
      <c r="V195">
        <v>4</v>
      </c>
      <c r="W195" t="s">
        <v>42</v>
      </c>
      <c r="X195" t="s">
        <v>43</v>
      </c>
      <c r="Y195" t="str">
        <f t="shared" ref="Y195:Y258" si="22">IF(LOWER(X195)="yes","Yes","No")</f>
        <v>No</v>
      </c>
      <c r="Z195">
        <v>14</v>
      </c>
      <c r="AA195">
        <v>3</v>
      </c>
      <c r="AB195">
        <v>4</v>
      </c>
      <c r="AC195">
        <v>80</v>
      </c>
      <c r="AD195">
        <v>3</v>
      </c>
      <c r="AE195" s="5">
        <v>7</v>
      </c>
      <c r="AF195" t="str">
        <f t="shared" ref="AF195:AF258" si="23">IF(AE195&lt;=5,"0-5",IF(AE195&lt;=15,"6-15","&gt;15"))</f>
        <v>6-15</v>
      </c>
      <c r="AG195">
        <v>3</v>
      </c>
      <c r="AH195">
        <v>4</v>
      </c>
      <c r="AI195" s="5">
        <v>5</v>
      </c>
      <c r="AJ195">
        <v>4</v>
      </c>
      <c r="AK195">
        <v>2</v>
      </c>
      <c r="AL195">
        <v>2</v>
      </c>
      <c r="AM195" t="str">
        <f t="shared" ref="AM195:AM258" si="24">IF(T195&lt;AVERAGEIF($F194:$F1664,F195,$T194:$T1664),"Below Avg","Ok")</f>
        <v>Below Avg</v>
      </c>
      <c r="AN195" s="21">
        <f t="shared" ref="AN195:AN258" si="25">COUNTIF(X194:X1664,"Yes")/COUNTA(X194:X1664)*100</f>
        <v>28.169014084507044</v>
      </c>
      <c r="AO195" t="str">
        <f t="shared" ref="AO195:AO258" ca="1" si="26">IF(AND(AA195&gt;=4,Z195&lt;AVERAGEIF($F194:$F1664,F195,$Z195:$Z1664)),"Yes","No")</f>
        <v>No</v>
      </c>
      <c r="AP195" t="str">
        <f t="shared" ref="AP195:AP258" si="27">IF(AND(AI195&lt;2,C195="Yes"),"High Risk","Low Risk")</f>
        <v>Low Risk</v>
      </c>
    </row>
    <row r="196" spans="1:42" x14ac:dyDescent="0.3">
      <c r="A196" s="5">
        <v>45</v>
      </c>
      <c r="B196" s="5" t="s">
        <v>43</v>
      </c>
      <c r="C196" s="5" t="str">
        <f t="shared" si="21"/>
        <v>No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 s="5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 s="5">
        <v>16792</v>
      </c>
      <c r="U196">
        <v>20462</v>
      </c>
      <c r="V196">
        <v>9</v>
      </c>
      <c r="W196" t="s">
        <v>42</v>
      </c>
      <c r="X196" t="s">
        <v>43</v>
      </c>
      <c r="Y196" t="str">
        <f t="shared" si="22"/>
        <v>No</v>
      </c>
      <c r="Z196">
        <v>23</v>
      </c>
      <c r="AA196">
        <v>4</v>
      </c>
      <c r="AB196">
        <v>4</v>
      </c>
      <c r="AC196">
        <v>80</v>
      </c>
      <c r="AD196">
        <v>1</v>
      </c>
      <c r="AE196" s="5">
        <v>22</v>
      </c>
      <c r="AF196" t="str">
        <f t="shared" si="23"/>
        <v>&gt;15</v>
      </c>
      <c r="AG196">
        <v>1</v>
      </c>
      <c r="AH196">
        <v>3</v>
      </c>
      <c r="AI196" s="5">
        <v>20</v>
      </c>
      <c r="AJ196">
        <v>8</v>
      </c>
      <c r="AK196">
        <v>11</v>
      </c>
      <c r="AL196">
        <v>8</v>
      </c>
      <c r="AM196" t="str">
        <f t="shared" si="24"/>
        <v>Ok</v>
      </c>
      <c r="AN196" s="21">
        <f t="shared" si="25"/>
        <v>28.112764291307752</v>
      </c>
      <c r="AO196" t="str">
        <f t="shared" ca="1" si="26"/>
        <v>No</v>
      </c>
      <c r="AP196" t="str">
        <f t="shared" si="27"/>
        <v>Low Risk</v>
      </c>
    </row>
    <row r="197" spans="1:42" x14ac:dyDescent="0.3">
      <c r="A197" s="5">
        <v>37</v>
      </c>
      <c r="B197" s="5" t="s">
        <v>43</v>
      </c>
      <c r="C197" s="5" t="str">
        <f t="shared" si="21"/>
        <v>No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 s="5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 s="5">
        <v>3564</v>
      </c>
      <c r="U197">
        <v>22977</v>
      </c>
      <c r="V197">
        <v>1</v>
      </c>
      <c r="W197" t="s">
        <v>42</v>
      </c>
      <c r="X197" t="s">
        <v>35</v>
      </c>
      <c r="Y197" t="str">
        <f t="shared" si="22"/>
        <v>Yes</v>
      </c>
      <c r="Z197">
        <v>12</v>
      </c>
      <c r="AA197">
        <v>3</v>
      </c>
      <c r="AB197">
        <v>1</v>
      </c>
      <c r="AC197">
        <v>80</v>
      </c>
      <c r="AD197">
        <v>1</v>
      </c>
      <c r="AE197" s="5">
        <v>8</v>
      </c>
      <c r="AF197" t="str">
        <f t="shared" si="23"/>
        <v>6-15</v>
      </c>
      <c r="AG197">
        <v>3</v>
      </c>
      <c r="AH197">
        <v>2</v>
      </c>
      <c r="AI197" s="5">
        <v>8</v>
      </c>
      <c r="AJ197">
        <v>7</v>
      </c>
      <c r="AK197">
        <v>1</v>
      </c>
      <c r="AL197">
        <v>7</v>
      </c>
      <c r="AM197" t="str">
        <f t="shared" si="24"/>
        <v>Below Avg</v>
      </c>
      <c r="AN197" s="21">
        <f t="shared" si="25"/>
        <v>28.134796238244515</v>
      </c>
      <c r="AO197" t="str">
        <f t="shared" ca="1" si="26"/>
        <v>No</v>
      </c>
      <c r="AP197" t="str">
        <f t="shared" si="27"/>
        <v>Low Risk</v>
      </c>
    </row>
    <row r="198" spans="1:42" x14ac:dyDescent="0.3">
      <c r="A198" s="5">
        <v>35</v>
      </c>
      <c r="B198" s="5" t="s">
        <v>43</v>
      </c>
      <c r="C198" s="5" t="str">
        <f t="shared" si="21"/>
        <v>No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 s="5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 s="5">
        <v>4425</v>
      </c>
      <c r="U198">
        <v>15986</v>
      </c>
      <c r="V198">
        <v>5</v>
      </c>
      <c r="W198" t="s">
        <v>42</v>
      </c>
      <c r="X198" t="s">
        <v>43</v>
      </c>
      <c r="Y198" t="str">
        <f t="shared" si="22"/>
        <v>No</v>
      </c>
      <c r="Z198">
        <v>11</v>
      </c>
      <c r="AA198">
        <v>3</v>
      </c>
      <c r="AB198">
        <v>4</v>
      </c>
      <c r="AC198">
        <v>80</v>
      </c>
      <c r="AD198">
        <v>0</v>
      </c>
      <c r="AE198" s="5">
        <v>10</v>
      </c>
      <c r="AF198" t="str">
        <f t="shared" si="23"/>
        <v>6-15</v>
      </c>
      <c r="AG198">
        <v>5</v>
      </c>
      <c r="AH198">
        <v>3</v>
      </c>
      <c r="AI198" s="5">
        <v>6</v>
      </c>
      <c r="AJ198">
        <v>2</v>
      </c>
      <c r="AK198">
        <v>1</v>
      </c>
      <c r="AL198">
        <v>2</v>
      </c>
      <c r="AM198" t="str">
        <f t="shared" si="24"/>
        <v>Below Avg</v>
      </c>
      <c r="AN198" s="21">
        <f t="shared" si="25"/>
        <v>28.156862745098039</v>
      </c>
      <c r="AO198" t="str">
        <f t="shared" ca="1" si="26"/>
        <v>No</v>
      </c>
      <c r="AP198" t="str">
        <f t="shared" si="27"/>
        <v>Low Risk</v>
      </c>
    </row>
    <row r="199" spans="1:42" x14ac:dyDescent="0.3">
      <c r="A199" s="5">
        <v>42</v>
      </c>
      <c r="B199" s="5" t="s">
        <v>43</v>
      </c>
      <c r="C199" s="5" t="str">
        <f t="shared" si="21"/>
        <v>No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 s="5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 s="5">
        <v>5265</v>
      </c>
      <c r="U199">
        <v>16439</v>
      </c>
      <c r="V199">
        <v>2</v>
      </c>
      <c r="W199" t="s">
        <v>42</v>
      </c>
      <c r="X199" t="s">
        <v>43</v>
      </c>
      <c r="Y199" t="str">
        <f t="shared" si="22"/>
        <v>No</v>
      </c>
      <c r="Z199">
        <v>16</v>
      </c>
      <c r="AA199">
        <v>3</v>
      </c>
      <c r="AB199">
        <v>2</v>
      </c>
      <c r="AC199">
        <v>80</v>
      </c>
      <c r="AD199">
        <v>1</v>
      </c>
      <c r="AE199" s="5">
        <v>11</v>
      </c>
      <c r="AF199" t="str">
        <f t="shared" si="23"/>
        <v>6-15</v>
      </c>
      <c r="AG199">
        <v>5</v>
      </c>
      <c r="AH199">
        <v>3</v>
      </c>
      <c r="AI199" s="5">
        <v>5</v>
      </c>
      <c r="AJ199">
        <v>3</v>
      </c>
      <c r="AK199">
        <v>0</v>
      </c>
      <c r="AL199">
        <v>2</v>
      </c>
      <c r="AM199" t="str">
        <f t="shared" si="24"/>
        <v>Below Avg</v>
      </c>
      <c r="AN199" s="21">
        <f t="shared" si="25"/>
        <v>28.100470957613815</v>
      </c>
      <c r="AO199" t="str">
        <f t="shared" ca="1" si="26"/>
        <v>No</v>
      </c>
      <c r="AP199" t="str">
        <f t="shared" si="27"/>
        <v>Low Risk</v>
      </c>
    </row>
    <row r="200" spans="1:42" x14ac:dyDescent="0.3">
      <c r="A200" s="5">
        <v>38</v>
      </c>
      <c r="B200" s="5" t="s">
        <v>43</v>
      </c>
      <c r="C200" s="5" t="str">
        <f t="shared" si="21"/>
        <v>No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 s="5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 s="5">
        <v>6553</v>
      </c>
      <c r="U200">
        <v>7259</v>
      </c>
      <c r="V200">
        <v>9</v>
      </c>
      <c r="W200" t="s">
        <v>42</v>
      </c>
      <c r="X200" t="s">
        <v>43</v>
      </c>
      <c r="Y200" t="str">
        <f t="shared" si="22"/>
        <v>No</v>
      </c>
      <c r="Z200">
        <v>14</v>
      </c>
      <c r="AA200">
        <v>3</v>
      </c>
      <c r="AB200">
        <v>2</v>
      </c>
      <c r="AC200">
        <v>80</v>
      </c>
      <c r="AD200">
        <v>0</v>
      </c>
      <c r="AE200" s="5">
        <v>14</v>
      </c>
      <c r="AF200" t="str">
        <f t="shared" si="23"/>
        <v>6-15</v>
      </c>
      <c r="AG200">
        <v>3</v>
      </c>
      <c r="AH200">
        <v>3</v>
      </c>
      <c r="AI200" s="5">
        <v>1</v>
      </c>
      <c r="AJ200">
        <v>0</v>
      </c>
      <c r="AK200">
        <v>0</v>
      </c>
      <c r="AL200">
        <v>0</v>
      </c>
      <c r="AM200" t="str">
        <f t="shared" si="24"/>
        <v>Ok</v>
      </c>
      <c r="AN200" s="21">
        <f t="shared" si="25"/>
        <v>28.122545168892383</v>
      </c>
      <c r="AO200" t="str">
        <f t="shared" ca="1" si="26"/>
        <v>No</v>
      </c>
      <c r="AP200" t="str">
        <f t="shared" si="27"/>
        <v>Low Risk</v>
      </c>
    </row>
    <row r="201" spans="1:42" x14ac:dyDescent="0.3">
      <c r="A201" s="5">
        <v>38</v>
      </c>
      <c r="B201" s="5" t="s">
        <v>43</v>
      </c>
      <c r="C201" s="5" t="str">
        <f t="shared" si="21"/>
        <v>No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 s="5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 s="5">
        <v>6261</v>
      </c>
      <c r="U201">
        <v>4185</v>
      </c>
      <c r="V201">
        <v>3</v>
      </c>
      <c r="W201" t="s">
        <v>42</v>
      </c>
      <c r="X201" t="s">
        <v>43</v>
      </c>
      <c r="Y201" t="str">
        <f t="shared" si="22"/>
        <v>No</v>
      </c>
      <c r="Z201">
        <v>18</v>
      </c>
      <c r="AA201">
        <v>3</v>
      </c>
      <c r="AB201">
        <v>1</v>
      </c>
      <c r="AC201">
        <v>80</v>
      </c>
      <c r="AD201">
        <v>1</v>
      </c>
      <c r="AE201" s="5">
        <v>9</v>
      </c>
      <c r="AF201" t="str">
        <f t="shared" si="23"/>
        <v>6-15</v>
      </c>
      <c r="AG201">
        <v>3</v>
      </c>
      <c r="AH201">
        <v>1</v>
      </c>
      <c r="AI201" s="5">
        <v>7</v>
      </c>
      <c r="AJ201">
        <v>7</v>
      </c>
      <c r="AK201">
        <v>1</v>
      </c>
      <c r="AL201">
        <v>7</v>
      </c>
      <c r="AM201" t="str">
        <f t="shared" si="24"/>
        <v>Below Avg</v>
      </c>
      <c r="AN201" s="21">
        <f t="shared" si="25"/>
        <v>28.144654088050313</v>
      </c>
      <c r="AO201" t="str">
        <f t="shared" ca="1" si="26"/>
        <v>No</v>
      </c>
      <c r="AP201" t="str">
        <f t="shared" si="27"/>
        <v>Low Risk</v>
      </c>
    </row>
    <row r="202" spans="1:42" x14ac:dyDescent="0.3">
      <c r="A202" s="5">
        <v>27</v>
      </c>
      <c r="B202" s="5" t="s">
        <v>43</v>
      </c>
      <c r="C202" s="5" t="str">
        <f t="shared" si="21"/>
        <v>No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 s="5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 s="5">
        <v>4298</v>
      </c>
      <c r="U202">
        <v>9679</v>
      </c>
      <c r="V202">
        <v>5</v>
      </c>
      <c r="W202" t="s">
        <v>42</v>
      </c>
      <c r="X202" t="s">
        <v>43</v>
      </c>
      <c r="Y202" t="str">
        <f t="shared" si="22"/>
        <v>No</v>
      </c>
      <c r="Z202">
        <v>19</v>
      </c>
      <c r="AA202">
        <v>3</v>
      </c>
      <c r="AB202">
        <v>3</v>
      </c>
      <c r="AC202">
        <v>80</v>
      </c>
      <c r="AD202">
        <v>1</v>
      </c>
      <c r="AE202" s="5">
        <v>6</v>
      </c>
      <c r="AF202" t="str">
        <f t="shared" si="23"/>
        <v>6-15</v>
      </c>
      <c r="AG202">
        <v>1</v>
      </c>
      <c r="AH202">
        <v>3</v>
      </c>
      <c r="AI202" s="5">
        <v>2</v>
      </c>
      <c r="AJ202">
        <v>2</v>
      </c>
      <c r="AK202">
        <v>2</v>
      </c>
      <c r="AL202">
        <v>0</v>
      </c>
      <c r="AM202" t="str">
        <f t="shared" si="24"/>
        <v>Below Avg</v>
      </c>
      <c r="AN202" s="21">
        <f t="shared" si="25"/>
        <v>28.166797797010229</v>
      </c>
      <c r="AO202" t="str">
        <f t="shared" ca="1" si="26"/>
        <v>No</v>
      </c>
      <c r="AP202" t="str">
        <f t="shared" si="27"/>
        <v>Low Risk</v>
      </c>
    </row>
    <row r="203" spans="1:42" x14ac:dyDescent="0.3">
      <c r="A203" s="5">
        <v>49</v>
      </c>
      <c r="B203" s="5" t="s">
        <v>43</v>
      </c>
      <c r="C203" s="5" t="str">
        <f t="shared" si="21"/>
        <v>No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 s="5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 s="5">
        <v>6804</v>
      </c>
      <c r="U203">
        <v>23793</v>
      </c>
      <c r="V203">
        <v>1</v>
      </c>
      <c r="W203" t="s">
        <v>42</v>
      </c>
      <c r="X203" t="s">
        <v>35</v>
      </c>
      <c r="Y203" t="str">
        <f t="shared" si="22"/>
        <v>Yes</v>
      </c>
      <c r="Z203">
        <v>15</v>
      </c>
      <c r="AA203">
        <v>3</v>
      </c>
      <c r="AB203">
        <v>1</v>
      </c>
      <c r="AC203">
        <v>80</v>
      </c>
      <c r="AD203">
        <v>2</v>
      </c>
      <c r="AE203" s="5">
        <v>7</v>
      </c>
      <c r="AF203" t="str">
        <f t="shared" si="23"/>
        <v>6-15</v>
      </c>
      <c r="AG203">
        <v>0</v>
      </c>
      <c r="AH203">
        <v>3</v>
      </c>
      <c r="AI203" s="5">
        <v>7</v>
      </c>
      <c r="AJ203">
        <v>7</v>
      </c>
      <c r="AK203">
        <v>1</v>
      </c>
      <c r="AL203">
        <v>7</v>
      </c>
      <c r="AM203" t="str">
        <f t="shared" si="24"/>
        <v>Ok</v>
      </c>
      <c r="AN203" s="21">
        <f t="shared" si="25"/>
        <v>28.188976377952756</v>
      </c>
      <c r="AO203" t="str">
        <f t="shared" ca="1" si="26"/>
        <v>No</v>
      </c>
      <c r="AP203" t="str">
        <f t="shared" si="27"/>
        <v>Low Risk</v>
      </c>
    </row>
    <row r="204" spans="1:42" x14ac:dyDescent="0.3">
      <c r="A204" s="5">
        <v>34</v>
      </c>
      <c r="B204" s="5" t="s">
        <v>43</v>
      </c>
      <c r="C204" s="5" t="str">
        <f t="shared" si="21"/>
        <v>No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 s="5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 s="5">
        <v>3815</v>
      </c>
      <c r="U204">
        <v>5972</v>
      </c>
      <c r="V204">
        <v>1</v>
      </c>
      <c r="W204" t="s">
        <v>42</v>
      </c>
      <c r="X204" t="s">
        <v>35</v>
      </c>
      <c r="Y204" t="str">
        <f t="shared" si="22"/>
        <v>Yes</v>
      </c>
      <c r="Z204">
        <v>17</v>
      </c>
      <c r="AA204">
        <v>3</v>
      </c>
      <c r="AB204">
        <v>4</v>
      </c>
      <c r="AC204">
        <v>80</v>
      </c>
      <c r="AD204">
        <v>1</v>
      </c>
      <c r="AE204" s="5">
        <v>5</v>
      </c>
      <c r="AF204" t="str">
        <f t="shared" si="23"/>
        <v>0-5</v>
      </c>
      <c r="AG204">
        <v>4</v>
      </c>
      <c r="AH204">
        <v>4</v>
      </c>
      <c r="AI204" s="5">
        <v>5</v>
      </c>
      <c r="AJ204">
        <v>3</v>
      </c>
      <c r="AK204">
        <v>2</v>
      </c>
      <c r="AL204">
        <v>0</v>
      </c>
      <c r="AM204" t="str">
        <f t="shared" si="24"/>
        <v>Below Avg</v>
      </c>
      <c r="AN204" s="21">
        <f t="shared" si="25"/>
        <v>28.211189913317575</v>
      </c>
      <c r="AO204" t="str">
        <f t="shared" ca="1" si="26"/>
        <v>No</v>
      </c>
      <c r="AP204" t="str">
        <f t="shared" si="27"/>
        <v>Low Risk</v>
      </c>
    </row>
    <row r="205" spans="1:42" x14ac:dyDescent="0.3">
      <c r="A205" s="5">
        <v>40</v>
      </c>
      <c r="B205" s="5" t="s">
        <v>43</v>
      </c>
      <c r="C205" s="5" t="str">
        <f t="shared" si="21"/>
        <v>No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 s="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 s="5">
        <v>2741</v>
      </c>
      <c r="U205">
        <v>16523</v>
      </c>
      <c r="V205">
        <v>8</v>
      </c>
      <c r="W205" t="s">
        <v>42</v>
      </c>
      <c r="X205" t="s">
        <v>35</v>
      </c>
      <c r="Y205" t="str">
        <f t="shared" si="22"/>
        <v>Yes</v>
      </c>
      <c r="Z205">
        <v>15</v>
      </c>
      <c r="AA205">
        <v>3</v>
      </c>
      <c r="AB205">
        <v>3</v>
      </c>
      <c r="AC205">
        <v>80</v>
      </c>
      <c r="AD205">
        <v>1</v>
      </c>
      <c r="AE205" s="5">
        <v>15</v>
      </c>
      <c r="AF205" t="str">
        <f t="shared" si="23"/>
        <v>6-15</v>
      </c>
      <c r="AG205">
        <v>2</v>
      </c>
      <c r="AH205">
        <v>4</v>
      </c>
      <c r="AI205" s="5">
        <v>7</v>
      </c>
      <c r="AJ205">
        <v>2</v>
      </c>
      <c r="AK205">
        <v>3</v>
      </c>
      <c r="AL205">
        <v>7</v>
      </c>
      <c r="AM205" t="str">
        <f t="shared" si="24"/>
        <v>Below Avg</v>
      </c>
      <c r="AN205" s="21">
        <f t="shared" si="25"/>
        <v>28.154574132492115</v>
      </c>
      <c r="AO205" t="str">
        <f t="shared" ca="1" si="26"/>
        <v>No</v>
      </c>
      <c r="AP205" t="str">
        <f t="shared" si="27"/>
        <v>Low Risk</v>
      </c>
    </row>
    <row r="206" spans="1:42" x14ac:dyDescent="0.3">
      <c r="A206" s="5">
        <v>38</v>
      </c>
      <c r="B206" s="5" t="s">
        <v>35</v>
      </c>
      <c r="C206" s="5" t="str">
        <f t="shared" si="21"/>
        <v>Yes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 s="5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 s="5">
        <v>6673</v>
      </c>
      <c r="U206">
        <v>11354</v>
      </c>
      <c r="V206">
        <v>7</v>
      </c>
      <c r="W206" t="s">
        <v>42</v>
      </c>
      <c r="X206" t="s">
        <v>35</v>
      </c>
      <c r="Y206" t="str">
        <f t="shared" si="22"/>
        <v>Yes</v>
      </c>
      <c r="Z206">
        <v>19</v>
      </c>
      <c r="AA206">
        <v>3</v>
      </c>
      <c r="AB206">
        <v>2</v>
      </c>
      <c r="AC206">
        <v>80</v>
      </c>
      <c r="AD206">
        <v>0</v>
      </c>
      <c r="AE206" s="5">
        <v>17</v>
      </c>
      <c r="AF206" t="str">
        <f t="shared" si="23"/>
        <v>&gt;15</v>
      </c>
      <c r="AG206">
        <v>2</v>
      </c>
      <c r="AH206">
        <v>3</v>
      </c>
      <c r="AI206" s="5">
        <v>1</v>
      </c>
      <c r="AJ206">
        <v>0</v>
      </c>
      <c r="AK206">
        <v>0</v>
      </c>
      <c r="AL206">
        <v>0</v>
      </c>
      <c r="AM206" t="str">
        <f t="shared" si="24"/>
        <v>Ok</v>
      </c>
      <c r="AN206" s="21">
        <f t="shared" si="25"/>
        <v>28.097868981846879</v>
      </c>
      <c r="AO206" t="str">
        <f t="shared" ca="1" si="26"/>
        <v>No</v>
      </c>
      <c r="AP206" t="str">
        <f t="shared" si="27"/>
        <v>High Risk</v>
      </c>
    </row>
    <row r="207" spans="1:42" x14ac:dyDescent="0.3">
      <c r="A207" s="5">
        <v>29</v>
      </c>
      <c r="B207" s="5" t="s">
        <v>35</v>
      </c>
      <c r="C207" s="5" t="str">
        <f t="shared" si="21"/>
        <v>Yes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 s="5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 s="5">
        <v>7639</v>
      </c>
      <c r="U207">
        <v>24525</v>
      </c>
      <c r="V207">
        <v>1</v>
      </c>
      <c r="W207" t="s">
        <v>42</v>
      </c>
      <c r="X207" t="s">
        <v>43</v>
      </c>
      <c r="Y207" t="str">
        <f t="shared" si="22"/>
        <v>No</v>
      </c>
      <c r="Z207">
        <v>22</v>
      </c>
      <c r="AA207">
        <v>4</v>
      </c>
      <c r="AB207">
        <v>4</v>
      </c>
      <c r="AC207">
        <v>80</v>
      </c>
      <c r="AD207">
        <v>3</v>
      </c>
      <c r="AE207" s="5">
        <v>10</v>
      </c>
      <c r="AF207" t="str">
        <f t="shared" si="23"/>
        <v>6-15</v>
      </c>
      <c r="AG207">
        <v>3</v>
      </c>
      <c r="AH207">
        <v>2</v>
      </c>
      <c r="AI207" s="5">
        <v>10</v>
      </c>
      <c r="AJ207">
        <v>4</v>
      </c>
      <c r="AK207">
        <v>1</v>
      </c>
      <c r="AL207">
        <v>9</v>
      </c>
      <c r="AM207" t="str">
        <f t="shared" si="24"/>
        <v>Ok</v>
      </c>
      <c r="AN207" s="21">
        <f t="shared" si="25"/>
        <v>28.041074249605057</v>
      </c>
      <c r="AO207" t="str">
        <f t="shared" ca="1" si="26"/>
        <v>No</v>
      </c>
      <c r="AP207" t="str">
        <f t="shared" si="27"/>
        <v>Low Risk</v>
      </c>
    </row>
    <row r="208" spans="1:42" x14ac:dyDescent="0.3">
      <c r="A208" s="5">
        <v>22</v>
      </c>
      <c r="B208" s="5" t="s">
        <v>43</v>
      </c>
      <c r="C208" s="5" t="str">
        <f t="shared" si="21"/>
        <v>No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 s="5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 s="5">
        <v>2328</v>
      </c>
      <c r="U208">
        <v>12392</v>
      </c>
      <c r="V208">
        <v>1</v>
      </c>
      <c r="W208" t="s">
        <v>42</v>
      </c>
      <c r="X208" t="s">
        <v>35</v>
      </c>
      <c r="Y208" t="str">
        <f t="shared" si="22"/>
        <v>Yes</v>
      </c>
      <c r="Z208">
        <v>16</v>
      </c>
      <c r="AA208">
        <v>3</v>
      </c>
      <c r="AB208">
        <v>1</v>
      </c>
      <c r="AC208">
        <v>80</v>
      </c>
      <c r="AD208">
        <v>1</v>
      </c>
      <c r="AE208" s="5">
        <v>4</v>
      </c>
      <c r="AF208" t="str">
        <f t="shared" si="23"/>
        <v>0-5</v>
      </c>
      <c r="AG208">
        <v>2</v>
      </c>
      <c r="AH208">
        <v>2</v>
      </c>
      <c r="AI208" s="5">
        <v>4</v>
      </c>
      <c r="AJ208">
        <v>2</v>
      </c>
      <c r="AK208">
        <v>2</v>
      </c>
      <c r="AL208">
        <v>2</v>
      </c>
      <c r="AM208" t="str">
        <f t="shared" si="24"/>
        <v>Below Avg</v>
      </c>
      <c r="AN208" s="21">
        <f t="shared" si="25"/>
        <v>27.984189723320156</v>
      </c>
      <c r="AO208" t="str">
        <f t="shared" ca="1" si="26"/>
        <v>No</v>
      </c>
      <c r="AP208" t="str">
        <f t="shared" si="27"/>
        <v>Low Risk</v>
      </c>
    </row>
    <row r="209" spans="1:42" x14ac:dyDescent="0.3">
      <c r="A209" s="5">
        <v>36</v>
      </c>
      <c r="B209" s="5" t="s">
        <v>43</v>
      </c>
      <c r="C209" s="5" t="str">
        <f t="shared" si="21"/>
        <v>No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 s="5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 s="5">
        <v>2153</v>
      </c>
      <c r="U209">
        <v>7703</v>
      </c>
      <c r="V209">
        <v>1</v>
      </c>
      <c r="W209" t="s">
        <v>42</v>
      </c>
      <c r="X209" t="s">
        <v>43</v>
      </c>
      <c r="Y209" t="str">
        <f t="shared" si="22"/>
        <v>No</v>
      </c>
      <c r="Z209">
        <v>13</v>
      </c>
      <c r="AA209">
        <v>3</v>
      </c>
      <c r="AB209">
        <v>1</v>
      </c>
      <c r="AC209">
        <v>80</v>
      </c>
      <c r="AD209">
        <v>0</v>
      </c>
      <c r="AE209" s="5">
        <v>8</v>
      </c>
      <c r="AF209" t="str">
        <f t="shared" si="23"/>
        <v>6-15</v>
      </c>
      <c r="AG209">
        <v>2</v>
      </c>
      <c r="AH209">
        <v>3</v>
      </c>
      <c r="AI209" s="5">
        <v>8</v>
      </c>
      <c r="AJ209">
        <v>1</v>
      </c>
      <c r="AK209">
        <v>1</v>
      </c>
      <c r="AL209">
        <v>7</v>
      </c>
      <c r="AM209" t="str">
        <f t="shared" si="24"/>
        <v>Below Avg</v>
      </c>
      <c r="AN209" s="21">
        <f t="shared" si="25"/>
        <v>28.00632911392405</v>
      </c>
      <c r="AO209" t="str">
        <f t="shared" ca="1" si="26"/>
        <v>No</v>
      </c>
      <c r="AP209" t="str">
        <f t="shared" si="27"/>
        <v>Low Risk</v>
      </c>
    </row>
    <row r="210" spans="1:42" x14ac:dyDescent="0.3">
      <c r="A210" s="5">
        <v>40</v>
      </c>
      <c r="B210" s="5" t="s">
        <v>43</v>
      </c>
      <c r="C210" s="5" t="str">
        <f t="shared" si="21"/>
        <v>No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 s="5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 s="5">
        <v>4876</v>
      </c>
      <c r="U210">
        <v>14242</v>
      </c>
      <c r="V210">
        <v>9</v>
      </c>
      <c r="W210" t="s">
        <v>42</v>
      </c>
      <c r="X210" t="s">
        <v>43</v>
      </c>
      <c r="Y210" t="str">
        <f t="shared" si="22"/>
        <v>No</v>
      </c>
      <c r="Z210">
        <v>14</v>
      </c>
      <c r="AA210">
        <v>3</v>
      </c>
      <c r="AB210">
        <v>4</v>
      </c>
      <c r="AC210">
        <v>80</v>
      </c>
      <c r="AD210">
        <v>1</v>
      </c>
      <c r="AE210" s="5">
        <v>5</v>
      </c>
      <c r="AF210" t="str">
        <f t="shared" si="23"/>
        <v>0-5</v>
      </c>
      <c r="AG210">
        <v>5</v>
      </c>
      <c r="AH210">
        <v>1</v>
      </c>
      <c r="AI210" s="5">
        <v>3</v>
      </c>
      <c r="AJ210">
        <v>2</v>
      </c>
      <c r="AK210">
        <v>0</v>
      </c>
      <c r="AL210">
        <v>2</v>
      </c>
      <c r="AM210" t="str">
        <f t="shared" si="24"/>
        <v>Below Avg</v>
      </c>
      <c r="AN210" s="21">
        <f t="shared" si="25"/>
        <v>27.949326999208235</v>
      </c>
      <c r="AO210" t="str">
        <f t="shared" ca="1" si="26"/>
        <v>No</v>
      </c>
      <c r="AP210" t="str">
        <f t="shared" si="27"/>
        <v>Low Risk</v>
      </c>
    </row>
    <row r="211" spans="1:42" x14ac:dyDescent="0.3">
      <c r="A211" s="5">
        <v>46</v>
      </c>
      <c r="B211" s="5" t="s">
        <v>43</v>
      </c>
      <c r="C211" s="5" t="str">
        <f t="shared" si="21"/>
        <v>No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 s="5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 s="5">
        <v>9396</v>
      </c>
      <c r="U211">
        <v>12368</v>
      </c>
      <c r="V211">
        <v>7</v>
      </c>
      <c r="W211" t="s">
        <v>42</v>
      </c>
      <c r="X211" t="s">
        <v>43</v>
      </c>
      <c r="Y211" t="str">
        <f t="shared" si="22"/>
        <v>No</v>
      </c>
      <c r="Z211">
        <v>16</v>
      </c>
      <c r="AA211">
        <v>3</v>
      </c>
      <c r="AB211">
        <v>3</v>
      </c>
      <c r="AC211">
        <v>80</v>
      </c>
      <c r="AD211">
        <v>1</v>
      </c>
      <c r="AE211" s="5">
        <v>17</v>
      </c>
      <c r="AF211" t="str">
        <f t="shared" si="23"/>
        <v>&gt;15</v>
      </c>
      <c r="AG211">
        <v>3</v>
      </c>
      <c r="AH211">
        <v>3</v>
      </c>
      <c r="AI211" s="5">
        <v>4</v>
      </c>
      <c r="AJ211">
        <v>2</v>
      </c>
      <c r="AK211">
        <v>0</v>
      </c>
      <c r="AL211">
        <v>3</v>
      </c>
      <c r="AM211" t="str">
        <f t="shared" si="24"/>
        <v>Ok</v>
      </c>
      <c r="AN211" s="21">
        <f t="shared" si="25"/>
        <v>27.971473851030108</v>
      </c>
      <c r="AO211" t="str">
        <f t="shared" ca="1" si="26"/>
        <v>No</v>
      </c>
      <c r="AP211" t="str">
        <f t="shared" si="27"/>
        <v>Low Risk</v>
      </c>
    </row>
    <row r="212" spans="1:42" x14ac:dyDescent="0.3">
      <c r="A212" s="5">
        <v>32</v>
      </c>
      <c r="B212" s="5" t="s">
        <v>35</v>
      </c>
      <c r="C212" s="5" t="str">
        <f t="shared" si="21"/>
        <v>Yes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 s="5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 s="5">
        <v>10400</v>
      </c>
      <c r="U212">
        <v>25812</v>
      </c>
      <c r="V212">
        <v>1</v>
      </c>
      <c r="W212" t="s">
        <v>42</v>
      </c>
      <c r="X212" t="s">
        <v>43</v>
      </c>
      <c r="Y212" t="str">
        <f t="shared" si="22"/>
        <v>No</v>
      </c>
      <c r="Z212">
        <v>11</v>
      </c>
      <c r="AA212">
        <v>3</v>
      </c>
      <c r="AB212">
        <v>3</v>
      </c>
      <c r="AC212">
        <v>80</v>
      </c>
      <c r="AD212">
        <v>0</v>
      </c>
      <c r="AE212" s="5">
        <v>14</v>
      </c>
      <c r="AF212" t="str">
        <f t="shared" si="23"/>
        <v>6-15</v>
      </c>
      <c r="AG212">
        <v>2</v>
      </c>
      <c r="AH212">
        <v>2</v>
      </c>
      <c r="AI212" s="5">
        <v>14</v>
      </c>
      <c r="AJ212">
        <v>8</v>
      </c>
      <c r="AK212">
        <v>9</v>
      </c>
      <c r="AL212">
        <v>8</v>
      </c>
      <c r="AM212" t="str">
        <f t="shared" si="24"/>
        <v>Ok</v>
      </c>
      <c r="AN212" s="21">
        <f t="shared" si="25"/>
        <v>27.993655828707375</v>
      </c>
      <c r="AO212" t="str">
        <f t="shared" ca="1" si="26"/>
        <v>No</v>
      </c>
      <c r="AP212" t="str">
        <f t="shared" si="27"/>
        <v>Low Risk</v>
      </c>
    </row>
    <row r="213" spans="1:42" x14ac:dyDescent="0.3">
      <c r="A213" s="5">
        <v>30</v>
      </c>
      <c r="B213" s="5" t="s">
        <v>43</v>
      </c>
      <c r="C213" s="5" t="str">
        <f t="shared" si="21"/>
        <v>No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 s="5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 s="5">
        <v>8474</v>
      </c>
      <c r="U213">
        <v>20925</v>
      </c>
      <c r="V213">
        <v>1</v>
      </c>
      <c r="W213" t="s">
        <v>42</v>
      </c>
      <c r="X213" t="s">
        <v>43</v>
      </c>
      <c r="Y213" t="str">
        <f t="shared" si="22"/>
        <v>No</v>
      </c>
      <c r="Z213">
        <v>22</v>
      </c>
      <c r="AA213">
        <v>4</v>
      </c>
      <c r="AB213">
        <v>3</v>
      </c>
      <c r="AC213">
        <v>80</v>
      </c>
      <c r="AD213">
        <v>0</v>
      </c>
      <c r="AE213" s="5">
        <v>12</v>
      </c>
      <c r="AF213" t="str">
        <f t="shared" si="23"/>
        <v>6-15</v>
      </c>
      <c r="AG213">
        <v>2</v>
      </c>
      <c r="AH213">
        <v>3</v>
      </c>
      <c r="AI213" s="5">
        <v>11</v>
      </c>
      <c r="AJ213">
        <v>8</v>
      </c>
      <c r="AK213">
        <v>5</v>
      </c>
      <c r="AL213">
        <v>8</v>
      </c>
      <c r="AM213" t="str">
        <f t="shared" si="24"/>
        <v>Ok</v>
      </c>
      <c r="AN213" s="21">
        <f t="shared" si="25"/>
        <v>28.015873015873016</v>
      </c>
      <c r="AO213" t="str">
        <f t="shared" ca="1" si="26"/>
        <v>No</v>
      </c>
      <c r="AP213" t="str">
        <f t="shared" si="27"/>
        <v>Low Risk</v>
      </c>
    </row>
    <row r="214" spans="1:42" x14ac:dyDescent="0.3">
      <c r="A214" s="5">
        <v>27</v>
      </c>
      <c r="B214" s="5" t="s">
        <v>43</v>
      </c>
      <c r="C214" s="5" t="str">
        <f t="shared" si="21"/>
        <v>No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 s="5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 s="5">
        <v>9981</v>
      </c>
      <c r="U214">
        <v>12916</v>
      </c>
      <c r="V214">
        <v>1</v>
      </c>
      <c r="W214" t="s">
        <v>42</v>
      </c>
      <c r="X214" t="s">
        <v>43</v>
      </c>
      <c r="Y214" t="str">
        <f t="shared" si="22"/>
        <v>No</v>
      </c>
      <c r="Z214">
        <v>14</v>
      </c>
      <c r="AA214">
        <v>3</v>
      </c>
      <c r="AB214">
        <v>4</v>
      </c>
      <c r="AC214">
        <v>80</v>
      </c>
      <c r="AD214">
        <v>0</v>
      </c>
      <c r="AE214" s="5">
        <v>7</v>
      </c>
      <c r="AF214" t="str">
        <f t="shared" si="23"/>
        <v>6-15</v>
      </c>
      <c r="AG214">
        <v>2</v>
      </c>
      <c r="AH214">
        <v>3</v>
      </c>
      <c r="AI214" s="5">
        <v>7</v>
      </c>
      <c r="AJ214">
        <v>7</v>
      </c>
      <c r="AK214">
        <v>0</v>
      </c>
      <c r="AL214">
        <v>7</v>
      </c>
      <c r="AM214" t="str">
        <f t="shared" si="24"/>
        <v>Ok</v>
      </c>
      <c r="AN214" s="21">
        <f t="shared" si="25"/>
        <v>28.038125496425735</v>
      </c>
      <c r="AO214" t="str">
        <f t="shared" ca="1" si="26"/>
        <v>No</v>
      </c>
      <c r="AP214" t="str">
        <f t="shared" si="27"/>
        <v>Low Risk</v>
      </c>
    </row>
    <row r="215" spans="1:42" x14ac:dyDescent="0.3">
      <c r="A215" s="5">
        <v>51</v>
      </c>
      <c r="B215" s="5" t="s">
        <v>43</v>
      </c>
      <c r="C215" s="5" t="str">
        <f t="shared" si="21"/>
        <v>No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 s="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 s="5">
        <v>12490</v>
      </c>
      <c r="U215">
        <v>15736</v>
      </c>
      <c r="V215">
        <v>5</v>
      </c>
      <c r="W215" t="s">
        <v>42</v>
      </c>
      <c r="X215" t="s">
        <v>43</v>
      </c>
      <c r="Y215" t="str">
        <f t="shared" si="22"/>
        <v>No</v>
      </c>
      <c r="Z215">
        <v>16</v>
      </c>
      <c r="AA215">
        <v>3</v>
      </c>
      <c r="AB215">
        <v>4</v>
      </c>
      <c r="AC215">
        <v>80</v>
      </c>
      <c r="AD215">
        <v>2</v>
      </c>
      <c r="AE215" s="5">
        <v>16</v>
      </c>
      <c r="AF215" t="str">
        <f t="shared" si="23"/>
        <v>&gt;15</v>
      </c>
      <c r="AG215">
        <v>5</v>
      </c>
      <c r="AH215">
        <v>1</v>
      </c>
      <c r="AI215" s="5">
        <v>10</v>
      </c>
      <c r="AJ215">
        <v>9</v>
      </c>
      <c r="AK215">
        <v>4</v>
      </c>
      <c r="AL215">
        <v>7</v>
      </c>
      <c r="AM215" t="str">
        <f t="shared" si="24"/>
        <v>Ok</v>
      </c>
      <c r="AN215" s="21">
        <f t="shared" si="25"/>
        <v>28.060413354531001</v>
      </c>
      <c r="AO215" t="str">
        <f t="shared" ca="1" si="26"/>
        <v>No</v>
      </c>
      <c r="AP215" t="str">
        <f t="shared" si="27"/>
        <v>Low Risk</v>
      </c>
    </row>
    <row r="216" spans="1:42" x14ac:dyDescent="0.3">
      <c r="A216" s="5">
        <v>30</v>
      </c>
      <c r="B216" s="5" t="s">
        <v>35</v>
      </c>
      <c r="C216" s="5" t="str">
        <f t="shared" si="21"/>
        <v>Yes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 s="5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 s="5">
        <v>2657</v>
      </c>
      <c r="U216">
        <v>8556</v>
      </c>
      <c r="V216">
        <v>5</v>
      </c>
      <c r="W216" t="s">
        <v>42</v>
      </c>
      <c r="X216" t="s">
        <v>35</v>
      </c>
      <c r="Y216" t="str">
        <f t="shared" si="22"/>
        <v>Yes</v>
      </c>
      <c r="Z216">
        <v>11</v>
      </c>
      <c r="AA216">
        <v>3</v>
      </c>
      <c r="AB216">
        <v>3</v>
      </c>
      <c r="AC216">
        <v>80</v>
      </c>
      <c r="AD216">
        <v>0</v>
      </c>
      <c r="AE216" s="5">
        <v>8</v>
      </c>
      <c r="AF216" t="str">
        <f t="shared" si="23"/>
        <v>6-15</v>
      </c>
      <c r="AG216">
        <v>5</v>
      </c>
      <c r="AH216">
        <v>3</v>
      </c>
      <c r="AI216" s="5">
        <v>5</v>
      </c>
      <c r="AJ216">
        <v>2</v>
      </c>
      <c r="AK216">
        <v>0</v>
      </c>
      <c r="AL216">
        <v>4</v>
      </c>
      <c r="AM216" t="str">
        <f t="shared" si="24"/>
        <v>Below Avg</v>
      </c>
      <c r="AN216" s="21">
        <f t="shared" si="25"/>
        <v>28.082736674622115</v>
      </c>
      <c r="AO216" t="str">
        <f t="shared" ca="1" si="26"/>
        <v>No</v>
      </c>
      <c r="AP216" t="str">
        <f t="shared" si="27"/>
        <v>Low Risk</v>
      </c>
    </row>
    <row r="217" spans="1:42" x14ac:dyDescent="0.3">
      <c r="A217" s="5">
        <v>41</v>
      </c>
      <c r="B217" s="5" t="s">
        <v>43</v>
      </c>
      <c r="C217" s="5" t="str">
        <f t="shared" si="21"/>
        <v>No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 s="5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 s="5">
        <v>13591</v>
      </c>
      <c r="U217">
        <v>14674</v>
      </c>
      <c r="V217">
        <v>3</v>
      </c>
      <c r="W217" t="s">
        <v>42</v>
      </c>
      <c r="X217" t="s">
        <v>35</v>
      </c>
      <c r="Y217" t="str">
        <f t="shared" si="22"/>
        <v>Yes</v>
      </c>
      <c r="Z217">
        <v>18</v>
      </c>
      <c r="AA217">
        <v>3</v>
      </c>
      <c r="AB217">
        <v>3</v>
      </c>
      <c r="AC217">
        <v>80</v>
      </c>
      <c r="AD217">
        <v>0</v>
      </c>
      <c r="AE217" s="5">
        <v>16</v>
      </c>
      <c r="AF217" t="str">
        <f t="shared" si="23"/>
        <v>&gt;15</v>
      </c>
      <c r="AG217">
        <v>3</v>
      </c>
      <c r="AH217">
        <v>3</v>
      </c>
      <c r="AI217" s="5">
        <v>1</v>
      </c>
      <c r="AJ217">
        <v>0</v>
      </c>
      <c r="AK217">
        <v>0</v>
      </c>
      <c r="AL217">
        <v>0</v>
      </c>
      <c r="AM217" t="str">
        <f t="shared" si="24"/>
        <v>Ok</v>
      </c>
      <c r="AN217" s="21">
        <f t="shared" si="25"/>
        <v>28.105095541401276</v>
      </c>
      <c r="AO217" t="str">
        <f t="shared" ca="1" si="26"/>
        <v>No</v>
      </c>
      <c r="AP217" t="str">
        <f t="shared" si="27"/>
        <v>Low Risk</v>
      </c>
    </row>
    <row r="218" spans="1:42" x14ac:dyDescent="0.3">
      <c r="A218" s="5">
        <v>30</v>
      </c>
      <c r="B218" s="5" t="s">
        <v>35</v>
      </c>
      <c r="C218" s="5" t="str">
        <f t="shared" si="21"/>
        <v>Yes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 s="5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 s="5">
        <v>6696</v>
      </c>
      <c r="U218">
        <v>22967</v>
      </c>
      <c r="V218">
        <v>5</v>
      </c>
      <c r="W218" t="s">
        <v>42</v>
      </c>
      <c r="X218" t="s">
        <v>43</v>
      </c>
      <c r="Y218" t="str">
        <f t="shared" si="22"/>
        <v>No</v>
      </c>
      <c r="Z218">
        <v>15</v>
      </c>
      <c r="AA218">
        <v>3</v>
      </c>
      <c r="AB218">
        <v>3</v>
      </c>
      <c r="AC218">
        <v>80</v>
      </c>
      <c r="AD218">
        <v>0</v>
      </c>
      <c r="AE218" s="5">
        <v>9</v>
      </c>
      <c r="AF218" t="str">
        <f t="shared" si="23"/>
        <v>6-15</v>
      </c>
      <c r="AG218">
        <v>5</v>
      </c>
      <c r="AH218">
        <v>2</v>
      </c>
      <c r="AI218" s="5">
        <v>6</v>
      </c>
      <c r="AJ218">
        <v>3</v>
      </c>
      <c r="AK218">
        <v>0</v>
      </c>
      <c r="AL218">
        <v>1</v>
      </c>
      <c r="AM218" t="str">
        <f t="shared" si="24"/>
        <v>Below Avg</v>
      </c>
      <c r="AN218" s="21">
        <f t="shared" si="25"/>
        <v>28.047808764940243</v>
      </c>
      <c r="AO218" t="str">
        <f t="shared" ca="1" si="26"/>
        <v>No</v>
      </c>
      <c r="AP218" t="str">
        <f t="shared" si="27"/>
        <v>Low Risk</v>
      </c>
    </row>
    <row r="219" spans="1:42" x14ac:dyDescent="0.3">
      <c r="A219" s="5">
        <v>29</v>
      </c>
      <c r="B219" s="5" t="s">
        <v>35</v>
      </c>
      <c r="C219" s="5" t="str">
        <f t="shared" si="21"/>
        <v>Yes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 s="5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 s="5">
        <v>2058</v>
      </c>
      <c r="U219">
        <v>19757</v>
      </c>
      <c r="V219">
        <v>0</v>
      </c>
      <c r="W219" t="s">
        <v>42</v>
      </c>
      <c r="X219" t="s">
        <v>43</v>
      </c>
      <c r="Y219" t="str">
        <f t="shared" si="22"/>
        <v>No</v>
      </c>
      <c r="Z219">
        <v>14</v>
      </c>
      <c r="AA219">
        <v>3</v>
      </c>
      <c r="AB219">
        <v>4</v>
      </c>
      <c r="AC219">
        <v>80</v>
      </c>
      <c r="AD219">
        <v>0</v>
      </c>
      <c r="AE219" s="5">
        <v>7</v>
      </c>
      <c r="AF219" t="str">
        <f t="shared" si="23"/>
        <v>6-15</v>
      </c>
      <c r="AG219">
        <v>1</v>
      </c>
      <c r="AH219">
        <v>2</v>
      </c>
      <c r="AI219" s="5">
        <v>6</v>
      </c>
      <c r="AJ219">
        <v>2</v>
      </c>
      <c r="AK219">
        <v>1</v>
      </c>
      <c r="AL219">
        <v>5</v>
      </c>
      <c r="AM219" t="str">
        <f t="shared" si="24"/>
        <v>Below Avg</v>
      </c>
      <c r="AN219" s="21">
        <f t="shared" si="25"/>
        <v>27.990430622009573</v>
      </c>
      <c r="AO219" t="str">
        <f t="shared" ca="1" si="26"/>
        <v>No</v>
      </c>
      <c r="AP219" t="str">
        <f t="shared" si="27"/>
        <v>Low Risk</v>
      </c>
    </row>
    <row r="220" spans="1:42" x14ac:dyDescent="0.3">
      <c r="A220" s="5">
        <v>45</v>
      </c>
      <c r="B220" s="5" t="s">
        <v>43</v>
      </c>
      <c r="C220" s="5" t="str">
        <f t="shared" si="21"/>
        <v>No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 s="5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 s="5">
        <v>8865</v>
      </c>
      <c r="U220">
        <v>16840</v>
      </c>
      <c r="V220">
        <v>6</v>
      </c>
      <c r="W220" t="s">
        <v>42</v>
      </c>
      <c r="X220" t="s">
        <v>43</v>
      </c>
      <c r="Y220" t="str">
        <f t="shared" si="22"/>
        <v>No</v>
      </c>
      <c r="Z220">
        <v>12</v>
      </c>
      <c r="AA220">
        <v>3</v>
      </c>
      <c r="AB220">
        <v>4</v>
      </c>
      <c r="AC220">
        <v>80</v>
      </c>
      <c r="AD220">
        <v>0</v>
      </c>
      <c r="AE220" s="5">
        <v>23</v>
      </c>
      <c r="AF220" t="str">
        <f t="shared" si="23"/>
        <v>&gt;15</v>
      </c>
      <c r="AG220">
        <v>2</v>
      </c>
      <c r="AH220">
        <v>3</v>
      </c>
      <c r="AI220" s="5">
        <v>19</v>
      </c>
      <c r="AJ220">
        <v>7</v>
      </c>
      <c r="AK220">
        <v>12</v>
      </c>
      <c r="AL220">
        <v>8</v>
      </c>
      <c r="AM220" t="str">
        <f t="shared" si="24"/>
        <v>Ok</v>
      </c>
      <c r="AN220" s="21">
        <f t="shared" si="25"/>
        <v>28.012769353551477</v>
      </c>
      <c r="AO220" t="str">
        <f t="shared" ca="1" si="26"/>
        <v>No</v>
      </c>
      <c r="AP220" t="str">
        <f t="shared" si="27"/>
        <v>Low Risk</v>
      </c>
    </row>
    <row r="221" spans="1:42" x14ac:dyDescent="0.3">
      <c r="A221" s="5">
        <v>54</v>
      </c>
      <c r="B221" s="5" t="s">
        <v>43</v>
      </c>
      <c r="C221" s="5" t="str">
        <f t="shared" si="21"/>
        <v>No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 s="5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 s="5">
        <v>5940</v>
      </c>
      <c r="U221">
        <v>17011</v>
      </c>
      <c r="V221">
        <v>2</v>
      </c>
      <c r="W221" t="s">
        <v>42</v>
      </c>
      <c r="X221" t="s">
        <v>43</v>
      </c>
      <c r="Y221" t="str">
        <f t="shared" si="22"/>
        <v>No</v>
      </c>
      <c r="Z221">
        <v>14</v>
      </c>
      <c r="AA221">
        <v>3</v>
      </c>
      <c r="AB221">
        <v>4</v>
      </c>
      <c r="AC221">
        <v>80</v>
      </c>
      <c r="AD221">
        <v>1</v>
      </c>
      <c r="AE221" s="5">
        <v>16</v>
      </c>
      <c r="AF221" t="str">
        <f t="shared" si="23"/>
        <v>&gt;15</v>
      </c>
      <c r="AG221">
        <v>4</v>
      </c>
      <c r="AH221">
        <v>3</v>
      </c>
      <c r="AI221" s="5">
        <v>6</v>
      </c>
      <c r="AJ221">
        <v>2</v>
      </c>
      <c r="AK221">
        <v>0</v>
      </c>
      <c r="AL221">
        <v>5</v>
      </c>
      <c r="AM221" t="str">
        <f t="shared" si="24"/>
        <v>Below Avg</v>
      </c>
      <c r="AN221" s="21">
        <f t="shared" si="25"/>
        <v>28.035143769968052</v>
      </c>
      <c r="AO221" t="str">
        <f t="shared" ca="1" si="26"/>
        <v>No</v>
      </c>
      <c r="AP221" t="str">
        <f t="shared" si="27"/>
        <v>Low Risk</v>
      </c>
    </row>
    <row r="222" spans="1:42" x14ac:dyDescent="0.3">
      <c r="A222" s="5">
        <v>36</v>
      </c>
      <c r="B222" s="5" t="s">
        <v>43</v>
      </c>
      <c r="C222" s="5" t="str">
        <f t="shared" si="21"/>
        <v>No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 s="5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 s="5">
        <v>5914</v>
      </c>
      <c r="U222">
        <v>9945</v>
      </c>
      <c r="V222">
        <v>8</v>
      </c>
      <c r="W222" t="s">
        <v>42</v>
      </c>
      <c r="X222" t="s">
        <v>43</v>
      </c>
      <c r="Y222" t="str">
        <f t="shared" si="22"/>
        <v>No</v>
      </c>
      <c r="Z222">
        <v>16</v>
      </c>
      <c r="AA222">
        <v>3</v>
      </c>
      <c r="AB222">
        <v>4</v>
      </c>
      <c r="AC222">
        <v>80</v>
      </c>
      <c r="AD222">
        <v>0</v>
      </c>
      <c r="AE222" s="5">
        <v>16</v>
      </c>
      <c r="AF222" t="str">
        <f t="shared" si="23"/>
        <v>&gt;15</v>
      </c>
      <c r="AG222">
        <v>3</v>
      </c>
      <c r="AH222">
        <v>4</v>
      </c>
      <c r="AI222" s="5">
        <v>13</v>
      </c>
      <c r="AJ222">
        <v>11</v>
      </c>
      <c r="AK222">
        <v>3</v>
      </c>
      <c r="AL222">
        <v>7</v>
      </c>
      <c r="AM222" t="str">
        <f t="shared" si="24"/>
        <v>Below Avg</v>
      </c>
      <c r="AN222" s="21">
        <f t="shared" si="25"/>
        <v>28.057553956834528</v>
      </c>
      <c r="AO222" t="str">
        <f t="shared" ca="1" si="26"/>
        <v>No</v>
      </c>
      <c r="AP222" t="str">
        <f t="shared" si="27"/>
        <v>Low Risk</v>
      </c>
    </row>
    <row r="223" spans="1:42" x14ac:dyDescent="0.3">
      <c r="A223" s="5">
        <v>33</v>
      </c>
      <c r="B223" s="5" t="s">
        <v>43</v>
      </c>
      <c r="C223" s="5" t="str">
        <f t="shared" si="21"/>
        <v>No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 s="5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 s="5">
        <v>2622</v>
      </c>
      <c r="U223">
        <v>13248</v>
      </c>
      <c r="V223">
        <v>6</v>
      </c>
      <c r="W223" t="s">
        <v>42</v>
      </c>
      <c r="X223" t="s">
        <v>43</v>
      </c>
      <c r="Y223" t="str">
        <f t="shared" si="22"/>
        <v>No</v>
      </c>
      <c r="Z223">
        <v>21</v>
      </c>
      <c r="AA223">
        <v>4</v>
      </c>
      <c r="AB223">
        <v>4</v>
      </c>
      <c r="AC223">
        <v>80</v>
      </c>
      <c r="AD223">
        <v>0</v>
      </c>
      <c r="AE223" s="5">
        <v>7</v>
      </c>
      <c r="AF223" t="str">
        <f t="shared" si="23"/>
        <v>6-15</v>
      </c>
      <c r="AG223">
        <v>3</v>
      </c>
      <c r="AH223">
        <v>3</v>
      </c>
      <c r="AI223" s="5">
        <v>3</v>
      </c>
      <c r="AJ223">
        <v>2</v>
      </c>
      <c r="AK223">
        <v>1</v>
      </c>
      <c r="AL223">
        <v>1</v>
      </c>
      <c r="AM223" t="str">
        <f t="shared" si="24"/>
        <v>Below Avg</v>
      </c>
      <c r="AN223" s="21">
        <f t="shared" si="25"/>
        <v>28.08</v>
      </c>
      <c r="AO223" t="str">
        <f t="shared" ca="1" si="26"/>
        <v>No</v>
      </c>
      <c r="AP223" t="str">
        <f t="shared" si="27"/>
        <v>Low Risk</v>
      </c>
    </row>
    <row r="224" spans="1:42" x14ac:dyDescent="0.3">
      <c r="A224" s="5">
        <v>37</v>
      </c>
      <c r="B224" s="5" t="s">
        <v>43</v>
      </c>
      <c r="C224" s="5" t="str">
        <f t="shared" si="21"/>
        <v>No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 s="5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 s="5">
        <v>12185</v>
      </c>
      <c r="U224">
        <v>10056</v>
      </c>
      <c r="V224">
        <v>1</v>
      </c>
      <c r="W224" t="s">
        <v>42</v>
      </c>
      <c r="X224" t="s">
        <v>35</v>
      </c>
      <c r="Y224" t="str">
        <f t="shared" si="22"/>
        <v>Yes</v>
      </c>
      <c r="Z224">
        <v>14</v>
      </c>
      <c r="AA224">
        <v>3</v>
      </c>
      <c r="AB224">
        <v>3</v>
      </c>
      <c r="AC224">
        <v>80</v>
      </c>
      <c r="AD224">
        <v>3</v>
      </c>
      <c r="AE224" s="5">
        <v>10</v>
      </c>
      <c r="AF224" t="str">
        <f t="shared" si="23"/>
        <v>6-15</v>
      </c>
      <c r="AG224">
        <v>1</v>
      </c>
      <c r="AH224">
        <v>3</v>
      </c>
      <c r="AI224" s="5">
        <v>10</v>
      </c>
      <c r="AJ224">
        <v>8</v>
      </c>
      <c r="AK224">
        <v>0</v>
      </c>
      <c r="AL224">
        <v>7</v>
      </c>
      <c r="AM224" t="str">
        <f t="shared" si="24"/>
        <v>Ok</v>
      </c>
      <c r="AN224" s="21">
        <f t="shared" si="25"/>
        <v>28.102481985588472</v>
      </c>
      <c r="AO224" t="str">
        <f t="shared" ca="1" si="26"/>
        <v>No</v>
      </c>
      <c r="AP224" t="str">
        <f t="shared" si="27"/>
        <v>Low Risk</v>
      </c>
    </row>
    <row r="225" spans="1:42" x14ac:dyDescent="0.3">
      <c r="A225" s="5">
        <v>38</v>
      </c>
      <c r="B225" s="5" t="s">
        <v>43</v>
      </c>
      <c r="C225" s="5" t="str">
        <f t="shared" si="21"/>
        <v>No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 s="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 s="5">
        <v>10609</v>
      </c>
      <c r="U225">
        <v>9647</v>
      </c>
      <c r="V225">
        <v>0</v>
      </c>
      <c r="W225" t="s">
        <v>42</v>
      </c>
      <c r="X225" t="s">
        <v>43</v>
      </c>
      <c r="Y225" t="str">
        <f t="shared" si="22"/>
        <v>No</v>
      </c>
      <c r="Z225">
        <v>12</v>
      </c>
      <c r="AA225">
        <v>3</v>
      </c>
      <c r="AB225">
        <v>3</v>
      </c>
      <c r="AC225">
        <v>80</v>
      </c>
      <c r="AD225">
        <v>2</v>
      </c>
      <c r="AE225" s="5">
        <v>17</v>
      </c>
      <c r="AF225" t="str">
        <f t="shared" si="23"/>
        <v>&gt;15</v>
      </c>
      <c r="AG225">
        <v>6</v>
      </c>
      <c r="AH225">
        <v>2</v>
      </c>
      <c r="AI225" s="5">
        <v>16</v>
      </c>
      <c r="AJ225">
        <v>10</v>
      </c>
      <c r="AK225">
        <v>5</v>
      </c>
      <c r="AL225">
        <v>13</v>
      </c>
      <c r="AM225" t="str">
        <f t="shared" si="24"/>
        <v>Ok</v>
      </c>
      <c r="AN225" s="21">
        <f t="shared" si="25"/>
        <v>28.125</v>
      </c>
      <c r="AO225" t="str">
        <f t="shared" ca="1" si="26"/>
        <v>No</v>
      </c>
      <c r="AP225" t="str">
        <f t="shared" si="27"/>
        <v>Low Risk</v>
      </c>
    </row>
    <row r="226" spans="1:42" x14ac:dyDescent="0.3">
      <c r="A226" s="5">
        <v>31</v>
      </c>
      <c r="B226" s="5" t="s">
        <v>43</v>
      </c>
      <c r="C226" s="5" t="str">
        <f t="shared" si="21"/>
        <v>No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 s="5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 s="5">
        <v>4345</v>
      </c>
      <c r="U226">
        <v>4381</v>
      </c>
      <c r="V226">
        <v>0</v>
      </c>
      <c r="W226" t="s">
        <v>42</v>
      </c>
      <c r="X226" t="s">
        <v>43</v>
      </c>
      <c r="Y226" t="str">
        <f t="shared" si="22"/>
        <v>No</v>
      </c>
      <c r="Z226">
        <v>12</v>
      </c>
      <c r="AA226">
        <v>3</v>
      </c>
      <c r="AB226">
        <v>4</v>
      </c>
      <c r="AC226">
        <v>80</v>
      </c>
      <c r="AD226">
        <v>1</v>
      </c>
      <c r="AE226" s="5">
        <v>6</v>
      </c>
      <c r="AF226" t="str">
        <f t="shared" si="23"/>
        <v>6-15</v>
      </c>
      <c r="AG226">
        <v>2</v>
      </c>
      <c r="AH226">
        <v>3</v>
      </c>
      <c r="AI226" s="5">
        <v>5</v>
      </c>
      <c r="AJ226">
        <v>4</v>
      </c>
      <c r="AK226">
        <v>1</v>
      </c>
      <c r="AL226">
        <v>4</v>
      </c>
      <c r="AM226" t="str">
        <f t="shared" si="24"/>
        <v>Below Avg</v>
      </c>
      <c r="AN226" s="21">
        <f t="shared" si="25"/>
        <v>28.067361668003208</v>
      </c>
      <c r="AO226" t="str">
        <f t="shared" ca="1" si="26"/>
        <v>No</v>
      </c>
      <c r="AP226" t="str">
        <f t="shared" si="27"/>
        <v>Low Risk</v>
      </c>
    </row>
    <row r="227" spans="1:42" x14ac:dyDescent="0.3">
      <c r="A227" s="5">
        <v>59</v>
      </c>
      <c r="B227" s="5" t="s">
        <v>43</v>
      </c>
      <c r="C227" s="5" t="str">
        <f t="shared" si="21"/>
        <v>No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 s="5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 s="5">
        <v>2177</v>
      </c>
      <c r="U227">
        <v>8456</v>
      </c>
      <c r="V227">
        <v>3</v>
      </c>
      <c r="W227" t="s">
        <v>42</v>
      </c>
      <c r="X227" t="s">
        <v>43</v>
      </c>
      <c r="Y227" t="str">
        <f t="shared" si="22"/>
        <v>No</v>
      </c>
      <c r="Z227">
        <v>17</v>
      </c>
      <c r="AA227">
        <v>3</v>
      </c>
      <c r="AB227">
        <v>1</v>
      </c>
      <c r="AC227">
        <v>80</v>
      </c>
      <c r="AD227">
        <v>1</v>
      </c>
      <c r="AE227" s="5">
        <v>7</v>
      </c>
      <c r="AF227" t="str">
        <f t="shared" si="23"/>
        <v>6-15</v>
      </c>
      <c r="AG227">
        <v>6</v>
      </c>
      <c r="AH227">
        <v>3</v>
      </c>
      <c r="AI227" s="5">
        <v>1</v>
      </c>
      <c r="AJ227">
        <v>0</v>
      </c>
      <c r="AK227">
        <v>0</v>
      </c>
      <c r="AL227">
        <v>0</v>
      </c>
      <c r="AM227" t="str">
        <f t="shared" si="24"/>
        <v>Below Avg</v>
      </c>
      <c r="AN227" s="21">
        <f t="shared" si="25"/>
        <v>28.08988764044944</v>
      </c>
      <c r="AO227" t="str">
        <f t="shared" ca="1" si="26"/>
        <v>No</v>
      </c>
      <c r="AP227" t="str">
        <f t="shared" si="27"/>
        <v>Low Risk</v>
      </c>
    </row>
    <row r="228" spans="1:42" x14ac:dyDescent="0.3">
      <c r="A228" s="5">
        <v>37</v>
      </c>
      <c r="B228" s="5" t="s">
        <v>43</v>
      </c>
      <c r="C228" s="5" t="str">
        <f t="shared" si="21"/>
        <v>No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 s="5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 s="5">
        <v>2793</v>
      </c>
      <c r="U228">
        <v>2539</v>
      </c>
      <c r="V228">
        <v>4</v>
      </c>
      <c r="W228" t="s">
        <v>42</v>
      </c>
      <c r="X228" t="s">
        <v>43</v>
      </c>
      <c r="Y228" t="str">
        <f t="shared" si="22"/>
        <v>No</v>
      </c>
      <c r="Z228">
        <v>17</v>
      </c>
      <c r="AA228">
        <v>3</v>
      </c>
      <c r="AB228">
        <v>3</v>
      </c>
      <c r="AC228">
        <v>80</v>
      </c>
      <c r="AD228">
        <v>1</v>
      </c>
      <c r="AE228" s="5">
        <v>13</v>
      </c>
      <c r="AF228" t="str">
        <f t="shared" si="23"/>
        <v>6-15</v>
      </c>
      <c r="AG228">
        <v>2</v>
      </c>
      <c r="AH228">
        <v>3</v>
      </c>
      <c r="AI228" s="5">
        <v>9</v>
      </c>
      <c r="AJ228">
        <v>8</v>
      </c>
      <c r="AK228">
        <v>5</v>
      </c>
      <c r="AL228">
        <v>8</v>
      </c>
      <c r="AM228" t="str">
        <f t="shared" si="24"/>
        <v>Below Avg</v>
      </c>
      <c r="AN228" s="21">
        <f t="shared" si="25"/>
        <v>28.112449799196789</v>
      </c>
      <c r="AO228" t="str">
        <f t="shared" ca="1" si="26"/>
        <v>No</v>
      </c>
      <c r="AP228" t="str">
        <f t="shared" si="27"/>
        <v>Low Risk</v>
      </c>
    </row>
    <row r="229" spans="1:42" x14ac:dyDescent="0.3">
      <c r="A229" s="5">
        <v>29</v>
      </c>
      <c r="B229" s="5" t="s">
        <v>43</v>
      </c>
      <c r="C229" s="5" t="str">
        <f t="shared" si="21"/>
        <v>No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 s="5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 s="5">
        <v>7918</v>
      </c>
      <c r="U229">
        <v>6599</v>
      </c>
      <c r="V229">
        <v>1</v>
      </c>
      <c r="W229" t="s">
        <v>42</v>
      </c>
      <c r="X229" t="s">
        <v>43</v>
      </c>
      <c r="Y229" t="str">
        <f t="shared" si="22"/>
        <v>No</v>
      </c>
      <c r="Z229">
        <v>14</v>
      </c>
      <c r="AA229">
        <v>3</v>
      </c>
      <c r="AB229">
        <v>4</v>
      </c>
      <c r="AC229">
        <v>80</v>
      </c>
      <c r="AD229">
        <v>1</v>
      </c>
      <c r="AE229" s="5">
        <v>11</v>
      </c>
      <c r="AF229" t="str">
        <f t="shared" si="23"/>
        <v>6-15</v>
      </c>
      <c r="AG229">
        <v>5</v>
      </c>
      <c r="AH229">
        <v>3</v>
      </c>
      <c r="AI229" s="5">
        <v>11</v>
      </c>
      <c r="AJ229">
        <v>10</v>
      </c>
      <c r="AK229">
        <v>4</v>
      </c>
      <c r="AL229">
        <v>1</v>
      </c>
      <c r="AM229" t="str">
        <f t="shared" si="24"/>
        <v>Ok</v>
      </c>
      <c r="AN229" s="21">
        <f t="shared" si="25"/>
        <v>28.135048231511256</v>
      </c>
      <c r="AO229" t="str">
        <f t="shared" ca="1" si="26"/>
        <v>No</v>
      </c>
      <c r="AP229" t="str">
        <f t="shared" si="27"/>
        <v>Low Risk</v>
      </c>
    </row>
    <row r="230" spans="1:42" x14ac:dyDescent="0.3">
      <c r="A230" s="5">
        <v>35</v>
      </c>
      <c r="B230" s="5" t="s">
        <v>43</v>
      </c>
      <c r="C230" s="5" t="str">
        <f t="shared" si="21"/>
        <v>No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 s="5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 s="5">
        <v>8789</v>
      </c>
      <c r="U230">
        <v>9096</v>
      </c>
      <c r="V230">
        <v>1</v>
      </c>
      <c r="W230" t="s">
        <v>42</v>
      </c>
      <c r="X230" t="s">
        <v>43</v>
      </c>
      <c r="Y230" t="str">
        <f t="shared" si="22"/>
        <v>No</v>
      </c>
      <c r="Z230">
        <v>14</v>
      </c>
      <c r="AA230">
        <v>3</v>
      </c>
      <c r="AB230">
        <v>1</v>
      </c>
      <c r="AC230">
        <v>80</v>
      </c>
      <c r="AD230">
        <v>0</v>
      </c>
      <c r="AE230" s="5">
        <v>10</v>
      </c>
      <c r="AF230" t="str">
        <f t="shared" si="23"/>
        <v>6-15</v>
      </c>
      <c r="AG230">
        <v>3</v>
      </c>
      <c r="AH230">
        <v>4</v>
      </c>
      <c r="AI230" s="5">
        <v>10</v>
      </c>
      <c r="AJ230">
        <v>7</v>
      </c>
      <c r="AK230">
        <v>0</v>
      </c>
      <c r="AL230">
        <v>8</v>
      </c>
      <c r="AM230" t="str">
        <f t="shared" si="24"/>
        <v>Ok</v>
      </c>
      <c r="AN230" s="21">
        <f t="shared" si="25"/>
        <v>28.157683024939661</v>
      </c>
      <c r="AO230" t="str">
        <f t="shared" ca="1" si="26"/>
        <v>No</v>
      </c>
      <c r="AP230" t="str">
        <f t="shared" si="27"/>
        <v>Low Risk</v>
      </c>
    </row>
    <row r="231" spans="1:42" x14ac:dyDescent="0.3">
      <c r="A231" s="5">
        <v>29</v>
      </c>
      <c r="B231" s="5" t="s">
        <v>35</v>
      </c>
      <c r="C231" s="5" t="str">
        <f t="shared" si="21"/>
        <v>Yes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 s="5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 s="5">
        <v>2389</v>
      </c>
      <c r="U231">
        <v>14961</v>
      </c>
      <c r="V231">
        <v>1</v>
      </c>
      <c r="W231" t="s">
        <v>42</v>
      </c>
      <c r="X231" t="s">
        <v>35</v>
      </c>
      <c r="Y231" t="str">
        <f t="shared" si="22"/>
        <v>Yes</v>
      </c>
      <c r="Z231">
        <v>13</v>
      </c>
      <c r="AA231">
        <v>3</v>
      </c>
      <c r="AB231">
        <v>3</v>
      </c>
      <c r="AC231">
        <v>80</v>
      </c>
      <c r="AD231">
        <v>0</v>
      </c>
      <c r="AE231" s="5">
        <v>4</v>
      </c>
      <c r="AF231" t="str">
        <f t="shared" si="23"/>
        <v>0-5</v>
      </c>
      <c r="AG231">
        <v>3</v>
      </c>
      <c r="AH231">
        <v>2</v>
      </c>
      <c r="AI231" s="5">
        <v>4</v>
      </c>
      <c r="AJ231">
        <v>3</v>
      </c>
      <c r="AK231">
        <v>0</v>
      </c>
      <c r="AL231">
        <v>1</v>
      </c>
      <c r="AM231" t="str">
        <f t="shared" si="24"/>
        <v>Below Avg</v>
      </c>
      <c r="AN231" s="21">
        <f t="shared" si="25"/>
        <v>28.180354267310786</v>
      </c>
      <c r="AO231" t="str">
        <f t="shared" ca="1" si="26"/>
        <v>No</v>
      </c>
      <c r="AP231" t="str">
        <f t="shared" si="27"/>
        <v>Low Risk</v>
      </c>
    </row>
    <row r="232" spans="1:42" x14ac:dyDescent="0.3">
      <c r="A232" s="5">
        <v>52</v>
      </c>
      <c r="B232" s="5" t="s">
        <v>43</v>
      </c>
      <c r="C232" s="5" t="str">
        <f t="shared" si="21"/>
        <v>No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 s="5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 s="5">
        <v>3212</v>
      </c>
      <c r="U232">
        <v>3300</v>
      </c>
      <c r="V232">
        <v>7</v>
      </c>
      <c r="W232" t="s">
        <v>42</v>
      </c>
      <c r="X232" t="s">
        <v>43</v>
      </c>
      <c r="Y232" t="str">
        <f t="shared" si="22"/>
        <v>No</v>
      </c>
      <c r="Z232">
        <v>15</v>
      </c>
      <c r="AA232">
        <v>3</v>
      </c>
      <c r="AB232">
        <v>2</v>
      </c>
      <c r="AC232">
        <v>80</v>
      </c>
      <c r="AD232">
        <v>0</v>
      </c>
      <c r="AE232" s="5">
        <v>6</v>
      </c>
      <c r="AF232" t="str">
        <f t="shared" si="23"/>
        <v>6-15</v>
      </c>
      <c r="AG232">
        <v>3</v>
      </c>
      <c r="AH232">
        <v>2</v>
      </c>
      <c r="AI232" s="5">
        <v>2</v>
      </c>
      <c r="AJ232">
        <v>2</v>
      </c>
      <c r="AK232">
        <v>2</v>
      </c>
      <c r="AL232">
        <v>2</v>
      </c>
      <c r="AM232" t="str">
        <f t="shared" si="24"/>
        <v>Below Avg</v>
      </c>
      <c r="AN232" s="21">
        <f t="shared" si="25"/>
        <v>28.203062046736505</v>
      </c>
      <c r="AO232" t="str">
        <f t="shared" ca="1" si="26"/>
        <v>No</v>
      </c>
      <c r="AP232" t="str">
        <f t="shared" si="27"/>
        <v>Low Risk</v>
      </c>
    </row>
    <row r="233" spans="1:42" x14ac:dyDescent="0.3">
      <c r="A233" s="5">
        <v>42</v>
      </c>
      <c r="B233" s="5" t="s">
        <v>43</v>
      </c>
      <c r="C233" s="5" t="str">
        <f t="shared" si="21"/>
        <v>No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 s="5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 s="5">
        <v>19232</v>
      </c>
      <c r="U233">
        <v>4933</v>
      </c>
      <c r="V233">
        <v>1</v>
      </c>
      <c r="W233" t="s">
        <v>42</v>
      </c>
      <c r="X233" t="s">
        <v>43</v>
      </c>
      <c r="Y233" t="str">
        <f t="shared" si="22"/>
        <v>No</v>
      </c>
      <c r="Z233">
        <v>11</v>
      </c>
      <c r="AA233">
        <v>3</v>
      </c>
      <c r="AB233">
        <v>4</v>
      </c>
      <c r="AC233">
        <v>80</v>
      </c>
      <c r="AD233">
        <v>0</v>
      </c>
      <c r="AE233" s="5">
        <v>22</v>
      </c>
      <c r="AF233" t="str">
        <f t="shared" si="23"/>
        <v>&gt;15</v>
      </c>
      <c r="AG233">
        <v>3</v>
      </c>
      <c r="AH233">
        <v>3</v>
      </c>
      <c r="AI233" s="5">
        <v>22</v>
      </c>
      <c r="AJ233">
        <v>17</v>
      </c>
      <c r="AK233">
        <v>11</v>
      </c>
      <c r="AL233">
        <v>15</v>
      </c>
      <c r="AM233" t="str">
        <f t="shared" si="24"/>
        <v>Ok</v>
      </c>
      <c r="AN233" s="21">
        <f t="shared" si="25"/>
        <v>28.14516129032258</v>
      </c>
      <c r="AO233" t="str">
        <f t="shared" ca="1" si="26"/>
        <v>No</v>
      </c>
      <c r="AP233" t="str">
        <f t="shared" si="27"/>
        <v>Low Risk</v>
      </c>
    </row>
    <row r="234" spans="1:42" x14ac:dyDescent="0.3">
      <c r="A234" s="5">
        <v>59</v>
      </c>
      <c r="B234" s="5" t="s">
        <v>43</v>
      </c>
      <c r="C234" s="5" t="str">
        <f t="shared" si="21"/>
        <v>No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 s="5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 s="5">
        <v>2267</v>
      </c>
      <c r="U234">
        <v>25657</v>
      </c>
      <c r="V234">
        <v>8</v>
      </c>
      <c r="W234" t="s">
        <v>42</v>
      </c>
      <c r="X234" t="s">
        <v>43</v>
      </c>
      <c r="Y234" t="str">
        <f t="shared" si="22"/>
        <v>No</v>
      </c>
      <c r="Z234">
        <v>17</v>
      </c>
      <c r="AA234">
        <v>3</v>
      </c>
      <c r="AB234">
        <v>4</v>
      </c>
      <c r="AC234">
        <v>80</v>
      </c>
      <c r="AD234">
        <v>0</v>
      </c>
      <c r="AE234" s="5">
        <v>7</v>
      </c>
      <c r="AF234" t="str">
        <f t="shared" si="23"/>
        <v>6-15</v>
      </c>
      <c r="AG234">
        <v>2</v>
      </c>
      <c r="AH234">
        <v>2</v>
      </c>
      <c r="AI234" s="5">
        <v>2</v>
      </c>
      <c r="AJ234">
        <v>2</v>
      </c>
      <c r="AK234">
        <v>2</v>
      </c>
      <c r="AL234">
        <v>2</v>
      </c>
      <c r="AM234" t="str">
        <f t="shared" si="24"/>
        <v>Below Avg</v>
      </c>
      <c r="AN234" s="21">
        <f t="shared" si="25"/>
        <v>28.167877320419692</v>
      </c>
      <c r="AO234" t="str">
        <f t="shared" ca="1" si="26"/>
        <v>No</v>
      </c>
      <c r="AP234" t="str">
        <f t="shared" si="27"/>
        <v>Low Risk</v>
      </c>
    </row>
    <row r="235" spans="1:42" x14ac:dyDescent="0.3">
      <c r="A235" s="5">
        <v>50</v>
      </c>
      <c r="B235" s="5" t="s">
        <v>43</v>
      </c>
      <c r="C235" s="5" t="str">
        <f t="shared" si="21"/>
        <v>No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 s="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 s="5">
        <v>19517</v>
      </c>
      <c r="U235">
        <v>24118</v>
      </c>
      <c r="V235">
        <v>3</v>
      </c>
      <c r="W235" t="s">
        <v>42</v>
      </c>
      <c r="X235" t="s">
        <v>43</v>
      </c>
      <c r="Y235" t="str">
        <f t="shared" si="22"/>
        <v>No</v>
      </c>
      <c r="Z235">
        <v>11</v>
      </c>
      <c r="AA235">
        <v>3</v>
      </c>
      <c r="AB235">
        <v>3</v>
      </c>
      <c r="AC235">
        <v>80</v>
      </c>
      <c r="AD235">
        <v>1</v>
      </c>
      <c r="AE235" s="5">
        <v>32</v>
      </c>
      <c r="AF235" t="str">
        <f t="shared" si="23"/>
        <v>&gt;15</v>
      </c>
      <c r="AG235">
        <v>3</v>
      </c>
      <c r="AH235">
        <v>2</v>
      </c>
      <c r="AI235" s="5">
        <v>7</v>
      </c>
      <c r="AJ235">
        <v>0</v>
      </c>
      <c r="AK235">
        <v>0</v>
      </c>
      <c r="AL235">
        <v>6</v>
      </c>
      <c r="AM235" t="str">
        <f t="shared" si="24"/>
        <v>Ok</v>
      </c>
      <c r="AN235" s="21">
        <f t="shared" si="25"/>
        <v>28.190630048465266</v>
      </c>
      <c r="AO235" t="str">
        <f t="shared" ca="1" si="26"/>
        <v>No</v>
      </c>
      <c r="AP235" t="str">
        <f t="shared" si="27"/>
        <v>Low Risk</v>
      </c>
    </row>
    <row r="236" spans="1:42" x14ac:dyDescent="0.3">
      <c r="A236" s="5">
        <v>33</v>
      </c>
      <c r="B236" s="5" t="s">
        <v>35</v>
      </c>
      <c r="C236" s="5" t="str">
        <f t="shared" si="21"/>
        <v>Yes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 s="5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 s="5">
        <v>2436</v>
      </c>
      <c r="U236">
        <v>22149</v>
      </c>
      <c r="V236">
        <v>5</v>
      </c>
      <c r="W236" t="s">
        <v>42</v>
      </c>
      <c r="X236" t="s">
        <v>35</v>
      </c>
      <c r="Y236" t="str">
        <f t="shared" si="22"/>
        <v>Yes</v>
      </c>
      <c r="Z236">
        <v>13</v>
      </c>
      <c r="AA236">
        <v>3</v>
      </c>
      <c r="AB236">
        <v>3</v>
      </c>
      <c r="AC236">
        <v>80</v>
      </c>
      <c r="AD236">
        <v>1</v>
      </c>
      <c r="AE236" s="5">
        <v>8</v>
      </c>
      <c r="AF236" t="str">
        <f t="shared" si="23"/>
        <v>6-15</v>
      </c>
      <c r="AG236">
        <v>2</v>
      </c>
      <c r="AH236">
        <v>1</v>
      </c>
      <c r="AI236" s="5">
        <v>5</v>
      </c>
      <c r="AJ236">
        <v>4</v>
      </c>
      <c r="AK236">
        <v>0</v>
      </c>
      <c r="AL236">
        <v>4</v>
      </c>
      <c r="AM236" t="str">
        <f t="shared" si="24"/>
        <v>Below Avg</v>
      </c>
      <c r="AN236" s="21">
        <f t="shared" si="25"/>
        <v>28.213419563459986</v>
      </c>
      <c r="AO236" t="str">
        <f t="shared" ca="1" si="26"/>
        <v>No</v>
      </c>
      <c r="AP236" t="str">
        <f t="shared" si="27"/>
        <v>Low Risk</v>
      </c>
    </row>
    <row r="237" spans="1:42" x14ac:dyDescent="0.3">
      <c r="A237" s="5">
        <v>43</v>
      </c>
      <c r="B237" s="5" t="s">
        <v>43</v>
      </c>
      <c r="C237" s="5" t="str">
        <f t="shared" si="21"/>
        <v>No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 s="5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 s="5">
        <v>16064</v>
      </c>
      <c r="U237">
        <v>7744</v>
      </c>
      <c r="V237">
        <v>5</v>
      </c>
      <c r="W237" t="s">
        <v>42</v>
      </c>
      <c r="X237" t="s">
        <v>35</v>
      </c>
      <c r="Y237" t="str">
        <f t="shared" si="22"/>
        <v>Yes</v>
      </c>
      <c r="Z237">
        <v>22</v>
      </c>
      <c r="AA237">
        <v>4</v>
      </c>
      <c r="AB237">
        <v>3</v>
      </c>
      <c r="AC237">
        <v>80</v>
      </c>
      <c r="AD237">
        <v>1</v>
      </c>
      <c r="AE237" s="5">
        <v>22</v>
      </c>
      <c r="AF237" t="str">
        <f t="shared" si="23"/>
        <v>&gt;15</v>
      </c>
      <c r="AG237">
        <v>3</v>
      </c>
      <c r="AH237">
        <v>3</v>
      </c>
      <c r="AI237" s="5">
        <v>17</v>
      </c>
      <c r="AJ237">
        <v>13</v>
      </c>
      <c r="AK237">
        <v>1</v>
      </c>
      <c r="AL237">
        <v>9</v>
      </c>
      <c r="AM237" t="str">
        <f t="shared" si="24"/>
        <v>Ok</v>
      </c>
      <c r="AN237" s="21">
        <f t="shared" si="25"/>
        <v>28.236245954692556</v>
      </c>
      <c r="AO237" t="str">
        <f t="shared" ca="1" si="26"/>
        <v>No</v>
      </c>
      <c r="AP237" t="str">
        <f t="shared" si="27"/>
        <v>Low Risk</v>
      </c>
    </row>
    <row r="238" spans="1:42" x14ac:dyDescent="0.3">
      <c r="A238" s="5">
        <v>33</v>
      </c>
      <c r="B238" s="5" t="s">
        <v>35</v>
      </c>
      <c r="C238" s="5" t="str">
        <f t="shared" si="21"/>
        <v>Yes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 s="5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 s="5">
        <v>2707</v>
      </c>
      <c r="U238">
        <v>21509</v>
      </c>
      <c r="V238">
        <v>7</v>
      </c>
      <c r="W238" t="s">
        <v>42</v>
      </c>
      <c r="X238" t="s">
        <v>43</v>
      </c>
      <c r="Y238" t="str">
        <f t="shared" si="22"/>
        <v>No</v>
      </c>
      <c r="Z238">
        <v>20</v>
      </c>
      <c r="AA238">
        <v>4</v>
      </c>
      <c r="AB238">
        <v>1</v>
      </c>
      <c r="AC238">
        <v>80</v>
      </c>
      <c r="AD238">
        <v>0</v>
      </c>
      <c r="AE238" s="5">
        <v>13</v>
      </c>
      <c r="AF238" t="str">
        <f t="shared" si="23"/>
        <v>6-15</v>
      </c>
      <c r="AG238">
        <v>3</v>
      </c>
      <c r="AH238">
        <v>4</v>
      </c>
      <c r="AI238" s="5">
        <v>9</v>
      </c>
      <c r="AJ238">
        <v>7</v>
      </c>
      <c r="AK238">
        <v>1</v>
      </c>
      <c r="AL238">
        <v>7</v>
      </c>
      <c r="AM238" t="str">
        <f t="shared" si="24"/>
        <v>Below Avg</v>
      </c>
      <c r="AN238" s="21">
        <f t="shared" si="25"/>
        <v>28.17813765182186</v>
      </c>
      <c r="AO238" t="str">
        <f t="shared" ca="1" si="26"/>
        <v>No</v>
      </c>
      <c r="AP238" t="str">
        <f t="shared" si="27"/>
        <v>Low Risk</v>
      </c>
    </row>
    <row r="239" spans="1:42" x14ac:dyDescent="0.3">
      <c r="A239" s="5">
        <v>52</v>
      </c>
      <c r="B239" s="5" t="s">
        <v>43</v>
      </c>
      <c r="C239" s="5" t="str">
        <f t="shared" si="21"/>
        <v>No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 s="5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 s="5">
        <v>19068</v>
      </c>
      <c r="U239">
        <v>21030</v>
      </c>
      <c r="V239">
        <v>1</v>
      </c>
      <c r="W239" t="s">
        <v>42</v>
      </c>
      <c r="X239" t="s">
        <v>35</v>
      </c>
      <c r="Y239" t="str">
        <f t="shared" si="22"/>
        <v>Yes</v>
      </c>
      <c r="Z239">
        <v>18</v>
      </c>
      <c r="AA239">
        <v>3</v>
      </c>
      <c r="AB239">
        <v>4</v>
      </c>
      <c r="AC239">
        <v>80</v>
      </c>
      <c r="AD239">
        <v>0</v>
      </c>
      <c r="AE239" s="5">
        <v>33</v>
      </c>
      <c r="AF239" t="str">
        <f t="shared" si="23"/>
        <v>&gt;15</v>
      </c>
      <c r="AG239">
        <v>2</v>
      </c>
      <c r="AH239">
        <v>4</v>
      </c>
      <c r="AI239" s="5">
        <v>33</v>
      </c>
      <c r="AJ239">
        <v>7</v>
      </c>
      <c r="AK239">
        <v>15</v>
      </c>
      <c r="AL239">
        <v>12</v>
      </c>
      <c r="AM239" t="str">
        <f t="shared" si="24"/>
        <v>Ok</v>
      </c>
      <c r="AN239" s="21">
        <f t="shared" si="25"/>
        <v>28.119935170178284</v>
      </c>
      <c r="AO239" t="str">
        <f t="shared" ca="1" si="26"/>
        <v>No</v>
      </c>
      <c r="AP239" t="str">
        <f t="shared" si="27"/>
        <v>Low Risk</v>
      </c>
    </row>
    <row r="240" spans="1:42" x14ac:dyDescent="0.3">
      <c r="A240" s="5">
        <v>32</v>
      </c>
      <c r="B240" s="5" t="s">
        <v>43</v>
      </c>
      <c r="C240" s="5" t="str">
        <f t="shared" si="21"/>
        <v>No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 s="5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 s="5">
        <v>3931</v>
      </c>
      <c r="U240">
        <v>20990</v>
      </c>
      <c r="V240">
        <v>2</v>
      </c>
      <c r="W240" t="s">
        <v>42</v>
      </c>
      <c r="X240" t="s">
        <v>43</v>
      </c>
      <c r="Y240" t="str">
        <f t="shared" si="22"/>
        <v>No</v>
      </c>
      <c r="Z240">
        <v>11</v>
      </c>
      <c r="AA240">
        <v>3</v>
      </c>
      <c r="AB240">
        <v>1</v>
      </c>
      <c r="AC240">
        <v>80</v>
      </c>
      <c r="AD240">
        <v>1</v>
      </c>
      <c r="AE240" s="5">
        <v>6</v>
      </c>
      <c r="AF240" t="str">
        <f t="shared" si="23"/>
        <v>6-15</v>
      </c>
      <c r="AG240">
        <v>5</v>
      </c>
      <c r="AH240">
        <v>3</v>
      </c>
      <c r="AI240" s="5">
        <v>4</v>
      </c>
      <c r="AJ240">
        <v>3</v>
      </c>
      <c r="AK240">
        <v>1</v>
      </c>
      <c r="AL240">
        <v>2</v>
      </c>
      <c r="AM240" t="str">
        <f t="shared" si="24"/>
        <v>Below Avg</v>
      </c>
      <c r="AN240" s="21">
        <f t="shared" si="25"/>
        <v>28.142741281427412</v>
      </c>
      <c r="AO240" t="str">
        <f t="shared" ca="1" si="26"/>
        <v>No</v>
      </c>
      <c r="AP240" t="str">
        <f t="shared" si="27"/>
        <v>Low Risk</v>
      </c>
    </row>
    <row r="241" spans="1:42" x14ac:dyDescent="0.3">
      <c r="A241" s="5">
        <v>32</v>
      </c>
      <c r="B241" s="5" t="s">
        <v>35</v>
      </c>
      <c r="C241" s="5" t="str">
        <f t="shared" si="21"/>
        <v>Yes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 s="5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 s="5">
        <v>3730</v>
      </c>
      <c r="U241">
        <v>9571</v>
      </c>
      <c r="V241">
        <v>0</v>
      </c>
      <c r="W241" t="s">
        <v>42</v>
      </c>
      <c r="X241" t="s">
        <v>35</v>
      </c>
      <c r="Y241" t="str">
        <f t="shared" si="22"/>
        <v>Yes</v>
      </c>
      <c r="Z241">
        <v>14</v>
      </c>
      <c r="AA241">
        <v>3</v>
      </c>
      <c r="AB241">
        <v>4</v>
      </c>
      <c r="AC241">
        <v>80</v>
      </c>
      <c r="AD241">
        <v>0</v>
      </c>
      <c r="AE241" s="5">
        <v>4</v>
      </c>
      <c r="AF241" t="str">
        <f t="shared" si="23"/>
        <v>0-5</v>
      </c>
      <c r="AG241">
        <v>2</v>
      </c>
      <c r="AH241">
        <v>1</v>
      </c>
      <c r="AI241" s="5">
        <v>3</v>
      </c>
      <c r="AJ241">
        <v>2</v>
      </c>
      <c r="AK241">
        <v>1</v>
      </c>
      <c r="AL241">
        <v>2</v>
      </c>
      <c r="AM241" t="str">
        <f t="shared" si="24"/>
        <v>Below Avg</v>
      </c>
      <c r="AN241" s="21">
        <f t="shared" si="25"/>
        <v>28.084415584415584</v>
      </c>
      <c r="AO241" t="str">
        <f t="shared" ca="1" si="26"/>
        <v>No</v>
      </c>
      <c r="AP241" t="str">
        <f t="shared" si="27"/>
        <v>Low Risk</v>
      </c>
    </row>
    <row r="242" spans="1:42" x14ac:dyDescent="0.3">
      <c r="A242" s="5">
        <v>39</v>
      </c>
      <c r="B242" s="5" t="s">
        <v>43</v>
      </c>
      <c r="C242" s="5" t="str">
        <f t="shared" si="21"/>
        <v>No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 s="5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 s="5">
        <v>2232</v>
      </c>
      <c r="U242">
        <v>15417</v>
      </c>
      <c r="V242">
        <v>7</v>
      </c>
      <c r="W242" t="s">
        <v>42</v>
      </c>
      <c r="X242" t="s">
        <v>43</v>
      </c>
      <c r="Y242" t="str">
        <f t="shared" si="22"/>
        <v>No</v>
      </c>
      <c r="Z242">
        <v>14</v>
      </c>
      <c r="AA242">
        <v>3</v>
      </c>
      <c r="AB242">
        <v>3</v>
      </c>
      <c r="AC242">
        <v>80</v>
      </c>
      <c r="AD242">
        <v>3</v>
      </c>
      <c r="AE242" s="5">
        <v>7</v>
      </c>
      <c r="AF242" t="str">
        <f t="shared" si="23"/>
        <v>6-15</v>
      </c>
      <c r="AG242">
        <v>1</v>
      </c>
      <c r="AH242">
        <v>3</v>
      </c>
      <c r="AI242" s="5">
        <v>3</v>
      </c>
      <c r="AJ242">
        <v>2</v>
      </c>
      <c r="AK242">
        <v>1</v>
      </c>
      <c r="AL242">
        <v>2</v>
      </c>
      <c r="AM242" t="str">
        <f t="shared" si="24"/>
        <v>Below Avg</v>
      </c>
      <c r="AN242" s="21">
        <f t="shared" si="25"/>
        <v>28.107229894394802</v>
      </c>
      <c r="AO242" t="str">
        <f t="shared" ca="1" si="26"/>
        <v>No</v>
      </c>
      <c r="AP242" t="str">
        <f t="shared" si="27"/>
        <v>Low Risk</v>
      </c>
    </row>
    <row r="243" spans="1:42" x14ac:dyDescent="0.3">
      <c r="A243" s="5">
        <v>32</v>
      </c>
      <c r="B243" s="5" t="s">
        <v>43</v>
      </c>
      <c r="C243" s="5" t="str">
        <f t="shared" si="21"/>
        <v>No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 s="5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 s="5">
        <v>4465</v>
      </c>
      <c r="U243">
        <v>12069</v>
      </c>
      <c r="V243">
        <v>0</v>
      </c>
      <c r="W243" t="s">
        <v>42</v>
      </c>
      <c r="X243" t="s">
        <v>43</v>
      </c>
      <c r="Y243" t="str">
        <f t="shared" si="22"/>
        <v>No</v>
      </c>
      <c r="Z243">
        <v>18</v>
      </c>
      <c r="AA243">
        <v>3</v>
      </c>
      <c r="AB243">
        <v>1</v>
      </c>
      <c r="AC243">
        <v>80</v>
      </c>
      <c r="AD243">
        <v>0</v>
      </c>
      <c r="AE243" s="5">
        <v>4</v>
      </c>
      <c r="AF243" t="str">
        <f t="shared" si="23"/>
        <v>0-5</v>
      </c>
      <c r="AG243">
        <v>2</v>
      </c>
      <c r="AH243">
        <v>3</v>
      </c>
      <c r="AI243" s="5">
        <v>3</v>
      </c>
      <c r="AJ243">
        <v>2</v>
      </c>
      <c r="AK243">
        <v>2</v>
      </c>
      <c r="AL243">
        <v>2</v>
      </c>
      <c r="AM243" t="str">
        <f t="shared" si="24"/>
        <v>Below Avg</v>
      </c>
      <c r="AN243" s="21">
        <f t="shared" si="25"/>
        <v>28.04878048780488</v>
      </c>
      <c r="AO243" t="str">
        <f t="shared" ca="1" si="26"/>
        <v>No</v>
      </c>
      <c r="AP243" t="str">
        <f t="shared" si="27"/>
        <v>Low Risk</v>
      </c>
    </row>
    <row r="244" spans="1:42" x14ac:dyDescent="0.3">
      <c r="A244" s="5">
        <v>41</v>
      </c>
      <c r="B244" s="5" t="s">
        <v>43</v>
      </c>
      <c r="C244" s="5" t="str">
        <f t="shared" si="21"/>
        <v>No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 s="5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 s="5">
        <v>3072</v>
      </c>
      <c r="U244">
        <v>19877</v>
      </c>
      <c r="V244">
        <v>2</v>
      </c>
      <c r="W244" t="s">
        <v>42</v>
      </c>
      <c r="X244" t="s">
        <v>43</v>
      </c>
      <c r="Y244" t="str">
        <f t="shared" si="22"/>
        <v>No</v>
      </c>
      <c r="Z244">
        <v>16</v>
      </c>
      <c r="AA244">
        <v>3</v>
      </c>
      <c r="AB244">
        <v>1</v>
      </c>
      <c r="AC244">
        <v>80</v>
      </c>
      <c r="AD244">
        <v>2</v>
      </c>
      <c r="AE244" s="5">
        <v>17</v>
      </c>
      <c r="AF244" t="str">
        <f t="shared" si="23"/>
        <v>&gt;15</v>
      </c>
      <c r="AG244">
        <v>2</v>
      </c>
      <c r="AH244">
        <v>2</v>
      </c>
      <c r="AI244" s="5">
        <v>1</v>
      </c>
      <c r="AJ244">
        <v>0</v>
      </c>
      <c r="AK244">
        <v>0</v>
      </c>
      <c r="AL244">
        <v>0</v>
      </c>
      <c r="AM244" t="str">
        <f t="shared" si="24"/>
        <v>Below Avg</v>
      </c>
      <c r="AN244" s="21">
        <f t="shared" si="25"/>
        <v>28.071602929210744</v>
      </c>
      <c r="AO244" t="str">
        <f t="shared" ca="1" si="26"/>
        <v>No</v>
      </c>
      <c r="AP244" t="str">
        <f t="shared" si="27"/>
        <v>Low Risk</v>
      </c>
    </row>
    <row r="245" spans="1:42" x14ac:dyDescent="0.3">
      <c r="A245" s="5">
        <v>40</v>
      </c>
      <c r="B245" s="5" t="s">
        <v>43</v>
      </c>
      <c r="C245" s="5" t="str">
        <f t="shared" si="21"/>
        <v>No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 s="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 s="5">
        <v>3319</v>
      </c>
      <c r="U245">
        <v>24447</v>
      </c>
      <c r="V245">
        <v>1</v>
      </c>
      <c r="W245" t="s">
        <v>42</v>
      </c>
      <c r="X245" t="s">
        <v>43</v>
      </c>
      <c r="Y245" t="str">
        <f t="shared" si="22"/>
        <v>No</v>
      </c>
      <c r="Z245">
        <v>17</v>
      </c>
      <c r="AA245">
        <v>3</v>
      </c>
      <c r="AB245">
        <v>1</v>
      </c>
      <c r="AC245">
        <v>80</v>
      </c>
      <c r="AD245">
        <v>2</v>
      </c>
      <c r="AE245" s="5">
        <v>9</v>
      </c>
      <c r="AF245" t="str">
        <f t="shared" si="23"/>
        <v>6-15</v>
      </c>
      <c r="AG245">
        <v>3</v>
      </c>
      <c r="AH245">
        <v>3</v>
      </c>
      <c r="AI245" s="5">
        <v>9</v>
      </c>
      <c r="AJ245">
        <v>8</v>
      </c>
      <c r="AK245">
        <v>4</v>
      </c>
      <c r="AL245">
        <v>7</v>
      </c>
      <c r="AM245" t="str">
        <f t="shared" si="24"/>
        <v>Below Avg</v>
      </c>
      <c r="AN245" s="21">
        <f t="shared" si="25"/>
        <v>28.094462540716613</v>
      </c>
      <c r="AO245" t="str">
        <f t="shared" ca="1" si="26"/>
        <v>No</v>
      </c>
      <c r="AP245" t="str">
        <f t="shared" si="27"/>
        <v>Low Risk</v>
      </c>
    </row>
    <row r="246" spans="1:42" x14ac:dyDescent="0.3">
      <c r="A246" s="5">
        <v>45</v>
      </c>
      <c r="B246" s="5" t="s">
        <v>43</v>
      </c>
      <c r="C246" s="5" t="str">
        <f t="shared" si="21"/>
        <v>No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 s="5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 s="5">
        <v>19202</v>
      </c>
      <c r="U246">
        <v>15970</v>
      </c>
      <c r="V246">
        <v>0</v>
      </c>
      <c r="W246" t="s">
        <v>42</v>
      </c>
      <c r="X246" t="s">
        <v>43</v>
      </c>
      <c r="Y246" t="str">
        <f t="shared" si="22"/>
        <v>No</v>
      </c>
      <c r="Z246">
        <v>11</v>
      </c>
      <c r="AA246">
        <v>3</v>
      </c>
      <c r="AB246">
        <v>3</v>
      </c>
      <c r="AC246">
        <v>80</v>
      </c>
      <c r="AD246">
        <v>1</v>
      </c>
      <c r="AE246" s="5">
        <v>25</v>
      </c>
      <c r="AF246" t="str">
        <f t="shared" si="23"/>
        <v>&gt;15</v>
      </c>
      <c r="AG246">
        <v>2</v>
      </c>
      <c r="AH246">
        <v>3</v>
      </c>
      <c r="AI246" s="5">
        <v>24</v>
      </c>
      <c r="AJ246">
        <v>0</v>
      </c>
      <c r="AK246">
        <v>1</v>
      </c>
      <c r="AL246">
        <v>7</v>
      </c>
      <c r="AM246" t="str">
        <f t="shared" si="24"/>
        <v>Ok</v>
      </c>
      <c r="AN246" s="21">
        <f t="shared" si="25"/>
        <v>28.117359413202937</v>
      </c>
      <c r="AO246" t="str">
        <f t="shared" ca="1" si="26"/>
        <v>No</v>
      </c>
      <c r="AP246" t="str">
        <f t="shared" si="27"/>
        <v>Low Risk</v>
      </c>
    </row>
    <row r="247" spans="1:42" x14ac:dyDescent="0.3">
      <c r="A247" s="5">
        <v>31</v>
      </c>
      <c r="B247" s="5" t="s">
        <v>43</v>
      </c>
      <c r="C247" s="5" t="str">
        <f t="shared" si="21"/>
        <v>No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 s="5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 s="5">
        <v>13675</v>
      </c>
      <c r="U247">
        <v>13523</v>
      </c>
      <c r="V247">
        <v>9</v>
      </c>
      <c r="W247" t="s">
        <v>42</v>
      </c>
      <c r="X247" t="s">
        <v>43</v>
      </c>
      <c r="Y247" t="str">
        <f t="shared" si="22"/>
        <v>No</v>
      </c>
      <c r="Z247">
        <v>12</v>
      </c>
      <c r="AA247">
        <v>3</v>
      </c>
      <c r="AB247">
        <v>1</v>
      </c>
      <c r="AC247">
        <v>80</v>
      </c>
      <c r="AD247">
        <v>1</v>
      </c>
      <c r="AE247" s="5">
        <v>9</v>
      </c>
      <c r="AF247" t="str">
        <f t="shared" si="23"/>
        <v>6-15</v>
      </c>
      <c r="AG247">
        <v>3</v>
      </c>
      <c r="AH247">
        <v>3</v>
      </c>
      <c r="AI247" s="5">
        <v>2</v>
      </c>
      <c r="AJ247">
        <v>2</v>
      </c>
      <c r="AK247">
        <v>2</v>
      </c>
      <c r="AL247">
        <v>2</v>
      </c>
      <c r="AM247" t="str">
        <f t="shared" si="24"/>
        <v>Ok</v>
      </c>
      <c r="AN247" s="21">
        <f t="shared" si="25"/>
        <v>28.140293637846657</v>
      </c>
      <c r="AO247" t="str">
        <f t="shared" ca="1" si="26"/>
        <v>No</v>
      </c>
      <c r="AP247" t="str">
        <f t="shared" si="27"/>
        <v>Low Risk</v>
      </c>
    </row>
    <row r="248" spans="1:42" x14ac:dyDescent="0.3">
      <c r="A248" s="5">
        <v>33</v>
      </c>
      <c r="B248" s="5" t="s">
        <v>43</v>
      </c>
      <c r="C248" s="5" t="str">
        <f t="shared" si="21"/>
        <v>No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 s="5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 s="5">
        <v>2911</v>
      </c>
      <c r="U248">
        <v>14776</v>
      </c>
      <c r="V248">
        <v>1</v>
      </c>
      <c r="W248" t="s">
        <v>42</v>
      </c>
      <c r="X248" t="s">
        <v>43</v>
      </c>
      <c r="Y248" t="str">
        <f t="shared" si="22"/>
        <v>No</v>
      </c>
      <c r="Z248">
        <v>13</v>
      </c>
      <c r="AA248">
        <v>3</v>
      </c>
      <c r="AB248">
        <v>3</v>
      </c>
      <c r="AC248">
        <v>80</v>
      </c>
      <c r="AD248">
        <v>1</v>
      </c>
      <c r="AE248" s="5">
        <v>2</v>
      </c>
      <c r="AF248" t="str">
        <f t="shared" si="23"/>
        <v>0-5</v>
      </c>
      <c r="AG248">
        <v>2</v>
      </c>
      <c r="AH248">
        <v>2</v>
      </c>
      <c r="AI248" s="5">
        <v>2</v>
      </c>
      <c r="AJ248">
        <v>2</v>
      </c>
      <c r="AK248">
        <v>0</v>
      </c>
      <c r="AL248">
        <v>2</v>
      </c>
      <c r="AM248" t="str">
        <f t="shared" si="24"/>
        <v>Below Avg</v>
      </c>
      <c r="AN248" s="21">
        <f t="shared" si="25"/>
        <v>28.163265306122447</v>
      </c>
      <c r="AO248" t="str">
        <f t="shared" ca="1" si="26"/>
        <v>No</v>
      </c>
      <c r="AP248" t="str">
        <f t="shared" si="27"/>
        <v>Low Risk</v>
      </c>
    </row>
    <row r="249" spans="1:42" x14ac:dyDescent="0.3">
      <c r="A249" s="5">
        <v>34</v>
      </c>
      <c r="B249" s="5" t="s">
        <v>43</v>
      </c>
      <c r="C249" s="5" t="str">
        <f t="shared" si="21"/>
        <v>No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 s="5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 s="5">
        <v>5957</v>
      </c>
      <c r="U249">
        <v>23687</v>
      </c>
      <c r="V249">
        <v>6</v>
      </c>
      <c r="W249" t="s">
        <v>42</v>
      </c>
      <c r="X249" t="s">
        <v>43</v>
      </c>
      <c r="Y249" t="str">
        <f t="shared" si="22"/>
        <v>No</v>
      </c>
      <c r="Z249">
        <v>13</v>
      </c>
      <c r="AA249">
        <v>3</v>
      </c>
      <c r="AB249">
        <v>2</v>
      </c>
      <c r="AC249">
        <v>80</v>
      </c>
      <c r="AD249">
        <v>1</v>
      </c>
      <c r="AE249" s="5">
        <v>13</v>
      </c>
      <c r="AF249" t="str">
        <f t="shared" si="23"/>
        <v>6-15</v>
      </c>
      <c r="AG249">
        <v>3</v>
      </c>
      <c r="AH249">
        <v>3</v>
      </c>
      <c r="AI249" s="5">
        <v>11</v>
      </c>
      <c r="AJ249">
        <v>9</v>
      </c>
      <c r="AK249">
        <v>5</v>
      </c>
      <c r="AL249">
        <v>9</v>
      </c>
      <c r="AM249" t="str">
        <f t="shared" si="24"/>
        <v>Below Avg</v>
      </c>
      <c r="AN249" s="21">
        <f t="shared" si="25"/>
        <v>28.186274509803923</v>
      </c>
      <c r="AO249" t="str">
        <f t="shared" ca="1" si="26"/>
        <v>No</v>
      </c>
      <c r="AP249" t="str">
        <f t="shared" si="27"/>
        <v>Low Risk</v>
      </c>
    </row>
    <row r="250" spans="1:42" x14ac:dyDescent="0.3">
      <c r="A250" s="5">
        <v>37</v>
      </c>
      <c r="B250" s="5" t="s">
        <v>43</v>
      </c>
      <c r="C250" s="5" t="str">
        <f t="shared" si="21"/>
        <v>No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 s="5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 s="5">
        <v>3920</v>
      </c>
      <c r="U250">
        <v>18697</v>
      </c>
      <c r="V250">
        <v>2</v>
      </c>
      <c r="W250" t="s">
        <v>42</v>
      </c>
      <c r="X250" t="s">
        <v>43</v>
      </c>
      <c r="Y250" t="str">
        <f t="shared" si="22"/>
        <v>No</v>
      </c>
      <c r="Z250">
        <v>14</v>
      </c>
      <c r="AA250">
        <v>3</v>
      </c>
      <c r="AB250">
        <v>1</v>
      </c>
      <c r="AC250">
        <v>80</v>
      </c>
      <c r="AD250">
        <v>1</v>
      </c>
      <c r="AE250" s="5">
        <v>17</v>
      </c>
      <c r="AF250" t="str">
        <f t="shared" si="23"/>
        <v>&gt;15</v>
      </c>
      <c r="AG250">
        <v>2</v>
      </c>
      <c r="AH250">
        <v>2</v>
      </c>
      <c r="AI250" s="5">
        <v>3</v>
      </c>
      <c r="AJ250">
        <v>1</v>
      </c>
      <c r="AK250">
        <v>0</v>
      </c>
      <c r="AL250">
        <v>2</v>
      </c>
      <c r="AM250" t="str">
        <f t="shared" si="24"/>
        <v>Below Avg</v>
      </c>
      <c r="AN250" s="21">
        <f t="shared" si="25"/>
        <v>28.209321340964838</v>
      </c>
      <c r="AO250" t="str">
        <f t="shared" ca="1" si="26"/>
        <v>No</v>
      </c>
      <c r="AP250" t="str">
        <f t="shared" si="27"/>
        <v>Low Risk</v>
      </c>
    </row>
    <row r="251" spans="1:42" x14ac:dyDescent="0.3">
      <c r="A251" s="5">
        <v>45</v>
      </c>
      <c r="B251" s="5" t="s">
        <v>43</v>
      </c>
      <c r="C251" s="5" t="str">
        <f t="shared" si="21"/>
        <v>No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 s="5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 s="5">
        <v>6434</v>
      </c>
      <c r="U251">
        <v>5118</v>
      </c>
      <c r="V251">
        <v>4</v>
      </c>
      <c r="W251" t="s">
        <v>42</v>
      </c>
      <c r="X251" t="s">
        <v>43</v>
      </c>
      <c r="Y251" t="str">
        <f t="shared" si="22"/>
        <v>No</v>
      </c>
      <c r="Z251">
        <v>17</v>
      </c>
      <c r="AA251">
        <v>3</v>
      </c>
      <c r="AB251">
        <v>4</v>
      </c>
      <c r="AC251">
        <v>80</v>
      </c>
      <c r="AD251">
        <v>1</v>
      </c>
      <c r="AE251" s="5">
        <v>9</v>
      </c>
      <c r="AF251" t="str">
        <f t="shared" si="23"/>
        <v>6-15</v>
      </c>
      <c r="AG251">
        <v>1</v>
      </c>
      <c r="AH251">
        <v>3</v>
      </c>
      <c r="AI251" s="5">
        <v>3</v>
      </c>
      <c r="AJ251">
        <v>2</v>
      </c>
      <c r="AK251">
        <v>0</v>
      </c>
      <c r="AL251">
        <v>2</v>
      </c>
      <c r="AM251" t="str">
        <f t="shared" si="24"/>
        <v>Ok</v>
      </c>
      <c r="AN251" s="21">
        <f t="shared" si="25"/>
        <v>28.23240589198036</v>
      </c>
      <c r="AO251" t="str">
        <f t="shared" ca="1" si="26"/>
        <v>No</v>
      </c>
      <c r="AP251" t="str">
        <f t="shared" si="27"/>
        <v>Low Risk</v>
      </c>
    </row>
    <row r="252" spans="1:42" x14ac:dyDescent="0.3">
      <c r="A252" s="5">
        <v>37</v>
      </c>
      <c r="B252" s="5" t="s">
        <v>35</v>
      </c>
      <c r="C252" s="5" t="str">
        <f t="shared" si="21"/>
        <v>Yes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 s="5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 s="5">
        <v>10048</v>
      </c>
      <c r="U252">
        <v>22573</v>
      </c>
      <c r="V252">
        <v>6</v>
      </c>
      <c r="W252" t="s">
        <v>42</v>
      </c>
      <c r="X252" t="s">
        <v>43</v>
      </c>
      <c r="Y252" t="str">
        <f t="shared" si="22"/>
        <v>No</v>
      </c>
      <c r="Z252">
        <v>11</v>
      </c>
      <c r="AA252">
        <v>3</v>
      </c>
      <c r="AB252">
        <v>2</v>
      </c>
      <c r="AC252">
        <v>80</v>
      </c>
      <c r="AD252">
        <v>2</v>
      </c>
      <c r="AE252" s="5">
        <v>17</v>
      </c>
      <c r="AF252" t="str">
        <f t="shared" si="23"/>
        <v>&gt;15</v>
      </c>
      <c r="AG252">
        <v>5</v>
      </c>
      <c r="AH252">
        <v>3</v>
      </c>
      <c r="AI252" s="5">
        <v>1</v>
      </c>
      <c r="AJ252">
        <v>0</v>
      </c>
      <c r="AK252">
        <v>0</v>
      </c>
      <c r="AL252">
        <v>0</v>
      </c>
      <c r="AM252" t="str">
        <f t="shared" si="24"/>
        <v>Ok</v>
      </c>
      <c r="AN252" s="21">
        <f t="shared" si="25"/>
        <v>28.255528255528255</v>
      </c>
      <c r="AO252" t="str">
        <f t="shared" ca="1" si="26"/>
        <v>No</v>
      </c>
      <c r="AP252" t="str">
        <f t="shared" si="27"/>
        <v>High Risk</v>
      </c>
    </row>
    <row r="253" spans="1:42" x14ac:dyDescent="0.3">
      <c r="A253" s="5">
        <v>39</v>
      </c>
      <c r="B253" s="5" t="s">
        <v>43</v>
      </c>
      <c r="C253" s="5" t="str">
        <f t="shared" si="21"/>
        <v>No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 s="5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 s="5">
        <v>10938</v>
      </c>
      <c r="U253">
        <v>6420</v>
      </c>
      <c r="V253">
        <v>0</v>
      </c>
      <c r="W253" t="s">
        <v>42</v>
      </c>
      <c r="X253" t="s">
        <v>43</v>
      </c>
      <c r="Y253" t="str">
        <f t="shared" si="22"/>
        <v>No</v>
      </c>
      <c r="Z253">
        <v>25</v>
      </c>
      <c r="AA253">
        <v>4</v>
      </c>
      <c r="AB253">
        <v>4</v>
      </c>
      <c r="AC253">
        <v>80</v>
      </c>
      <c r="AD253">
        <v>0</v>
      </c>
      <c r="AE253" s="5">
        <v>20</v>
      </c>
      <c r="AF253" t="str">
        <f t="shared" si="23"/>
        <v>&gt;15</v>
      </c>
      <c r="AG253">
        <v>1</v>
      </c>
      <c r="AH253">
        <v>3</v>
      </c>
      <c r="AI253" s="5">
        <v>19</v>
      </c>
      <c r="AJ253">
        <v>6</v>
      </c>
      <c r="AK253">
        <v>11</v>
      </c>
      <c r="AL253">
        <v>8</v>
      </c>
      <c r="AM253" t="str">
        <f t="shared" si="24"/>
        <v>Ok</v>
      </c>
      <c r="AN253" s="21">
        <f t="shared" si="25"/>
        <v>28.278688524590162</v>
      </c>
      <c r="AO253" t="str">
        <f t="shared" ca="1" si="26"/>
        <v>No</v>
      </c>
      <c r="AP253" t="str">
        <f t="shared" si="27"/>
        <v>Low Risk</v>
      </c>
    </row>
    <row r="254" spans="1:42" x14ac:dyDescent="0.3">
      <c r="A254" s="5">
        <v>29</v>
      </c>
      <c r="B254" s="5" t="s">
        <v>43</v>
      </c>
      <c r="C254" s="5" t="str">
        <f t="shared" si="21"/>
        <v>No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 s="5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 s="5">
        <v>2340</v>
      </c>
      <c r="U254">
        <v>22673</v>
      </c>
      <c r="V254">
        <v>1</v>
      </c>
      <c r="W254" t="s">
        <v>42</v>
      </c>
      <c r="X254" t="s">
        <v>43</v>
      </c>
      <c r="Y254" t="str">
        <f t="shared" si="22"/>
        <v>No</v>
      </c>
      <c r="Z254">
        <v>19</v>
      </c>
      <c r="AA254">
        <v>3</v>
      </c>
      <c r="AB254">
        <v>1</v>
      </c>
      <c r="AC254">
        <v>80</v>
      </c>
      <c r="AD254">
        <v>0</v>
      </c>
      <c r="AE254" s="5">
        <v>6</v>
      </c>
      <c r="AF254" t="str">
        <f t="shared" si="23"/>
        <v>6-15</v>
      </c>
      <c r="AG254">
        <v>1</v>
      </c>
      <c r="AH254">
        <v>3</v>
      </c>
      <c r="AI254" s="5">
        <v>6</v>
      </c>
      <c r="AJ254">
        <v>5</v>
      </c>
      <c r="AK254">
        <v>1</v>
      </c>
      <c r="AL254">
        <v>5</v>
      </c>
      <c r="AM254" t="str">
        <f t="shared" si="24"/>
        <v>Below Avg</v>
      </c>
      <c r="AN254" s="21">
        <f t="shared" si="25"/>
        <v>28.30188679245283</v>
      </c>
      <c r="AO254" t="str">
        <f t="shared" ca="1" si="26"/>
        <v>No</v>
      </c>
      <c r="AP254" t="str">
        <f t="shared" si="27"/>
        <v>Low Risk</v>
      </c>
    </row>
    <row r="255" spans="1:42" x14ac:dyDescent="0.3">
      <c r="A255" s="5">
        <v>42</v>
      </c>
      <c r="B255" s="5" t="s">
        <v>43</v>
      </c>
      <c r="C255" s="5" t="str">
        <f t="shared" si="21"/>
        <v>No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 s="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 s="5">
        <v>6545</v>
      </c>
      <c r="U255">
        <v>23016</v>
      </c>
      <c r="V255">
        <v>3</v>
      </c>
      <c r="W255" t="s">
        <v>42</v>
      </c>
      <c r="X255" t="s">
        <v>35</v>
      </c>
      <c r="Y255" t="str">
        <f t="shared" si="22"/>
        <v>Yes</v>
      </c>
      <c r="Z255">
        <v>13</v>
      </c>
      <c r="AA255">
        <v>3</v>
      </c>
      <c r="AB255">
        <v>3</v>
      </c>
      <c r="AC255">
        <v>80</v>
      </c>
      <c r="AD255">
        <v>0</v>
      </c>
      <c r="AE255" s="5">
        <v>10</v>
      </c>
      <c r="AF255" t="str">
        <f t="shared" si="23"/>
        <v>6-15</v>
      </c>
      <c r="AG255">
        <v>1</v>
      </c>
      <c r="AH255">
        <v>3</v>
      </c>
      <c r="AI255" s="5">
        <v>3</v>
      </c>
      <c r="AJ255">
        <v>2</v>
      </c>
      <c r="AK255">
        <v>0</v>
      </c>
      <c r="AL255">
        <v>2</v>
      </c>
      <c r="AM255" t="str">
        <f t="shared" si="24"/>
        <v>Ok</v>
      </c>
      <c r="AN255" s="21">
        <f t="shared" si="25"/>
        <v>28.325123152709359</v>
      </c>
      <c r="AO255" t="str">
        <f t="shared" ca="1" si="26"/>
        <v>No</v>
      </c>
      <c r="AP255" t="str">
        <f t="shared" si="27"/>
        <v>Low Risk</v>
      </c>
    </row>
    <row r="256" spans="1:42" x14ac:dyDescent="0.3">
      <c r="A256" s="5">
        <v>29</v>
      </c>
      <c r="B256" s="5" t="s">
        <v>43</v>
      </c>
      <c r="C256" s="5" t="str">
        <f t="shared" si="21"/>
        <v>No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 s="5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 s="5">
        <v>6931</v>
      </c>
      <c r="U256">
        <v>10732</v>
      </c>
      <c r="V256">
        <v>2</v>
      </c>
      <c r="W256" t="s">
        <v>42</v>
      </c>
      <c r="X256" t="s">
        <v>43</v>
      </c>
      <c r="Y256" t="str">
        <f t="shared" si="22"/>
        <v>No</v>
      </c>
      <c r="Z256">
        <v>14</v>
      </c>
      <c r="AA256">
        <v>3</v>
      </c>
      <c r="AB256">
        <v>4</v>
      </c>
      <c r="AC256">
        <v>80</v>
      </c>
      <c r="AD256">
        <v>1</v>
      </c>
      <c r="AE256" s="5">
        <v>10</v>
      </c>
      <c r="AF256" t="str">
        <f t="shared" si="23"/>
        <v>6-15</v>
      </c>
      <c r="AG256">
        <v>2</v>
      </c>
      <c r="AH256">
        <v>3</v>
      </c>
      <c r="AI256" s="5">
        <v>3</v>
      </c>
      <c r="AJ256">
        <v>2</v>
      </c>
      <c r="AK256">
        <v>0</v>
      </c>
      <c r="AL256">
        <v>2</v>
      </c>
      <c r="AM256" t="str">
        <f t="shared" si="24"/>
        <v>Ok</v>
      </c>
      <c r="AN256" s="21">
        <f t="shared" si="25"/>
        <v>28.348397699260474</v>
      </c>
      <c r="AO256" t="str">
        <f t="shared" ca="1" si="26"/>
        <v>No</v>
      </c>
      <c r="AP256" t="str">
        <f t="shared" si="27"/>
        <v>Low Risk</v>
      </c>
    </row>
    <row r="257" spans="1:42" x14ac:dyDescent="0.3">
      <c r="A257" s="5">
        <v>25</v>
      </c>
      <c r="B257" s="5" t="s">
        <v>43</v>
      </c>
      <c r="C257" s="5" t="str">
        <f t="shared" si="21"/>
        <v>No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 s="5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 s="5">
        <v>4898</v>
      </c>
      <c r="U257">
        <v>7505</v>
      </c>
      <c r="V257">
        <v>0</v>
      </c>
      <c r="W257" t="s">
        <v>42</v>
      </c>
      <c r="X257" t="s">
        <v>43</v>
      </c>
      <c r="Y257" t="str">
        <f t="shared" si="22"/>
        <v>No</v>
      </c>
      <c r="Z257">
        <v>12</v>
      </c>
      <c r="AA257">
        <v>3</v>
      </c>
      <c r="AB257">
        <v>4</v>
      </c>
      <c r="AC257">
        <v>80</v>
      </c>
      <c r="AD257">
        <v>2</v>
      </c>
      <c r="AE257" s="5">
        <v>5</v>
      </c>
      <c r="AF257" t="str">
        <f t="shared" si="23"/>
        <v>0-5</v>
      </c>
      <c r="AG257">
        <v>3</v>
      </c>
      <c r="AH257">
        <v>3</v>
      </c>
      <c r="AI257" s="5">
        <v>4</v>
      </c>
      <c r="AJ257">
        <v>2</v>
      </c>
      <c r="AK257">
        <v>1</v>
      </c>
      <c r="AL257">
        <v>2</v>
      </c>
      <c r="AM257" t="str">
        <f t="shared" si="24"/>
        <v>Below Avg</v>
      </c>
      <c r="AN257" s="21">
        <f t="shared" si="25"/>
        <v>28.289473684210524</v>
      </c>
      <c r="AO257" t="str">
        <f t="shared" ca="1" si="26"/>
        <v>No</v>
      </c>
      <c r="AP257" t="str">
        <f t="shared" si="27"/>
        <v>Low Risk</v>
      </c>
    </row>
    <row r="258" spans="1:42" x14ac:dyDescent="0.3">
      <c r="A258" s="5">
        <v>42</v>
      </c>
      <c r="B258" s="5" t="s">
        <v>43</v>
      </c>
      <c r="C258" s="5" t="str">
        <f t="shared" si="21"/>
        <v>No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 s="5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 s="5">
        <v>2593</v>
      </c>
      <c r="U258">
        <v>8007</v>
      </c>
      <c r="V258">
        <v>0</v>
      </c>
      <c r="W258" t="s">
        <v>42</v>
      </c>
      <c r="X258" t="s">
        <v>35</v>
      </c>
      <c r="Y258" t="str">
        <f t="shared" si="22"/>
        <v>Yes</v>
      </c>
      <c r="Z258">
        <v>11</v>
      </c>
      <c r="AA258">
        <v>3</v>
      </c>
      <c r="AB258">
        <v>3</v>
      </c>
      <c r="AC258">
        <v>80</v>
      </c>
      <c r="AD258">
        <v>1</v>
      </c>
      <c r="AE258" s="5">
        <v>10</v>
      </c>
      <c r="AF258" t="str">
        <f t="shared" si="23"/>
        <v>6-15</v>
      </c>
      <c r="AG258">
        <v>4</v>
      </c>
      <c r="AH258">
        <v>3</v>
      </c>
      <c r="AI258" s="5">
        <v>9</v>
      </c>
      <c r="AJ258">
        <v>6</v>
      </c>
      <c r="AK258">
        <v>7</v>
      </c>
      <c r="AL258">
        <v>8</v>
      </c>
      <c r="AM258" t="str">
        <f t="shared" si="24"/>
        <v>Below Avg</v>
      </c>
      <c r="AN258" s="21">
        <f t="shared" si="25"/>
        <v>28.31275720164609</v>
      </c>
      <c r="AO258" t="str">
        <f t="shared" ca="1" si="26"/>
        <v>No</v>
      </c>
      <c r="AP258" t="str">
        <f t="shared" si="27"/>
        <v>Low Risk</v>
      </c>
    </row>
    <row r="259" spans="1:42" x14ac:dyDescent="0.3">
      <c r="A259" s="5">
        <v>40</v>
      </c>
      <c r="B259" s="5" t="s">
        <v>43</v>
      </c>
      <c r="C259" s="5" t="str">
        <f t="shared" ref="C259:C322" si="28">IF(LOWER(B259)="yes","Yes","No")</f>
        <v>No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 s="5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 s="5">
        <v>19436</v>
      </c>
      <c r="U259">
        <v>5949</v>
      </c>
      <c r="V259">
        <v>0</v>
      </c>
      <c r="W259" t="s">
        <v>42</v>
      </c>
      <c r="X259" t="s">
        <v>43</v>
      </c>
      <c r="Y259" t="str">
        <f t="shared" ref="Y259:Y322" si="29">IF(LOWER(X259)="yes","Yes","No")</f>
        <v>No</v>
      </c>
      <c r="Z259">
        <v>19</v>
      </c>
      <c r="AA259">
        <v>3</v>
      </c>
      <c r="AB259">
        <v>4</v>
      </c>
      <c r="AC259">
        <v>80</v>
      </c>
      <c r="AD259">
        <v>1</v>
      </c>
      <c r="AE259" s="5">
        <v>22</v>
      </c>
      <c r="AF259" t="str">
        <f t="shared" ref="AF259:AF322" si="30">IF(AE259&lt;=5,"0-5",IF(AE259&lt;=15,"6-15","&gt;15"))</f>
        <v>&gt;15</v>
      </c>
      <c r="AG259">
        <v>5</v>
      </c>
      <c r="AH259">
        <v>3</v>
      </c>
      <c r="AI259" s="5">
        <v>21</v>
      </c>
      <c r="AJ259">
        <v>7</v>
      </c>
      <c r="AK259">
        <v>3</v>
      </c>
      <c r="AL259">
        <v>9</v>
      </c>
      <c r="AM259" t="str">
        <f t="shared" ref="AM259:AM322" si="31">IF(T259&lt;AVERAGEIF($F258:$F1728,F259,$T258:$T1728),"Below Avg","Ok")</f>
        <v>Ok</v>
      </c>
      <c r="AN259" s="21">
        <f t="shared" ref="AN259:AN322" si="32">COUNTIF(X258:X1728,"Yes")/COUNTA(X258:X1728)*100</f>
        <v>28.336079077429982</v>
      </c>
      <c r="AO259" t="str">
        <f t="shared" ref="AO259:AO322" ca="1" si="33">IF(AND(AA259&gt;=4,Z259&lt;AVERAGEIF($F258:$F1728,F259,$Z259:$Z1728)),"Yes","No")</f>
        <v>No</v>
      </c>
      <c r="AP259" t="str">
        <f t="shared" ref="AP259:AP322" si="34">IF(AND(AI259&lt;2,C259="Yes"),"High Risk","Low Risk")</f>
        <v>Low Risk</v>
      </c>
    </row>
    <row r="260" spans="1:42" x14ac:dyDescent="0.3">
      <c r="A260" s="5">
        <v>51</v>
      </c>
      <c r="B260" s="5" t="s">
        <v>43</v>
      </c>
      <c r="C260" s="5" t="str">
        <f t="shared" si="28"/>
        <v>No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 s="5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 s="5">
        <v>2723</v>
      </c>
      <c r="U260">
        <v>23231</v>
      </c>
      <c r="V260">
        <v>1</v>
      </c>
      <c r="W260" t="s">
        <v>42</v>
      </c>
      <c r="X260" t="s">
        <v>43</v>
      </c>
      <c r="Y260" t="str">
        <f t="shared" si="29"/>
        <v>No</v>
      </c>
      <c r="Z260">
        <v>11</v>
      </c>
      <c r="AA260">
        <v>3</v>
      </c>
      <c r="AB260">
        <v>2</v>
      </c>
      <c r="AC260">
        <v>80</v>
      </c>
      <c r="AD260">
        <v>0</v>
      </c>
      <c r="AE260" s="5">
        <v>1</v>
      </c>
      <c r="AF260" t="str">
        <f t="shared" si="30"/>
        <v>0-5</v>
      </c>
      <c r="AG260">
        <v>0</v>
      </c>
      <c r="AH260">
        <v>2</v>
      </c>
      <c r="AI260" s="5">
        <v>1</v>
      </c>
      <c r="AJ260">
        <v>0</v>
      </c>
      <c r="AK260">
        <v>0</v>
      </c>
      <c r="AL260">
        <v>0</v>
      </c>
      <c r="AM260" t="str">
        <f t="shared" si="31"/>
        <v>Below Avg</v>
      </c>
      <c r="AN260" s="21">
        <f t="shared" si="32"/>
        <v>28.276999175597687</v>
      </c>
      <c r="AO260" t="str">
        <f t="shared" ca="1" si="33"/>
        <v>No</v>
      </c>
      <c r="AP260" t="str">
        <f t="shared" si="34"/>
        <v>Low Risk</v>
      </c>
    </row>
    <row r="261" spans="1:42" x14ac:dyDescent="0.3">
      <c r="A261" s="5">
        <v>31</v>
      </c>
      <c r="B261" s="5" t="s">
        <v>35</v>
      </c>
      <c r="C261" s="5" t="str">
        <f t="shared" si="28"/>
        <v>Yes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 s="5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 s="5">
        <v>3479</v>
      </c>
      <c r="U261">
        <v>11652</v>
      </c>
      <c r="V261">
        <v>0</v>
      </c>
      <c r="W261" t="s">
        <v>42</v>
      </c>
      <c r="X261" t="s">
        <v>43</v>
      </c>
      <c r="Y261" t="str">
        <f t="shared" si="29"/>
        <v>No</v>
      </c>
      <c r="Z261">
        <v>11</v>
      </c>
      <c r="AA261">
        <v>3</v>
      </c>
      <c r="AB261">
        <v>2</v>
      </c>
      <c r="AC261">
        <v>80</v>
      </c>
      <c r="AD261">
        <v>0</v>
      </c>
      <c r="AE261" s="5">
        <v>6</v>
      </c>
      <c r="AF261" t="str">
        <f t="shared" si="30"/>
        <v>6-15</v>
      </c>
      <c r="AG261">
        <v>2</v>
      </c>
      <c r="AH261">
        <v>4</v>
      </c>
      <c r="AI261" s="5">
        <v>5</v>
      </c>
      <c r="AJ261">
        <v>4</v>
      </c>
      <c r="AK261">
        <v>1</v>
      </c>
      <c r="AL261">
        <v>4</v>
      </c>
      <c r="AM261" t="str">
        <f t="shared" si="31"/>
        <v>Below Avg</v>
      </c>
      <c r="AN261" s="21">
        <f t="shared" si="32"/>
        <v>28.300330033003302</v>
      </c>
      <c r="AO261" t="str">
        <f t="shared" ca="1" si="33"/>
        <v>No</v>
      </c>
      <c r="AP261" t="str">
        <f t="shared" si="34"/>
        <v>Low Risk</v>
      </c>
    </row>
    <row r="262" spans="1:42" x14ac:dyDescent="0.3">
      <c r="A262" s="5">
        <v>32</v>
      </c>
      <c r="B262" s="5" t="s">
        <v>43</v>
      </c>
      <c r="C262" s="5" t="str">
        <f t="shared" si="28"/>
        <v>No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 s="5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 s="5">
        <v>2794</v>
      </c>
      <c r="U262">
        <v>26062</v>
      </c>
      <c r="V262">
        <v>1</v>
      </c>
      <c r="W262" t="s">
        <v>42</v>
      </c>
      <c r="X262" t="s">
        <v>43</v>
      </c>
      <c r="Y262" t="str">
        <f t="shared" si="29"/>
        <v>No</v>
      </c>
      <c r="Z262">
        <v>20</v>
      </c>
      <c r="AA262">
        <v>4</v>
      </c>
      <c r="AB262">
        <v>3</v>
      </c>
      <c r="AC262">
        <v>80</v>
      </c>
      <c r="AD262">
        <v>0</v>
      </c>
      <c r="AE262" s="5">
        <v>5</v>
      </c>
      <c r="AF262" t="str">
        <f t="shared" si="30"/>
        <v>0-5</v>
      </c>
      <c r="AG262">
        <v>3</v>
      </c>
      <c r="AH262">
        <v>1</v>
      </c>
      <c r="AI262" s="5">
        <v>5</v>
      </c>
      <c r="AJ262">
        <v>1</v>
      </c>
      <c r="AK262">
        <v>0</v>
      </c>
      <c r="AL262">
        <v>3</v>
      </c>
      <c r="AM262" t="str">
        <f t="shared" si="31"/>
        <v>Below Avg</v>
      </c>
      <c r="AN262" s="21">
        <f t="shared" si="32"/>
        <v>28.323699421965319</v>
      </c>
      <c r="AO262" t="str">
        <f t="shared" ca="1" si="33"/>
        <v>No</v>
      </c>
      <c r="AP262" t="str">
        <f t="shared" si="34"/>
        <v>Low Risk</v>
      </c>
    </row>
    <row r="263" spans="1:42" x14ac:dyDescent="0.3">
      <c r="A263" s="5">
        <v>38</v>
      </c>
      <c r="B263" s="5" t="s">
        <v>43</v>
      </c>
      <c r="C263" s="5" t="str">
        <f t="shared" si="28"/>
        <v>No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 s="5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 s="5">
        <v>5249</v>
      </c>
      <c r="U263">
        <v>19682</v>
      </c>
      <c r="V263">
        <v>3</v>
      </c>
      <c r="W263" t="s">
        <v>42</v>
      </c>
      <c r="X263" t="s">
        <v>43</v>
      </c>
      <c r="Y263" t="str">
        <f t="shared" si="29"/>
        <v>No</v>
      </c>
      <c r="Z263">
        <v>18</v>
      </c>
      <c r="AA263">
        <v>3</v>
      </c>
      <c r="AB263">
        <v>4</v>
      </c>
      <c r="AC263">
        <v>80</v>
      </c>
      <c r="AD263">
        <v>1</v>
      </c>
      <c r="AE263" s="5">
        <v>13</v>
      </c>
      <c r="AF263" t="str">
        <f t="shared" si="30"/>
        <v>6-15</v>
      </c>
      <c r="AG263">
        <v>0</v>
      </c>
      <c r="AH263">
        <v>3</v>
      </c>
      <c r="AI263" s="5">
        <v>8</v>
      </c>
      <c r="AJ263">
        <v>7</v>
      </c>
      <c r="AK263">
        <v>7</v>
      </c>
      <c r="AL263">
        <v>5</v>
      </c>
      <c r="AM263" t="str">
        <f t="shared" si="31"/>
        <v>Below Avg</v>
      </c>
      <c r="AN263" s="21">
        <f t="shared" si="32"/>
        <v>28.347107438016529</v>
      </c>
      <c r="AO263" t="str">
        <f t="shared" ca="1" si="33"/>
        <v>No</v>
      </c>
      <c r="AP263" t="str">
        <f t="shared" si="34"/>
        <v>Low Risk</v>
      </c>
    </row>
    <row r="264" spans="1:42" x14ac:dyDescent="0.3">
      <c r="A264" s="5">
        <v>32</v>
      </c>
      <c r="B264" s="5" t="s">
        <v>43</v>
      </c>
      <c r="C264" s="5" t="str">
        <f t="shared" si="28"/>
        <v>No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 s="5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 s="5">
        <v>2176</v>
      </c>
      <c r="U264">
        <v>19737</v>
      </c>
      <c r="V264">
        <v>4</v>
      </c>
      <c r="W264" t="s">
        <v>42</v>
      </c>
      <c r="X264" t="s">
        <v>43</v>
      </c>
      <c r="Y264" t="str">
        <f t="shared" si="29"/>
        <v>No</v>
      </c>
      <c r="Z264">
        <v>13</v>
      </c>
      <c r="AA264">
        <v>3</v>
      </c>
      <c r="AB264">
        <v>4</v>
      </c>
      <c r="AC264">
        <v>80</v>
      </c>
      <c r="AD264">
        <v>0</v>
      </c>
      <c r="AE264" s="5">
        <v>9</v>
      </c>
      <c r="AF264" t="str">
        <f t="shared" si="30"/>
        <v>6-15</v>
      </c>
      <c r="AG264">
        <v>5</v>
      </c>
      <c r="AH264">
        <v>3</v>
      </c>
      <c r="AI264" s="5">
        <v>6</v>
      </c>
      <c r="AJ264">
        <v>2</v>
      </c>
      <c r="AK264">
        <v>0</v>
      </c>
      <c r="AL264">
        <v>4</v>
      </c>
      <c r="AM264" t="str">
        <f t="shared" si="31"/>
        <v>Below Avg</v>
      </c>
      <c r="AN264" s="21">
        <f t="shared" si="32"/>
        <v>28.37055417700579</v>
      </c>
      <c r="AO264" t="str">
        <f t="shared" ca="1" si="33"/>
        <v>No</v>
      </c>
      <c r="AP264" t="str">
        <f t="shared" si="34"/>
        <v>Low Risk</v>
      </c>
    </row>
    <row r="265" spans="1:42" x14ac:dyDescent="0.3">
      <c r="A265" s="5">
        <v>46</v>
      </c>
      <c r="B265" s="5" t="s">
        <v>43</v>
      </c>
      <c r="C265" s="5" t="str">
        <f t="shared" si="28"/>
        <v>No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 s="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 s="5">
        <v>16872</v>
      </c>
      <c r="U265">
        <v>14977</v>
      </c>
      <c r="V265">
        <v>3</v>
      </c>
      <c r="W265" t="s">
        <v>42</v>
      </c>
      <c r="X265" t="s">
        <v>35</v>
      </c>
      <c r="Y265" t="str">
        <f t="shared" si="29"/>
        <v>Yes</v>
      </c>
      <c r="Z265">
        <v>12</v>
      </c>
      <c r="AA265">
        <v>3</v>
      </c>
      <c r="AB265">
        <v>2</v>
      </c>
      <c r="AC265">
        <v>80</v>
      </c>
      <c r="AD265">
        <v>1</v>
      </c>
      <c r="AE265" s="5">
        <v>28</v>
      </c>
      <c r="AF265" t="str">
        <f t="shared" si="30"/>
        <v>&gt;15</v>
      </c>
      <c r="AG265">
        <v>2</v>
      </c>
      <c r="AH265">
        <v>2</v>
      </c>
      <c r="AI265" s="5">
        <v>7</v>
      </c>
      <c r="AJ265">
        <v>7</v>
      </c>
      <c r="AK265">
        <v>7</v>
      </c>
      <c r="AL265">
        <v>7</v>
      </c>
      <c r="AM265" t="str">
        <f t="shared" si="31"/>
        <v>Ok</v>
      </c>
      <c r="AN265" s="21">
        <f t="shared" si="32"/>
        <v>28.394039735099337</v>
      </c>
      <c r="AO265" t="str">
        <f t="shared" ca="1" si="33"/>
        <v>No</v>
      </c>
      <c r="AP265" t="str">
        <f t="shared" si="34"/>
        <v>Low Risk</v>
      </c>
    </row>
    <row r="266" spans="1:42" x14ac:dyDescent="0.3">
      <c r="A266" s="5">
        <v>28</v>
      </c>
      <c r="B266" s="5" t="s">
        <v>35</v>
      </c>
      <c r="C266" s="5" t="str">
        <f t="shared" si="28"/>
        <v>Yes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 s="5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 s="5">
        <v>3485</v>
      </c>
      <c r="U266">
        <v>14935</v>
      </c>
      <c r="V266">
        <v>2</v>
      </c>
      <c r="W266" t="s">
        <v>42</v>
      </c>
      <c r="X266" t="s">
        <v>43</v>
      </c>
      <c r="Y266" t="str">
        <f t="shared" si="29"/>
        <v>No</v>
      </c>
      <c r="Z266">
        <v>11</v>
      </c>
      <c r="AA266">
        <v>3</v>
      </c>
      <c r="AB266">
        <v>3</v>
      </c>
      <c r="AC266">
        <v>80</v>
      </c>
      <c r="AD266">
        <v>0</v>
      </c>
      <c r="AE266" s="5">
        <v>5</v>
      </c>
      <c r="AF266" t="str">
        <f t="shared" si="30"/>
        <v>0-5</v>
      </c>
      <c r="AG266">
        <v>5</v>
      </c>
      <c r="AH266">
        <v>1</v>
      </c>
      <c r="AI266" s="5">
        <v>0</v>
      </c>
      <c r="AJ266">
        <v>0</v>
      </c>
      <c r="AK266">
        <v>0</v>
      </c>
      <c r="AL266">
        <v>0</v>
      </c>
      <c r="AM266" t="str">
        <f t="shared" si="31"/>
        <v>Below Avg</v>
      </c>
      <c r="AN266" s="21">
        <f t="shared" si="32"/>
        <v>28.417564208782103</v>
      </c>
      <c r="AO266" t="str">
        <f t="shared" ca="1" si="33"/>
        <v>No</v>
      </c>
      <c r="AP266" t="str">
        <f t="shared" si="34"/>
        <v>High Risk</v>
      </c>
    </row>
    <row r="267" spans="1:42" x14ac:dyDescent="0.3">
      <c r="A267" s="5">
        <v>29</v>
      </c>
      <c r="B267" s="5" t="s">
        <v>43</v>
      </c>
      <c r="C267" s="5" t="str">
        <f t="shared" si="28"/>
        <v>No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 s="5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 s="5">
        <v>6644</v>
      </c>
      <c r="U267">
        <v>3687</v>
      </c>
      <c r="V267">
        <v>2</v>
      </c>
      <c r="W267" t="s">
        <v>42</v>
      </c>
      <c r="X267" t="s">
        <v>43</v>
      </c>
      <c r="Y267" t="str">
        <f t="shared" si="29"/>
        <v>No</v>
      </c>
      <c r="Z267">
        <v>19</v>
      </c>
      <c r="AA267">
        <v>3</v>
      </c>
      <c r="AB267">
        <v>2</v>
      </c>
      <c r="AC267">
        <v>80</v>
      </c>
      <c r="AD267">
        <v>2</v>
      </c>
      <c r="AE267" s="5">
        <v>10</v>
      </c>
      <c r="AF267" t="str">
        <f t="shared" si="30"/>
        <v>6-15</v>
      </c>
      <c r="AG267">
        <v>2</v>
      </c>
      <c r="AH267">
        <v>3</v>
      </c>
      <c r="AI267" s="5">
        <v>0</v>
      </c>
      <c r="AJ267">
        <v>0</v>
      </c>
      <c r="AK267">
        <v>0</v>
      </c>
      <c r="AL267">
        <v>0</v>
      </c>
      <c r="AM267" t="str">
        <f t="shared" si="31"/>
        <v>Below Avg</v>
      </c>
      <c r="AN267" s="21">
        <f t="shared" si="32"/>
        <v>28.35820895522388</v>
      </c>
      <c r="AO267" t="str">
        <f t="shared" ca="1" si="33"/>
        <v>No</v>
      </c>
      <c r="AP267" t="str">
        <f t="shared" si="34"/>
        <v>Low Risk</v>
      </c>
    </row>
    <row r="268" spans="1:42" x14ac:dyDescent="0.3">
      <c r="A268" s="5">
        <v>31</v>
      </c>
      <c r="B268" s="5" t="s">
        <v>43</v>
      </c>
      <c r="C268" s="5" t="str">
        <f t="shared" si="28"/>
        <v>No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 s="5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 s="5">
        <v>5582</v>
      </c>
      <c r="U268">
        <v>14408</v>
      </c>
      <c r="V268">
        <v>0</v>
      </c>
      <c r="W268" t="s">
        <v>42</v>
      </c>
      <c r="X268" t="s">
        <v>43</v>
      </c>
      <c r="Y268" t="str">
        <f t="shared" si="29"/>
        <v>No</v>
      </c>
      <c r="Z268">
        <v>21</v>
      </c>
      <c r="AA268">
        <v>4</v>
      </c>
      <c r="AB268">
        <v>2</v>
      </c>
      <c r="AC268">
        <v>80</v>
      </c>
      <c r="AD268">
        <v>1</v>
      </c>
      <c r="AE268" s="5">
        <v>10</v>
      </c>
      <c r="AF268" t="str">
        <f t="shared" si="30"/>
        <v>6-15</v>
      </c>
      <c r="AG268">
        <v>2</v>
      </c>
      <c r="AH268">
        <v>3</v>
      </c>
      <c r="AI268" s="5">
        <v>9</v>
      </c>
      <c r="AJ268">
        <v>0</v>
      </c>
      <c r="AK268">
        <v>7</v>
      </c>
      <c r="AL268">
        <v>8</v>
      </c>
      <c r="AM268" t="str">
        <f t="shared" si="31"/>
        <v>Below Avg</v>
      </c>
      <c r="AN268" s="21">
        <f t="shared" si="32"/>
        <v>28.38174273858921</v>
      </c>
      <c r="AO268" t="str">
        <f t="shared" ca="1" si="33"/>
        <v>No</v>
      </c>
      <c r="AP268" t="str">
        <f t="shared" si="34"/>
        <v>Low Risk</v>
      </c>
    </row>
    <row r="269" spans="1:42" x14ac:dyDescent="0.3">
      <c r="A269" s="5">
        <v>25</v>
      </c>
      <c r="B269" s="5" t="s">
        <v>43</v>
      </c>
      <c r="C269" s="5" t="str">
        <f t="shared" si="28"/>
        <v>No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 s="5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 s="5">
        <v>4000</v>
      </c>
      <c r="U269">
        <v>18384</v>
      </c>
      <c r="V269">
        <v>1</v>
      </c>
      <c r="W269" t="s">
        <v>42</v>
      </c>
      <c r="X269" t="s">
        <v>43</v>
      </c>
      <c r="Y269" t="str">
        <f t="shared" si="29"/>
        <v>No</v>
      </c>
      <c r="Z269">
        <v>12</v>
      </c>
      <c r="AA269">
        <v>3</v>
      </c>
      <c r="AB269">
        <v>4</v>
      </c>
      <c r="AC269">
        <v>80</v>
      </c>
      <c r="AD269">
        <v>2</v>
      </c>
      <c r="AE269" s="5">
        <v>6</v>
      </c>
      <c r="AF269" t="str">
        <f t="shared" si="30"/>
        <v>6-15</v>
      </c>
      <c r="AG269">
        <v>2</v>
      </c>
      <c r="AH269">
        <v>3</v>
      </c>
      <c r="AI269" s="5">
        <v>6</v>
      </c>
      <c r="AJ269">
        <v>3</v>
      </c>
      <c r="AK269">
        <v>1</v>
      </c>
      <c r="AL269">
        <v>5</v>
      </c>
      <c r="AM269" t="str">
        <f t="shared" si="31"/>
        <v>Below Avg</v>
      </c>
      <c r="AN269" s="21">
        <f t="shared" si="32"/>
        <v>28.405315614617937</v>
      </c>
      <c r="AO269" t="str">
        <f t="shared" ca="1" si="33"/>
        <v>No</v>
      </c>
      <c r="AP269" t="str">
        <f t="shared" si="34"/>
        <v>Low Risk</v>
      </c>
    </row>
    <row r="270" spans="1:42" x14ac:dyDescent="0.3">
      <c r="A270" s="5">
        <v>45</v>
      </c>
      <c r="B270" s="5" t="s">
        <v>43</v>
      </c>
      <c r="C270" s="5" t="str">
        <f t="shared" si="28"/>
        <v>No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 s="5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 s="5">
        <v>13496</v>
      </c>
      <c r="U270">
        <v>7501</v>
      </c>
      <c r="V270">
        <v>0</v>
      </c>
      <c r="W270" t="s">
        <v>42</v>
      </c>
      <c r="X270" t="s">
        <v>35</v>
      </c>
      <c r="Y270" t="str">
        <f t="shared" si="29"/>
        <v>Yes</v>
      </c>
      <c r="Z270">
        <v>14</v>
      </c>
      <c r="AA270">
        <v>3</v>
      </c>
      <c r="AB270">
        <v>2</v>
      </c>
      <c r="AC270">
        <v>80</v>
      </c>
      <c r="AD270">
        <v>0</v>
      </c>
      <c r="AE270" s="5">
        <v>21</v>
      </c>
      <c r="AF270" t="str">
        <f t="shared" si="30"/>
        <v>&gt;15</v>
      </c>
      <c r="AG270">
        <v>2</v>
      </c>
      <c r="AH270">
        <v>3</v>
      </c>
      <c r="AI270" s="5">
        <v>20</v>
      </c>
      <c r="AJ270">
        <v>7</v>
      </c>
      <c r="AK270">
        <v>4</v>
      </c>
      <c r="AL270">
        <v>10</v>
      </c>
      <c r="AM270" t="str">
        <f t="shared" si="31"/>
        <v>Ok</v>
      </c>
      <c r="AN270" s="21">
        <f t="shared" si="32"/>
        <v>28.428927680798004</v>
      </c>
      <c r="AO270" t="str">
        <f t="shared" ca="1" si="33"/>
        <v>No</v>
      </c>
      <c r="AP270" t="str">
        <f t="shared" si="34"/>
        <v>Low Risk</v>
      </c>
    </row>
    <row r="271" spans="1:42" x14ac:dyDescent="0.3">
      <c r="A271" s="5">
        <v>36</v>
      </c>
      <c r="B271" s="5" t="s">
        <v>43</v>
      </c>
      <c r="C271" s="5" t="str">
        <f t="shared" si="28"/>
        <v>No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 s="5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 s="5">
        <v>3210</v>
      </c>
      <c r="U271">
        <v>20251</v>
      </c>
      <c r="V271">
        <v>0</v>
      </c>
      <c r="W271" t="s">
        <v>42</v>
      </c>
      <c r="X271" t="s">
        <v>43</v>
      </c>
      <c r="Y271" t="str">
        <f t="shared" si="29"/>
        <v>No</v>
      </c>
      <c r="Z271">
        <v>11</v>
      </c>
      <c r="AA271">
        <v>3</v>
      </c>
      <c r="AB271">
        <v>3</v>
      </c>
      <c r="AC271">
        <v>80</v>
      </c>
      <c r="AD271">
        <v>1</v>
      </c>
      <c r="AE271" s="5">
        <v>16</v>
      </c>
      <c r="AF271" t="str">
        <f t="shared" si="30"/>
        <v>&gt;15</v>
      </c>
      <c r="AG271">
        <v>4</v>
      </c>
      <c r="AH271">
        <v>3</v>
      </c>
      <c r="AI271" s="5">
        <v>15</v>
      </c>
      <c r="AJ271">
        <v>13</v>
      </c>
      <c r="AK271">
        <v>10</v>
      </c>
      <c r="AL271">
        <v>11</v>
      </c>
      <c r="AM271" t="str">
        <f t="shared" si="31"/>
        <v>Below Avg</v>
      </c>
      <c r="AN271" s="21">
        <f t="shared" si="32"/>
        <v>28.452579034941767</v>
      </c>
      <c r="AO271" t="str">
        <f t="shared" ca="1" si="33"/>
        <v>No</v>
      </c>
      <c r="AP271" t="str">
        <f t="shared" si="34"/>
        <v>Low Risk</v>
      </c>
    </row>
    <row r="272" spans="1:42" x14ac:dyDescent="0.3">
      <c r="A272" s="5">
        <v>55</v>
      </c>
      <c r="B272" s="5" t="s">
        <v>43</v>
      </c>
      <c r="C272" s="5" t="str">
        <f t="shared" si="28"/>
        <v>No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 s="5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 s="5">
        <v>19045</v>
      </c>
      <c r="U272">
        <v>18938</v>
      </c>
      <c r="V272">
        <v>0</v>
      </c>
      <c r="W272" t="s">
        <v>42</v>
      </c>
      <c r="X272" t="s">
        <v>35</v>
      </c>
      <c r="Y272" t="str">
        <f t="shared" si="29"/>
        <v>Yes</v>
      </c>
      <c r="Z272">
        <v>14</v>
      </c>
      <c r="AA272">
        <v>3</v>
      </c>
      <c r="AB272">
        <v>3</v>
      </c>
      <c r="AC272">
        <v>80</v>
      </c>
      <c r="AD272">
        <v>0</v>
      </c>
      <c r="AE272" s="5">
        <v>37</v>
      </c>
      <c r="AF272" t="str">
        <f t="shared" si="30"/>
        <v>&gt;15</v>
      </c>
      <c r="AG272">
        <v>2</v>
      </c>
      <c r="AH272">
        <v>3</v>
      </c>
      <c r="AI272" s="5">
        <v>36</v>
      </c>
      <c r="AJ272">
        <v>10</v>
      </c>
      <c r="AK272">
        <v>4</v>
      </c>
      <c r="AL272">
        <v>13</v>
      </c>
      <c r="AM272" t="str">
        <f t="shared" si="31"/>
        <v>Ok</v>
      </c>
      <c r="AN272" s="21">
        <f t="shared" si="32"/>
        <v>28.393005828476269</v>
      </c>
      <c r="AO272" t="str">
        <f t="shared" ca="1" si="33"/>
        <v>No</v>
      </c>
      <c r="AP272" t="str">
        <f t="shared" si="34"/>
        <v>Low Risk</v>
      </c>
    </row>
    <row r="273" spans="1:42" x14ac:dyDescent="0.3">
      <c r="A273" s="5">
        <v>47</v>
      </c>
      <c r="B273" s="5" t="s">
        <v>35</v>
      </c>
      <c r="C273" s="5" t="str">
        <f t="shared" si="28"/>
        <v>Yes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 s="5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 s="5">
        <v>11849</v>
      </c>
      <c r="U273">
        <v>10268</v>
      </c>
      <c r="V273">
        <v>1</v>
      </c>
      <c r="W273" t="s">
        <v>42</v>
      </c>
      <c r="X273" t="s">
        <v>35</v>
      </c>
      <c r="Y273" t="str">
        <f t="shared" si="29"/>
        <v>Yes</v>
      </c>
      <c r="Z273">
        <v>12</v>
      </c>
      <c r="AA273">
        <v>3</v>
      </c>
      <c r="AB273">
        <v>4</v>
      </c>
      <c r="AC273">
        <v>80</v>
      </c>
      <c r="AD273">
        <v>1</v>
      </c>
      <c r="AE273" s="5">
        <v>10</v>
      </c>
      <c r="AF273" t="str">
        <f t="shared" si="30"/>
        <v>6-15</v>
      </c>
      <c r="AG273">
        <v>2</v>
      </c>
      <c r="AH273">
        <v>2</v>
      </c>
      <c r="AI273" s="5">
        <v>10</v>
      </c>
      <c r="AJ273">
        <v>7</v>
      </c>
      <c r="AK273">
        <v>9</v>
      </c>
      <c r="AL273">
        <v>9</v>
      </c>
      <c r="AM273" t="str">
        <f t="shared" si="31"/>
        <v>Ok</v>
      </c>
      <c r="AN273" s="21">
        <f t="shared" si="32"/>
        <v>28.416666666666668</v>
      </c>
      <c r="AO273" t="str">
        <f t="shared" ca="1" si="33"/>
        <v>No</v>
      </c>
      <c r="AP273" t="str">
        <f t="shared" si="34"/>
        <v>Low Risk</v>
      </c>
    </row>
    <row r="274" spans="1:42" x14ac:dyDescent="0.3">
      <c r="A274" s="5">
        <v>28</v>
      </c>
      <c r="B274" s="5" t="s">
        <v>43</v>
      </c>
      <c r="C274" s="5" t="str">
        <f t="shared" si="28"/>
        <v>No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 s="5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 s="5">
        <v>2070</v>
      </c>
      <c r="U274">
        <v>2613</v>
      </c>
      <c r="V274">
        <v>1</v>
      </c>
      <c r="W274" t="s">
        <v>42</v>
      </c>
      <c r="X274" t="s">
        <v>43</v>
      </c>
      <c r="Y274" t="str">
        <f t="shared" si="29"/>
        <v>No</v>
      </c>
      <c r="Z274">
        <v>23</v>
      </c>
      <c r="AA274">
        <v>4</v>
      </c>
      <c r="AB274">
        <v>4</v>
      </c>
      <c r="AC274">
        <v>80</v>
      </c>
      <c r="AD274">
        <v>1</v>
      </c>
      <c r="AE274" s="5">
        <v>5</v>
      </c>
      <c r="AF274" t="str">
        <f t="shared" si="30"/>
        <v>0-5</v>
      </c>
      <c r="AG274">
        <v>3</v>
      </c>
      <c r="AH274">
        <v>2</v>
      </c>
      <c r="AI274" s="5">
        <v>5</v>
      </c>
      <c r="AJ274">
        <v>2</v>
      </c>
      <c r="AK274">
        <v>0</v>
      </c>
      <c r="AL274">
        <v>4</v>
      </c>
      <c r="AM274" t="str">
        <f t="shared" si="31"/>
        <v>Below Avg</v>
      </c>
      <c r="AN274" s="21">
        <f t="shared" si="32"/>
        <v>28.35696413678065</v>
      </c>
      <c r="AO274" t="str">
        <f t="shared" ca="1" si="33"/>
        <v>No</v>
      </c>
      <c r="AP274" t="str">
        <f t="shared" si="34"/>
        <v>Low Risk</v>
      </c>
    </row>
    <row r="275" spans="1:42" x14ac:dyDescent="0.3">
      <c r="A275" s="5">
        <v>37</v>
      </c>
      <c r="B275" s="5" t="s">
        <v>43</v>
      </c>
      <c r="C275" s="5" t="str">
        <f t="shared" si="28"/>
        <v>No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 s="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 s="5">
        <v>6502</v>
      </c>
      <c r="U275">
        <v>22825</v>
      </c>
      <c r="V275">
        <v>4</v>
      </c>
      <c r="W275" t="s">
        <v>42</v>
      </c>
      <c r="X275" t="s">
        <v>43</v>
      </c>
      <c r="Y275" t="str">
        <f t="shared" si="29"/>
        <v>No</v>
      </c>
      <c r="Z275">
        <v>14</v>
      </c>
      <c r="AA275">
        <v>3</v>
      </c>
      <c r="AB275">
        <v>2</v>
      </c>
      <c r="AC275">
        <v>80</v>
      </c>
      <c r="AD275">
        <v>1</v>
      </c>
      <c r="AE275" s="5">
        <v>7</v>
      </c>
      <c r="AF275" t="str">
        <f t="shared" si="30"/>
        <v>6-15</v>
      </c>
      <c r="AG275">
        <v>5</v>
      </c>
      <c r="AH275">
        <v>4</v>
      </c>
      <c r="AI275" s="5">
        <v>5</v>
      </c>
      <c r="AJ275">
        <v>4</v>
      </c>
      <c r="AK275">
        <v>0</v>
      </c>
      <c r="AL275">
        <v>1</v>
      </c>
      <c r="AM275" t="str">
        <f t="shared" si="31"/>
        <v>Below Avg</v>
      </c>
      <c r="AN275" s="21">
        <f t="shared" si="32"/>
        <v>28.297161936560933</v>
      </c>
      <c r="AO275" t="str">
        <f t="shared" ca="1" si="33"/>
        <v>No</v>
      </c>
      <c r="AP275" t="str">
        <f t="shared" si="34"/>
        <v>Low Risk</v>
      </c>
    </row>
    <row r="276" spans="1:42" x14ac:dyDescent="0.3">
      <c r="A276" s="5">
        <v>21</v>
      </c>
      <c r="B276" s="5" t="s">
        <v>43</v>
      </c>
      <c r="C276" s="5" t="str">
        <f t="shared" si="28"/>
        <v>No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 s="5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 s="5">
        <v>3230</v>
      </c>
      <c r="U276">
        <v>10531</v>
      </c>
      <c r="V276">
        <v>1</v>
      </c>
      <c r="W276" t="s">
        <v>42</v>
      </c>
      <c r="X276" t="s">
        <v>43</v>
      </c>
      <c r="Y276" t="str">
        <f t="shared" si="29"/>
        <v>No</v>
      </c>
      <c r="Z276">
        <v>17</v>
      </c>
      <c r="AA276">
        <v>3</v>
      </c>
      <c r="AB276">
        <v>1</v>
      </c>
      <c r="AC276">
        <v>80</v>
      </c>
      <c r="AD276">
        <v>0</v>
      </c>
      <c r="AE276" s="5">
        <v>3</v>
      </c>
      <c r="AF276" t="str">
        <f t="shared" si="30"/>
        <v>0-5</v>
      </c>
      <c r="AG276">
        <v>4</v>
      </c>
      <c r="AH276">
        <v>4</v>
      </c>
      <c r="AI276" s="5">
        <v>3</v>
      </c>
      <c r="AJ276">
        <v>2</v>
      </c>
      <c r="AK276">
        <v>1</v>
      </c>
      <c r="AL276">
        <v>0</v>
      </c>
      <c r="AM276" t="str">
        <f t="shared" si="31"/>
        <v>Below Avg</v>
      </c>
      <c r="AN276" s="21">
        <f t="shared" si="32"/>
        <v>28.320802005012531</v>
      </c>
      <c r="AO276" t="str">
        <f t="shared" ca="1" si="33"/>
        <v>No</v>
      </c>
      <c r="AP276" t="str">
        <f t="shared" si="34"/>
        <v>Low Risk</v>
      </c>
    </row>
    <row r="277" spans="1:42" x14ac:dyDescent="0.3">
      <c r="A277" s="5">
        <v>37</v>
      </c>
      <c r="B277" s="5" t="s">
        <v>43</v>
      </c>
      <c r="C277" s="5" t="str">
        <f t="shared" si="28"/>
        <v>No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 s="5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 s="5">
        <v>13603</v>
      </c>
      <c r="U277">
        <v>11677</v>
      </c>
      <c r="V277">
        <v>2</v>
      </c>
      <c r="W277" t="s">
        <v>42</v>
      </c>
      <c r="X277" t="s">
        <v>35</v>
      </c>
      <c r="Y277" t="str">
        <f t="shared" si="29"/>
        <v>Yes</v>
      </c>
      <c r="Z277">
        <v>18</v>
      </c>
      <c r="AA277">
        <v>3</v>
      </c>
      <c r="AB277">
        <v>1</v>
      </c>
      <c r="AC277">
        <v>80</v>
      </c>
      <c r="AD277">
        <v>2</v>
      </c>
      <c r="AE277" s="5">
        <v>15</v>
      </c>
      <c r="AF277" t="str">
        <f t="shared" si="30"/>
        <v>6-15</v>
      </c>
      <c r="AG277">
        <v>2</v>
      </c>
      <c r="AH277">
        <v>3</v>
      </c>
      <c r="AI277" s="5">
        <v>5</v>
      </c>
      <c r="AJ277">
        <v>2</v>
      </c>
      <c r="AK277">
        <v>0</v>
      </c>
      <c r="AL277">
        <v>2</v>
      </c>
      <c r="AM277" t="str">
        <f t="shared" si="31"/>
        <v>Ok</v>
      </c>
      <c r="AN277" s="21">
        <f t="shared" si="32"/>
        <v>28.34448160535117</v>
      </c>
      <c r="AO277" t="str">
        <f t="shared" ca="1" si="33"/>
        <v>No</v>
      </c>
      <c r="AP277" t="str">
        <f t="shared" si="34"/>
        <v>Low Risk</v>
      </c>
    </row>
    <row r="278" spans="1:42" x14ac:dyDescent="0.3">
      <c r="A278" s="5">
        <v>35</v>
      </c>
      <c r="B278" s="5" t="s">
        <v>43</v>
      </c>
      <c r="C278" s="5" t="str">
        <f t="shared" si="28"/>
        <v>No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 s="5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 s="5">
        <v>11996</v>
      </c>
      <c r="U278">
        <v>19100</v>
      </c>
      <c r="V278">
        <v>7</v>
      </c>
      <c r="W278" t="s">
        <v>42</v>
      </c>
      <c r="X278" t="s">
        <v>43</v>
      </c>
      <c r="Y278" t="str">
        <f t="shared" si="29"/>
        <v>No</v>
      </c>
      <c r="Z278">
        <v>18</v>
      </c>
      <c r="AA278">
        <v>3</v>
      </c>
      <c r="AB278">
        <v>2</v>
      </c>
      <c r="AC278">
        <v>80</v>
      </c>
      <c r="AD278">
        <v>1</v>
      </c>
      <c r="AE278" s="5">
        <v>10</v>
      </c>
      <c r="AF278" t="str">
        <f t="shared" si="30"/>
        <v>6-15</v>
      </c>
      <c r="AG278">
        <v>6</v>
      </c>
      <c r="AH278">
        <v>2</v>
      </c>
      <c r="AI278" s="5">
        <v>7</v>
      </c>
      <c r="AJ278">
        <v>7</v>
      </c>
      <c r="AK278">
        <v>6</v>
      </c>
      <c r="AL278">
        <v>2</v>
      </c>
      <c r="AM278" t="str">
        <f t="shared" si="31"/>
        <v>Ok</v>
      </c>
      <c r="AN278" s="21">
        <f t="shared" si="32"/>
        <v>28.368200836820083</v>
      </c>
      <c r="AO278" t="str">
        <f t="shared" ca="1" si="33"/>
        <v>No</v>
      </c>
      <c r="AP278" t="str">
        <f t="shared" si="34"/>
        <v>Low Risk</v>
      </c>
    </row>
    <row r="279" spans="1:42" x14ac:dyDescent="0.3">
      <c r="A279" s="5">
        <v>38</v>
      </c>
      <c r="B279" s="5" t="s">
        <v>43</v>
      </c>
      <c r="C279" s="5" t="str">
        <f t="shared" si="28"/>
        <v>No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 s="5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 s="5">
        <v>5605</v>
      </c>
      <c r="U279">
        <v>19191</v>
      </c>
      <c r="V279">
        <v>1</v>
      </c>
      <c r="W279" t="s">
        <v>42</v>
      </c>
      <c r="X279" t="s">
        <v>35</v>
      </c>
      <c r="Y279" t="str">
        <f t="shared" si="29"/>
        <v>Yes</v>
      </c>
      <c r="Z279">
        <v>24</v>
      </c>
      <c r="AA279">
        <v>4</v>
      </c>
      <c r="AB279">
        <v>3</v>
      </c>
      <c r="AC279">
        <v>80</v>
      </c>
      <c r="AD279">
        <v>1</v>
      </c>
      <c r="AE279" s="5">
        <v>8</v>
      </c>
      <c r="AF279" t="str">
        <f t="shared" si="30"/>
        <v>6-15</v>
      </c>
      <c r="AG279">
        <v>3</v>
      </c>
      <c r="AH279">
        <v>3</v>
      </c>
      <c r="AI279" s="5">
        <v>8</v>
      </c>
      <c r="AJ279">
        <v>0</v>
      </c>
      <c r="AK279">
        <v>7</v>
      </c>
      <c r="AL279">
        <v>7</v>
      </c>
      <c r="AM279" t="str">
        <f t="shared" si="31"/>
        <v>Below Avg</v>
      </c>
      <c r="AN279" s="21">
        <f t="shared" si="32"/>
        <v>28.308207705192629</v>
      </c>
      <c r="AO279" t="str">
        <f t="shared" ca="1" si="33"/>
        <v>No</v>
      </c>
      <c r="AP279" t="str">
        <f t="shared" si="34"/>
        <v>Low Risk</v>
      </c>
    </row>
    <row r="280" spans="1:42" x14ac:dyDescent="0.3">
      <c r="A280" s="5">
        <v>26</v>
      </c>
      <c r="B280" s="5" t="s">
        <v>43</v>
      </c>
      <c r="C280" s="5" t="str">
        <f t="shared" si="28"/>
        <v>No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 s="5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 s="5">
        <v>6397</v>
      </c>
      <c r="U280">
        <v>26767</v>
      </c>
      <c r="V280">
        <v>1</v>
      </c>
      <c r="W280" t="s">
        <v>42</v>
      </c>
      <c r="X280" t="s">
        <v>43</v>
      </c>
      <c r="Y280" t="str">
        <f t="shared" si="29"/>
        <v>No</v>
      </c>
      <c r="Z280">
        <v>20</v>
      </c>
      <c r="AA280">
        <v>4</v>
      </c>
      <c r="AB280">
        <v>1</v>
      </c>
      <c r="AC280">
        <v>80</v>
      </c>
      <c r="AD280">
        <v>1</v>
      </c>
      <c r="AE280" s="5">
        <v>6</v>
      </c>
      <c r="AF280" t="str">
        <f t="shared" si="30"/>
        <v>6-15</v>
      </c>
      <c r="AG280">
        <v>6</v>
      </c>
      <c r="AH280">
        <v>1</v>
      </c>
      <c r="AI280" s="5">
        <v>6</v>
      </c>
      <c r="AJ280">
        <v>5</v>
      </c>
      <c r="AK280">
        <v>1</v>
      </c>
      <c r="AL280">
        <v>4</v>
      </c>
      <c r="AM280" t="str">
        <f t="shared" si="31"/>
        <v>Ok</v>
      </c>
      <c r="AN280" s="21">
        <f t="shared" si="32"/>
        <v>28.331936295054483</v>
      </c>
      <c r="AO280" t="str">
        <f t="shared" ca="1" si="33"/>
        <v>No</v>
      </c>
      <c r="AP280" t="str">
        <f t="shared" si="34"/>
        <v>Low Risk</v>
      </c>
    </row>
    <row r="281" spans="1:42" x14ac:dyDescent="0.3">
      <c r="A281" s="5">
        <v>50</v>
      </c>
      <c r="B281" s="5" t="s">
        <v>43</v>
      </c>
      <c r="C281" s="5" t="str">
        <f t="shared" si="28"/>
        <v>No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 s="5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 s="5">
        <v>19144</v>
      </c>
      <c r="U281">
        <v>15815</v>
      </c>
      <c r="V281">
        <v>3</v>
      </c>
      <c r="W281" t="s">
        <v>42</v>
      </c>
      <c r="X281" t="s">
        <v>43</v>
      </c>
      <c r="Y281" t="str">
        <f t="shared" si="29"/>
        <v>No</v>
      </c>
      <c r="Z281">
        <v>14</v>
      </c>
      <c r="AA281">
        <v>3</v>
      </c>
      <c r="AB281">
        <v>1</v>
      </c>
      <c r="AC281">
        <v>80</v>
      </c>
      <c r="AD281">
        <v>2</v>
      </c>
      <c r="AE281" s="5">
        <v>28</v>
      </c>
      <c r="AF281" t="str">
        <f t="shared" si="30"/>
        <v>&gt;15</v>
      </c>
      <c r="AG281">
        <v>4</v>
      </c>
      <c r="AH281">
        <v>2</v>
      </c>
      <c r="AI281" s="5">
        <v>10</v>
      </c>
      <c r="AJ281">
        <v>4</v>
      </c>
      <c r="AK281">
        <v>1</v>
      </c>
      <c r="AL281">
        <v>6</v>
      </c>
      <c r="AM281" t="str">
        <f t="shared" si="31"/>
        <v>Ok</v>
      </c>
      <c r="AN281" s="21">
        <f t="shared" si="32"/>
        <v>28.271812080536911</v>
      </c>
      <c r="AO281" t="str">
        <f t="shared" ca="1" si="33"/>
        <v>No</v>
      </c>
      <c r="AP281" t="str">
        <f t="shared" si="34"/>
        <v>Low Risk</v>
      </c>
    </row>
    <row r="282" spans="1:42" x14ac:dyDescent="0.3">
      <c r="A282" s="5">
        <v>53</v>
      </c>
      <c r="B282" s="5" t="s">
        <v>43</v>
      </c>
      <c r="C282" s="5" t="str">
        <f t="shared" si="28"/>
        <v>No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 s="5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 s="5">
        <v>17584</v>
      </c>
      <c r="U282">
        <v>21016</v>
      </c>
      <c r="V282">
        <v>3</v>
      </c>
      <c r="W282" t="s">
        <v>42</v>
      </c>
      <c r="X282" t="s">
        <v>35</v>
      </c>
      <c r="Y282" t="str">
        <f t="shared" si="29"/>
        <v>Yes</v>
      </c>
      <c r="Z282">
        <v>16</v>
      </c>
      <c r="AA282">
        <v>3</v>
      </c>
      <c r="AB282">
        <v>4</v>
      </c>
      <c r="AC282">
        <v>80</v>
      </c>
      <c r="AD282">
        <v>3</v>
      </c>
      <c r="AE282" s="5">
        <v>21</v>
      </c>
      <c r="AF282" t="str">
        <f t="shared" si="30"/>
        <v>&gt;15</v>
      </c>
      <c r="AG282">
        <v>5</v>
      </c>
      <c r="AH282">
        <v>2</v>
      </c>
      <c r="AI282" s="5">
        <v>5</v>
      </c>
      <c r="AJ282">
        <v>3</v>
      </c>
      <c r="AK282">
        <v>1</v>
      </c>
      <c r="AL282">
        <v>3</v>
      </c>
      <c r="AM282" t="str">
        <f t="shared" si="31"/>
        <v>Ok</v>
      </c>
      <c r="AN282" s="21">
        <f t="shared" si="32"/>
        <v>28.295549958018473</v>
      </c>
      <c r="AO282" t="str">
        <f t="shared" ca="1" si="33"/>
        <v>No</v>
      </c>
      <c r="AP282" t="str">
        <f t="shared" si="34"/>
        <v>Low Risk</v>
      </c>
    </row>
    <row r="283" spans="1:42" x14ac:dyDescent="0.3">
      <c r="A283" s="5">
        <v>42</v>
      </c>
      <c r="B283" s="5" t="s">
        <v>43</v>
      </c>
      <c r="C283" s="5" t="str">
        <f t="shared" si="28"/>
        <v>No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 s="5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 s="5">
        <v>4907</v>
      </c>
      <c r="U283">
        <v>24532</v>
      </c>
      <c r="V283">
        <v>1</v>
      </c>
      <c r="W283" t="s">
        <v>42</v>
      </c>
      <c r="X283" t="s">
        <v>43</v>
      </c>
      <c r="Y283" t="str">
        <f t="shared" si="29"/>
        <v>No</v>
      </c>
      <c r="Z283">
        <v>25</v>
      </c>
      <c r="AA283">
        <v>4</v>
      </c>
      <c r="AB283">
        <v>3</v>
      </c>
      <c r="AC283">
        <v>80</v>
      </c>
      <c r="AD283">
        <v>0</v>
      </c>
      <c r="AE283" s="5">
        <v>20</v>
      </c>
      <c r="AF283" t="str">
        <f t="shared" si="30"/>
        <v>&gt;15</v>
      </c>
      <c r="AG283">
        <v>3</v>
      </c>
      <c r="AH283">
        <v>3</v>
      </c>
      <c r="AI283" s="5">
        <v>20</v>
      </c>
      <c r="AJ283">
        <v>16</v>
      </c>
      <c r="AK283">
        <v>11</v>
      </c>
      <c r="AL283">
        <v>6</v>
      </c>
      <c r="AM283" t="str">
        <f t="shared" si="31"/>
        <v>Below Avg</v>
      </c>
      <c r="AN283" s="21">
        <f t="shared" si="32"/>
        <v>28.319327731092436</v>
      </c>
      <c r="AO283" t="str">
        <f t="shared" ca="1" si="33"/>
        <v>No</v>
      </c>
      <c r="AP283" t="str">
        <f t="shared" si="34"/>
        <v>Low Risk</v>
      </c>
    </row>
    <row r="284" spans="1:42" x14ac:dyDescent="0.3">
      <c r="A284" s="5">
        <v>29</v>
      </c>
      <c r="B284" s="5" t="s">
        <v>43</v>
      </c>
      <c r="C284" s="5" t="str">
        <f t="shared" si="28"/>
        <v>No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 s="5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 s="5">
        <v>4554</v>
      </c>
      <c r="U284">
        <v>20260</v>
      </c>
      <c r="V284">
        <v>1</v>
      </c>
      <c r="W284" t="s">
        <v>42</v>
      </c>
      <c r="X284" t="s">
        <v>43</v>
      </c>
      <c r="Y284" t="str">
        <f t="shared" si="29"/>
        <v>No</v>
      </c>
      <c r="Z284">
        <v>18</v>
      </c>
      <c r="AA284">
        <v>3</v>
      </c>
      <c r="AB284">
        <v>1</v>
      </c>
      <c r="AC284">
        <v>80</v>
      </c>
      <c r="AD284">
        <v>0</v>
      </c>
      <c r="AE284" s="5">
        <v>10</v>
      </c>
      <c r="AF284" t="str">
        <f t="shared" si="30"/>
        <v>6-15</v>
      </c>
      <c r="AG284">
        <v>3</v>
      </c>
      <c r="AH284">
        <v>2</v>
      </c>
      <c r="AI284" s="5">
        <v>10</v>
      </c>
      <c r="AJ284">
        <v>7</v>
      </c>
      <c r="AK284">
        <v>0</v>
      </c>
      <c r="AL284">
        <v>9</v>
      </c>
      <c r="AM284" t="str">
        <f t="shared" si="31"/>
        <v>Below Avg</v>
      </c>
      <c r="AN284" s="21">
        <f t="shared" si="32"/>
        <v>28.259041211101767</v>
      </c>
      <c r="AO284" t="str">
        <f t="shared" ca="1" si="33"/>
        <v>No</v>
      </c>
      <c r="AP284" t="str">
        <f t="shared" si="34"/>
        <v>Low Risk</v>
      </c>
    </row>
    <row r="285" spans="1:42" x14ac:dyDescent="0.3">
      <c r="A285" s="5">
        <v>55</v>
      </c>
      <c r="B285" s="5" t="s">
        <v>43</v>
      </c>
      <c r="C285" s="5" t="str">
        <f t="shared" si="28"/>
        <v>No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 s="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 s="5">
        <v>5415</v>
      </c>
      <c r="U285">
        <v>15972</v>
      </c>
      <c r="V285">
        <v>3</v>
      </c>
      <c r="W285" t="s">
        <v>42</v>
      </c>
      <c r="X285" t="s">
        <v>35</v>
      </c>
      <c r="Y285" t="str">
        <f t="shared" si="29"/>
        <v>Yes</v>
      </c>
      <c r="Z285">
        <v>19</v>
      </c>
      <c r="AA285">
        <v>3</v>
      </c>
      <c r="AB285">
        <v>4</v>
      </c>
      <c r="AC285">
        <v>80</v>
      </c>
      <c r="AD285">
        <v>1</v>
      </c>
      <c r="AE285" s="5">
        <v>12</v>
      </c>
      <c r="AF285" t="str">
        <f t="shared" si="30"/>
        <v>6-15</v>
      </c>
      <c r="AG285">
        <v>4</v>
      </c>
      <c r="AH285">
        <v>3</v>
      </c>
      <c r="AI285" s="5">
        <v>10</v>
      </c>
      <c r="AJ285">
        <v>7</v>
      </c>
      <c r="AK285">
        <v>0</v>
      </c>
      <c r="AL285">
        <v>8</v>
      </c>
      <c r="AM285" t="str">
        <f t="shared" si="31"/>
        <v>Below Avg</v>
      </c>
      <c r="AN285" s="21">
        <f t="shared" si="32"/>
        <v>28.28282828282828</v>
      </c>
      <c r="AO285" t="str">
        <f t="shared" ca="1" si="33"/>
        <v>No</v>
      </c>
      <c r="AP285" t="str">
        <f t="shared" si="34"/>
        <v>Low Risk</v>
      </c>
    </row>
    <row r="286" spans="1:42" x14ac:dyDescent="0.3">
      <c r="A286" s="5">
        <v>26</v>
      </c>
      <c r="B286" s="5" t="s">
        <v>43</v>
      </c>
      <c r="C286" s="5" t="str">
        <f t="shared" si="28"/>
        <v>No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 s="5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 s="5">
        <v>4741</v>
      </c>
      <c r="U286">
        <v>22722</v>
      </c>
      <c r="V286">
        <v>1</v>
      </c>
      <c r="W286" t="s">
        <v>42</v>
      </c>
      <c r="X286" t="s">
        <v>35</v>
      </c>
      <c r="Y286" t="str">
        <f t="shared" si="29"/>
        <v>Yes</v>
      </c>
      <c r="Z286">
        <v>13</v>
      </c>
      <c r="AA286">
        <v>3</v>
      </c>
      <c r="AB286">
        <v>3</v>
      </c>
      <c r="AC286">
        <v>80</v>
      </c>
      <c r="AD286">
        <v>1</v>
      </c>
      <c r="AE286" s="5">
        <v>5</v>
      </c>
      <c r="AF286" t="str">
        <f t="shared" si="30"/>
        <v>0-5</v>
      </c>
      <c r="AG286">
        <v>3</v>
      </c>
      <c r="AH286">
        <v>3</v>
      </c>
      <c r="AI286" s="5">
        <v>5</v>
      </c>
      <c r="AJ286">
        <v>3</v>
      </c>
      <c r="AK286">
        <v>3</v>
      </c>
      <c r="AL286">
        <v>3</v>
      </c>
      <c r="AM286" t="str">
        <f t="shared" si="31"/>
        <v>Below Avg</v>
      </c>
      <c r="AN286" s="21">
        <f t="shared" si="32"/>
        <v>28.30665543386689</v>
      </c>
      <c r="AO286" t="str">
        <f t="shared" ca="1" si="33"/>
        <v>No</v>
      </c>
      <c r="AP286" t="str">
        <f t="shared" si="34"/>
        <v>Low Risk</v>
      </c>
    </row>
    <row r="287" spans="1:42" x14ac:dyDescent="0.3">
      <c r="A287" s="5">
        <v>37</v>
      </c>
      <c r="B287" s="5" t="s">
        <v>43</v>
      </c>
      <c r="C287" s="5" t="str">
        <f t="shared" si="28"/>
        <v>No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 s="5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 s="5">
        <v>2115</v>
      </c>
      <c r="U287">
        <v>15881</v>
      </c>
      <c r="V287">
        <v>1</v>
      </c>
      <c r="W287" t="s">
        <v>42</v>
      </c>
      <c r="X287" t="s">
        <v>43</v>
      </c>
      <c r="Y287" t="str">
        <f t="shared" si="29"/>
        <v>No</v>
      </c>
      <c r="Z287">
        <v>12</v>
      </c>
      <c r="AA287">
        <v>3</v>
      </c>
      <c r="AB287">
        <v>2</v>
      </c>
      <c r="AC287">
        <v>80</v>
      </c>
      <c r="AD287">
        <v>0</v>
      </c>
      <c r="AE287" s="5">
        <v>17</v>
      </c>
      <c r="AF287" t="str">
        <f t="shared" si="30"/>
        <v>&gt;15</v>
      </c>
      <c r="AG287">
        <v>3</v>
      </c>
      <c r="AH287">
        <v>3</v>
      </c>
      <c r="AI287" s="5">
        <v>17</v>
      </c>
      <c r="AJ287">
        <v>12</v>
      </c>
      <c r="AK287">
        <v>5</v>
      </c>
      <c r="AL287">
        <v>7</v>
      </c>
      <c r="AM287" t="str">
        <f t="shared" si="31"/>
        <v>Below Avg</v>
      </c>
      <c r="AN287" s="21">
        <f t="shared" si="32"/>
        <v>28.246205733558178</v>
      </c>
      <c r="AO287" t="str">
        <f t="shared" ca="1" si="33"/>
        <v>No</v>
      </c>
      <c r="AP287" t="str">
        <f t="shared" si="34"/>
        <v>Low Risk</v>
      </c>
    </row>
    <row r="288" spans="1:42" x14ac:dyDescent="0.3">
      <c r="A288" s="5">
        <v>44</v>
      </c>
      <c r="B288" s="5" t="s">
        <v>35</v>
      </c>
      <c r="C288" s="5" t="str">
        <f t="shared" si="28"/>
        <v>Yes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 s="5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 s="5">
        <v>3161</v>
      </c>
      <c r="U288">
        <v>19920</v>
      </c>
      <c r="V288">
        <v>3</v>
      </c>
      <c r="W288" t="s">
        <v>42</v>
      </c>
      <c r="X288" t="s">
        <v>35</v>
      </c>
      <c r="Y288" t="str">
        <f t="shared" si="29"/>
        <v>Yes</v>
      </c>
      <c r="Z288">
        <v>22</v>
      </c>
      <c r="AA288">
        <v>4</v>
      </c>
      <c r="AB288">
        <v>4</v>
      </c>
      <c r="AC288">
        <v>80</v>
      </c>
      <c r="AD288">
        <v>1</v>
      </c>
      <c r="AE288" s="5">
        <v>19</v>
      </c>
      <c r="AF288" t="str">
        <f t="shared" si="30"/>
        <v>&gt;15</v>
      </c>
      <c r="AG288">
        <v>0</v>
      </c>
      <c r="AH288">
        <v>1</v>
      </c>
      <c r="AI288" s="5">
        <v>1</v>
      </c>
      <c r="AJ288">
        <v>0</v>
      </c>
      <c r="AK288">
        <v>0</v>
      </c>
      <c r="AL288">
        <v>0</v>
      </c>
      <c r="AM288" t="str">
        <f t="shared" si="31"/>
        <v>Below Avg</v>
      </c>
      <c r="AN288" s="21">
        <f t="shared" si="32"/>
        <v>28.185654008438821</v>
      </c>
      <c r="AO288" t="str">
        <f t="shared" ca="1" si="33"/>
        <v>No</v>
      </c>
      <c r="AP288" t="str">
        <f t="shared" si="34"/>
        <v>High Risk</v>
      </c>
    </row>
    <row r="289" spans="1:42" x14ac:dyDescent="0.3">
      <c r="A289" s="5">
        <v>38</v>
      </c>
      <c r="B289" s="5" t="s">
        <v>43</v>
      </c>
      <c r="C289" s="5" t="str">
        <f t="shared" si="28"/>
        <v>No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 s="5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 s="5">
        <v>5745</v>
      </c>
      <c r="U289">
        <v>18899</v>
      </c>
      <c r="V289">
        <v>9</v>
      </c>
      <c r="W289" t="s">
        <v>42</v>
      </c>
      <c r="X289" t="s">
        <v>43</v>
      </c>
      <c r="Y289" t="str">
        <f t="shared" si="29"/>
        <v>No</v>
      </c>
      <c r="Z289">
        <v>14</v>
      </c>
      <c r="AA289">
        <v>3</v>
      </c>
      <c r="AB289">
        <v>2</v>
      </c>
      <c r="AC289">
        <v>80</v>
      </c>
      <c r="AD289">
        <v>1</v>
      </c>
      <c r="AE289" s="5">
        <v>10</v>
      </c>
      <c r="AF289" t="str">
        <f t="shared" si="30"/>
        <v>6-15</v>
      </c>
      <c r="AG289">
        <v>2</v>
      </c>
      <c r="AH289">
        <v>3</v>
      </c>
      <c r="AI289" s="5">
        <v>2</v>
      </c>
      <c r="AJ289">
        <v>2</v>
      </c>
      <c r="AK289">
        <v>1</v>
      </c>
      <c r="AL289">
        <v>2</v>
      </c>
      <c r="AM289" t="str">
        <f t="shared" si="31"/>
        <v>Below Avg</v>
      </c>
      <c r="AN289" s="21">
        <f t="shared" si="32"/>
        <v>28.209459459459456</v>
      </c>
      <c r="AO289" t="str">
        <f t="shared" ca="1" si="33"/>
        <v>No</v>
      </c>
      <c r="AP289" t="str">
        <f t="shared" si="34"/>
        <v>Low Risk</v>
      </c>
    </row>
    <row r="290" spans="1:42" x14ac:dyDescent="0.3">
      <c r="A290" s="5">
        <v>26</v>
      </c>
      <c r="B290" s="5" t="s">
        <v>35</v>
      </c>
      <c r="C290" s="5" t="str">
        <f t="shared" si="28"/>
        <v>Yes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 s="5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 s="5">
        <v>2373</v>
      </c>
      <c r="U290">
        <v>14180</v>
      </c>
      <c r="V290">
        <v>2</v>
      </c>
      <c r="W290" t="s">
        <v>42</v>
      </c>
      <c r="X290" t="s">
        <v>35</v>
      </c>
      <c r="Y290" t="str">
        <f t="shared" si="29"/>
        <v>Yes</v>
      </c>
      <c r="Z290">
        <v>13</v>
      </c>
      <c r="AA290">
        <v>3</v>
      </c>
      <c r="AB290">
        <v>4</v>
      </c>
      <c r="AC290">
        <v>80</v>
      </c>
      <c r="AD290">
        <v>1</v>
      </c>
      <c r="AE290" s="5">
        <v>5</v>
      </c>
      <c r="AF290" t="str">
        <f t="shared" si="30"/>
        <v>0-5</v>
      </c>
      <c r="AG290">
        <v>2</v>
      </c>
      <c r="AH290">
        <v>3</v>
      </c>
      <c r="AI290" s="5">
        <v>3</v>
      </c>
      <c r="AJ290">
        <v>2</v>
      </c>
      <c r="AK290">
        <v>0</v>
      </c>
      <c r="AL290">
        <v>2</v>
      </c>
      <c r="AM290" t="str">
        <f t="shared" si="31"/>
        <v>Below Avg</v>
      </c>
      <c r="AN290" s="21">
        <f t="shared" si="32"/>
        <v>28.148774302620456</v>
      </c>
      <c r="AO290" t="str">
        <f t="shared" ca="1" si="33"/>
        <v>No</v>
      </c>
      <c r="AP290" t="str">
        <f t="shared" si="34"/>
        <v>Low Risk</v>
      </c>
    </row>
    <row r="291" spans="1:42" x14ac:dyDescent="0.3">
      <c r="A291" s="5">
        <v>28</v>
      </c>
      <c r="B291" s="5" t="s">
        <v>43</v>
      </c>
      <c r="C291" s="5" t="str">
        <f t="shared" si="28"/>
        <v>No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 s="5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 s="5">
        <v>3310</v>
      </c>
      <c r="U291">
        <v>4488</v>
      </c>
      <c r="V291">
        <v>1</v>
      </c>
      <c r="W291" t="s">
        <v>42</v>
      </c>
      <c r="X291" t="s">
        <v>43</v>
      </c>
      <c r="Y291" t="str">
        <f t="shared" si="29"/>
        <v>No</v>
      </c>
      <c r="Z291">
        <v>21</v>
      </c>
      <c r="AA291">
        <v>4</v>
      </c>
      <c r="AB291">
        <v>4</v>
      </c>
      <c r="AC291">
        <v>80</v>
      </c>
      <c r="AD291">
        <v>0</v>
      </c>
      <c r="AE291" s="5">
        <v>5</v>
      </c>
      <c r="AF291" t="str">
        <f t="shared" si="30"/>
        <v>0-5</v>
      </c>
      <c r="AG291">
        <v>3</v>
      </c>
      <c r="AH291">
        <v>3</v>
      </c>
      <c r="AI291" s="5">
        <v>5</v>
      </c>
      <c r="AJ291">
        <v>3</v>
      </c>
      <c r="AK291">
        <v>0</v>
      </c>
      <c r="AL291">
        <v>2</v>
      </c>
      <c r="AM291" t="str">
        <f t="shared" si="31"/>
        <v>Below Avg</v>
      </c>
      <c r="AN291" s="21">
        <f t="shared" si="32"/>
        <v>28.17258883248731</v>
      </c>
      <c r="AO291" t="str">
        <f t="shared" ca="1" si="33"/>
        <v>No</v>
      </c>
      <c r="AP291" t="str">
        <f t="shared" si="34"/>
        <v>Low Risk</v>
      </c>
    </row>
    <row r="292" spans="1:42" x14ac:dyDescent="0.3">
      <c r="A292" s="5">
        <v>49</v>
      </c>
      <c r="B292" s="5" t="s">
        <v>43</v>
      </c>
      <c r="C292" s="5" t="str">
        <f t="shared" si="28"/>
        <v>No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 s="5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 s="5">
        <v>18665</v>
      </c>
      <c r="U292">
        <v>25594</v>
      </c>
      <c r="V292">
        <v>9</v>
      </c>
      <c r="W292" t="s">
        <v>42</v>
      </c>
      <c r="X292" t="s">
        <v>35</v>
      </c>
      <c r="Y292" t="str">
        <f t="shared" si="29"/>
        <v>Yes</v>
      </c>
      <c r="Z292">
        <v>11</v>
      </c>
      <c r="AA292">
        <v>3</v>
      </c>
      <c r="AB292">
        <v>4</v>
      </c>
      <c r="AC292">
        <v>80</v>
      </c>
      <c r="AD292">
        <v>0</v>
      </c>
      <c r="AE292" s="5">
        <v>22</v>
      </c>
      <c r="AF292" t="str">
        <f t="shared" si="30"/>
        <v>&gt;15</v>
      </c>
      <c r="AG292">
        <v>4</v>
      </c>
      <c r="AH292">
        <v>3</v>
      </c>
      <c r="AI292" s="5">
        <v>3</v>
      </c>
      <c r="AJ292">
        <v>2</v>
      </c>
      <c r="AK292">
        <v>1</v>
      </c>
      <c r="AL292">
        <v>2</v>
      </c>
      <c r="AM292" t="str">
        <f t="shared" si="31"/>
        <v>Ok</v>
      </c>
      <c r="AN292" s="21">
        <f t="shared" si="32"/>
        <v>28.111769686706182</v>
      </c>
      <c r="AO292" t="str">
        <f t="shared" ca="1" si="33"/>
        <v>No</v>
      </c>
      <c r="AP292" t="str">
        <f t="shared" si="34"/>
        <v>Low Risk</v>
      </c>
    </row>
    <row r="293" spans="1:42" x14ac:dyDescent="0.3">
      <c r="A293" s="5">
        <v>36</v>
      </c>
      <c r="B293" s="5" t="s">
        <v>43</v>
      </c>
      <c r="C293" s="5" t="str">
        <f t="shared" si="28"/>
        <v>No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 s="5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 s="5">
        <v>4485</v>
      </c>
      <c r="U293">
        <v>26285</v>
      </c>
      <c r="V293">
        <v>4</v>
      </c>
      <c r="W293" t="s">
        <v>42</v>
      </c>
      <c r="X293" t="s">
        <v>43</v>
      </c>
      <c r="Y293" t="str">
        <f t="shared" si="29"/>
        <v>No</v>
      </c>
      <c r="Z293">
        <v>12</v>
      </c>
      <c r="AA293">
        <v>3</v>
      </c>
      <c r="AB293">
        <v>4</v>
      </c>
      <c r="AC293">
        <v>80</v>
      </c>
      <c r="AD293">
        <v>0</v>
      </c>
      <c r="AE293" s="5">
        <v>10</v>
      </c>
      <c r="AF293" t="str">
        <f t="shared" si="30"/>
        <v>6-15</v>
      </c>
      <c r="AG293">
        <v>2</v>
      </c>
      <c r="AH293">
        <v>3</v>
      </c>
      <c r="AI293" s="5">
        <v>8</v>
      </c>
      <c r="AJ293">
        <v>0</v>
      </c>
      <c r="AK293">
        <v>7</v>
      </c>
      <c r="AL293">
        <v>7</v>
      </c>
      <c r="AM293" t="str">
        <f t="shared" si="31"/>
        <v>Below Avg</v>
      </c>
      <c r="AN293" s="21">
        <f t="shared" si="32"/>
        <v>28.135593220338983</v>
      </c>
      <c r="AO293" t="str">
        <f t="shared" ca="1" si="33"/>
        <v>No</v>
      </c>
      <c r="AP293" t="str">
        <f t="shared" si="34"/>
        <v>Low Risk</v>
      </c>
    </row>
    <row r="294" spans="1:42" x14ac:dyDescent="0.3">
      <c r="A294" s="5">
        <v>31</v>
      </c>
      <c r="B294" s="5" t="s">
        <v>43</v>
      </c>
      <c r="C294" s="5" t="str">
        <f t="shared" si="28"/>
        <v>No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 s="5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 s="5">
        <v>2789</v>
      </c>
      <c r="U294">
        <v>3909</v>
      </c>
      <c r="V294">
        <v>1</v>
      </c>
      <c r="W294" t="s">
        <v>42</v>
      </c>
      <c r="X294" t="s">
        <v>43</v>
      </c>
      <c r="Y294" t="str">
        <f t="shared" si="29"/>
        <v>No</v>
      </c>
      <c r="Z294">
        <v>11</v>
      </c>
      <c r="AA294">
        <v>3</v>
      </c>
      <c r="AB294">
        <v>3</v>
      </c>
      <c r="AC294">
        <v>80</v>
      </c>
      <c r="AD294">
        <v>1</v>
      </c>
      <c r="AE294" s="5">
        <v>2</v>
      </c>
      <c r="AF294" t="str">
        <f t="shared" si="30"/>
        <v>0-5</v>
      </c>
      <c r="AG294">
        <v>5</v>
      </c>
      <c r="AH294">
        <v>2</v>
      </c>
      <c r="AI294" s="5">
        <v>2</v>
      </c>
      <c r="AJ294">
        <v>2</v>
      </c>
      <c r="AK294">
        <v>2</v>
      </c>
      <c r="AL294">
        <v>2</v>
      </c>
      <c r="AM294" t="str">
        <f t="shared" si="31"/>
        <v>Below Avg</v>
      </c>
      <c r="AN294" s="21">
        <f t="shared" si="32"/>
        <v>28.074639525021205</v>
      </c>
      <c r="AO294" t="str">
        <f t="shared" ca="1" si="33"/>
        <v>No</v>
      </c>
      <c r="AP294" t="str">
        <f t="shared" si="34"/>
        <v>Low Risk</v>
      </c>
    </row>
    <row r="295" spans="1:42" x14ac:dyDescent="0.3">
      <c r="A295" s="5">
        <v>26</v>
      </c>
      <c r="B295" s="5" t="s">
        <v>35</v>
      </c>
      <c r="C295" s="5" t="str">
        <f t="shared" si="28"/>
        <v>Yes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 s="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 s="5">
        <v>5828</v>
      </c>
      <c r="U295">
        <v>8450</v>
      </c>
      <c r="V295">
        <v>1</v>
      </c>
      <c r="W295" t="s">
        <v>42</v>
      </c>
      <c r="X295" t="s">
        <v>35</v>
      </c>
      <c r="Y295" t="str">
        <f t="shared" si="29"/>
        <v>Yes</v>
      </c>
      <c r="Z295">
        <v>12</v>
      </c>
      <c r="AA295">
        <v>3</v>
      </c>
      <c r="AB295">
        <v>2</v>
      </c>
      <c r="AC295">
        <v>80</v>
      </c>
      <c r="AD295">
        <v>0</v>
      </c>
      <c r="AE295" s="5">
        <v>8</v>
      </c>
      <c r="AF295" t="str">
        <f t="shared" si="30"/>
        <v>6-15</v>
      </c>
      <c r="AG295">
        <v>0</v>
      </c>
      <c r="AH295">
        <v>3</v>
      </c>
      <c r="AI295" s="5">
        <v>8</v>
      </c>
      <c r="AJ295">
        <v>7</v>
      </c>
      <c r="AK295">
        <v>7</v>
      </c>
      <c r="AL295">
        <v>4</v>
      </c>
      <c r="AM295" t="str">
        <f t="shared" si="31"/>
        <v>Below Avg</v>
      </c>
      <c r="AN295" s="21">
        <f t="shared" si="32"/>
        <v>28.098471986417657</v>
      </c>
      <c r="AO295" t="str">
        <f t="shared" ca="1" si="33"/>
        <v>No</v>
      </c>
      <c r="AP295" t="str">
        <f t="shared" si="34"/>
        <v>Low Risk</v>
      </c>
    </row>
    <row r="296" spans="1:42" x14ac:dyDescent="0.3">
      <c r="A296" s="5">
        <v>37</v>
      </c>
      <c r="B296" s="5" t="s">
        <v>43</v>
      </c>
      <c r="C296" s="5" t="str">
        <f t="shared" si="28"/>
        <v>No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 s="5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 s="5">
        <v>2326</v>
      </c>
      <c r="U296">
        <v>11411</v>
      </c>
      <c r="V296">
        <v>1</v>
      </c>
      <c r="W296" t="s">
        <v>42</v>
      </c>
      <c r="X296" t="s">
        <v>35</v>
      </c>
      <c r="Y296" t="str">
        <f t="shared" si="29"/>
        <v>Yes</v>
      </c>
      <c r="Z296">
        <v>12</v>
      </c>
      <c r="AA296">
        <v>3</v>
      </c>
      <c r="AB296">
        <v>3</v>
      </c>
      <c r="AC296">
        <v>80</v>
      </c>
      <c r="AD296">
        <v>3</v>
      </c>
      <c r="AE296" s="5">
        <v>4</v>
      </c>
      <c r="AF296" t="str">
        <f t="shared" si="30"/>
        <v>0-5</v>
      </c>
      <c r="AG296">
        <v>3</v>
      </c>
      <c r="AH296">
        <v>2</v>
      </c>
      <c r="AI296" s="5">
        <v>4</v>
      </c>
      <c r="AJ296">
        <v>2</v>
      </c>
      <c r="AK296">
        <v>1</v>
      </c>
      <c r="AL296">
        <v>2</v>
      </c>
      <c r="AM296" t="str">
        <f t="shared" si="31"/>
        <v>Below Avg</v>
      </c>
      <c r="AN296" s="21">
        <f t="shared" si="32"/>
        <v>28.122344944774852</v>
      </c>
      <c r="AO296" t="str">
        <f t="shared" ca="1" si="33"/>
        <v>No</v>
      </c>
      <c r="AP296" t="str">
        <f t="shared" si="34"/>
        <v>Low Risk</v>
      </c>
    </row>
    <row r="297" spans="1:42" x14ac:dyDescent="0.3">
      <c r="A297" s="5">
        <v>42</v>
      </c>
      <c r="B297" s="5" t="s">
        <v>43</v>
      </c>
      <c r="C297" s="5" t="str">
        <f t="shared" si="28"/>
        <v>No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 s="5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 s="5">
        <v>13525</v>
      </c>
      <c r="U297">
        <v>14864</v>
      </c>
      <c r="V297">
        <v>5</v>
      </c>
      <c r="W297" t="s">
        <v>42</v>
      </c>
      <c r="X297" t="s">
        <v>43</v>
      </c>
      <c r="Y297" t="str">
        <f t="shared" si="29"/>
        <v>No</v>
      </c>
      <c r="Z297">
        <v>14</v>
      </c>
      <c r="AA297">
        <v>3</v>
      </c>
      <c r="AB297">
        <v>4</v>
      </c>
      <c r="AC297">
        <v>80</v>
      </c>
      <c r="AD297">
        <v>1</v>
      </c>
      <c r="AE297" s="5">
        <v>23</v>
      </c>
      <c r="AF297" t="str">
        <f t="shared" si="30"/>
        <v>&gt;15</v>
      </c>
      <c r="AG297">
        <v>2</v>
      </c>
      <c r="AH297">
        <v>4</v>
      </c>
      <c r="AI297" s="5">
        <v>20</v>
      </c>
      <c r="AJ297">
        <v>4</v>
      </c>
      <c r="AK297">
        <v>4</v>
      </c>
      <c r="AL297">
        <v>8</v>
      </c>
      <c r="AM297" t="str">
        <f t="shared" si="31"/>
        <v>Ok</v>
      </c>
      <c r="AN297" s="21">
        <f t="shared" si="32"/>
        <v>28.061224489795915</v>
      </c>
      <c r="AO297" t="str">
        <f t="shared" ca="1" si="33"/>
        <v>No</v>
      </c>
      <c r="AP297" t="str">
        <f t="shared" si="34"/>
        <v>Low Risk</v>
      </c>
    </row>
    <row r="298" spans="1:42" x14ac:dyDescent="0.3">
      <c r="A298" s="5">
        <v>18</v>
      </c>
      <c r="B298" s="5" t="s">
        <v>35</v>
      </c>
      <c r="C298" s="5" t="str">
        <f t="shared" si="28"/>
        <v>Yes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 s="5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 s="5">
        <v>1420</v>
      </c>
      <c r="U298">
        <v>25233</v>
      </c>
      <c r="V298">
        <v>1</v>
      </c>
      <c r="W298" t="s">
        <v>42</v>
      </c>
      <c r="X298" t="s">
        <v>43</v>
      </c>
      <c r="Y298" t="str">
        <f t="shared" si="29"/>
        <v>No</v>
      </c>
      <c r="Z298">
        <v>13</v>
      </c>
      <c r="AA298">
        <v>3</v>
      </c>
      <c r="AB298">
        <v>3</v>
      </c>
      <c r="AC298">
        <v>80</v>
      </c>
      <c r="AD298">
        <v>0</v>
      </c>
      <c r="AE298" s="5">
        <v>0</v>
      </c>
      <c r="AF298" t="str">
        <f t="shared" si="30"/>
        <v>0-5</v>
      </c>
      <c r="AG298">
        <v>2</v>
      </c>
      <c r="AH298">
        <v>3</v>
      </c>
      <c r="AI298" s="5">
        <v>0</v>
      </c>
      <c r="AJ298">
        <v>0</v>
      </c>
      <c r="AK298">
        <v>0</v>
      </c>
      <c r="AL298">
        <v>0</v>
      </c>
      <c r="AM298" t="str">
        <f t="shared" si="31"/>
        <v>Below Avg</v>
      </c>
      <c r="AN298" s="21">
        <f t="shared" si="32"/>
        <v>28.000000000000004</v>
      </c>
      <c r="AO298" t="str">
        <f t="shared" ca="1" si="33"/>
        <v>No</v>
      </c>
      <c r="AP298" t="str">
        <f t="shared" si="34"/>
        <v>High Risk</v>
      </c>
    </row>
    <row r="299" spans="1:42" x14ac:dyDescent="0.3">
      <c r="A299" s="5">
        <v>35</v>
      </c>
      <c r="B299" s="5" t="s">
        <v>43</v>
      </c>
      <c r="C299" s="5" t="str">
        <f t="shared" si="28"/>
        <v>No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 s="5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 s="5">
        <v>8020</v>
      </c>
      <c r="U299">
        <v>5100</v>
      </c>
      <c r="V299">
        <v>0</v>
      </c>
      <c r="W299" t="s">
        <v>42</v>
      </c>
      <c r="X299" t="s">
        <v>43</v>
      </c>
      <c r="Y299" t="str">
        <f t="shared" si="29"/>
        <v>No</v>
      </c>
      <c r="Z299">
        <v>15</v>
      </c>
      <c r="AA299">
        <v>3</v>
      </c>
      <c r="AB299">
        <v>3</v>
      </c>
      <c r="AC299">
        <v>80</v>
      </c>
      <c r="AD299">
        <v>2</v>
      </c>
      <c r="AE299" s="5">
        <v>12</v>
      </c>
      <c r="AF299" t="str">
        <f t="shared" si="30"/>
        <v>6-15</v>
      </c>
      <c r="AG299">
        <v>3</v>
      </c>
      <c r="AH299">
        <v>2</v>
      </c>
      <c r="AI299" s="5">
        <v>11</v>
      </c>
      <c r="AJ299">
        <v>9</v>
      </c>
      <c r="AK299">
        <v>6</v>
      </c>
      <c r="AL299">
        <v>9</v>
      </c>
      <c r="AM299" t="str">
        <f t="shared" si="31"/>
        <v>Ok</v>
      </c>
      <c r="AN299" s="21">
        <f t="shared" si="32"/>
        <v>28.023850085178875</v>
      </c>
      <c r="AO299" t="str">
        <f t="shared" ca="1" si="33"/>
        <v>No</v>
      </c>
      <c r="AP299" t="str">
        <f t="shared" si="34"/>
        <v>Low Risk</v>
      </c>
    </row>
    <row r="300" spans="1:42" x14ac:dyDescent="0.3">
      <c r="A300" s="5">
        <v>36</v>
      </c>
      <c r="B300" s="5" t="s">
        <v>43</v>
      </c>
      <c r="C300" s="5" t="str">
        <f t="shared" si="28"/>
        <v>No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 s="5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 s="5">
        <v>3688</v>
      </c>
      <c r="U300">
        <v>7122</v>
      </c>
      <c r="V300">
        <v>4</v>
      </c>
      <c r="W300" t="s">
        <v>42</v>
      </c>
      <c r="X300" t="s">
        <v>43</v>
      </c>
      <c r="Y300" t="str">
        <f t="shared" si="29"/>
        <v>No</v>
      </c>
      <c r="Z300">
        <v>18</v>
      </c>
      <c r="AA300">
        <v>3</v>
      </c>
      <c r="AB300">
        <v>4</v>
      </c>
      <c r="AC300">
        <v>80</v>
      </c>
      <c r="AD300">
        <v>2</v>
      </c>
      <c r="AE300" s="5">
        <v>4</v>
      </c>
      <c r="AF300" t="str">
        <f t="shared" si="30"/>
        <v>0-5</v>
      </c>
      <c r="AG300">
        <v>2</v>
      </c>
      <c r="AH300">
        <v>3</v>
      </c>
      <c r="AI300" s="5">
        <v>1</v>
      </c>
      <c r="AJ300">
        <v>0</v>
      </c>
      <c r="AK300">
        <v>0</v>
      </c>
      <c r="AL300">
        <v>0</v>
      </c>
      <c r="AM300" t="str">
        <f t="shared" si="31"/>
        <v>Below Avg</v>
      </c>
      <c r="AN300" s="21">
        <f t="shared" si="32"/>
        <v>28.047740835464619</v>
      </c>
      <c r="AO300" t="str">
        <f t="shared" ca="1" si="33"/>
        <v>No</v>
      </c>
      <c r="AP300" t="str">
        <f t="shared" si="34"/>
        <v>Low Risk</v>
      </c>
    </row>
    <row r="301" spans="1:42" x14ac:dyDescent="0.3">
      <c r="A301" s="5">
        <v>51</v>
      </c>
      <c r="B301" s="5" t="s">
        <v>43</v>
      </c>
      <c r="C301" s="5" t="str">
        <f t="shared" si="28"/>
        <v>No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 s="5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 s="5">
        <v>5482</v>
      </c>
      <c r="U301">
        <v>16321</v>
      </c>
      <c r="V301">
        <v>5</v>
      </c>
      <c r="W301" t="s">
        <v>42</v>
      </c>
      <c r="X301" t="s">
        <v>43</v>
      </c>
      <c r="Y301" t="str">
        <f t="shared" si="29"/>
        <v>No</v>
      </c>
      <c r="Z301">
        <v>18</v>
      </c>
      <c r="AA301">
        <v>3</v>
      </c>
      <c r="AB301">
        <v>4</v>
      </c>
      <c r="AC301">
        <v>80</v>
      </c>
      <c r="AD301">
        <v>1</v>
      </c>
      <c r="AE301" s="5">
        <v>13</v>
      </c>
      <c r="AF301" t="str">
        <f t="shared" si="30"/>
        <v>6-15</v>
      </c>
      <c r="AG301">
        <v>3</v>
      </c>
      <c r="AH301">
        <v>3</v>
      </c>
      <c r="AI301" s="5">
        <v>4</v>
      </c>
      <c r="AJ301">
        <v>1</v>
      </c>
      <c r="AK301">
        <v>1</v>
      </c>
      <c r="AL301">
        <v>2</v>
      </c>
      <c r="AM301" t="str">
        <f t="shared" si="31"/>
        <v>Below Avg</v>
      </c>
      <c r="AN301" s="21">
        <f t="shared" si="32"/>
        <v>28.071672354948806</v>
      </c>
      <c r="AO301" t="str">
        <f t="shared" ca="1" si="33"/>
        <v>No</v>
      </c>
      <c r="AP301" t="str">
        <f t="shared" si="34"/>
        <v>Low Risk</v>
      </c>
    </row>
    <row r="302" spans="1:42" x14ac:dyDescent="0.3">
      <c r="A302" s="5">
        <v>41</v>
      </c>
      <c r="B302" s="5" t="s">
        <v>43</v>
      </c>
      <c r="C302" s="5" t="str">
        <f t="shared" si="28"/>
        <v>No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 s="5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 s="5">
        <v>16015</v>
      </c>
      <c r="U302">
        <v>15896</v>
      </c>
      <c r="V302">
        <v>1</v>
      </c>
      <c r="W302" t="s">
        <v>42</v>
      </c>
      <c r="X302" t="s">
        <v>43</v>
      </c>
      <c r="Y302" t="str">
        <f t="shared" si="29"/>
        <v>No</v>
      </c>
      <c r="Z302">
        <v>19</v>
      </c>
      <c r="AA302">
        <v>3</v>
      </c>
      <c r="AB302">
        <v>2</v>
      </c>
      <c r="AC302">
        <v>80</v>
      </c>
      <c r="AD302">
        <v>0</v>
      </c>
      <c r="AE302" s="5">
        <v>22</v>
      </c>
      <c r="AF302" t="str">
        <f t="shared" si="30"/>
        <v>&gt;15</v>
      </c>
      <c r="AG302">
        <v>2</v>
      </c>
      <c r="AH302">
        <v>3</v>
      </c>
      <c r="AI302" s="5">
        <v>22</v>
      </c>
      <c r="AJ302">
        <v>10</v>
      </c>
      <c r="AK302">
        <v>0</v>
      </c>
      <c r="AL302">
        <v>4</v>
      </c>
      <c r="AM302" t="str">
        <f t="shared" si="31"/>
        <v>Ok</v>
      </c>
      <c r="AN302" s="21">
        <f t="shared" si="32"/>
        <v>28.095644748078563</v>
      </c>
      <c r="AO302" t="str">
        <f t="shared" ca="1" si="33"/>
        <v>No</v>
      </c>
      <c r="AP302" t="str">
        <f t="shared" si="34"/>
        <v>Low Risk</v>
      </c>
    </row>
    <row r="303" spans="1:42" x14ac:dyDescent="0.3">
      <c r="A303" s="5">
        <v>18</v>
      </c>
      <c r="B303" s="5" t="s">
        <v>43</v>
      </c>
      <c r="C303" s="5" t="str">
        <f t="shared" si="28"/>
        <v>No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 s="5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 s="5">
        <v>1200</v>
      </c>
      <c r="U303">
        <v>9724</v>
      </c>
      <c r="V303">
        <v>1</v>
      </c>
      <c r="W303" t="s">
        <v>42</v>
      </c>
      <c r="X303" t="s">
        <v>43</v>
      </c>
      <c r="Y303" t="str">
        <f t="shared" si="29"/>
        <v>No</v>
      </c>
      <c r="Z303">
        <v>12</v>
      </c>
      <c r="AA303">
        <v>3</v>
      </c>
      <c r="AB303">
        <v>1</v>
      </c>
      <c r="AC303">
        <v>80</v>
      </c>
      <c r="AD303">
        <v>0</v>
      </c>
      <c r="AE303" s="5">
        <v>0</v>
      </c>
      <c r="AF303" t="str">
        <f t="shared" si="30"/>
        <v>0-5</v>
      </c>
      <c r="AG303">
        <v>2</v>
      </c>
      <c r="AH303">
        <v>3</v>
      </c>
      <c r="AI303" s="5">
        <v>0</v>
      </c>
      <c r="AJ303">
        <v>0</v>
      </c>
      <c r="AK303">
        <v>0</v>
      </c>
      <c r="AL303">
        <v>0</v>
      </c>
      <c r="AM303" t="str">
        <f t="shared" si="31"/>
        <v>Below Avg</v>
      </c>
      <c r="AN303" s="21">
        <f t="shared" si="32"/>
        <v>28.119658119658119</v>
      </c>
      <c r="AO303" t="str">
        <f t="shared" ca="1" si="33"/>
        <v>No</v>
      </c>
      <c r="AP303" t="str">
        <f t="shared" si="34"/>
        <v>Low Risk</v>
      </c>
    </row>
    <row r="304" spans="1:42" x14ac:dyDescent="0.3">
      <c r="A304" s="5">
        <v>28</v>
      </c>
      <c r="B304" s="5" t="s">
        <v>43</v>
      </c>
      <c r="C304" s="5" t="str">
        <f t="shared" si="28"/>
        <v>No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 s="5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 s="5">
        <v>5661</v>
      </c>
      <c r="U304">
        <v>4824</v>
      </c>
      <c r="V304">
        <v>0</v>
      </c>
      <c r="W304" t="s">
        <v>42</v>
      </c>
      <c r="X304" t="s">
        <v>43</v>
      </c>
      <c r="Y304" t="str">
        <f t="shared" si="29"/>
        <v>No</v>
      </c>
      <c r="Z304">
        <v>19</v>
      </c>
      <c r="AA304">
        <v>3</v>
      </c>
      <c r="AB304">
        <v>3</v>
      </c>
      <c r="AC304">
        <v>80</v>
      </c>
      <c r="AD304">
        <v>0</v>
      </c>
      <c r="AE304" s="5">
        <v>9</v>
      </c>
      <c r="AF304" t="str">
        <f t="shared" si="30"/>
        <v>6-15</v>
      </c>
      <c r="AG304">
        <v>2</v>
      </c>
      <c r="AH304">
        <v>3</v>
      </c>
      <c r="AI304" s="5">
        <v>8</v>
      </c>
      <c r="AJ304">
        <v>3</v>
      </c>
      <c r="AK304">
        <v>0</v>
      </c>
      <c r="AL304">
        <v>7</v>
      </c>
      <c r="AM304" t="str">
        <f t="shared" si="31"/>
        <v>Below Avg</v>
      </c>
      <c r="AN304" s="21">
        <f t="shared" si="32"/>
        <v>28.143712574850298</v>
      </c>
      <c r="AO304" t="str">
        <f t="shared" ca="1" si="33"/>
        <v>No</v>
      </c>
      <c r="AP304" t="str">
        <f t="shared" si="34"/>
        <v>Low Risk</v>
      </c>
    </row>
    <row r="305" spans="1:42" x14ac:dyDescent="0.3">
      <c r="A305" s="5">
        <v>31</v>
      </c>
      <c r="B305" s="5" t="s">
        <v>43</v>
      </c>
      <c r="C305" s="5" t="str">
        <f t="shared" si="28"/>
        <v>No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 s="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 s="5">
        <v>6929</v>
      </c>
      <c r="U305">
        <v>12241</v>
      </c>
      <c r="V305">
        <v>4</v>
      </c>
      <c r="W305" t="s">
        <v>42</v>
      </c>
      <c r="X305" t="s">
        <v>43</v>
      </c>
      <c r="Y305" t="str">
        <f t="shared" si="29"/>
        <v>No</v>
      </c>
      <c r="Z305">
        <v>11</v>
      </c>
      <c r="AA305">
        <v>3</v>
      </c>
      <c r="AB305">
        <v>2</v>
      </c>
      <c r="AC305">
        <v>80</v>
      </c>
      <c r="AD305">
        <v>1</v>
      </c>
      <c r="AE305" s="5">
        <v>10</v>
      </c>
      <c r="AF305" t="str">
        <f t="shared" si="30"/>
        <v>6-15</v>
      </c>
      <c r="AG305">
        <v>3</v>
      </c>
      <c r="AH305">
        <v>2</v>
      </c>
      <c r="AI305" s="5">
        <v>8</v>
      </c>
      <c r="AJ305">
        <v>7</v>
      </c>
      <c r="AK305">
        <v>7</v>
      </c>
      <c r="AL305">
        <v>7</v>
      </c>
      <c r="AM305" t="str">
        <f t="shared" si="31"/>
        <v>Ok</v>
      </c>
      <c r="AN305" s="21">
        <f t="shared" si="32"/>
        <v>28.167808219178081</v>
      </c>
      <c r="AO305" t="str">
        <f t="shared" ca="1" si="33"/>
        <v>No</v>
      </c>
      <c r="AP305" t="str">
        <f t="shared" si="34"/>
        <v>Low Risk</v>
      </c>
    </row>
    <row r="306" spans="1:42" x14ac:dyDescent="0.3">
      <c r="A306" s="5">
        <v>39</v>
      </c>
      <c r="B306" s="5" t="s">
        <v>43</v>
      </c>
      <c r="C306" s="5" t="str">
        <f t="shared" si="28"/>
        <v>No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 s="5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 s="5">
        <v>9613</v>
      </c>
      <c r="U306">
        <v>10942</v>
      </c>
      <c r="V306">
        <v>0</v>
      </c>
      <c r="W306" t="s">
        <v>42</v>
      </c>
      <c r="X306" t="s">
        <v>43</v>
      </c>
      <c r="Y306" t="str">
        <f t="shared" si="29"/>
        <v>No</v>
      </c>
      <c r="Z306">
        <v>17</v>
      </c>
      <c r="AA306">
        <v>3</v>
      </c>
      <c r="AB306">
        <v>1</v>
      </c>
      <c r="AC306">
        <v>80</v>
      </c>
      <c r="AD306">
        <v>3</v>
      </c>
      <c r="AE306" s="5">
        <v>19</v>
      </c>
      <c r="AF306" t="str">
        <f t="shared" si="30"/>
        <v>&gt;15</v>
      </c>
      <c r="AG306">
        <v>5</v>
      </c>
      <c r="AH306">
        <v>2</v>
      </c>
      <c r="AI306" s="5">
        <v>18</v>
      </c>
      <c r="AJ306">
        <v>10</v>
      </c>
      <c r="AK306">
        <v>3</v>
      </c>
      <c r="AL306">
        <v>7</v>
      </c>
      <c r="AM306" t="str">
        <f t="shared" si="31"/>
        <v>Ok</v>
      </c>
      <c r="AN306" s="21">
        <f t="shared" si="32"/>
        <v>28.191945158526131</v>
      </c>
      <c r="AO306" t="str">
        <f t="shared" ca="1" si="33"/>
        <v>No</v>
      </c>
      <c r="AP306" t="str">
        <f t="shared" si="34"/>
        <v>Low Risk</v>
      </c>
    </row>
    <row r="307" spans="1:42" x14ac:dyDescent="0.3">
      <c r="A307" s="5">
        <v>36</v>
      </c>
      <c r="B307" s="5" t="s">
        <v>43</v>
      </c>
      <c r="C307" s="5" t="str">
        <f t="shared" si="28"/>
        <v>No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 s="5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 s="5">
        <v>5674</v>
      </c>
      <c r="U307">
        <v>6927</v>
      </c>
      <c r="V307">
        <v>7</v>
      </c>
      <c r="W307" t="s">
        <v>42</v>
      </c>
      <c r="X307" t="s">
        <v>43</v>
      </c>
      <c r="Y307" t="str">
        <f t="shared" si="29"/>
        <v>No</v>
      </c>
      <c r="Z307">
        <v>15</v>
      </c>
      <c r="AA307">
        <v>3</v>
      </c>
      <c r="AB307">
        <v>3</v>
      </c>
      <c r="AC307">
        <v>80</v>
      </c>
      <c r="AD307">
        <v>1</v>
      </c>
      <c r="AE307" s="5">
        <v>11</v>
      </c>
      <c r="AF307" t="str">
        <f t="shared" si="30"/>
        <v>6-15</v>
      </c>
      <c r="AG307">
        <v>3</v>
      </c>
      <c r="AH307">
        <v>3</v>
      </c>
      <c r="AI307" s="5">
        <v>9</v>
      </c>
      <c r="AJ307">
        <v>8</v>
      </c>
      <c r="AK307">
        <v>0</v>
      </c>
      <c r="AL307">
        <v>8</v>
      </c>
      <c r="AM307" t="str">
        <f t="shared" si="31"/>
        <v>Below Avg</v>
      </c>
      <c r="AN307" s="21">
        <f t="shared" si="32"/>
        <v>28.216123499142366</v>
      </c>
      <c r="AO307" t="str">
        <f t="shared" ca="1" si="33"/>
        <v>No</v>
      </c>
      <c r="AP307" t="str">
        <f t="shared" si="34"/>
        <v>Low Risk</v>
      </c>
    </row>
    <row r="308" spans="1:42" x14ac:dyDescent="0.3">
      <c r="A308" s="5">
        <v>32</v>
      </c>
      <c r="B308" s="5" t="s">
        <v>43</v>
      </c>
      <c r="C308" s="5" t="str">
        <f t="shared" si="28"/>
        <v>No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 s="5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 s="5">
        <v>5484</v>
      </c>
      <c r="U308">
        <v>16985</v>
      </c>
      <c r="V308">
        <v>1</v>
      </c>
      <c r="W308" t="s">
        <v>42</v>
      </c>
      <c r="X308" t="s">
        <v>43</v>
      </c>
      <c r="Y308" t="str">
        <f t="shared" si="29"/>
        <v>No</v>
      </c>
      <c r="Z308">
        <v>14</v>
      </c>
      <c r="AA308">
        <v>3</v>
      </c>
      <c r="AB308">
        <v>3</v>
      </c>
      <c r="AC308">
        <v>80</v>
      </c>
      <c r="AD308">
        <v>1</v>
      </c>
      <c r="AE308" s="5">
        <v>13</v>
      </c>
      <c r="AF308" t="str">
        <f t="shared" si="30"/>
        <v>6-15</v>
      </c>
      <c r="AG308">
        <v>3</v>
      </c>
      <c r="AH308">
        <v>2</v>
      </c>
      <c r="AI308" s="5">
        <v>13</v>
      </c>
      <c r="AJ308">
        <v>8</v>
      </c>
      <c r="AK308">
        <v>4</v>
      </c>
      <c r="AL308">
        <v>8</v>
      </c>
      <c r="AM308" t="str">
        <f t="shared" si="31"/>
        <v>Below Avg</v>
      </c>
      <c r="AN308" s="21">
        <f t="shared" si="32"/>
        <v>28.240343347639485</v>
      </c>
      <c r="AO308" t="str">
        <f t="shared" ca="1" si="33"/>
        <v>No</v>
      </c>
      <c r="AP308" t="str">
        <f t="shared" si="34"/>
        <v>Low Risk</v>
      </c>
    </row>
    <row r="309" spans="1:42" x14ac:dyDescent="0.3">
      <c r="A309" s="5">
        <v>38</v>
      </c>
      <c r="B309" s="5" t="s">
        <v>43</v>
      </c>
      <c r="C309" s="5" t="str">
        <f t="shared" si="28"/>
        <v>No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 s="5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 s="5">
        <v>12061</v>
      </c>
      <c r="U309">
        <v>26707</v>
      </c>
      <c r="V309">
        <v>3</v>
      </c>
      <c r="W309" t="s">
        <v>42</v>
      </c>
      <c r="X309" t="s">
        <v>43</v>
      </c>
      <c r="Y309" t="str">
        <f t="shared" si="29"/>
        <v>No</v>
      </c>
      <c r="Z309">
        <v>17</v>
      </c>
      <c r="AA309">
        <v>3</v>
      </c>
      <c r="AB309">
        <v>3</v>
      </c>
      <c r="AC309">
        <v>80</v>
      </c>
      <c r="AD309">
        <v>1</v>
      </c>
      <c r="AE309" s="5">
        <v>19</v>
      </c>
      <c r="AF309" t="str">
        <f t="shared" si="30"/>
        <v>&gt;15</v>
      </c>
      <c r="AG309">
        <v>2</v>
      </c>
      <c r="AH309">
        <v>3</v>
      </c>
      <c r="AI309" s="5">
        <v>10</v>
      </c>
      <c r="AJ309">
        <v>8</v>
      </c>
      <c r="AK309">
        <v>0</v>
      </c>
      <c r="AL309">
        <v>1</v>
      </c>
      <c r="AM309" t="str">
        <f t="shared" si="31"/>
        <v>Ok</v>
      </c>
      <c r="AN309" s="21">
        <f t="shared" si="32"/>
        <v>28.264604810996563</v>
      </c>
      <c r="AO309" t="str">
        <f t="shared" ca="1" si="33"/>
        <v>No</v>
      </c>
      <c r="AP309" t="str">
        <f t="shared" si="34"/>
        <v>Low Risk</v>
      </c>
    </row>
    <row r="310" spans="1:42" x14ac:dyDescent="0.3">
      <c r="A310" s="5">
        <v>58</v>
      </c>
      <c r="B310" s="5" t="s">
        <v>43</v>
      </c>
      <c r="C310" s="5" t="str">
        <f t="shared" si="28"/>
        <v>No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 s="5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 s="5">
        <v>5660</v>
      </c>
      <c r="U310">
        <v>17056</v>
      </c>
      <c r="V310">
        <v>2</v>
      </c>
      <c r="W310" t="s">
        <v>42</v>
      </c>
      <c r="X310" t="s">
        <v>35</v>
      </c>
      <c r="Y310" t="str">
        <f t="shared" si="29"/>
        <v>Yes</v>
      </c>
      <c r="Z310">
        <v>13</v>
      </c>
      <c r="AA310">
        <v>3</v>
      </c>
      <c r="AB310">
        <v>4</v>
      </c>
      <c r="AC310">
        <v>80</v>
      </c>
      <c r="AD310">
        <v>1</v>
      </c>
      <c r="AE310" s="5">
        <v>12</v>
      </c>
      <c r="AF310" t="str">
        <f t="shared" si="30"/>
        <v>6-15</v>
      </c>
      <c r="AG310">
        <v>2</v>
      </c>
      <c r="AH310">
        <v>3</v>
      </c>
      <c r="AI310" s="5">
        <v>5</v>
      </c>
      <c r="AJ310">
        <v>3</v>
      </c>
      <c r="AK310">
        <v>1</v>
      </c>
      <c r="AL310">
        <v>2</v>
      </c>
      <c r="AM310" t="str">
        <f t="shared" si="31"/>
        <v>Below Avg</v>
      </c>
      <c r="AN310" s="21">
        <f t="shared" si="32"/>
        <v>28.288907996560621</v>
      </c>
      <c r="AO310" t="str">
        <f t="shared" ca="1" si="33"/>
        <v>No</v>
      </c>
      <c r="AP310" t="str">
        <f t="shared" si="34"/>
        <v>Low Risk</v>
      </c>
    </row>
    <row r="311" spans="1:42" x14ac:dyDescent="0.3">
      <c r="A311" s="5">
        <v>31</v>
      </c>
      <c r="B311" s="5" t="s">
        <v>43</v>
      </c>
      <c r="C311" s="5" t="str">
        <f t="shared" si="28"/>
        <v>No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 s="5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 s="5">
        <v>4821</v>
      </c>
      <c r="U311">
        <v>10077</v>
      </c>
      <c r="V311">
        <v>0</v>
      </c>
      <c r="W311" t="s">
        <v>42</v>
      </c>
      <c r="X311" t="s">
        <v>35</v>
      </c>
      <c r="Y311" t="str">
        <f t="shared" si="29"/>
        <v>Yes</v>
      </c>
      <c r="Z311">
        <v>12</v>
      </c>
      <c r="AA311">
        <v>3</v>
      </c>
      <c r="AB311">
        <v>3</v>
      </c>
      <c r="AC311">
        <v>80</v>
      </c>
      <c r="AD311">
        <v>1</v>
      </c>
      <c r="AE311" s="5">
        <v>6</v>
      </c>
      <c r="AF311" t="str">
        <f t="shared" si="30"/>
        <v>6-15</v>
      </c>
      <c r="AG311">
        <v>4</v>
      </c>
      <c r="AH311">
        <v>3</v>
      </c>
      <c r="AI311" s="5">
        <v>5</v>
      </c>
      <c r="AJ311">
        <v>2</v>
      </c>
      <c r="AK311">
        <v>0</v>
      </c>
      <c r="AL311">
        <v>3</v>
      </c>
      <c r="AM311" t="str">
        <f t="shared" si="31"/>
        <v>Below Avg</v>
      </c>
      <c r="AN311" s="21">
        <f t="shared" si="32"/>
        <v>28.313253012048197</v>
      </c>
      <c r="AO311" t="str">
        <f t="shared" ca="1" si="33"/>
        <v>No</v>
      </c>
      <c r="AP311" t="str">
        <f t="shared" si="34"/>
        <v>Low Risk</v>
      </c>
    </row>
    <row r="312" spans="1:42" x14ac:dyDescent="0.3">
      <c r="A312" s="5">
        <v>31</v>
      </c>
      <c r="B312" s="5" t="s">
        <v>43</v>
      </c>
      <c r="C312" s="5" t="str">
        <f t="shared" si="28"/>
        <v>No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 s="5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 s="5">
        <v>6410</v>
      </c>
      <c r="U312">
        <v>17822</v>
      </c>
      <c r="V312">
        <v>3</v>
      </c>
      <c r="W312" t="s">
        <v>42</v>
      </c>
      <c r="X312" t="s">
        <v>43</v>
      </c>
      <c r="Y312" t="str">
        <f t="shared" si="29"/>
        <v>No</v>
      </c>
      <c r="Z312">
        <v>12</v>
      </c>
      <c r="AA312">
        <v>3</v>
      </c>
      <c r="AB312">
        <v>4</v>
      </c>
      <c r="AC312">
        <v>80</v>
      </c>
      <c r="AD312">
        <v>0</v>
      </c>
      <c r="AE312" s="5">
        <v>9</v>
      </c>
      <c r="AF312" t="str">
        <f t="shared" si="30"/>
        <v>6-15</v>
      </c>
      <c r="AG312">
        <v>1</v>
      </c>
      <c r="AH312">
        <v>3</v>
      </c>
      <c r="AI312" s="5">
        <v>2</v>
      </c>
      <c r="AJ312">
        <v>2</v>
      </c>
      <c r="AK312">
        <v>1</v>
      </c>
      <c r="AL312">
        <v>0</v>
      </c>
      <c r="AM312" t="str">
        <f t="shared" si="31"/>
        <v>Below Avg</v>
      </c>
      <c r="AN312" s="21">
        <f t="shared" si="32"/>
        <v>28.251507321274765</v>
      </c>
      <c r="AO312" t="str">
        <f t="shared" ca="1" si="33"/>
        <v>No</v>
      </c>
      <c r="AP312" t="str">
        <f t="shared" si="34"/>
        <v>Low Risk</v>
      </c>
    </row>
    <row r="313" spans="1:42" x14ac:dyDescent="0.3">
      <c r="A313" s="5">
        <v>45</v>
      </c>
      <c r="B313" s="5" t="s">
        <v>43</v>
      </c>
      <c r="C313" s="5" t="str">
        <f t="shared" si="28"/>
        <v>No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 s="5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 s="5">
        <v>5210</v>
      </c>
      <c r="U313">
        <v>20308</v>
      </c>
      <c r="V313">
        <v>1</v>
      </c>
      <c r="W313" t="s">
        <v>42</v>
      </c>
      <c r="X313" t="s">
        <v>43</v>
      </c>
      <c r="Y313" t="str">
        <f t="shared" si="29"/>
        <v>No</v>
      </c>
      <c r="Z313">
        <v>18</v>
      </c>
      <c r="AA313">
        <v>3</v>
      </c>
      <c r="AB313">
        <v>1</v>
      </c>
      <c r="AC313">
        <v>80</v>
      </c>
      <c r="AD313">
        <v>1</v>
      </c>
      <c r="AE313" s="5">
        <v>24</v>
      </c>
      <c r="AF313" t="str">
        <f t="shared" si="30"/>
        <v>&gt;15</v>
      </c>
      <c r="AG313">
        <v>2</v>
      </c>
      <c r="AH313">
        <v>3</v>
      </c>
      <c r="AI313" s="5">
        <v>24</v>
      </c>
      <c r="AJ313">
        <v>9</v>
      </c>
      <c r="AK313">
        <v>9</v>
      </c>
      <c r="AL313">
        <v>11</v>
      </c>
      <c r="AM313" t="str">
        <f t="shared" si="31"/>
        <v>Below Avg</v>
      </c>
      <c r="AN313" s="21">
        <f t="shared" si="32"/>
        <v>28.18965517241379</v>
      </c>
      <c r="AO313" t="str">
        <f t="shared" ca="1" si="33"/>
        <v>No</v>
      </c>
      <c r="AP313" t="str">
        <f t="shared" si="34"/>
        <v>Low Risk</v>
      </c>
    </row>
    <row r="314" spans="1:42" x14ac:dyDescent="0.3">
      <c r="A314" s="5">
        <v>31</v>
      </c>
      <c r="B314" s="5" t="s">
        <v>43</v>
      </c>
      <c r="C314" s="5" t="str">
        <f t="shared" si="28"/>
        <v>No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 s="5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 s="5">
        <v>2695</v>
      </c>
      <c r="U314">
        <v>7747</v>
      </c>
      <c r="V314">
        <v>0</v>
      </c>
      <c r="W314" t="s">
        <v>42</v>
      </c>
      <c r="X314" t="s">
        <v>35</v>
      </c>
      <c r="Y314" t="str">
        <f t="shared" si="29"/>
        <v>Yes</v>
      </c>
      <c r="Z314">
        <v>18</v>
      </c>
      <c r="AA314">
        <v>3</v>
      </c>
      <c r="AB314">
        <v>2</v>
      </c>
      <c r="AC314">
        <v>80</v>
      </c>
      <c r="AD314">
        <v>1</v>
      </c>
      <c r="AE314" s="5">
        <v>3</v>
      </c>
      <c r="AF314" t="str">
        <f t="shared" si="30"/>
        <v>0-5</v>
      </c>
      <c r="AG314">
        <v>2</v>
      </c>
      <c r="AH314">
        <v>1</v>
      </c>
      <c r="AI314" s="5">
        <v>2</v>
      </c>
      <c r="AJ314">
        <v>2</v>
      </c>
      <c r="AK314">
        <v>2</v>
      </c>
      <c r="AL314">
        <v>2</v>
      </c>
      <c r="AM314" t="str">
        <f t="shared" si="31"/>
        <v>Below Avg</v>
      </c>
      <c r="AN314" s="21">
        <f t="shared" si="32"/>
        <v>28.213977566867989</v>
      </c>
      <c r="AO314" t="str">
        <f t="shared" ca="1" si="33"/>
        <v>No</v>
      </c>
      <c r="AP314" t="str">
        <f t="shared" si="34"/>
        <v>Low Risk</v>
      </c>
    </row>
    <row r="315" spans="1:42" x14ac:dyDescent="0.3">
      <c r="A315" s="5">
        <v>33</v>
      </c>
      <c r="B315" s="5" t="s">
        <v>43</v>
      </c>
      <c r="C315" s="5" t="str">
        <f t="shared" si="28"/>
        <v>No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 s="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 s="5">
        <v>11878</v>
      </c>
      <c r="U315">
        <v>23364</v>
      </c>
      <c r="V315">
        <v>6</v>
      </c>
      <c r="W315" t="s">
        <v>42</v>
      </c>
      <c r="X315" t="s">
        <v>43</v>
      </c>
      <c r="Y315" t="str">
        <f t="shared" si="29"/>
        <v>No</v>
      </c>
      <c r="Z315">
        <v>11</v>
      </c>
      <c r="AA315">
        <v>3</v>
      </c>
      <c r="AB315">
        <v>2</v>
      </c>
      <c r="AC315">
        <v>80</v>
      </c>
      <c r="AD315">
        <v>2</v>
      </c>
      <c r="AE315" s="5">
        <v>12</v>
      </c>
      <c r="AF315" t="str">
        <f t="shared" si="30"/>
        <v>6-15</v>
      </c>
      <c r="AG315">
        <v>2</v>
      </c>
      <c r="AH315">
        <v>3</v>
      </c>
      <c r="AI315" s="5">
        <v>10</v>
      </c>
      <c r="AJ315">
        <v>6</v>
      </c>
      <c r="AK315">
        <v>8</v>
      </c>
      <c r="AL315">
        <v>8</v>
      </c>
      <c r="AM315" t="str">
        <f t="shared" si="31"/>
        <v>Ok</v>
      </c>
      <c r="AN315" s="21">
        <f t="shared" si="32"/>
        <v>28.238341968911918</v>
      </c>
      <c r="AO315" t="str">
        <f t="shared" ca="1" si="33"/>
        <v>No</v>
      </c>
      <c r="AP315" t="str">
        <f t="shared" si="34"/>
        <v>Low Risk</v>
      </c>
    </row>
    <row r="316" spans="1:42" x14ac:dyDescent="0.3">
      <c r="A316" s="5">
        <v>39</v>
      </c>
      <c r="B316" s="5" t="s">
        <v>43</v>
      </c>
      <c r="C316" s="5" t="str">
        <f t="shared" si="28"/>
        <v>No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 s="5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 s="5">
        <v>17068</v>
      </c>
      <c r="U316">
        <v>5355</v>
      </c>
      <c r="V316">
        <v>1</v>
      </c>
      <c r="W316" t="s">
        <v>42</v>
      </c>
      <c r="X316" t="s">
        <v>35</v>
      </c>
      <c r="Y316" t="str">
        <f t="shared" si="29"/>
        <v>Yes</v>
      </c>
      <c r="Z316">
        <v>14</v>
      </c>
      <c r="AA316">
        <v>3</v>
      </c>
      <c r="AB316">
        <v>4</v>
      </c>
      <c r="AC316">
        <v>80</v>
      </c>
      <c r="AD316">
        <v>0</v>
      </c>
      <c r="AE316" s="5">
        <v>21</v>
      </c>
      <c r="AF316" t="str">
        <f t="shared" si="30"/>
        <v>&gt;15</v>
      </c>
      <c r="AG316">
        <v>3</v>
      </c>
      <c r="AH316">
        <v>3</v>
      </c>
      <c r="AI316" s="5">
        <v>21</v>
      </c>
      <c r="AJ316">
        <v>9</v>
      </c>
      <c r="AK316">
        <v>11</v>
      </c>
      <c r="AL316">
        <v>10</v>
      </c>
      <c r="AM316" t="str">
        <f t="shared" si="31"/>
        <v>Ok</v>
      </c>
      <c r="AN316" s="21">
        <f t="shared" si="32"/>
        <v>28.176318063958512</v>
      </c>
      <c r="AO316" t="str">
        <f t="shared" ca="1" si="33"/>
        <v>No</v>
      </c>
      <c r="AP316" t="str">
        <f t="shared" si="34"/>
        <v>Low Risk</v>
      </c>
    </row>
    <row r="317" spans="1:42" x14ac:dyDescent="0.3">
      <c r="A317" s="5">
        <v>43</v>
      </c>
      <c r="B317" s="5" t="s">
        <v>43</v>
      </c>
      <c r="C317" s="5" t="str">
        <f t="shared" si="28"/>
        <v>No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 s="5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 s="5">
        <v>2455</v>
      </c>
      <c r="U317">
        <v>10675</v>
      </c>
      <c r="V317">
        <v>0</v>
      </c>
      <c r="W317" t="s">
        <v>42</v>
      </c>
      <c r="X317" t="s">
        <v>43</v>
      </c>
      <c r="Y317" t="str">
        <f t="shared" si="29"/>
        <v>No</v>
      </c>
      <c r="Z317">
        <v>19</v>
      </c>
      <c r="AA317">
        <v>3</v>
      </c>
      <c r="AB317">
        <v>1</v>
      </c>
      <c r="AC317">
        <v>80</v>
      </c>
      <c r="AD317">
        <v>0</v>
      </c>
      <c r="AE317" s="5">
        <v>9</v>
      </c>
      <c r="AF317" t="str">
        <f t="shared" si="30"/>
        <v>6-15</v>
      </c>
      <c r="AG317">
        <v>5</v>
      </c>
      <c r="AH317">
        <v>3</v>
      </c>
      <c r="AI317" s="5">
        <v>8</v>
      </c>
      <c r="AJ317">
        <v>7</v>
      </c>
      <c r="AK317">
        <v>1</v>
      </c>
      <c r="AL317">
        <v>7</v>
      </c>
      <c r="AM317" t="str">
        <f t="shared" si="31"/>
        <v>Below Avg</v>
      </c>
      <c r="AN317" s="21">
        <f t="shared" si="32"/>
        <v>28.20069204152249</v>
      </c>
      <c r="AO317" t="str">
        <f t="shared" ca="1" si="33"/>
        <v>No</v>
      </c>
      <c r="AP317" t="str">
        <f t="shared" si="34"/>
        <v>Low Risk</v>
      </c>
    </row>
    <row r="318" spans="1:42" x14ac:dyDescent="0.3">
      <c r="A318" s="5">
        <v>49</v>
      </c>
      <c r="B318" s="5" t="s">
        <v>43</v>
      </c>
      <c r="C318" s="5" t="str">
        <f t="shared" si="28"/>
        <v>No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 s="5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 s="5">
        <v>13964</v>
      </c>
      <c r="U318">
        <v>17810</v>
      </c>
      <c r="V318">
        <v>7</v>
      </c>
      <c r="W318" t="s">
        <v>42</v>
      </c>
      <c r="X318" t="s">
        <v>35</v>
      </c>
      <c r="Y318" t="str">
        <f t="shared" si="29"/>
        <v>Yes</v>
      </c>
      <c r="Z318">
        <v>12</v>
      </c>
      <c r="AA318">
        <v>3</v>
      </c>
      <c r="AB318">
        <v>4</v>
      </c>
      <c r="AC318">
        <v>80</v>
      </c>
      <c r="AD318">
        <v>0</v>
      </c>
      <c r="AE318" s="5">
        <v>25</v>
      </c>
      <c r="AF318" t="str">
        <f t="shared" si="30"/>
        <v>&gt;15</v>
      </c>
      <c r="AG318">
        <v>2</v>
      </c>
      <c r="AH318">
        <v>3</v>
      </c>
      <c r="AI318" s="5">
        <v>7</v>
      </c>
      <c r="AJ318">
        <v>1</v>
      </c>
      <c r="AK318">
        <v>0</v>
      </c>
      <c r="AL318">
        <v>7</v>
      </c>
      <c r="AM318" t="str">
        <f t="shared" si="31"/>
        <v>Ok</v>
      </c>
      <c r="AN318" s="21">
        <f t="shared" si="32"/>
        <v>28.138528138528141</v>
      </c>
      <c r="AO318" t="str">
        <f t="shared" ca="1" si="33"/>
        <v>No</v>
      </c>
      <c r="AP318" t="str">
        <f t="shared" si="34"/>
        <v>Low Risk</v>
      </c>
    </row>
    <row r="319" spans="1:42" x14ac:dyDescent="0.3">
      <c r="A319" s="5">
        <v>52</v>
      </c>
      <c r="B319" s="5" t="s">
        <v>35</v>
      </c>
      <c r="C319" s="5" t="str">
        <f t="shared" si="28"/>
        <v>Yes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 s="5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 s="5">
        <v>4941</v>
      </c>
      <c r="U319">
        <v>17747</v>
      </c>
      <c r="V319">
        <v>2</v>
      </c>
      <c r="W319" t="s">
        <v>42</v>
      </c>
      <c r="X319" t="s">
        <v>43</v>
      </c>
      <c r="Y319" t="str">
        <f t="shared" si="29"/>
        <v>No</v>
      </c>
      <c r="Z319">
        <v>15</v>
      </c>
      <c r="AA319">
        <v>3</v>
      </c>
      <c r="AB319">
        <v>1</v>
      </c>
      <c r="AC319">
        <v>80</v>
      </c>
      <c r="AD319">
        <v>0</v>
      </c>
      <c r="AE319" s="5">
        <v>11</v>
      </c>
      <c r="AF319" t="str">
        <f t="shared" si="30"/>
        <v>6-15</v>
      </c>
      <c r="AG319">
        <v>3</v>
      </c>
      <c r="AH319">
        <v>2</v>
      </c>
      <c r="AI319" s="5">
        <v>8</v>
      </c>
      <c r="AJ319">
        <v>2</v>
      </c>
      <c r="AK319">
        <v>7</v>
      </c>
      <c r="AL319">
        <v>7</v>
      </c>
      <c r="AM319" t="str">
        <f t="shared" si="31"/>
        <v>Below Avg</v>
      </c>
      <c r="AN319" s="21">
        <f t="shared" si="32"/>
        <v>28.162911611785095</v>
      </c>
      <c r="AO319" t="str">
        <f t="shared" ca="1" si="33"/>
        <v>No</v>
      </c>
      <c r="AP319" t="str">
        <f t="shared" si="34"/>
        <v>Low Risk</v>
      </c>
    </row>
    <row r="320" spans="1:42" x14ac:dyDescent="0.3">
      <c r="A320" s="5">
        <v>27</v>
      </c>
      <c r="B320" s="5" t="s">
        <v>43</v>
      </c>
      <c r="C320" s="5" t="str">
        <f t="shared" si="28"/>
        <v>No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 s="5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 s="5">
        <v>2478</v>
      </c>
      <c r="U320">
        <v>20938</v>
      </c>
      <c r="V320">
        <v>1</v>
      </c>
      <c r="W320" t="s">
        <v>42</v>
      </c>
      <c r="X320" t="s">
        <v>35</v>
      </c>
      <c r="Y320" t="str">
        <f t="shared" si="29"/>
        <v>Yes</v>
      </c>
      <c r="Z320">
        <v>12</v>
      </c>
      <c r="AA320">
        <v>3</v>
      </c>
      <c r="AB320">
        <v>2</v>
      </c>
      <c r="AC320">
        <v>80</v>
      </c>
      <c r="AD320">
        <v>0</v>
      </c>
      <c r="AE320" s="5">
        <v>4</v>
      </c>
      <c r="AF320" t="str">
        <f t="shared" si="30"/>
        <v>0-5</v>
      </c>
      <c r="AG320">
        <v>2</v>
      </c>
      <c r="AH320">
        <v>2</v>
      </c>
      <c r="AI320" s="5">
        <v>4</v>
      </c>
      <c r="AJ320">
        <v>3</v>
      </c>
      <c r="AK320">
        <v>1</v>
      </c>
      <c r="AL320">
        <v>2</v>
      </c>
      <c r="AM320" t="str">
        <f t="shared" si="31"/>
        <v>Below Avg</v>
      </c>
      <c r="AN320" s="21">
        <f t="shared" si="32"/>
        <v>28.100607111882049</v>
      </c>
      <c r="AO320" t="str">
        <f t="shared" ca="1" si="33"/>
        <v>No</v>
      </c>
      <c r="AP320" t="str">
        <f t="shared" si="34"/>
        <v>Low Risk</v>
      </c>
    </row>
    <row r="321" spans="1:42" x14ac:dyDescent="0.3">
      <c r="A321" s="5">
        <v>32</v>
      </c>
      <c r="B321" s="5" t="s">
        <v>43</v>
      </c>
      <c r="C321" s="5" t="str">
        <f t="shared" si="28"/>
        <v>No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 s="5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 s="5">
        <v>5228</v>
      </c>
      <c r="U321">
        <v>24624</v>
      </c>
      <c r="V321">
        <v>1</v>
      </c>
      <c r="W321" t="s">
        <v>42</v>
      </c>
      <c r="X321" t="s">
        <v>35</v>
      </c>
      <c r="Y321" t="str">
        <f t="shared" si="29"/>
        <v>Yes</v>
      </c>
      <c r="Z321">
        <v>11</v>
      </c>
      <c r="AA321">
        <v>3</v>
      </c>
      <c r="AB321">
        <v>4</v>
      </c>
      <c r="AC321">
        <v>80</v>
      </c>
      <c r="AD321">
        <v>0</v>
      </c>
      <c r="AE321" s="5">
        <v>13</v>
      </c>
      <c r="AF321" t="str">
        <f t="shared" si="30"/>
        <v>6-15</v>
      </c>
      <c r="AG321">
        <v>2</v>
      </c>
      <c r="AH321">
        <v>3</v>
      </c>
      <c r="AI321" s="5">
        <v>13</v>
      </c>
      <c r="AJ321">
        <v>12</v>
      </c>
      <c r="AK321">
        <v>11</v>
      </c>
      <c r="AL321">
        <v>9</v>
      </c>
      <c r="AM321" t="str">
        <f t="shared" si="31"/>
        <v>Below Avg</v>
      </c>
      <c r="AN321" s="21">
        <f t="shared" si="32"/>
        <v>28.125</v>
      </c>
      <c r="AO321" t="str">
        <f t="shared" ca="1" si="33"/>
        <v>No</v>
      </c>
      <c r="AP321" t="str">
        <f t="shared" si="34"/>
        <v>Low Risk</v>
      </c>
    </row>
    <row r="322" spans="1:42" x14ac:dyDescent="0.3">
      <c r="A322" s="5">
        <v>27</v>
      </c>
      <c r="B322" s="5" t="s">
        <v>43</v>
      </c>
      <c r="C322" s="5" t="str">
        <f t="shared" si="28"/>
        <v>No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 s="5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 s="5">
        <v>4478</v>
      </c>
      <c r="U322">
        <v>5242</v>
      </c>
      <c r="V322">
        <v>1</v>
      </c>
      <c r="W322" t="s">
        <v>42</v>
      </c>
      <c r="X322" t="s">
        <v>35</v>
      </c>
      <c r="Y322" t="str">
        <f t="shared" si="29"/>
        <v>Yes</v>
      </c>
      <c r="Z322">
        <v>11</v>
      </c>
      <c r="AA322">
        <v>3</v>
      </c>
      <c r="AB322">
        <v>1</v>
      </c>
      <c r="AC322">
        <v>80</v>
      </c>
      <c r="AD322">
        <v>0</v>
      </c>
      <c r="AE322" s="5">
        <v>5</v>
      </c>
      <c r="AF322" t="str">
        <f t="shared" si="30"/>
        <v>0-5</v>
      </c>
      <c r="AG322">
        <v>3</v>
      </c>
      <c r="AH322">
        <v>3</v>
      </c>
      <c r="AI322" s="5">
        <v>5</v>
      </c>
      <c r="AJ322">
        <v>4</v>
      </c>
      <c r="AK322">
        <v>0</v>
      </c>
      <c r="AL322">
        <v>4</v>
      </c>
      <c r="AM322" t="str">
        <f t="shared" si="31"/>
        <v>Below Avg</v>
      </c>
      <c r="AN322" s="21">
        <f t="shared" si="32"/>
        <v>28.062554300608166</v>
      </c>
      <c r="AO322" t="str">
        <f t="shared" ca="1" si="33"/>
        <v>No</v>
      </c>
      <c r="AP322" t="str">
        <f t="shared" si="34"/>
        <v>Low Risk</v>
      </c>
    </row>
    <row r="323" spans="1:42" x14ac:dyDescent="0.3">
      <c r="A323" s="5">
        <v>31</v>
      </c>
      <c r="B323" s="5" t="s">
        <v>43</v>
      </c>
      <c r="C323" s="5" t="str">
        <f t="shared" ref="C323:C386" si="35">IF(LOWER(B323)="yes","Yes","No")</f>
        <v>No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 s="5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 s="5">
        <v>7547</v>
      </c>
      <c r="U323">
        <v>7143</v>
      </c>
      <c r="V323">
        <v>4</v>
      </c>
      <c r="W323" t="s">
        <v>42</v>
      </c>
      <c r="X323" t="s">
        <v>43</v>
      </c>
      <c r="Y323" t="str">
        <f t="shared" ref="Y323:Y386" si="36">IF(LOWER(X323)="yes","Yes","No")</f>
        <v>No</v>
      </c>
      <c r="Z323">
        <v>12</v>
      </c>
      <c r="AA323">
        <v>3</v>
      </c>
      <c r="AB323">
        <v>4</v>
      </c>
      <c r="AC323">
        <v>80</v>
      </c>
      <c r="AD323">
        <v>3</v>
      </c>
      <c r="AE323" s="5">
        <v>13</v>
      </c>
      <c r="AF323" t="str">
        <f t="shared" ref="AF323:AF386" si="37">IF(AE323&lt;=5,"0-5",IF(AE323&lt;=15,"6-15","&gt;15"))</f>
        <v>6-15</v>
      </c>
      <c r="AG323">
        <v>3</v>
      </c>
      <c r="AH323">
        <v>3</v>
      </c>
      <c r="AI323" s="5">
        <v>7</v>
      </c>
      <c r="AJ323">
        <v>7</v>
      </c>
      <c r="AK323">
        <v>1</v>
      </c>
      <c r="AL323">
        <v>7</v>
      </c>
      <c r="AM323" t="str">
        <f t="shared" ref="AM323:AM386" si="38">IF(T323&lt;AVERAGEIF($F322:$F1792,F323,$T322:$T1792),"Below Avg","Ok")</f>
        <v>Ok</v>
      </c>
      <c r="AN323" s="21">
        <f t="shared" ref="AN323:AN386" si="39">COUNTIF(X322:X1792,"Yes")/COUNTA(X322:X1792)*100</f>
        <v>28.000000000000004</v>
      </c>
      <c r="AO323" t="str">
        <f t="shared" ref="AO323:AO386" ca="1" si="40">IF(AND(AA323&gt;=4,Z323&lt;AVERAGEIF($F322:$F1792,F323,$Z323:$Z1792)),"Yes","No")</f>
        <v>No</v>
      </c>
      <c r="AP323" t="str">
        <f t="shared" ref="AP323:AP386" si="41">IF(AND(AI323&lt;2,C323="Yes"),"High Risk","Low Risk")</f>
        <v>Low Risk</v>
      </c>
    </row>
    <row r="324" spans="1:42" x14ac:dyDescent="0.3">
      <c r="A324" s="5">
        <v>32</v>
      </c>
      <c r="B324" s="5" t="s">
        <v>43</v>
      </c>
      <c r="C324" s="5" t="str">
        <f t="shared" si="35"/>
        <v>No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 s="5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 s="5">
        <v>5055</v>
      </c>
      <c r="U324">
        <v>10557</v>
      </c>
      <c r="V324">
        <v>7</v>
      </c>
      <c r="W324" t="s">
        <v>42</v>
      </c>
      <c r="X324" t="s">
        <v>43</v>
      </c>
      <c r="Y324" t="str">
        <f t="shared" si="36"/>
        <v>No</v>
      </c>
      <c r="Z324">
        <v>16</v>
      </c>
      <c r="AA324">
        <v>3</v>
      </c>
      <c r="AB324">
        <v>3</v>
      </c>
      <c r="AC324">
        <v>80</v>
      </c>
      <c r="AD324">
        <v>0</v>
      </c>
      <c r="AE324" s="5">
        <v>10</v>
      </c>
      <c r="AF324" t="str">
        <f t="shared" si="37"/>
        <v>6-15</v>
      </c>
      <c r="AG324">
        <v>0</v>
      </c>
      <c r="AH324">
        <v>2</v>
      </c>
      <c r="AI324" s="5">
        <v>7</v>
      </c>
      <c r="AJ324">
        <v>7</v>
      </c>
      <c r="AK324">
        <v>0</v>
      </c>
      <c r="AL324">
        <v>7</v>
      </c>
      <c r="AM324" t="str">
        <f t="shared" si="38"/>
        <v>Below Avg</v>
      </c>
      <c r="AN324" s="21">
        <f t="shared" si="39"/>
        <v>27.93733681462141</v>
      </c>
      <c r="AO324" t="str">
        <f t="shared" ca="1" si="40"/>
        <v>No</v>
      </c>
      <c r="AP324" t="str">
        <f t="shared" si="41"/>
        <v>Low Risk</v>
      </c>
    </row>
    <row r="325" spans="1:42" x14ac:dyDescent="0.3">
      <c r="A325" s="5">
        <v>28</v>
      </c>
      <c r="B325" s="5" t="s">
        <v>35</v>
      </c>
      <c r="C325" s="5" t="str">
        <f t="shared" si="35"/>
        <v>Yes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 s="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 s="5">
        <v>3464</v>
      </c>
      <c r="U325">
        <v>24737</v>
      </c>
      <c r="V325">
        <v>5</v>
      </c>
      <c r="W325" t="s">
        <v>42</v>
      </c>
      <c r="X325" t="s">
        <v>35</v>
      </c>
      <c r="Y325" t="str">
        <f t="shared" si="36"/>
        <v>Yes</v>
      </c>
      <c r="Z325">
        <v>13</v>
      </c>
      <c r="AA325">
        <v>3</v>
      </c>
      <c r="AB325">
        <v>4</v>
      </c>
      <c r="AC325">
        <v>80</v>
      </c>
      <c r="AD325">
        <v>0</v>
      </c>
      <c r="AE325" s="5">
        <v>5</v>
      </c>
      <c r="AF325" t="str">
        <f t="shared" si="37"/>
        <v>0-5</v>
      </c>
      <c r="AG325">
        <v>4</v>
      </c>
      <c r="AH325">
        <v>2</v>
      </c>
      <c r="AI325" s="5">
        <v>3</v>
      </c>
      <c r="AJ325">
        <v>2</v>
      </c>
      <c r="AK325">
        <v>2</v>
      </c>
      <c r="AL325">
        <v>2</v>
      </c>
      <c r="AM325" t="str">
        <f t="shared" si="38"/>
        <v>Below Avg</v>
      </c>
      <c r="AN325" s="21">
        <f t="shared" si="39"/>
        <v>27.961672473867594</v>
      </c>
      <c r="AO325" t="str">
        <f t="shared" ca="1" si="40"/>
        <v>No</v>
      </c>
      <c r="AP325" t="str">
        <f t="shared" si="41"/>
        <v>Low Risk</v>
      </c>
    </row>
    <row r="326" spans="1:42" x14ac:dyDescent="0.3">
      <c r="A326" s="5">
        <v>30</v>
      </c>
      <c r="B326" s="5" t="s">
        <v>43</v>
      </c>
      <c r="C326" s="5" t="str">
        <f t="shared" si="35"/>
        <v>No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 s="5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 s="5">
        <v>5775</v>
      </c>
      <c r="U326">
        <v>11934</v>
      </c>
      <c r="V326">
        <v>1</v>
      </c>
      <c r="W326" t="s">
        <v>42</v>
      </c>
      <c r="X326" t="s">
        <v>43</v>
      </c>
      <c r="Y326" t="str">
        <f t="shared" si="36"/>
        <v>No</v>
      </c>
      <c r="Z326">
        <v>13</v>
      </c>
      <c r="AA326">
        <v>3</v>
      </c>
      <c r="AB326">
        <v>4</v>
      </c>
      <c r="AC326">
        <v>80</v>
      </c>
      <c r="AD326">
        <v>2</v>
      </c>
      <c r="AE326" s="5">
        <v>11</v>
      </c>
      <c r="AF326" t="str">
        <f t="shared" si="37"/>
        <v>6-15</v>
      </c>
      <c r="AG326">
        <v>2</v>
      </c>
      <c r="AH326">
        <v>3</v>
      </c>
      <c r="AI326" s="5">
        <v>10</v>
      </c>
      <c r="AJ326">
        <v>8</v>
      </c>
      <c r="AK326">
        <v>1</v>
      </c>
      <c r="AL326">
        <v>9</v>
      </c>
      <c r="AM326" t="str">
        <f t="shared" si="38"/>
        <v>Below Avg</v>
      </c>
      <c r="AN326" s="21">
        <f t="shared" si="39"/>
        <v>27.986050566695731</v>
      </c>
      <c r="AO326" t="str">
        <f t="shared" ca="1" si="40"/>
        <v>No</v>
      </c>
      <c r="AP326" t="str">
        <f t="shared" si="41"/>
        <v>Low Risk</v>
      </c>
    </row>
    <row r="327" spans="1:42" x14ac:dyDescent="0.3">
      <c r="A327" s="5">
        <v>31</v>
      </c>
      <c r="B327" s="5" t="s">
        <v>43</v>
      </c>
      <c r="C327" s="5" t="str">
        <f t="shared" si="35"/>
        <v>No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 s="5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 s="5">
        <v>8943</v>
      </c>
      <c r="U327">
        <v>14034</v>
      </c>
      <c r="V327">
        <v>1</v>
      </c>
      <c r="W327" t="s">
        <v>42</v>
      </c>
      <c r="X327" t="s">
        <v>43</v>
      </c>
      <c r="Y327" t="str">
        <f t="shared" si="36"/>
        <v>No</v>
      </c>
      <c r="Z327">
        <v>24</v>
      </c>
      <c r="AA327">
        <v>4</v>
      </c>
      <c r="AB327">
        <v>1</v>
      </c>
      <c r="AC327">
        <v>80</v>
      </c>
      <c r="AD327">
        <v>1</v>
      </c>
      <c r="AE327" s="5">
        <v>10</v>
      </c>
      <c r="AF327" t="str">
        <f t="shared" si="37"/>
        <v>6-15</v>
      </c>
      <c r="AG327">
        <v>2</v>
      </c>
      <c r="AH327">
        <v>3</v>
      </c>
      <c r="AI327" s="5">
        <v>10</v>
      </c>
      <c r="AJ327">
        <v>9</v>
      </c>
      <c r="AK327">
        <v>8</v>
      </c>
      <c r="AL327">
        <v>9</v>
      </c>
      <c r="AM327" t="str">
        <f t="shared" si="38"/>
        <v>Ok</v>
      </c>
      <c r="AN327" s="21">
        <f t="shared" si="39"/>
        <v>27.923211169284468</v>
      </c>
      <c r="AO327" t="str">
        <f t="shared" ca="1" si="40"/>
        <v>No</v>
      </c>
      <c r="AP327" t="str">
        <f t="shared" si="41"/>
        <v>Low Risk</v>
      </c>
    </row>
    <row r="328" spans="1:42" x14ac:dyDescent="0.3">
      <c r="A328" s="5">
        <v>39</v>
      </c>
      <c r="B328" s="5" t="s">
        <v>43</v>
      </c>
      <c r="C328" s="5" t="str">
        <f t="shared" si="35"/>
        <v>No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 s="5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 s="5">
        <v>19272</v>
      </c>
      <c r="U328">
        <v>21141</v>
      </c>
      <c r="V328">
        <v>1</v>
      </c>
      <c r="W328" t="s">
        <v>42</v>
      </c>
      <c r="X328" t="s">
        <v>43</v>
      </c>
      <c r="Y328" t="str">
        <f t="shared" si="36"/>
        <v>No</v>
      </c>
      <c r="Z328">
        <v>15</v>
      </c>
      <c r="AA328">
        <v>3</v>
      </c>
      <c r="AB328">
        <v>1</v>
      </c>
      <c r="AC328">
        <v>80</v>
      </c>
      <c r="AD328">
        <v>1</v>
      </c>
      <c r="AE328" s="5">
        <v>21</v>
      </c>
      <c r="AF328" t="str">
        <f t="shared" si="37"/>
        <v>&gt;15</v>
      </c>
      <c r="AG328">
        <v>2</v>
      </c>
      <c r="AH328">
        <v>3</v>
      </c>
      <c r="AI328" s="5">
        <v>21</v>
      </c>
      <c r="AJ328">
        <v>9</v>
      </c>
      <c r="AK328">
        <v>13</v>
      </c>
      <c r="AL328">
        <v>3</v>
      </c>
      <c r="AM328" t="str">
        <f t="shared" si="38"/>
        <v>Ok</v>
      </c>
      <c r="AN328" s="21">
        <f t="shared" si="39"/>
        <v>27.947598253275107</v>
      </c>
      <c r="AO328" t="str">
        <f t="shared" ca="1" si="40"/>
        <v>No</v>
      </c>
      <c r="AP328" t="str">
        <f t="shared" si="41"/>
        <v>Low Risk</v>
      </c>
    </row>
    <row r="329" spans="1:42" x14ac:dyDescent="0.3">
      <c r="A329" s="5">
        <v>39</v>
      </c>
      <c r="B329" s="5" t="s">
        <v>35</v>
      </c>
      <c r="C329" s="5" t="str">
        <f t="shared" si="35"/>
        <v>Yes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 s="5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 s="5">
        <v>5238</v>
      </c>
      <c r="U329">
        <v>17778</v>
      </c>
      <c r="V329">
        <v>4</v>
      </c>
      <c r="W329" t="s">
        <v>42</v>
      </c>
      <c r="X329" t="s">
        <v>35</v>
      </c>
      <c r="Y329" t="str">
        <f t="shared" si="36"/>
        <v>Yes</v>
      </c>
      <c r="Z329">
        <v>18</v>
      </c>
      <c r="AA329">
        <v>3</v>
      </c>
      <c r="AB329">
        <v>1</v>
      </c>
      <c r="AC329">
        <v>80</v>
      </c>
      <c r="AD329">
        <v>0</v>
      </c>
      <c r="AE329" s="5">
        <v>12</v>
      </c>
      <c r="AF329" t="str">
        <f t="shared" si="37"/>
        <v>6-15</v>
      </c>
      <c r="AG329">
        <v>3</v>
      </c>
      <c r="AH329">
        <v>2</v>
      </c>
      <c r="AI329" s="5">
        <v>1</v>
      </c>
      <c r="AJ329">
        <v>0</v>
      </c>
      <c r="AK329">
        <v>0</v>
      </c>
      <c r="AL329">
        <v>0</v>
      </c>
      <c r="AM329" t="str">
        <f t="shared" si="38"/>
        <v>Below Avg</v>
      </c>
      <c r="AN329" s="21">
        <f t="shared" si="39"/>
        <v>27.972027972027973</v>
      </c>
      <c r="AO329" t="str">
        <f t="shared" ca="1" si="40"/>
        <v>No</v>
      </c>
      <c r="AP329" t="str">
        <f t="shared" si="41"/>
        <v>High Risk</v>
      </c>
    </row>
    <row r="330" spans="1:42" x14ac:dyDescent="0.3">
      <c r="A330" s="5">
        <v>33</v>
      </c>
      <c r="B330" s="5" t="s">
        <v>43</v>
      </c>
      <c r="C330" s="5" t="str">
        <f t="shared" si="35"/>
        <v>No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 s="5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 s="5">
        <v>4682</v>
      </c>
      <c r="U330">
        <v>4317</v>
      </c>
      <c r="V330">
        <v>3</v>
      </c>
      <c r="W330" t="s">
        <v>42</v>
      </c>
      <c r="X330" t="s">
        <v>43</v>
      </c>
      <c r="Y330" t="str">
        <f t="shared" si="36"/>
        <v>No</v>
      </c>
      <c r="Z330">
        <v>14</v>
      </c>
      <c r="AA330">
        <v>3</v>
      </c>
      <c r="AB330">
        <v>3</v>
      </c>
      <c r="AC330">
        <v>80</v>
      </c>
      <c r="AD330">
        <v>0</v>
      </c>
      <c r="AE330" s="5">
        <v>9</v>
      </c>
      <c r="AF330" t="str">
        <f t="shared" si="37"/>
        <v>6-15</v>
      </c>
      <c r="AG330">
        <v>6</v>
      </c>
      <c r="AH330">
        <v>2</v>
      </c>
      <c r="AI330" s="5">
        <v>7</v>
      </c>
      <c r="AJ330">
        <v>7</v>
      </c>
      <c r="AK330">
        <v>0</v>
      </c>
      <c r="AL330">
        <v>1</v>
      </c>
      <c r="AM330" t="str">
        <f t="shared" si="38"/>
        <v>Below Avg</v>
      </c>
      <c r="AN330" s="21">
        <f t="shared" si="39"/>
        <v>27.99650043744532</v>
      </c>
      <c r="AO330" t="str">
        <f t="shared" ca="1" si="40"/>
        <v>No</v>
      </c>
      <c r="AP330" t="str">
        <f t="shared" si="41"/>
        <v>Low Risk</v>
      </c>
    </row>
    <row r="331" spans="1:42" x14ac:dyDescent="0.3">
      <c r="A331" s="5">
        <v>47</v>
      </c>
      <c r="B331" s="5" t="s">
        <v>43</v>
      </c>
      <c r="C331" s="5" t="str">
        <f t="shared" si="35"/>
        <v>No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 s="5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 s="5">
        <v>18300</v>
      </c>
      <c r="U331">
        <v>16375</v>
      </c>
      <c r="V331">
        <v>4</v>
      </c>
      <c r="W331" t="s">
        <v>42</v>
      </c>
      <c r="X331" t="s">
        <v>43</v>
      </c>
      <c r="Y331" t="str">
        <f t="shared" si="36"/>
        <v>No</v>
      </c>
      <c r="Z331">
        <v>11</v>
      </c>
      <c r="AA331">
        <v>3</v>
      </c>
      <c r="AB331">
        <v>2</v>
      </c>
      <c r="AC331">
        <v>80</v>
      </c>
      <c r="AD331">
        <v>1</v>
      </c>
      <c r="AE331" s="5">
        <v>21</v>
      </c>
      <c r="AF331" t="str">
        <f t="shared" si="37"/>
        <v>&gt;15</v>
      </c>
      <c r="AG331">
        <v>2</v>
      </c>
      <c r="AH331">
        <v>3</v>
      </c>
      <c r="AI331" s="5">
        <v>3</v>
      </c>
      <c r="AJ331">
        <v>2</v>
      </c>
      <c r="AK331">
        <v>1</v>
      </c>
      <c r="AL331">
        <v>1</v>
      </c>
      <c r="AM331" t="str">
        <f t="shared" si="38"/>
        <v>Ok</v>
      </c>
      <c r="AN331" s="21">
        <f t="shared" si="39"/>
        <v>27.933450087565674</v>
      </c>
      <c r="AO331" t="str">
        <f t="shared" ca="1" si="40"/>
        <v>No</v>
      </c>
      <c r="AP331" t="str">
        <f t="shared" si="41"/>
        <v>Low Risk</v>
      </c>
    </row>
    <row r="332" spans="1:42" x14ac:dyDescent="0.3">
      <c r="A332" s="5">
        <v>43</v>
      </c>
      <c r="B332" s="5" t="s">
        <v>43</v>
      </c>
      <c r="C332" s="5" t="str">
        <f t="shared" si="35"/>
        <v>No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 s="5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 s="5">
        <v>5257</v>
      </c>
      <c r="U332">
        <v>6227</v>
      </c>
      <c r="V332">
        <v>1</v>
      </c>
      <c r="W332" t="s">
        <v>42</v>
      </c>
      <c r="X332" t="s">
        <v>43</v>
      </c>
      <c r="Y332" t="str">
        <f t="shared" si="36"/>
        <v>No</v>
      </c>
      <c r="Z332">
        <v>11</v>
      </c>
      <c r="AA332">
        <v>3</v>
      </c>
      <c r="AB332">
        <v>2</v>
      </c>
      <c r="AC332">
        <v>80</v>
      </c>
      <c r="AD332">
        <v>1</v>
      </c>
      <c r="AE332" s="5">
        <v>9</v>
      </c>
      <c r="AF332" t="str">
        <f t="shared" si="37"/>
        <v>6-15</v>
      </c>
      <c r="AG332">
        <v>3</v>
      </c>
      <c r="AH332">
        <v>4</v>
      </c>
      <c r="AI332" s="5">
        <v>9</v>
      </c>
      <c r="AJ332">
        <v>7</v>
      </c>
      <c r="AK332">
        <v>0</v>
      </c>
      <c r="AL332">
        <v>0</v>
      </c>
      <c r="AM332" t="str">
        <f t="shared" si="38"/>
        <v>Below Avg</v>
      </c>
      <c r="AN332" s="21">
        <f t="shared" si="39"/>
        <v>27.957931638913237</v>
      </c>
      <c r="AO332" t="str">
        <f t="shared" ca="1" si="40"/>
        <v>No</v>
      </c>
      <c r="AP332" t="str">
        <f t="shared" si="41"/>
        <v>Low Risk</v>
      </c>
    </row>
    <row r="333" spans="1:42" x14ac:dyDescent="0.3">
      <c r="A333" s="5">
        <v>27</v>
      </c>
      <c r="B333" s="5" t="s">
        <v>43</v>
      </c>
      <c r="C333" s="5" t="str">
        <f t="shared" si="35"/>
        <v>No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 s="5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 s="5">
        <v>6349</v>
      </c>
      <c r="U333">
        <v>22107</v>
      </c>
      <c r="V333">
        <v>0</v>
      </c>
      <c r="W333" t="s">
        <v>42</v>
      </c>
      <c r="X333" t="s">
        <v>35</v>
      </c>
      <c r="Y333" t="str">
        <f t="shared" si="36"/>
        <v>Yes</v>
      </c>
      <c r="Z333">
        <v>13</v>
      </c>
      <c r="AA333">
        <v>3</v>
      </c>
      <c r="AB333">
        <v>4</v>
      </c>
      <c r="AC333">
        <v>80</v>
      </c>
      <c r="AD333">
        <v>1</v>
      </c>
      <c r="AE333" s="5">
        <v>6</v>
      </c>
      <c r="AF333" t="str">
        <f t="shared" si="37"/>
        <v>6-15</v>
      </c>
      <c r="AG333">
        <v>0</v>
      </c>
      <c r="AH333">
        <v>3</v>
      </c>
      <c r="AI333" s="5">
        <v>5</v>
      </c>
      <c r="AJ333">
        <v>4</v>
      </c>
      <c r="AK333">
        <v>1</v>
      </c>
      <c r="AL333">
        <v>4</v>
      </c>
      <c r="AM333" t="str">
        <f t="shared" si="38"/>
        <v>Below Avg</v>
      </c>
      <c r="AN333" s="21">
        <f t="shared" si="39"/>
        <v>27.982456140350877</v>
      </c>
      <c r="AO333" t="str">
        <f t="shared" ca="1" si="40"/>
        <v>No</v>
      </c>
      <c r="AP333" t="str">
        <f t="shared" si="41"/>
        <v>Low Risk</v>
      </c>
    </row>
    <row r="334" spans="1:42" x14ac:dyDescent="0.3">
      <c r="A334" s="5">
        <v>54</v>
      </c>
      <c r="B334" s="5" t="s">
        <v>43</v>
      </c>
      <c r="C334" s="5" t="str">
        <f t="shared" si="35"/>
        <v>No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 s="5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 s="5">
        <v>4869</v>
      </c>
      <c r="U334">
        <v>16885</v>
      </c>
      <c r="V334">
        <v>3</v>
      </c>
      <c r="W334" t="s">
        <v>42</v>
      </c>
      <c r="X334" t="s">
        <v>43</v>
      </c>
      <c r="Y334" t="str">
        <f t="shared" si="36"/>
        <v>No</v>
      </c>
      <c r="Z334">
        <v>12</v>
      </c>
      <c r="AA334">
        <v>3</v>
      </c>
      <c r="AB334">
        <v>4</v>
      </c>
      <c r="AC334">
        <v>80</v>
      </c>
      <c r="AD334">
        <v>0</v>
      </c>
      <c r="AE334" s="5">
        <v>20</v>
      </c>
      <c r="AF334" t="str">
        <f t="shared" si="37"/>
        <v>&gt;15</v>
      </c>
      <c r="AG334">
        <v>4</v>
      </c>
      <c r="AH334">
        <v>2</v>
      </c>
      <c r="AI334" s="5">
        <v>4</v>
      </c>
      <c r="AJ334">
        <v>3</v>
      </c>
      <c r="AK334">
        <v>0</v>
      </c>
      <c r="AL334">
        <v>3</v>
      </c>
      <c r="AM334" t="str">
        <f t="shared" si="38"/>
        <v>Below Avg</v>
      </c>
      <c r="AN334" s="21">
        <f t="shared" si="39"/>
        <v>28.007023705004393</v>
      </c>
      <c r="AO334" t="str">
        <f t="shared" ca="1" si="40"/>
        <v>No</v>
      </c>
      <c r="AP334" t="str">
        <f t="shared" si="41"/>
        <v>Low Risk</v>
      </c>
    </row>
    <row r="335" spans="1:42" x14ac:dyDescent="0.3">
      <c r="A335" s="5">
        <v>43</v>
      </c>
      <c r="B335" s="5" t="s">
        <v>43</v>
      </c>
      <c r="C335" s="5" t="str">
        <f t="shared" si="35"/>
        <v>No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 s="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 s="5">
        <v>9985</v>
      </c>
      <c r="U335">
        <v>9262</v>
      </c>
      <c r="V335">
        <v>8</v>
      </c>
      <c r="W335" t="s">
        <v>42</v>
      </c>
      <c r="X335" t="s">
        <v>43</v>
      </c>
      <c r="Y335" t="str">
        <f t="shared" si="36"/>
        <v>No</v>
      </c>
      <c r="Z335">
        <v>16</v>
      </c>
      <c r="AA335">
        <v>3</v>
      </c>
      <c r="AB335">
        <v>1</v>
      </c>
      <c r="AC335">
        <v>80</v>
      </c>
      <c r="AD335">
        <v>1</v>
      </c>
      <c r="AE335" s="5">
        <v>10</v>
      </c>
      <c r="AF335" t="str">
        <f t="shared" si="37"/>
        <v>6-15</v>
      </c>
      <c r="AG335">
        <v>1</v>
      </c>
      <c r="AH335">
        <v>2</v>
      </c>
      <c r="AI335" s="5">
        <v>1</v>
      </c>
      <c r="AJ335">
        <v>0</v>
      </c>
      <c r="AK335">
        <v>0</v>
      </c>
      <c r="AL335">
        <v>0</v>
      </c>
      <c r="AM335" t="str">
        <f t="shared" si="38"/>
        <v>Ok</v>
      </c>
      <c r="AN335" s="21">
        <f t="shared" si="39"/>
        <v>27.943760984182774</v>
      </c>
      <c r="AO335" t="str">
        <f t="shared" ca="1" si="40"/>
        <v>No</v>
      </c>
      <c r="AP335" t="str">
        <f t="shared" si="41"/>
        <v>Low Risk</v>
      </c>
    </row>
    <row r="336" spans="1:42" x14ac:dyDescent="0.3">
      <c r="A336" s="5">
        <v>45</v>
      </c>
      <c r="B336" s="5" t="s">
        <v>43</v>
      </c>
      <c r="C336" s="5" t="str">
        <f t="shared" si="35"/>
        <v>No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 s="5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 s="5">
        <v>3697</v>
      </c>
      <c r="U336">
        <v>9278</v>
      </c>
      <c r="V336">
        <v>9</v>
      </c>
      <c r="W336" t="s">
        <v>42</v>
      </c>
      <c r="X336" t="s">
        <v>43</v>
      </c>
      <c r="Y336" t="str">
        <f t="shared" si="36"/>
        <v>No</v>
      </c>
      <c r="Z336">
        <v>14</v>
      </c>
      <c r="AA336">
        <v>3</v>
      </c>
      <c r="AB336">
        <v>1</v>
      </c>
      <c r="AC336">
        <v>80</v>
      </c>
      <c r="AD336">
        <v>2</v>
      </c>
      <c r="AE336" s="5">
        <v>12</v>
      </c>
      <c r="AF336" t="str">
        <f t="shared" si="37"/>
        <v>6-15</v>
      </c>
      <c r="AG336">
        <v>3</v>
      </c>
      <c r="AH336">
        <v>3</v>
      </c>
      <c r="AI336" s="5">
        <v>10</v>
      </c>
      <c r="AJ336">
        <v>9</v>
      </c>
      <c r="AK336">
        <v>9</v>
      </c>
      <c r="AL336">
        <v>8</v>
      </c>
      <c r="AM336" t="str">
        <f t="shared" si="38"/>
        <v>Below Avg</v>
      </c>
      <c r="AN336" s="21">
        <f t="shared" si="39"/>
        <v>27.968337730870712</v>
      </c>
      <c r="AO336" t="str">
        <f t="shared" ca="1" si="40"/>
        <v>No</v>
      </c>
      <c r="AP336" t="str">
        <f t="shared" si="41"/>
        <v>Low Risk</v>
      </c>
    </row>
    <row r="337" spans="1:42" x14ac:dyDescent="0.3">
      <c r="A337" s="5">
        <v>40</v>
      </c>
      <c r="B337" s="5" t="s">
        <v>43</v>
      </c>
      <c r="C337" s="5" t="str">
        <f t="shared" si="35"/>
        <v>No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 s="5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 s="5">
        <v>7457</v>
      </c>
      <c r="U337">
        <v>13273</v>
      </c>
      <c r="V337">
        <v>2</v>
      </c>
      <c r="W337" t="s">
        <v>42</v>
      </c>
      <c r="X337" t="s">
        <v>35</v>
      </c>
      <c r="Y337" t="str">
        <f t="shared" si="36"/>
        <v>Yes</v>
      </c>
      <c r="Z337">
        <v>22</v>
      </c>
      <c r="AA337">
        <v>4</v>
      </c>
      <c r="AB337">
        <v>3</v>
      </c>
      <c r="AC337">
        <v>80</v>
      </c>
      <c r="AD337">
        <v>3</v>
      </c>
      <c r="AE337" s="5">
        <v>6</v>
      </c>
      <c r="AF337" t="str">
        <f t="shared" si="37"/>
        <v>6-15</v>
      </c>
      <c r="AG337">
        <v>2</v>
      </c>
      <c r="AH337">
        <v>2</v>
      </c>
      <c r="AI337" s="5">
        <v>4</v>
      </c>
      <c r="AJ337">
        <v>3</v>
      </c>
      <c r="AK337">
        <v>0</v>
      </c>
      <c r="AL337">
        <v>2</v>
      </c>
      <c r="AM337" t="str">
        <f t="shared" si="38"/>
        <v>Ok</v>
      </c>
      <c r="AN337" s="21">
        <f t="shared" si="39"/>
        <v>27.992957746478876</v>
      </c>
      <c r="AO337" t="str">
        <f t="shared" ca="1" si="40"/>
        <v>No</v>
      </c>
      <c r="AP337" t="str">
        <f t="shared" si="41"/>
        <v>Low Risk</v>
      </c>
    </row>
    <row r="338" spans="1:42" x14ac:dyDescent="0.3">
      <c r="A338" s="5">
        <v>29</v>
      </c>
      <c r="B338" s="5" t="s">
        <v>35</v>
      </c>
      <c r="C338" s="5" t="str">
        <f t="shared" si="35"/>
        <v>Yes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 s="5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 s="5">
        <v>2119</v>
      </c>
      <c r="U338">
        <v>4759</v>
      </c>
      <c r="V338">
        <v>1</v>
      </c>
      <c r="W338" t="s">
        <v>42</v>
      </c>
      <c r="X338" t="s">
        <v>35</v>
      </c>
      <c r="Y338" t="str">
        <f t="shared" si="36"/>
        <v>Yes</v>
      </c>
      <c r="Z338">
        <v>11</v>
      </c>
      <c r="AA338">
        <v>3</v>
      </c>
      <c r="AB338">
        <v>4</v>
      </c>
      <c r="AC338">
        <v>80</v>
      </c>
      <c r="AD338">
        <v>0</v>
      </c>
      <c r="AE338" s="5">
        <v>7</v>
      </c>
      <c r="AF338" t="str">
        <f t="shared" si="37"/>
        <v>6-15</v>
      </c>
      <c r="AG338">
        <v>4</v>
      </c>
      <c r="AH338">
        <v>2</v>
      </c>
      <c r="AI338" s="5">
        <v>7</v>
      </c>
      <c r="AJ338">
        <v>7</v>
      </c>
      <c r="AK338">
        <v>0</v>
      </c>
      <c r="AL338">
        <v>7</v>
      </c>
      <c r="AM338" t="str">
        <f t="shared" si="38"/>
        <v>Below Avg</v>
      </c>
      <c r="AN338" s="21">
        <f t="shared" si="39"/>
        <v>28.017621145374449</v>
      </c>
      <c r="AO338" t="str">
        <f t="shared" ca="1" si="40"/>
        <v>No</v>
      </c>
      <c r="AP338" t="str">
        <f t="shared" si="41"/>
        <v>Low Risk</v>
      </c>
    </row>
    <row r="339" spans="1:42" x14ac:dyDescent="0.3">
      <c r="A339" s="5">
        <v>29</v>
      </c>
      <c r="B339" s="5" t="s">
        <v>43</v>
      </c>
      <c r="C339" s="5" t="str">
        <f t="shared" si="35"/>
        <v>No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 s="5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 s="5">
        <v>3983</v>
      </c>
      <c r="U339">
        <v>7621</v>
      </c>
      <c r="V339">
        <v>0</v>
      </c>
      <c r="W339" t="s">
        <v>42</v>
      </c>
      <c r="X339" t="s">
        <v>43</v>
      </c>
      <c r="Y339" t="str">
        <f t="shared" si="36"/>
        <v>No</v>
      </c>
      <c r="Z339">
        <v>17</v>
      </c>
      <c r="AA339">
        <v>3</v>
      </c>
      <c r="AB339">
        <v>3</v>
      </c>
      <c r="AC339">
        <v>80</v>
      </c>
      <c r="AD339">
        <v>0</v>
      </c>
      <c r="AE339" s="5">
        <v>4</v>
      </c>
      <c r="AF339" t="str">
        <f t="shared" si="37"/>
        <v>0-5</v>
      </c>
      <c r="AG339">
        <v>2</v>
      </c>
      <c r="AH339">
        <v>3</v>
      </c>
      <c r="AI339" s="5">
        <v>3</v>
      </c>
      <c r="AJ339">
        <v>2</v>
      </c>
      <c r="AK339">
        <v>2</v>
      </c>
      <c r="AL339">
        <v>2</v>
      </c>
      <c r="AM339" t="str">
        <f t="shared" si="38"/>
        <v>Below Avg</v>
      </c>
      <c r="AN339" s="21">
        <f t="shared" si="39"/>
        <v>27.954144620811288</v>
      </c>
      <c r="AO339" t="str">
        <f t="shared" ca="1" si="40"/>
        <v>No</v>
      </c>
      <c r="AP339" t="str">
        <f t="shared" si="41"/>
        <v>Low Risk</v>
      </c>
    </row>
    <row r="340" spans="1:42" x14ac:dyDescent="0.3">
      <c r="A340" s="5">
        <v>30</v>
      </c>
      <c r="B340" s="5" t="s">
        <v>43</v>
      </c>
      <c r="C340" s="5" t="str">
        <f t="shared" si="35"/>
        <v>No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 s="5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 s="5">
        <v>6118</v>
      </c>
      <c r="U340">
        <v>5431</v>
      </c>
      <c r="V340">
        <v>1</v>
      </c>
      <c r="W340" t="s">
        <v>42</v>
      </c>
      <c r="X340" t="s">
        <v>43</v>
      </c>
      <c r="Y340" t="str">
        <f t="shared" si="36"/>
        <v>No</v>
      </c>
      <c r="Z340">
        <v>13</v>
      </c>
      <c r="AA340">
        <v>3</v>
      </c>
      <c r="AB340">
        <v>3</v>
      </c>
      <c r="AC340">
        <v>80</v>
      </c>
      <c r="AD340">
        <v>3</v>
      </c>
      <c r="AE340" s="5">
        <v>10</v>
      </c>
      <c r="AF340" t="str">
        <f t="shared" si="37"/>
        <v>6-15</v>
      </c>
      <c r="AG340">
        <v>2</v>
      </c>
      <c r="AH340">
        <v>3</v>
      </c>
      <c r="AI340" s="5">
        <v>10</v>
      </c>
      <c r="AJ340">
        <v>9</v>
      </c>
      <c r="AK340">
        <v>1</v>
      </c>
      <c r="AL340">
        <v>2</v>
      </c>
      <c r="AM340" t="str">
        <f t="shared" si="38"/>
        <v>Below Avg</v>
      </c>
      <c r="AN340" s="21">
        <f t="shared" si="39"/>
        <v>27.890556045895853</v>
      </c>
      <c r="AO340" t="str">
        <f t="shared" ca="1" si="40"/>
        <v>No</v>
      </c>
      <c r="AP340" t="str">
        <f t="shared" si="41"/>
        <v>Low Risk</v>
      </c>
    </row>
    <row r="341" spans="1:42" x14ac:dyDescent="0.3">
      <c r="A341" s="5">
        <v>27</v>
      </c>
      <c r="B341" s="5" t="s">
        <v>43</v>
      </c>
      <c r="C341" s="5" t="str">
        <f t="shared" si="35"/>
        <v>No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 s="5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 s="5">
        <v>6214</v>
      </c>
      <c r="U341">
        <v>3415</v>
      </c>
      <c r="V341">
        <v>1</v>
      </c>
      <c r="W341" t="s">
        <v>42</v>
      </c>
      <c r="X341" t="s">
        <v>43</v>
      </c>
      <c r="Y341" t="str">
        <f t="shared" si="36"/>
        <v>No</v>
      </c>
      <c r="Z341">
        <v>18</v>
      </c>
      <c r="AA341">
        <v>3</v>
      </c>
      <c r="AB341">
        <v>1</v>
      </c>
      <c r="AC341">
        <v>80</v>
      </c>
      <c r="AD341">
        <v>1</v>
      </c>
      <c r="AE341" s="5">
        <v>8</v>
      </c>
      <c r="AF341" t="str">
        <f t="shared" si="37"/>
        <v>6-15</v>
      </c>
      <c r="AG341">
        <v>3</v>
      </c>
      <c r="AH341">
        <v>3</v>
      </c>
      <c r="AI341" s="5">
        <v>8</v>
      </c>
      <c r="AJ341">
        <v>7</v>
      </c>
      <c r="AK341">
        <v>0</v>
      </c>
      <c r="AL341">
        <v>7</v>
      </c>
      <c r="AM341" t="str">
        <f t="shared" si="38"/>
        <v>Below Avg</v>
      </c>
      <c r="AN341" s="21">
        <f t="shared" si="39"/>
        <v>27.915194346289752</v>
      </c>
      <c r="AO341" t="str">
        <f t="shared" ca="1" si="40"/>
        <v>No</v>
      </c>
      <c r="AP341" t="str">
        <f t="shared" si="41"/>
        <v>Low Risk</v>
      </c>
    </row>
    <row r="342" spans="1:42" x14ac:dyDescent="0.3">
      <c r="A342" s="5">
        <v>37</v>
      </c>
      <c r="B342" s="5" t="s">
        <v>43</v>
      </c>
      <c r="C342" s="5" t="str">
        <f t="shared" si="35"/>
        <v>No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 s="5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 s="5">
        <v>6347</v>
      </c>
      <c r="U342">
        <v>23177</v>
      </c>
      <c r="V342">
        <v>7</v>
      </c>
      <c r="W342" t="s">
        <v>42</v>
      </c>
      <c r="X342" t="s">
        <v>43</v>
      </c>
      <c r="Y342" t="str">
        <f t="shared" si="36"/>
        <v>No</v>
      </c>
      <c r="Z342">
        <v>16</v>
      </c>
      <c r="AA342">
        <v>3</v>
      </c>
      <c r="AB342">
        <v>3</v>
      </c>
      <c r="AC342">
        <v>80</v>
      </c>
      <c r="AD342">
        <v>2</v>
      </c>
      <c r="AE342" s="5">
        <v>8</v>
      </c>
      <c r="AF342" t="str">
        <f t="shared" si="37"/>
        <v>6-15</v>
      </c>
      <c r="AG342">
        <v>2</v>
      </c>
      <c r="AH342">
        <v>2</v>
      </c>
      <c r="AI342" s="5">
        <v>6</v>
      </c>
      <c r="AJ342">
        <v>2</v>
      </c>
      <c r="AK342">
        <v>0</v>
      </c>
      <c r="AL342">
        <v>4</v>
      </c>
      <c r="AM342" t="str">
        <f t="shared" si="38"/>
        <v>Ok</v>
      </c>
      <c r="AN342" s="21">
        <f t="shared" si="39"/>
        <v>27.939876215738284</v>
      </c>
      <c r="AO342" t="str">
        <f t="shared" ca="1" si="40"/>
        <v>No</v>
      </c>
      <c r="AP342" t="str">
        <f t="shared" si="41"/>
        <v>Low Risk</v>
      </c>
    </row>
    <row r="343" spans="1:42" x14ac:dyDescent="0.3">
      <c r="A343" s="5">
        <v>38</v>
      </c>
      <c r="B343" s="5" t="s">
        <v>43</v>
      </c>
      <c r="C343" s="5" t="str">
        <f t="shared" si="35"/>
        <v>No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 s="5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 s="5">
        <v>11510</v>
      </c>
      <c r="U343">
        <v>15682</v>
      </c>
      <c r="V343">
        <v>0</v>
      </c>
      <c r="W343" t="s">
        <v>42</v>
      </c>
      <c r="X343" t="s">
        <v>35</v>
      </c>
      <c r="Y343" t="str">
        <f t="shared" si="36"/>
        <v>Yes</v>
      </c>
      <c r="Z343">
        <v>14</v>
      </c>
      <c r="AA343">
        <v>3</v>
      </c>
      <c r="AB343">
        <v>2</v>
      </c>
      <c r="AC343">
        <v>80</v>
      </c>
      <c r="AD343">
        <v>1</v>
      </c>
      <c r="AE343" s="5">
        <v>12</v>
      </c>
      <c r="AF343" t="str">
        <f t="shared" si="37"/>
        <v>6-15</v>
      </c>
      <c r="AG343">
        <v>3</v>
      </c>
      <c r="AH343">
        <v>3</v>
      </c>
      <c r="AI343" s="5">
        <v>11</v>
      </c>
      <c r="AJ343">
        <v>10</v>
      </c>
      <c r="AK343">
        <v>2</v>
      </c>
      <c r="AL343">
        <v>9</v>
      </c>
      <c r="AM343" t="str">
        <f t="shared" si="38"/>
        <v>Ok</v>
      </c>
      <c r="AN343" s="21">
        <f t="shared" si="39"/>
        <v>27.964601769911507</v>
      </c>
      <c r="AO343" t="str">
        <f t="shared" ca="1" si="40"/>
        <v>No</v>
      </c>
      <c r="AP343" t="str">
        <f t="shared" si="41"/>
        <v>Low Risk</v>
      </c>
    </row>
    <row r="344" spans="1:42" x14ac:dyDescent="0.3">
      <c r="A344" s="5">
        <v>31</v>
      </c>
      <c r="B344" s="5" t="s">
        <v>43</v>
      </c>
      <c r="C344" s="5" t="str">
        <f t="shared" si="35"/>
        <v>No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 s="5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 s="5">
        <v>7143</v>
      </c>
      <c r="U344">
        <v>25713</v>
      </c>
      <c r="V344">
        <v>1</v>
      </c>
      <c r="W344" t="s">
        <v>42</v>
      </c>
      <c r="X344" t="s">
        <v>35</v>
      </c>
      <c r="Y344" t="str">
        <f t="shared" si="36"/>
        <v>Yes</v>
      </c>
      <c r="Z344">
        <v>14</v>
      </c>
      <c r="AA344">
        <v>3</v>
      </c>
      <c r="AB344">
        <v>3</v>
      </c>
      <c r="AC344">
        <v>80</v>
      </c>
      <c r="AD344">
        <v>0</v>
      </c>
      <c r="AE344" s="5">
        <v>11</v>
      </c>
      <c r="AF344" t="str">
        <f t="shared" si="37"/>
        <v>6-15</v>
      </c>
      <c r="AG344">
        <v>2</v>
      </c>
      <c r="AH344">
        <v>2</v>
      </c>
      <c r="AI344" s="5">
        <v>11</v>
      </c>
      <c r="AJ344">
        <v>9</v>
      </c>
      <c r="AK344">
        <v>4</v>
      </c>
      <c r="AL344">
        <v>10</v>
      </c>
      <c r="AM344" t="str">
        <f t="shared" si="38"/>
        <v>Ok</v>
      </c>
      <c r="AN344" s="21">
        <f t="shared" si="39"/>
        <v>27.989371124889285</v>
      </c>
      <c r="AO344" t="str">
        <f t="shared" ca="1" si="40"/>
        <v>No</v>
      </c>
      <c r="AP344" t="str">
        <f t="shared" si="41"/>
        <v>Low Risk</v>
      </c>
    </row>
    <row r="345" spans="1:42" x14ac:dyDescent="0.3">
      <c r="A345" s="5">
        <v>29</v>
      </c>
      <c r="B345" s="5" t="s">
        <v>43</v>
      </c>
      <c r="C345" s="5" t="str">
        <f t="shared" si="35"/>
        <v>No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 s="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 s="5">
        <v>8268</v>
      </c>
      <c r="U345">
        <v>11866</v>
      </c>
      <c r="V345">
        <v>1</v>
      </c>
      <c r="W345" t="s">
        <v>42</v>
      </c>
      <c r="X345" t="s">
        <v>35</v>
      </c>
      <c r="Y345" t="str">
        <f t="shared" si="36"/>
        <v>Yes</v>
      </c>
      <c r="Z345">
        <v>14</v>
      </c>
      <c r="AA345">
        <v>3</v>
      </c>
      <c r="AB345">
        <v>1</v>
      </c>
      <c r="AC345">
        <v>80</v>
      </c>
      <c r="AD345">
        <v>2</v>
      </c>
      <c r="AE345" s="5">
        <v>7</v>
      </c>
      <c r="AF345" t="str">
        <f t="shared" si="37"/>
        <v>6-15</v>
      </c>
      <c r="AG345">
        <v>2</v>
      </c>
      <c r="AH345">
        <v>3</v>
      </c>
      <c r="AI345" s="5">
        <v>7</v>
      </c>
      <c r="AJ345">
        <v>7</v>
      </c>
      <c r="AK345">
        <v>1</v>
      </c>
      <c r="AL345">
        <v>7</v>
      </c>
      <c r="AM345" t="str">
        <f t="shared" si="38"/>
        <v>Ok</v>
      </c>
      <c r="AN345" s="21">
        <f t="shared" si="39"/>
        <v>27.925531914893615</v>
      </c>
      <c r="AO345" t="str">
        <f t="shared" ca="1" si="40"/>
        <v>No</v>
      </c>
      <c r="AP345" t="str">
        <f t="shared" si="41"/>
        <v>Low Risk</v>
      </c>
    </row>
    <row r="346" spans="1:42" x14ac:dyDescent="0.3">
      <c r="A346" s="5">
        <v>35</v>
      </c>
      <c r="B346" s="5" t="s">
        <v>43</v>
      </c>
      <c r="C346" s="5" t="str">
        <f t="shared" si="35"/>
        <v>No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 s="5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 s="5">
        <v>8095</v>
      </c>
      <c r="U346">
        <v>18264</v>
      </c>
      <c r="V346">
        <v>0</v>
      </c>
      <c r="W346" t="s">
        <v>42</v>
      </c>
      <c r="X346" t="s">
        <v>43</v>
      </c>
      <c r="Y346" t="str">
        <f t="shared" si="36"/>
        <v>No</v>
      </c>
      <c r="Z346">
        <v>13</v>
      </c>
      <c r="AA346">
        <v>3</v>
      </c>
      <c r="AB346">
        <v>4</v>
      </c>
      <c r="AC346">
        <v>80</v>
      </c>
      <c r="AD346">
        <v>0</v>
      </c>
      <c r="AE346" s="5">
        <v>17</v>
      </c>
      <c r="AF346" t="str">
        <f t="shared" si="37"/>
        <v>&gt;15</v>
      </c>
      <c r="AG346">
        <v>5</v>
      </c>
      <c r="AH346">
        <v>3</v>
      </c>
      <c r="AI346" s="5">
        <v>16</v>
      </c>
      <c r="AJ346">
        <v>6</v>
      </c>
      <c r="AK346">
        <v>0</v>
      </c>
      <c r="AL346">
        <v>13</v>
      </c>
      <c r="AM346" t="str">
        <f t="shared" si="38"/>
        <v>Ok</v>
      </c>
      <c r="AN346" s="21">
        <f t="shared" si="39"/>
        <v>27.861579414374443</v>
      </c>
      <c r="AO346" t="str">
        <f t="shared" ca="1" si="40"/>
        <v>No</v>
      </c>
      <c r="AP346" t="str">
        <f t="shared" si="41"/>
        <v>Low Risk</v>
      </c>
    </row>
    <row r="347" spans="1:42" x14ac:dyDescent="0.3">
      <c r="A347" s="5">
        <v>23</v>
      </c>
      <c r="B347" s="5" t="s">
        <v>43</v>
      </c>
      <c r="C347" s="5" t="str">
        <f t="shared" si="35"/>
        <v>No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 s="5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 s="5">
        <v>2904</v>
      </c>
      <c r="U347">
        <v>16092</v>
      </c>
      <c r="V347">
        <v>1</v>
      </c>
      <c r="W347" t="s">
        <v>42</v>
      </c>
      <c r="X347" t="s">
        <v>43</v>
      </c>
      <c r="Y347" t="str">
        <f t="shared" si="36"/>
        <v>No</v>
      </c>
      <c r="Z347">
        <v>12</v>
      </c>
      <c r="AA347">
        <v>3</v>
      </c>
      <c r="AB347">
        <v>3</v>
      </c>
      <c r="AC347">
        <v>80</v>
      </c>
      <c r="AD347">
        <v>2</v>
      </c>
      <c r="AE347" s="5">
        <v>4</v>
      </c>
      <c r="AF347" t="str">
        <f t="shared" si="37"/>
        <v>0-5</v>
      </c>
      <c r="AG347">
        <v>2</v>
      </c>
      <c r="AH347">
        <v>2</v>
      </c>
      <c r="AI347" s="5">
        <v>4</v>
      </c>
      <c r="AJ347">
        <v>2</v>
      </c>
      <c r="AK347">
        <v>0</v>
      </c>
      <c r="AL347">
        <v>2</v>
      </c>
      <c r="AM347" t="str">
        <f t="shared" si="38"/>
        <v>Below Avg</v>
      </c>
      <c r="AN347" s="21">
        <f t="shared" si="39"/>
        <v>27.797513321492005</v>
      </c>
      <c r="AO347" t="str">
        <f t="shared" ca="1" si="40"/>
        <v>No</v>
      </c>
      <c r="AP347" t="str">
        <f t="shared" si="41"/>
        <v>Low Risk</v>
      </c>
    </row>
    <row r="348" spans="1:42" x14ac:dyDescent="0.3">
      <c r="A348" s="5">
        <v>41</v>
      </c>
      <c r="B348" s="5" t="s">
        <v>43</v>
      </c>
      <c r="C348" s="5" t="str">
        <f t="shared" si="35"/>
        <v>No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 s="5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 s="5">
        <v>6032</v>
      </c>
      <c r="U348">
        <v>10110</v>
      </c>
      <c r="V348">
        <v>6</v>
      </c>
      <c r="W348" t="s">
        <v>42</v>
      </c>
      <c r="X348" t="s">
        <v>35</v>
      </c>
      <c r="Y348" t="str">
        <f t="shared" si="36"/>
        <v>Yes</v>
      </c>
      <c r="Z348">
        <v>15</v>
      </c>
      <c r="AA348">
        <v>3</v>
      </c>
      <c r="AB348">
        <v>4</v>
      </c>
      <c r="AC348">
        <v>80</v>
      </c>
      <c r="AD348">
        <v>0</v>
      </c>
      <c r="AE348" s="5">
        <v>8</v>
      </c>
      <c r="AF348" t="str">
        <f t="shared" si="37"/>
        <v>6-15</v>
      </c>
      <c r="AG348">
        <v>3</v>
      </c>
      <c r="AH348">
        <v>3</v>
      </c>
      <c r="AI348" s="5">
        <v>5</v>
      </c>
      <c r="AJ348">
        <v>4</v>
      </c>
      <c r="AK348">
        <v>1</v>
      </c>
      <c r="AL348">
        <v>2</v>
      </c>
      <c r="AM348" t="str">
        <f t="shared" si="38"/>
        <v>Below Avg</v>
      </c>
      <c r="AN348" s="21">
        <f t="shared" si="39"/>
        <v>27.822222222222219</v>
      </c>
      <c r="AO348" t="str">
        <f t="shared" ca="1" si="40"/>
        <v>No</v>
      </c>
      <c r="AP348" t="str">
        <f t="shared" si="41"/>
        <v>Low Risk</v>
      </c>
    </row>
    <row r="349" spans="1:42" x14ac:dyDescent="0.3">
      <c r="A349" s="5">
        <v>47</v>
      </c>
      <c r="B349" s="5" t="s">
        <v>43</v>
      </c>
      <c r="C349" s="5" t="str">
        <f t="shared" si="35"/>
        <v>No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 s="5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 s="5">
        <v>2976</v>
      </c>
      <c r="U349">
        <v>25751</v>
      </c>
      <c r="V349">
        <v>3</v>
      </c>
      <c r="W349" t="s">
        <v>42</v>
      </c>
      <c r="X349" t="s">
        <v>43</v>
      </c>
      <c r="Y349" t="str">
        <f t="shared" si="36"/>
        <v>No</v>
      </c>
      <c r="Z349">
        <v>19</v>
      </c>
      <c r="AA349">
        <v>3</v>
      </c>
      <c r="AB349">
        <v>1</v>
      </c>
      <c r="AC349">
        <v>80</v>
      </c>
      <c r="AD349">
        <v>0</v>
      </c>
      <c r="AE349" s="5">
        <v>5</v>
      </c>
      <c r="AF349" t="str">
        <f t="shared" si="37"/>
        <v>0-5</v>
      </c>
      <c r="AG349">
        <v>3</v>
      </c>
      <c r="AH349">
        <v>3</v>
      </c>
      <c r="AI349" s="5">
        <v>0</v>
      </c>
      <c r="AJ349">
        <v>0</v>
      </c>
      <c r="AK349">
        <v>0</v>
      </c>
      <c r="AL349">
        <v>0</v>
      </c>
      <c r="AM349" t="str">
        <f t="shared" si="38"/>
        <v>Below Avg</v>
      </c>
      <c r="AN349" s="21">
        <f t="shared" si="39"/>
        <v>27.846975088967973</v>
      </c>
      <c r="AO349" t="str">
        <f t="shared" ca="1" si="40"/>
        <v>No</v>
      </c>
      <c r="AP349" t="str">
        <f t="shared" si="41"/>
        <v>Low Risk</v>
      </c>
    </row>
    <row r="350" spans="1:42" x14ac:dyDescent="0.3">
      <c r="A350" s="5">
        <v>42</v>
      </c>
      <c r="B350" s="5" t="s">
        <v>43</v>
      </c>
      <c r="C350" s="5" t="str">
        <f t="shared" si="35"/>
        <v>No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 s="5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 s="5">
        <v>15992</v>
      </c>
      <c r="U350">
        <v>15901</v>
      </c>
      <c r="V350">
        <v>2</v>
      </c>
      <c r="W350" t="s">
        <v>42</v>
      </c>
      <c r="X350" t="s">
        <v>43</v>
      </c>
      <c r="Y350" t="str">
        <f t="shared" si="36"/>
        <v>No</v>
      </c>
      <c r="Z350">
        <v>14</v>
      </c>
      <c r="AA350">
        <v>3</v>
      </c>
      <c r="AB350">
        <v>2</v>
      </c>
      <c r="AC350">
        <v>80</v>
      </c>
      <c r="AD350">
        <v>0</v>
      </c>
      <c r="AE350" s="5">
        <v>16</v>
      </c>
      <c r="AF350" t="str">
        <f t="shared" si="37"/>
        <v>&gt;15</v>
      </c>
      <c r="AG350">
        <v>2</v>
      </c>
      <c r="AH350">
        <v>3</v>
      </c>
      <c r="AI350" s="5">
        <v>1</v>
      </c>
      <c r="AJ350">
        <v>0</v>
      </c>
      <c r="AK350">
        <v>0</v>
      </c>
      <c r="AL350">
        <v>0</v>
      </c>
      <c r="AM350" t="str">
        <f t="shared" si="38"/>
        <v>Ok</v>
      </c>
      <c r="AN350" s="21">
        <f t="shared" si="39"/>
        <v>27.782724844167412</v>
      </c>
      <c r="AO350" t="str">
        <f t="shared" ca="1" si="40"/>
        <v>No</v>
      </c>
      <c r="AP350" t="str">
        <f t="shared" si="41"/>
        <v>Low Risk</v>
      </c>
    </row>
    <row r="351" spans="1:42" x14ac:dyDescent="0.3">
      <c r="A351" s="5">
        <v>29</v>
      </c>
      <c r="B351" s="5" t="s">
        <v>43</v>
      </c>
      <c r="C351" s="5" t="str">
        <f t="shared" si="35"/>
        <v>No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 s="5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 s="5">
        <v>4649</v>
      </c>
      <c r="U351">
        <v>16928</v>
      </c>
      <c r="V351">
        <v>1</v>
      </c>
      <c r="W351" t="s">
        <v>42</v>
      </c>
      <c r="X351" t="s">
        <v>43</v>
      </c>
      <c r="Y351" t="str">
        <f t="shared" si="36"/>
        <v>No</v>
      </c>
      <c r="Z351">
        <v>14</v>
      </c>
      <c r="AA351">
        <v>3</v>
      </c>
      <c r="AB351">
        <v>1</v>
      </c>
      <c r="AC351">
        <v>80</v>
      </c>
      <c r="AD351">
        <v>1</v>
      </c>
      <c r="AE351" s="5">
        <v>4</v>
      </c>
      <c r="AF351" t="str">
        <f t="shared" si="37"/>
        <v>0-5</v>
      </c>
      <c r="AG351">
        <v>3</v>
      </c>
      <c r="AH351">
        <v>2</v>
      </c>
      <c r="AI351" s="5">
        <v>4</v>
      </c>
      <c r="AJ351">
        <v>3</v>
      </c>
      <c r="AK351">
        <v>0</v>
      </c>
      <c r="AL351">
        <v>2</v>
      </c>
      <c r="AM351" t="str">
        <f t="shared" si="38"/>
        <v>Below Avg</v>
      </c>
      <c r="AN351" s="21">
        <f t="shared" si="39"/>
        <v>27.807486631016044</v>
      </c>
      <c r="AO351" t="str">
        <f t="shared" ca="1" si="40"/>
        <v>No</v>
      </c>
      <c r="AP351" t="str">
        <f t="shared" si="41"/>
        <v>Low Risk</v>
      </c>
    </row>
    <row r="352" spans="1:42" x14ac:dyDescent="0.3">
      <c r="A352" s="5">
        <v>42</v>
      </c>
      <c r="B352" s="5" t="s">
        <v>43</v>
      </c>
      <c r="C352" s="5" t="str">
        <f t="shared" si="35"/>
        <v>No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 s="5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 s="5">
        <v>2696</v>
      </c>
      <c r="U352">
        <v>24017</v>
      </c>
      <c r="V352">
        <v>0</v>
      </c>
      <c r="W352" t="s">
        <v>42</v>
      </c>
      <c r="X352" t="s">
        <v>35</v>
      </c>
      <c r="Y352" t="str">
        <f t="shared" si="36"/>
        <v>Yes</v>
      </c>
      <c r="Z352">
        <v>11</v>
      </c>
      <c r="AA352">
        <v>3</v>
      </c>
      <c r="AB352">
        <v>3</v>
      </c>
      <c r="AC352">
        <v>80</v>
      </c>
      <c r="AD352">
        <v>1</v>
      </c>
      <c r="AE352" s="5">
        <v>4</v>
      </c>
      <c r="AF352" t="str">
        <f t="shared" si="37"/>
        <v>0-5</v>
      </c>
      <c r="AG352">
        <v>5</v>
      </c>
      <c r="AH352">
        <v>3</v>
      </c>
      <c r="AI352" s="5">
        <v>3</v>
      </c>
      <c r="AJ352">
        <v>2</v>
      </c>
      <c r="AK352">
        <v>1</v>
      </c>
      <c r="AL352">
        <v>0</v>
      </c>
      <c r="AM352" t="str">
        <f t="shared" si="38"/>
        <v>Below Avg</v>
      </c>
      <c r="AN352" s="21">
        <f t="shared" si="39"/>
        <v>27.832292595896519</v>
      </c>
      <c r="AO352" t="str">
        <f t="shared" ca="1" si="40"/>
        <v>No</v>
      </c>
      <c r="AP352" t="str">
        <f t="shared" si="41"/>
        <v>Low Risk</v>
      </c>
    </row>
    <row r="353" spans="1:42" x14ac:dyDescent="0.3">
      <c r="A353" s="5">
        <v>32</v>
      </c>
      <c r="B353" s="5" t="s">
        <v>43</v>
      </c>
      <c r="C353" s="5" t="str">
        <f t="shared" si="35"/>
        <v>No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 s="5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 s="5">
        <v>2370</v>
      </c>
      <c r="U353">
        <v>3956</v>
      </c>
      <c r="V353">
        <v>1</v>
      </c>
      <c r="W353" t="s">
        <v>42</v>
      </c>
      <c r="X353" t="s">
        <v>43</v>
      </c>
      <c r="Y353" t="str">
        <f t="shared" si="36"/>
        <v>No</v>
      </c>
      <c r="Z353">
        <v>13</v>
      </c>
      <c r="AA353">
        <v>3</v>
      </c>
      <c r="AB353">
        <v>3</v>
      </c>
      <c r="AC353">
        <v>80</v>
      </c>
      <c r="AD353">
        <v>1</v>
      </c>
      <c r="AE353" s="5">
        <v>8</v>
      </c>
      <c r="AF353" t="str">
        <f t="shared" si="37"/>
        <v>6-15</v>
      </c>
      <c r="AG353">
        <v>4</v>
      </c>
      <c r="AH353">
        <v>3</v>
      </c>
      <c r="AI353" s="5">
        <v>8</v>
      </c>
      <c r="AJ353">
        <v>0</v>
      </c>
      <c r="AK353">
        <v>0</v>
      </c>
      <c r="AL353">
        <v>7</v>
      </c>
      <c r="AM353" t="str">
        <f t="shared" si="38"/>
        <v>Below Avg</v>
      </c>
      <c r="AN353" s="21">
        <f t="shared" si="39"/>
        <v>27.857142857142858</v>
      </c>
      <c r="AO353" t="str">
        <f t="shared" ca="1" si="40"/>
        <v>No</v>
      </c>
      <c r="AP353" t="str">
        <f t="shared" si="41"/>
        <v>Low Risk</v>
      </c>
    </row>
    <row r="354" spans="1:42" x14ac:dyDescent="0.3">
      <c r="A354" s="5">
        <v>48</v>
      </c>
      <c r="B354" s="5" t="s">
        <v>43</v>
      </c>
      <c r="C354" s="5" t="str">
        <f t="shared" si="35"/>
        <v>No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 s="5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 s="5">
        <v>12504</v>
      </c>
      <c r="U354">
        <v>23978</v>
      </c>
      <c r="V354">
        <v>3</v>
      </c>
      <c r="W354" t="s">
        <v>42</v>
      </c>
      <c r="X354" t="s">
        <v>43</v>
      </c>
      <c r="Y354" t="str">
        <f t="shared" si="36"/>
        <v>No</v>
      </c>
      <c r="Z354">
        <v>21</v>
      </c>
      <c r="AA354">
        <v>4</v>
      </c>
      <c r="AB354">
        <v>2</v>
      </c>
      <c r="AC354">
        <v>80</v>
      </c>
      <c r="AD354">
        <v>1</v>
      </c>
      <c r="AE354" s="5">
        <v>15</v>
      </c>
      <c r="AF354" t="str">
        <f t="shared" si="37"/>
        <v>6-15</v>
      </c>
      <c r="AG354">
        <v>3</v>
      </c>
      <c r="AH354">
        <v>1</v>
      </c>
      <c r="AI354" s="5">
        <v>0</v>
      </c>
      <c r="AJ354">
        <v>0</v>
      </c>
      <c r="AK354">
        <v>0</v>
      </c>
      <c r="AL354">
        <v>0</v>
      </c>
      <c r="AM354" t="str">
        <f t="shared" si="38"/>
        <v>Ok</v>
      </c>
      <c r="AN354" s="21">
        <f t="shared" si="39"/>
        <v>27.792672028596961</v>
      </c>
      <c r="AO354" t="str">
        <f t="shared" ca="1" si="40"/>
        <v>No</v>
      </c>
      <c r="AP354" t="str">
        <f t="shared" si="41"/>
        <v>Low Risk</v>
      </c>
    </row>
    <row r="355" spans="1:42" x14ac:dyDescent="0.3">
      <c r="A355" s="5">
        <v>37</v>
      </c>
      <c r="B355" s="5" t="s">
        <v>43</v>
      </c>
      <c r="C355" s="5" t="str">
        <f t="shared" si="35"/>
        <v>No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 s="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 s="5">
        <v>5974</v>
      </c>
      <c r="U355">
        <v>17001</v>
      </c>
      <c r="V355">
        <v>4</v>
      </c>
      <c r="W355" t="s">
        <v>42</v>
      </c>
      <c r="X355" t="s">
        <v>35</v>
      </c>
      <c r="Y355" t="str">
        <f t="shared" si="36"/>
        <v>Yes</v>
      </c>
      <c r="Z355">
        <v>13</v>
      </c>
      <c r="AA355">
        <v>3</v>
      </c>
      <c r="AB355">
        <v>1</v>
      </c>
      <c r="AC355">
        <v>80</v>
      </c>
      <c r="AD355">
        <v>2</v>
      </c>
      <c r="AE355" s="5">
        <v>13</v>
      </c>
      <c r="AF355" t="str">
        <f t="shared" si="37"/>
        <v>6-15</v>
      </c>
      <c r="AG355">
        <v>2</v>
      </c>
      <c r="AH355">
        <v>3</v>
      </c>
      <c r="AI355" s="5">
        <v>7</v>
      </c>
      <c r="AJ355">
        <v>7</v>
      </c>
      <c r="AK355">
        <v>6</v>
      </c>
      <c r="AL355">
        <v>7</v>
      </c>
      <c r="AM355" t="str">
        <f t="shared" si="38"/>
        <v>Below Avg</v>
      </c>
      <c r="AN355" s="21">
        <f t="shared" si="39"/>
        <v>27.817531305903398</v>
      </c>
      <c r="AO355" t="str">
        <f t="shared" ca="1" si="40"/>
        <v>No</v>
      </c>
      <c r="AP355" t="str">
        <f t="shared" si="41"/>
        <v>Low Risk</v>
      </c>
    </row>
    <row r="356" spans="1:42" x14ac:dyDescent="0.3">
      <c r="A356" s="5">
        <v>30</v>
      </c>
      <c r="B356" s="5" t="s">
        <v>43</v>
      </c>
      <c r="C356" s="5" t="str">
        <f t="shared" si="35"/>
        <v>No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 s="5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 s="5">
        <v>4736</v>
      </c>
      <c r="U356">
        <v>6069</v>
      </c>
      <c r="V356">
        <v>7</v>
      </c>
      <c r="W356" t="s">
        <v>42</v>
      </c>
      <c r="X356" t="s">
        <v>35</v>
      </c>
      <c r="Y356" t="str">
        <f t="shared" si="36"/>
        <v>Yes</v>
      </c>
      <c r="Z356">
        <v>12</v>
      </c>
      <c r="AA356">
        <v>3</v>
      </c>
      <c r="AB356">
        <v>2</v>
      </c>
      <c r="AC356">
        <v>80</v>
      </c>
      <c r="AD356">
        <v>1</v>
      </c>
      <c r="AE356" s="5">
        <v>4</v>
      </c>
      <c r="AF356" t="str">
        <f t="shared" si="37"/>
        <v>0-5</v>
      </c>
      <c r="AG356">
        <v>2</v>
      </c>
      <c r="AH356">
        <v>4</v>
      </c>
      <c r="AI356" s="5">
        <v>2</v>
      </c>
      <c r="AJ356">
        <v>2</v>
      </c>
      <c r="AK356">
        <v>2</v>
      </c>
      <c r="AL356">
        <v>2</v>
      </c>
      <c r="AM356" t="str">
        <f t="shared" si="38"/>
        <v>Below Avg</v>
      </c>
      <c r="AN356" s="21">
        <f t="shared" si="39"/>
        <v>27.84243509400179</v>
      </c>
      <c r="AO356" t="str">
        <f t="shared" ca="1" si="40"/>
        <v>No</v>
      </c>
      <c r="AP356" t="str">
        <f t="shared" si="41"/>
        <v>Low Risk</v>
      </c>
    </row>
    <row r="357" spans="1:42" x14ac:dyDescent="0.3">
      <c r="A357" s="5">
        <v>26</v>
      </c>
      <c r="B357" s="5" t="s">
        <v>43</v>
      </c>
      <c r="C357" s="5" t="str">
        <f t="shared" si="35"/>
        <v>No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 s="5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 s="5">
        <v>5296</v>
      </c>
      <c r="U357">
        <v>20156</v>
      </c>
      <c r="V357">
        <v>1</v>
      </c>
      <c r="W357" t="s">
        <v>42</v>
      </c>
      <c r="X357" t="s">
        <v>43</v>
      </c>
      <c r="Y357" t="str">
        <f t="shared" si="36"/>
        <v>No</v>
      </c>
      <c r="Z357">
        <v>17</v>
      </c>
      <c r="AA357">
        <v>3</v>
      </c>
      <c r="AB357">
        <v>2</v>
      </c>
      <c r="AC357">
        <v>80</v>
      </c>
      <c r="AD357">
        <v>1</v>
      </c>
      <c r="AE357" s="5">
        <v>8</v>
      </c>
      <c r="AF357" t="str">
        <f t="shared" si="37"/>
        <v>6-15</v>
      </c>
      <c r="AG357">
        <v>3</v>
      </c>
      <c r="AH357">
        <v>3</v>
      </c>
      <c r="AI357" s="5">
        <v>8</v>
      </c>
      <c r="AJ357">
        <v>7</v>
      </c>
      <c r="AK357">
        <v>7</v>
      </c>
      <c r="AL357">
        <v>7</v>
      </c>
      <c r="AM357" t="str">
        <f t="shared" si="38"/>
        <v>Below Avg</v>
      </c>
      <c r="AN357" s="21">
        <f t="shared" si="39"/>
        <v>27.777777777777779</v>
      </c>
      <c r="AO357" t="str">
        <f t="shared" ca="1" si="40"/>
        <v>No</v>
      </c>
      <c r="AP357" t="str">
        <f t="shared" si="41"/>
        <v>Low Risk</v>
      </c>
    </row>
    <row r="358" spans="1:42" x14ac:dyDescent="0.3">
      <c r="A358" s="5">
        <v>42</v>
      </c>
      <c r="B358" s="5" t="s">
        <v>43</v>
      </c>
      <c r="C358" s="5" t="str">
        <f t="shared" si="35"/>
        <v>No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 s="5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 s="5">
        <v>6781</v>
      </c>
      <c r="U358">
        <v>17078</v>
      </c>
      <c r="V358">
        <v>3</v>
      </c>
      <c r="W358" t="s">
        <v>42</v>
      </c>
      <c r="X358" t="s">
        <v>43</v>
      </c>
      <c r="Y358" t="str">
        <f t="shared" si="36"/>
        <v>No</v>
      </c>
      <c r="Z358">
        <v>23</v>
      </c>
      <c r="AA358">
        <v>4</v>
      </c>
      <c r="AB358">
        <v>2</v>
      </c>
      <c r="AC358">
        <v>80</v>
      </c>
      <c r="AD358">
        <v>0</v>
      </c>
      <c r="AE358" s="5">
        <v>14</v>
      </c>
      <c r="AF358" t="str">
        <f t="shared" si="37"/>
        <v>6-15</v>
      </c>
      <c r="AG358">
        <v>6</v>
      </c>
      <c r="AH358">
        <v>3</v>
      </c>
      <c r="AI358" s="5">
        <v>1</v>
      </c>
      <c r="AJ358">
        <v>0</v>
      </c>
      <c r="AK358">
        <v>0</v>
      </c>
      <c r="AL358">
        <v>0</v>
      </c>
      <c r="AM358" t="str">
        <f t="shared" si="38"/>
        <v>Ok</v>
      </c>
      <c r="AN358" s="21">
        <f t="shared" si="39"/>
        <v>27.713004484304932</v>
      </c>
      <c r="AO358" t="str">
        <f t="shared" ca="1" si="40"/>
        <v>No</v>
      </c>
      <c r="AP358" t="str">
        <f t="shared" si="41"/>
        <v>Low Risk</v>
      </c>
    </row>
    <row r="359" spans="1:42" x14ac:dyDescent="0.3">
      <c r="A359" s="5">
        <v>21</v>
      </c>
      <c r="B359" s="5" t="s">
        <v>35</v>
      </c>
      <c r="C359" s="5" t="str">
        <f t="shared" si="35"/>
        <v>Yes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 s="5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 s="5">
        <v>2174</v>
      </c>
      <c r="U359">
        <v>9150</v>
      </c>
      <c r="V359">
        <v>1</v>
      </c>
      <c r="W359" t="s">
        <v>42</v>
      </c>
      <c r="X359" t="s">
        <v>35</v>
      </c>
      <c r="Y359" t="str">
        <f t="shared" si="36"/>
        <v>Yes</v>
      </c>
      <c r="Z359">
        <v>11</v>
      </c>
      <c r="AA359">
        <v>3</v>
      </c>
      <c r="AB359">
        <v>3</v>
      </c>
      <c r="AC359">
        <v>80</v>
      </c>
      <c r="AD359">
        <v>0</v>
      </c>
      <c r="AE359" s="5">
        <v>3</v>
      </c>
      <c r="AF359" t="str">
        <f t="shared" si="37"/>
        <v>0-5</v>
      </c>
      <c r="AG359">
        <v>3</v>
      </c>
      <c r="AH359">
        <v>3</v>
      </c>
      <c r="AI359" s="5">
        <v>3</v>
      </c>
      <c r="AJ359">
        <v>2</v>
      </c>
      <c r="AK359">
        <v>1</v>
      </c>
      <c r="AL359">
        <v>2</v>
      </c>
      <c r="AM359" t="str">
        <f t="shared" si="38"/>
        <v>Below Avg</v>
      </c>
      <c r="AN359" s="21">
        <f t="shared" si="39"/>
        <v>27.737881508078992</v>
      </c>
      <c r="AO359" t="str">
        <f t="shared" ca="1" si="40"/>
        <v>No</v>
      </c>
      <c r="AP359" t="str">
        <f t="shared" si="41"/>
        <v>Low Risk</v>
      </c>
    </row>
    <row r="360" spans="1:42" x14ac:dyDescent="0.3">
      <c r="A360" s="5">
        <v>36</v>
      </c>
      <c r="B360" s="5" t="s">
        <v>43</v>
      </c>
      <c r="C360" s="5" t="str">
        <f t="shared" si="35"/>
        <v>No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 s="5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 s="5">
        <v>6653</v>
      </c>
      <c r="U360">
        <v>15276</v>
      </c>
      <c r="V360">
        <v>4</v>
      </c>
      <c r="W360" t="s">
        <v>42</v>
      </c>
      <c r="X360" t="s">
        <v>43</v>
      </c>
      <c r="Y360" t="str">
        <f t="shared" si="36"/>
        <v>No</v>
      </c>
      <c r="Z360">
        <v>15</v>
      </c>
      <c r="AA360">
        <v>3</v>
      </c>
      <c r="AB360">
        <v>2</v>
      </c>
      <c r="AC360">
        <v>80</v>
      </c>
      <c r="AD360">
        <v>0</v>
      </c>
      <c r="AE360" s="5">
        <v>7</v>
      </c>
      <c r="AF360" t="str">
        <f t="shared" si="37"/>
        <v>6-15</v>
      </c>
      <c r="AG360">
        <v>6</v>
      </c>
      <c r="AH360">
        <v>3</v>
      </c>
      <c r="AI360" s="5">
        <v>1</v>
      </c>
      <c r="AJ360">
        <v>0</v>
      </c>
      <c r="AK360">
        <v>0</v>
      </c>
      <c r="AL360">
        <v>0</v>
      </c>
      <c r="AM360" t="str">
        <f t="shared" si="38"/>
        <v>Below Avg</v>
      </c>
      <c r="AN360" s="21">
        <f t="shared" si="39"/>
        <v>27.762803234501348</v>
      </c>
      <c r="AO360" t="str">
        <f t="shared" ca="1" si="40"/>
        <v>No</v>
      </c>
      <c r="AP360" t="str">
        <f t="shared" si="41"/>
        <v>Low Risk</v>
      </c>
    </row>
    <row r="361" spans="1:42" x14ac:dyDescent="0.3">
      <c r="A361" s="5">
        <v>36</v>
      </c>
      <c r="B361" s="5" t="s">
        <v>43</v>
      </c>
      <c r="C361" s="5" t="str">
        <f t="shared" si="35"/>
        <v>No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 s="5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 s="5">
        <v>9699</v>
      </c>
      <c r="U361">
        <v>7246</v>
      </c>
      <c r="V361">
        <v>4</v>
      </c>
      <c r="W361" t="s">
        <v>42</v>
      </c>
      <c r="X361" t="s">
        <v>43</v>
      </c>
      <c r="Y361" t="str">
        <f t="shared" si="36"/>
        <v>No</v>
      </c>
      <c r="Z361">
        <v>11</v>
      </c>
      <c r="AA361">
        <v>3</v>
      </c>
      <c r="AB361">
        <v>1</v>
      </c>
      <c r="AC361">
        <v>80</v>
      </c>
      <c r="AD361">
        <v>1</v>
      </c>
      <c r="AE361" s="5">
        <v>16</v>
      </c>
      <c r="AF361" t="str">
        <f t="shared" si="37"/>
        <v>&gt;15</v>
      </c>
      <c r="AG361">
        <v>2</v>
      </c>
      <c r="AH361">
        <v>3</v>
      </c>
      <c r="AI361" s="5">
        <v>13</v>
      </c>
      <c r="AJ361">
        <v>9</v>
      </c>
      <c r="AK361">
        <v>1</v>
      </c>
      <c r="AL361">
        <v>12</v>
      </c>
      <c r="AM361" t="str">
        <f t="shared" si="38"/>
        <v>Ok</v>
      </c>
      <c r="AN361" s="21">
        <f t="shared" si="39"/>
        <v>27.697841726618705</v>
      </c>
      <c r="AO361" t="str">
        <f t="shared" ca="1" si="40"/>
        <v>No</v>
      </c>
      <c r="AP361" t="str">
        <f t="shared" si="41"/>
        <v>Low Risk</v>
      </c>
    </row>
    <row r="362" spans="1:42" x14ac:dyDescent="0.3">
      <c r="A362" s="5">
        <v>57</v>
      </c>
      <c r="B362" s="5" t="s">
        <v>43</v>
      </c>
      <c r="C362" s="5" t="str">
        <f t="shared" si="35"/>
        <v>No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 s="5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 s="5">
        <v>6755</v>
      </c>
      <c r="U362">
        <v>2967</v>
      </c>
      <c r="V362">
        <v>2</v>
      </c>
      <c r="W362" t="s">
        <v>42</v>
      </c>
      <c r="X362" t="s">
        <v>43</v>
      </c>
      <c r="Y362" t="str">
        <f t="shared" si="36"/>
        <v>No</v>
      </c>
      <c r="Z362">
        <v>11</v>
      </c>
      <c r="AA362">
        <v>3</v>
      </c>
      <c r="AB362">
        <v>3</v>
      </c>
      <c r="AC362">
        <v>80</v>
      </c>
      <c r="AD362">
        <v>0</v>
      </c>
      <c r="AE362" s="5">
        <v>15</v>
      </c>
      <c r="AF362" t="str">
        <f t="shared" si="37"/>
        <v>6-15</v>
      </c>
      <c r="AG362">
        <v>2</v>
      </c>
      <c r="AH362">
        <v>3</v>
      </c>
      <c r="AI362" s="5">
        <v>3</v>
      </c>
      <c r="AJ362">
        <v>2</v>
      </c>
      <c r="AK362">
        <v>1</v>
      </c>
      <c r="AL362">
        <v>2</v>
      </c>
      <c r="AM362" t="str">
        <f t="shared" si="38"/>
        <v>Ok</v>
      </c>
      <c r="AN362" s="21">
        <f t="shared" si="39"/>
        <v>27.722772277227726</v>
      </c>
      <c r="AO362" t="str">
        <f t="shared" ca="1" si="40"/>
        <v>No</v>
      </c>
      <c r="AP362" t="str">
        <f t="shared" si="41"/>
        <v>Low Risk</v>
      </c>
    </row>
    <row r="363" spans="1:42" x14ac:dyDescent="0.3">
      <c r="A363" s="5">
        <v>40</v>
      </c>
      <c r="B363" s="5" t="s">
        <v>43</v>
      </c>
      <c r="C363" s="5" t="str">
        <f t="shared" si="35"/>
        <v>No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 s="5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 s="5">
        <v>2213</v>
      </c>
      <c r="U363">
        <v>22495</v>
      </c>
      <c r="V363">
        <v>3</v>
      </c>
      <c r="W363" t="s">
        <v>42</v>
      </c>
      <c r="X363" t="s">
        <v>35</v>
      </c>
      <c r="Y363" t="str">
        <f t="shared" si="36"/>
        <v>Yes</v>
      </c>
      <c r="Z363">
        <v>13</v>
      </c>
      <c r="AA363">
        <v>3</v>
      </c>
      <c r="AB363">
        <v>3</v>
      </c>
      <c r="AC363">
        <v>80</v>
      </c>
      <c r="AD363">
        <v>1</v>
      </c>
      <c r="AE363" s="5">
        <v>10</v>
      </c>
      <c r="AF363" t="str">
        <f t="shared" si="37"/>
        <v>6-15</v>
      </c>
      <c r="AG363">
        <v>3</v>
      </c>
      <c r="AH363">
        <v>3</v>
      </c>
      <c r="AI363" s="5">
        <v>7</v>
      </c>
      <c r="AJ363">
        <v>7</v>
      </c>
      <c r="AK363">
        <v>1</v>
      </c>
      <c r="AL363">
        <v>7</v>
      </c>
      <c r="AM363" t="str">
        <f t="shared" si="38"/>
        <v>Below Avg</v>
      </c>
      <c r="AN363" s="21">
        <f t="shared" si="39"/>
        <v>27.747747747747749</v>
      </c>
      <c r="AO363" t="str">
        <f t="shared" ca="1" si="40"/>
        <v>No</v>
      </c>
      <c r="AP363" t="str">
        <f t="shared" si="41"/>
        <v>Low Risk</v>
      </c>
    </row>
    <row r="364" spans="1:42" x14ac:dyDescent="0.3">
      <c r="A364" s="5">
        <v>21</v>
      </c>
      <c r="B364" s="5" t="s">
        <v>43</v>
      </c>
      <c r="C364" s="5" t="str">
        <f t="shared" si="35"/>
        <v>No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 s="5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 s="5">
        <v>2610</v>
      </c>
      <c r="U364">
        <v>2851</v>
      </c>
      <c r="V364">
        <v>1</v>
      </c>
      <c r="W364" t="s">
        <v>42</v>
      </c>
      <c r="X364" t="s">
        <v>43</v>
      </c>
      <c r="Y364" t="str">
        <f t="shared" si="36"/>
        <v>No</v>
      </c>
      <c r="Z364">
        <v>24</v>
      </c>
      <c r="AA364">
        <v>4</v>
      </c>
      <c r="AB364">
        <v>3</v>
      </c>
      <c r="AC364">
        <v>80</v>
      </c>
      <c r="AD364">
        <v>0</v>
      </c>
      <c r="AE364" s="5">
        <v>3</v>
      </c>
      <c r="AF364" t="str">
        <f t="shared" si="37"/>
        <v>0-5</v>
      </c>
      <c r="AG364">
        <v>3</v>
      </c>
      <c r="AH364">
        <v>2</v>
      </c>
      <c r="AI364" s="5">
        <v>3</v>
      </c>
      <c r="AJ364">
        <v>2</v>
      </c>
      <c r="AK364">
        <v>2</v>
      </c>
      <c r="AL364">
        <v>2</v>
      </c>
      <c r="AM364" t="str">
        <f t="shared" si="38"/>
        <v>Below Avg</v>
      </c>
      <c r="AN364" s="21">
        <f t="shared" si="39"/>
        <v>27.772768259693422</v>
      </c>
      <c r="AO364" t="str">
        <f t="shared" ca="1" si="40"/>
        <v>No</v>
      </c>
      <c r="AP364" t="str">
        <f t="shared" si="41"/>
        <v>Low Risk</v>
      </c>
    </row>
    <row r="365" spans="1:42" x14ac:dyDescent="0.3">
      <c r="A365" s="5">
        <v>33</v>
      </c>
      <c r="B365" s="5" t="s">
        <v>35</v>
      </c>
      <c r="C365" s="5" t="str">
        <f t="shared" si="35"/>
        <v>Yes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 s="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 s="5">
        <v>2851</v>
      </c>
      <c r="U365">
        <v>9150</v>
      </c>
      <c r="V365">
        <v>1</v>
      </c>
      <c r="W365" t="s">
        <v>42</v>
      </c>
      <c r="X365" t="s">
        <v>35</v>
      </c>
      <c r="Y365" t="str">
        <f t="shared" si="36"/>
        <v>Yes</v>
      </c>
      <c r="Z365">
        <v>13</v>
      </c>
      <c r="AA365">
        <v>3</v>
      </c>
      <c r="AB365">
        <v>2</v>
      </c>
      <c r="AC365">
        <v>80</v>
      </c>
      <c r="AD365">
        <v>0</v>
      </c>
      <c r="AE365" s="5">
        <v>1</v>
      </c>
      <c r="AF365" t="str">
        <f t="shared" si="37"/>
        <v>0-5</v>
      </c>
      <c r="AG365">
        <v>2</v>
      </c>
      <c r="AH365">
        <v>3</v>
      </c>
      <c r="AI365" s="5">
        <v>1</v>
      </c>
      <c r="AJ365">
        <v>0</v>
      </c>
      <c r="AK365">
        <v>0</v>
      </c>
      <c r="AL365">
        <v>0</v>
      </c>
      <c r="AM365" t="str">
        <f t="shared" si="38"/>
        <v>Below Avg</v>
      </c>
      <c r="AN365" s="21">
        <f t="shared" si="39"/>
        <v>27.707581227436823</v>
      </c>
      <c r="AO365" t="str">
        <f t="shared" ca="1" si="40"/>
        <v>No</v>
      </c>
      <c r="AP365" t="str">
        <f t="shared" si="41"/>
        <v>High Risk</v>
      </c>
    </row>
    <row r="366" spans="1:42" x14ac:dyDescent="0.3">
      <c r="A366" s="5">
        <v>37</v>
      </c>
      <c r="B366" s="5" t="s">
        <v>43</v>
      </c>
      <c r="C366" s="5" t="str">
        <f t="shared" si="35"/>
        <v>No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 s="5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 s="5">
        <v>3452</v>
      </c>
      <c r="U366">
        <v>17663</v>
      </c>
      <c r="V366">
        <v>6</v>
      </c>
      <c r="W366" t="s">
        <v>42</v>
      </c>
      <c r="X366" t="s">
        <v>43</v>
      </c>
      <c r="Y366" t="str">
        <f t="shared" si="36"/>
        <v>No</v>
      </c>
      <c r="Z366">
        <v>20</v>
      </c>
      <c r="AA366">
        <v>4</v>
      </c>
      <c r="AB366">
        <v>2</v>
      </c>
      <c r="AC366">
        <v>80</v>
      </c>
      <c r="AD366">
        <v>1</v>
      </c>
      <c r="AE366" s="5">
        <v>17</v>
      </c>
      <c r="AF366" t="str">
        <f t="shared" si="37"/>
        <v>&gt;15</v>
      </c>
      <c r="AG366">
        <v>3</v>
      </c>
      <c r="AH366">
        <v>3</v>
      </c>
      <c r="AI366" s="5">
        <v>5</v>
      </c>
      <c r="AJ366">
        <v>4</v>
      </c>
      <c r="AK366">
        <v>0</v>
      </c>
      <c r="AL366">
        <v>3</v>
      </c>
      <c r="AM366" t="str">
        <f t="shared" si="38"/>
        <v>Below Avg</v>
      </c>
      <c r="AN366" s="21">
        <f t="shared" si="39"/>
        <v>27.732610659439928</v>
      </c>
      <c r="AO366" t="str">
        <f t="shared" ca="1" si="40"/>
        <v>No</v>
      </c>
      <c r="AP366" t="str">
        <f t="shared" si="41"/>
        <v>Low Risk</v>
      </c>
    </row>
    <row r="367" spans="1:42" x14ac:dyDescent="0.3">
      <c r="A367" s="5">
        <v>46</v>
      </c>
      <c r="B367" s="5" t="s">
        <v>43</v>
      </c>
      <c r="C367" s="5" t="str">
        <f t="shared" si="35"/>
        <v>No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 s="5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 s="5">
        <v>5258</v>
      </c>
      <c r="U367">
        <v>16044</v>
      </c>
      <c r="V367">
        <v>2</v>
      </c>
      <c r="W367" t="s">
        <v>42</v>
      </c>
      <c r="X367" t="s">
        <v>43</v>
      </c>
      <c r="Y367" t="str">
        <f t="shared" si="36"/>
        <v>No</v>
      </c>
      <c r="Z367">
        <v>14</v>
      </c>
      <c r="AA367">
        <v>3</v>
      </c>
      <c r="AB367">
        <v>3</v>
      </c>
      <c r="AC367">
        <v>80</v>
      </c>
      <c r="AD367">
        <v>0</v>
      </c>
      <c r="AE367" s="5">
        <v>7</v>
      </c>
      <c r="AF367" t="str">
        <f t="shared" si="37"/>
        <v>6-15</v>
      </c>
      <c r="AG367">
        <v>2</v>
      </c>
      <c r="AH367">
        <v>4</v>
      </c>
      <c r="AI367" s="5">
        <v>1</v>
      </c>
      <c r="AJ367">
        <v>0</v>
      </c>
      <c r="AK367">
        <v>0</v>
      </c>
      <c r="AL367">
        <v>0</v>
      </c>
      <c r="AM367" t="str">
        <f t="shared" si="38"/>
        <v>Below Avg</v>
      </c>
      <c r="AN367" s="21">
        <f t="shared" si="39"/>
        <v>27.667269439421339</v>
      </c>
      <c r="AO367" t="str">
        <f t="shared" ca="1" si="40"/>
        <v>No</v>
      </c>
      <c r="AP367" t="str">
        <f t="shared" si="41"/>
        <v>Low Risk</v>
      </c>
    </row>
    <row r="368" spans="1:42" x14ac:dyDescent="0.3">
      <c r="A368" s="5">
        <v>41</v>
      </c>
      <c r="B368" s="5" t="s">
        <v>35</v>
      </c>
      <c r="C368" s="5" t="str">
        <f t="shared" si="35"/>
        <v>Yes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 s="5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 s="5">
        <v>9355</v>
      </c>
      <c r="U368">
        <v>9558</v>
      </c>
      <c r="V368">
        <v>1</v>
      </c>
      <c r="W368" t="s">
        <v>42</v>
      </c>
      <c r="X368" t="s">
        <v>43</v>
      </c>
      <c r="Y368" t="str">
        <f t="shared" si="36"/>
        <v>No</v>
      </c>
      <c r="Z368">
        <v>18</v>
      </c>
      <c r="AA368">
        <v>3</v>
      </c>
      <c r="AB368">
        <v>3</v>
      </c>
      <c r="AC368">
        <v>80</v>
      </c>
      <c r="AD368">
        <v>0</v>
      </c>
      <c r="AE368" s="5">
        <v>8</v>
      </c>
      <c r="AF368" t="str">
        <f t="shared" si="37"/>
        <v>6-15</v>
      </c>
      <c r="AG368">
        <v>5</v>
      </c>
      <c r="AH368">
        <v>3</v>
      </c>
      <c r="AI368" s="5">
        <v>8</v>
      </c>
      <c r="AJ368">
        <v>7</v>
      </c>
      <c r="AK368">
        <v>7</v>
      </c>
      <c r="AL368">
        <v>7</v>
      </c>
      <c r="AM368" t="str">
        <f t="shared" si="38"/>
        <v>Ok</v>
      </c>
      <c r="AN368" s="21">
        <f t="shared" si="39"/>
        <v>27.692307692307693</v>
      </c>
      <c r="AO368" t="str">
        <f t="shared" ca="1" si="40"/>
        <v>No</v>
      </c>
      <c r="AP368" t="str">
        <f t="shared" si="41"/>
        <v>Low Risk</v>
      </c>
    </row>
    <row r="369" spans="1:42" x14ac:dyDescent="0.3">
      <c r="A369" s="5">
        <v>50</v>
      </c>
      <c r="B369" s="5" t="s">
        <v>43</v>
      </c>
      <c r="C369" s="5" t="str">
        <f t="shared" si="35"/>
        <v>No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 s="5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 s="5">
        <v>10496</v>
      </c>
      <c r="U369">
        <v>2755</v>
      </c>
      <c r="V369">
        <v>6</v>
      </c>
      <c r="W369" t="s">
        <v>42</v>
      </c>
      <c r="X369" t="s">
        <v>43</v>
      </c>
      <c r="Y369" t="str">
        <f t="shared" si="36"/>
        <v>No</v>
      </c>
      <c r="Z369">
        <v>15</v>
      </c>
      <c r="AA369">
        <v>3</v>
      </c>
      <c r="AB369">
        <v>4</v>
      </c>
      <c r="AC369">
        <v>80</v>
      </c>
      <c r="AD369">
        <v>0</v>
      </c>
      <c r="AE369" s="5">
        <v>20</v>
      </c>
      <c r="AF369" t="str">
        <f t="shared" si="37"/>
        <v>&gt;15</v>
      </c>
      <c r="AG369">
        <v>2</v>
      </c>
      <c r="AH369">
        <v>3</v>
      </c>
      <c r="AI369" s="5">
        <v>4</v>
      </c>
      <c r="AJ369">
        <v>3</v>
      </c>
      <c r="AK369">
        <v>1</v>
      </c>
      <c r="AL369">
        <v>3</v>
      </c>
      <c r="AM369" t="str">
        <f t="shared" si="38"/>
        <v>Ok</v>
      </c>
      <c r="AN369" s="21">
        <f t="shared" si="39"/>
        <v>27.717391304347828</v>
      </c>
      <c r="AO369" t="str">
        <f t="shared" ca="1" si="40"/>
        <v>No</v>
      </c>
      <c r="AP369" t="str">
        <f t="shared" si="41"/>
        <v>Low Risk</v>
      </c>
    </row>
    <row r="370" spans="1:42" x14ac:dyDescent="0.3">
      <c r="A370" s="5">
        <v>40</v>
      </c>
      <c r="B370" s="5" t="s">
        <v>35</v>
      </c>
      <c r="C370" s="5" t="str">
        <f t="shared" si="35"/>
        <v>Yes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 s="5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 s="5">
        <v>6380</v>
      </c>
      <c r="U370">
        <v>6110</v>
      </c>
      <c r="V370">
        <v>2</v>
      </c>
      <c r="W370" t="s">
        <v>42</v>
      </c>
      <c r="X370" t="s">
        <v>35</v>
      </c>
      <c r="Y370" t="str">
        <f t="shared" si="36"/>
        <v>Yes</v>
      </c>
      <c r="Z370">
        <v>12</v>
      </c>
      <c r="AA370">
        <v>3</v>
      </c>
      <c r="AB370">
        <v>1</v>
      </c>
      <c r="AC370">
        <v>80</v>
      </c>
      <c r="AD370">
        <v>2</v>
      </c>
      <c r="AE370" s="5">
        <v>8</v>
      </c>
      <c r="AF370" t="str">
        <f t="shared" si="37"/>
        <v>6-15</v>
      </c>
      <c r="AG370">
        <v>6</v>
      </c>
      <c r="AH370">
        <v>3</v>
      </c>
      <c r="AI370" s="5">
        <v>6</v>
      </c>
      <c r="AJ370">
        <v>4</v>
      </c>
      <c r="AK370">
        <v>1</v>
      </c>
      <c r="AL370">
        <v>0</v>
      </c>
      <c r="AM370" t="str">
        <f t="shared" si="38"/>
        <v>Below Avg</v>
      </c>
      <c r="AN370" s="21">
        <f t="shared" si="39"/>
        <v>27.742520398912056</v>
      </c>
      <c r="AO370" t="str">
        <f t="shared" ca="1" si="40"/>
        <v>No</v>
      </c>
      <c r="AP370" t="str">
        <f t="shared" si="41"/>
        <v>Low Risk</v>
      </c>
    </row>
    <row r="371" spans="1:42" x14ac:dyDescent="0.3">
      <c r="A371" s="5">
        <v>31</v>
      </c>
      <c r="B371" s="5" t="s">
        <v>43</v>
      </c>
      <c r="C371" s="5" t="str">
        <f t="shared" si="35"/>
        <v>No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 s="5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 s="5">
        <v>2657</v>
      </c>
      <c r="U371">
        <v>7551</v>
      </c>
      <c r="V371">
        <v>0</v>
      </c>
      <c r="W371" t="s">
        <v>42</v>
      </c>
      <c r="X371" t="s">
        <v>35</v>
      </c>
      <c r="Y371" t="str">
        <f t="shared" si="36"/>
        <v>Yes</v>
      </c>
      <c r="Z371">
        <v>16</v>
      </c>
      <c r="AA371">
        <v>3</v>
      </c>
      <c r="AB371">
        <v>4</v>
      </c>
      <c r="AC371">
        <v>80</v>
      </c>
      <c r="AD371">
        <v>0</v>
      </c>
      <c r="AE371" s="5">
        <v>3</v>
      </c>
      <c r="AF371" t="str">
        <f t="shared" si="37"/>
        <v>0-5</v>
      </c>
      <c r="AG371">
        <v>5</v>
      </c>
      <c r="AH371">
        <v>3</v>
      </c>
      <c r="AI371" s="5">
        <v>2</v>
      </c>
      <c r="AJ371">
        <v>2</v>
      </c>
      <c r="AK371">
        <v>2</v>
      </c>
      <c r="AL371">
        <v>2</v>
      </c>
      <c r="AM371" t="str">
        <f t="shared" si="38"/>
        <v>Below Avg</v>
      </c>
      <c r="AN371" s="21">
        <f t="shared" si="39"/>
        <v>27.767695099818511</v>
      </c>
      <c r="AO371" t="str">
        <f t="shared" ca="1" si="40"/>
        <v>No</v>
      </c>
      <c r="AP371" t="str">
        <f t="shared" si="41"/>
        <v>Low Risk</v>
      </c>
    </row>
    <row r="372" spans="1:42" x14ac:dyDescent="0.3">
      <c r="A372" s="5">
        <v>21</v>
      </c>
      <c r="B372" s="5" t="s">
        <v>35</v>
      </c>
      <c r="C372" s="5" t="str">
        <f t="shared" si="35"/>
        <v>Yes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 s="5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 s="5">
        <v>2716</v>
      </c>
      <c r="U372">
        <v>25422</v>
      </c>
      <c r="V372">
        <v>1</v>
      </c>
      <c r="W372" t="s">
        <v>42</v>
      </c>
      <c r="X372" t="s">
        <v>43</v>
      </c>
      <c r="Y372" t="str">
        <f t="shared" si="36"/>
        <v>No</v>
      </c>
      <c r="Z372">
        <v>15</v>
      </c>
      <c r="AA372">
        <v>3</v>
      </c>
      <c r="AB372">
        <v>4</v>
      </c>
      <c r="AC372">
        <v>80</v>
      </c>
      <c r="AD372">
        <v>0</v>
      </c>
      <c r="AE372" s="5">
        <v>1</v>
      </c>
      <c r="AF372" t="str">
        <f t="shared" si="37"/>
        <v>0-5</v>
      </c>
      <c r="AG372">
        <v>0</v>
      </c>
      <c r="AH372">
        <v>3</v>
      </c>
      <c r="AI372" s="5">
        <v>1</v>
      </c>
      <c r="AJ372">
        <v>0</v>
      </c>
      <c r="AK372">
        <v>0</v>
      </c>
      <c r="AL372">
        <v>0</v>
      </c>
      <c r="AM372" t="str">
        <f t="shared" si="38"/>
        <v>Below Avg</v>
      </c>
      <c r="AN372" s="21">
        <f t="shared" si="39"/>
        <v>27.702089009990914</v>
      </c>
      <c r="AO372" t="str">
        <f t="shared" ca="1" si="40"/>
        <v>No</v>
      </c>
      <c r="AP372" t="str">
        <f t="shared" si="41"/>
        <v>High Risk</v>
      </c>
    </row>
    <row r="373" spans="1:42" x14ac:dyDescent="0.3">
      <c r="A373" s="5">
        <v>29</v>
      </c>
      <c r="B373" s="5" t="s">
        <v>43</v>
      </c>
      <c r="C373" s="5" t="str">
        <f t="shared" si="35"/>
        <v>No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 s="5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 s="5">
        <v>2201</v>
      </c>
      <c r="U373">
        <v>18168</v>
      </c>
      <c r="V373">
        <v>9</v>
      </c>
      <c r="W373" t="s">
        <v>42</v>
      </c>
      <c r="X373" t="s">
        <v>43</v>
      </c>
      <c r="Y373" t="str">
        <f t="shared" si="36"/>
        <v>No</v>
      </c>
      <c r="Z373">
        <v>16</v>
      </c>
      <c r="AA373">
        <v>3</v>
      </c>
      <c r="AB373">
        <v>4</v>
      </c>
      <c r="AC373">
        <v>80</v>
      </c>
      <c r="AD373">
        <v>0</v>
      </c>
      <c r="AE373" s="5">
        <v>6</v>
      </c>
      <c r="AF373" t="str">
        <f t="shared" si="37"/>
        <v>6-15</v>
      </c>
      <c r="AG373">
        <v>4</v>
      </c>
      <c r="AH373">
        <v>3</v>
      </c>
      <c r="AI373" s="5">
        <v>3</v>
      </c>
      <c r="AJ373">
        <v>2</v>
      </c>
      <c r="AK373">
        <v>1</v>
      </c>
      <c r="AL373">
        <v>2</v>
      </c>
      <c r="AM373" t="str">
        <f t="shared" si="38"/>
        <v>Below Avg</v>
      </c>
      <c r="AN373" s="21">
        <f t="shared" si="39"/>
        <v>27.636363636363637</v>
      </c>
      <c r="AO373" t="str">
        <f t="shared" ca="1" si="40"/>
        <v>No</v>
      </c>
      <c r="AP373" t="str">
        <f t="shared" si="41"/>
        <v>Low Risk</v>
      </c>
    </row>
    <row r="374" spans="1:42" x14ac:dyDescent="0.3">
      <c r="A374" s="5">
        <v>35</v>
      </c>
      <c r="B374" s="5" t="s">
        <v>43</v>
      </c>
      <c r="C374" s="5" t="str">
        <f t="shared" si="35"/>
        <v>No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 s="5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 s="5">
        <v>6540</v>
      </c>
      <c r="U374">
        <v>19394</v>
      </c>
      <c r="V374">
        <v>9</v>
      </c>
      <c r="W374" t="s">
        <v>42</v>
      </c>
      <c r="X374" t="s">
        <v>43</v>
      </c>
      <c r="Y374" t="str">
        <f t="shared" si="36"/>
        <v>No</v>
      </c>
      <c r="Z374">
        <v>19</v>
      </c>
      <c r="AA374">
        <v>3</v>
      </c>
      <c r="AB374">
        <v>3</v>
      </c>
      <c r="AC374">
        <v>80</v>
      </c>
      <c r="AD374">
        <v>0</v>
      </c>
      <c r="AE374" s="5">
        <v>10</v>
      </c>
      <c r="AF374" t="str">
        <f t="shared" si="37"/>
        <v>6-15</v>
      </c>
      <c r="AG374">
        <v>5</v>
      </c>
      <c r="AH374">
        <v>3</v>
      </c>
      <c r="AI374" s="5">
        <v>1</v>
      </c>
      <c r="AJ374">
        <v>1</v>
      </c>
      <c r="AK374">
        <v>0</v>
      </c>
      <c r="AL374">
        <v>0</v>
      </c>
      <c r="AM374" t="str">
        <f t="shared" si="38"/>
        <v>Ok</v>
      </c>
      <c r="AN374" s="21">
        <f t="shared" si="39"/>
        <v>27.661510464058235</v>
      </c>
      <c r="AO374" t="str">
        <f t="shared" ca="1" si="40"/>
        <v>No</v>
      </c>
      <c r="AP374" t="str">
        <f t="shared" si="41"/>
        <v>Low Risk</v>
      </c>
    </row>
    <row r="375" spans="1:42" x14ac:dyDescent="0.3">
      <c r="A375" s="5">
        <v>27</v>
      </c>
      <c r="B375" s="5" t="s">
        <v>43</v>
      </c>
      <c r="C375" s="5" t="str">
        <f t="shared" si="35"/>
        <v>No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 s="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 s="5">
        <v>3816</v>
      </c>
      <c r="U375">
        <v>17881</v>
      </c>
      <c r="V375">
        <v>1</v>
      </c>
      <c r="W375" t="s">
        <v>42</v>
      </c>
      <c r="X375" t="s">
        <v>43</v>
      </c>
      <c r="Y375" t="str">
        <f t="shared" si="36"/>
        <v>No</v>
      </c>
      <c r="Z375">
        <v>11</v>
      </c>
      <c r="AA375">
        <v>3</v>
      </c>
      <c r="AB375">
        <v>2</v>
      </c>
      <c r="AC375">
        <v>80</v>
      </c>
      <c r="AD375">
        <v>1</v>
      </c>
      <c r="AE375" s="5">
        <v>5</v>
      </c>
      <c r="AF375" t="str">
        <f t="shared" si="37"/>
        <v>0-5</v>
      </c>
      <c r="AG375">
        <v>2</v>
      </c>
      <c r="AH375">
        <v>3</v>
      </c>
      <c r="AI375" s="5">
        <v>5</v>
      </c>
      <c r="AJ375">
        <v>2</v>
      </c>
      <c r="AK375">
        <v>0</v>
      </c>
      <c r="AL375">
        <v>4</v>
      </c>
      <c r="AM375" t="str">
        <f t="shared" si="38"/>
        <v>Below Avg</v>
      </c>
      <c r="AN375" s="21">
        <f t="shared" si="39"/>
        <v>27.686703096539162</v>
      </c>
      <c r="AO375" t="str">
        <f t="shared" ca="1" si="40"/>
        <v>No</v>
      </c>
      <c r="AP375" t="str">
        <f t="shared" si="41"/>
        <v>Low Risk</v>
      </c>
    </row>
    <row r="376" spans="1:42" x14ac:dyDescent="0.3">
      <c r="A376" s="5">
        <v>28</v>
      </c>
      <c r="B376" s="5" t="s">
        <v>43</v>
      </c>
      <c r="C376" s="5" t="str">
        <f t="shared" si="35"/>
        <v>No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 s="5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 s="5">
        <v>5253</v>
      </c>
      <c r="U376">
        <v>20750</v>
      </c>
      <c r="V376">
        <v>1</v>
      </c>
      <c r="W376" t="s">
        <v>42</v>
      </c>
      <c r="X376" t="s">
        <v>43</v>
      </c>
      <c r="Y376" t="str">
        <f t="shared" si="36"/>
        <v>No</v>
      </c>
      <c r="Z376">
        <v>16</v>
      </c>
      <c r="AA376">
        <v>3</v>
      </c>
      <c r="AB376">
        <v>4</v>
      </c>
      <c r="AC376">
        <v>80</v>
      </c>
      <c r="AD376">
        <v>0</v>
      </c>
      <c r="AE376" s="5">
        <v>7</v>
      </c>
      <c r="AF376" t="str">
        <f t="shared" si="37"/>
        <v>6-15</v>
      </c>
      <c r="AG376">
        <v>1</v>
      </c>
      <c r="AH376">
        <v>3</v>
      </c>
      <c r="AI376" s="5">
        <v>7</v>
      </c>
      <c r="AJ376">
        <v>5</v>
      </c>
      <c r="AK376">
        <v>0</v>
      </c>
      <c r="AL376">
        <v>7</v>
      </c>
      <c r="AM376" t="str">
        <f t="shared" si="38"/>
        <v>Below Avg</v>
      </c>
      <c r="AN376" s="21">
        <f t="shared" si="39"/>
        <v>27.711941659070195</v>
      </c>
      <c r="AO376" t="str">
        <f t="shared" ca="1" si="40"/>
        <v>No</v>
      </c>
      <c r="AP376" t="str">
        <f t="shared" si="41"/>
        <v>Low Risk</v>
      </c>
    </row>
    <row r="377" spans="1:42" x14ac:dyDescent="0.3">
      <c r="A377" s="5">
        <v>49</v>
      </c>
      <c r="B377" s="5" t="s">
        <v>43</v>
      </c>
      <c r="C377" s="5" t="str">
        <f t="shared" si="35"/>
        <v>No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 s="5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 s="5">
        <v>10965</v>
      </c>
      <c r="U377">
        <v>12066</v>
      </c>
      <c r="V377">
        <v>8</v>
      </c>
      <c r="W377" t="s">
        <v>42</v>
      </c>
      <c r="X377" t="s">
        <v>43</v>
      </c>
      <c r="Y377" t="str">
        <f t="shared" si="36"/>
        <v>No</v>
      </c>
      <c r="Z377">
        <v>24</v>
      </c>
      <c r="AA377">
        <v>4</v>
      </c>
      <c r="AB377">
        <v>3</v>
      </c>
      <c r="AC377">
        <v>80</v>
      </c>
      <c r="AD377">
        <v>0</v>
      </c>
      <c r="AE377" s="5">
        <v>26</v>
      </c>
      <c r="AF377" t="str">
        <f t="shared" si="37"/>
        <v>&gt;15</v>
      </c>
      <c r="AG377">
        <v>2</v>
      </c>
      <c r="AH377">
        <v>3</v>
      </c>
      <c r="AI377" s="5">
        <v>5</v>
      </c>
      <c r="AJ377">
        <v>2</v>
      </c>
      <c r="AK377">
        <v>0</v>
      </c>
      <c r="AL377">
        <v>0</v>
      </c>
      <c r="AM377" t="str">
        <f t="shared" si="38"/>
        <v>Ok</v>
      </c>
      <c r="AN377" s="21">
        <f t="shared" si="39"/>
        <v>27.737226277372262</v>
      </c>
      <c r="AO377" t="str">
        <f t="shared" ca="1" si="40"/>
        <v>No</v>
      </c>
      <c r="AP377" t="str">
        <f t="shared" si="41"/>
        <v>Low Risk</v>
      </c>
    </row>
    <row r="378" spans="1:42" x14ac:dyDescent="0.3">
      <c r="A378" s="5">
        <v>51</v>
      </c>
      <c r="B378" s="5" t="s">
        <v>43</v>
      </c>
      <c r="C378" s="5" t="str">
        <f t="shared" si="35"/>
        <v>No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 s="5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 s="5">
        <v>4936</v>
      </c>
      <c r="U378">
        <v>14862</v>
      </c>
      <c r="V378">
        <v>4</v>
      </c>
      <c r="W378" t="s">
        <v>42</v>
      </c>
      <c r="X378" t="s">
        <v>43</v>
      </c>
      <c r="Y378" t="str">
        <f t="shared" si="36"/>
        <v>No</v>
      </c>
      <c r="Z378">
        <v>11</v>
      </c>
      <c r="AA378">
        <v>3</v>
      </c>
      <c r="AB378">
        <v>3</v>
      </c>
      <c r="AC378">
        <v>80</v>
      </c>
      <c r="AD378">
        <v>1</v>
      </c>
      <c r="AE378" s="5">
        <v>18</v>
      </c>
      <c r="AF378" t="str">
        <f t="shared" si="37"/>
        <v>&gt;15</v>
      </c>
      <c r="AG378">
        <v>2</v>
      </c>
      <c r="AH378">
        <v>2</v>
      </c>
      <c r="AI378" s="5">
        <v>7</v>
      </c>
      <c r="AJ378">
        <v>7</v>
      </c>
      <c r="AK378">
        <v>0</v>
      </c>
      <c r="AL378">
        <v>7</v>
      </c>
      <c r="AM378" t="str">
        <f t="shared" si="38"/>
        <v>Below Avg</v>
      </c>
      <c r="AN378" s="21">
        <f t="shared" si="39"/>
        <v>27.762557077625573</v>
      </c>
      <c r="AO378" t="str">
        <f t="shared" ca="1" si="40"/>
        <v>No</v>
      </c>
      <c r="AP378" t="str">
        <f t="shared" si="41"/>
        <v>Low Risk</v>
      </c>
    </row>
    <row r="379" spans="1:42" x14ac:dyDescent="0.3">
      <c r="A379" s="5">
        <v>36</v>
      </c>
      <c r="B379" s="5" t="s">
        <v>43</v>
      </c>
      <c r="C379" s="5" t="str">
        <f t="shared" si="35"/>
        <v>No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 s="5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 s="5">
        <v>2543</v>
      </c>
      <c r="U379">
        <v>11868</v>
      </c>
      <c r="V379">
        <v>4</v>
      </c>
      <c r="W379" t="s">
        <v>42</v>
      </c>
      <c r="X379" t="s">
        <v>43</v>
      </c>
      <c r="Y379" t="str">
        <f t="shared" si="36"/>
        <v>No</v>
      </c>
      <c r="Z379">
        <v>13</v>
      </c>
      <c r="AA379">
        <v>3</v>
      </c>
      <c r="AB379">
        <v>2</v>
      </c>
      <c r="AC379">
        <v>80</v>
      </c>
      <c r="AD379">
        <v>1</v>
      </c>
      <c r="AE379" s="5">
        <v>6</v>
      </c>
      <c r="AF379" t="str">
        <f t="shared" si="37"/>
        <v>6-15</v>
      </c>
      <c r="AG379">
        <v>3</v>
      </c>
      <c r="AH379">
        <v>3</v>
      </c>
      <c r="AI379" s="5">
        <v>2</v>
      </c>
      <c r="AJ379">
        <v>2</v>
      </c>
      <c r="AK379">
        <v>2</v>
      </c>
      <c r="AL379">
        <v>2</v>
      </c>
      <c r="AM379" t="str">
        <f t="shared" si="38"/>
        <v>Below Avg</v>
      </c>
      <c r="AN379" s="21">
        <f t="shared" si="39"/>
        <v>27.787934186471663</v>
      </c>
      <c r="AO379" t="str">
        <f t="shared" ca="1" si="40"/>
        <v>No</v>
      </c>
      <c r="AP379" t="str">
        <f t="shared" si="41"/>
        <v>Low Risk</v>
      </c>
    </row>
    <row r="380" spans="1:42" x14ac:dyDescent="0.3">
      <c r="A380" s="5">
        <v>34</v>
      </c>
      <c r="B380" s="5" t="s">
        <v>35</v>
      </c>
      <c r="C380" s="5" t="str">
        <f t="shared" si="35"/>
        <v>Yes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 s="5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 s="5">
        <v>5304</v>
      </c>
      <c r="U380">
        <v>4652</v>
      </c>
      <c r="V380">
        <v>8</v>
      </c>
      <c r="W380" t="s">
        <v>42</v>
      </c>
      <c r="X380" t="s">
        <v>35</v>
      </c>
      <c r="Y380" t="str">
        <f t="shared" si="36"/>
        <v>Yes</v>
      </c>
      <c r="Z380">
        <v>13</v>
      </c>
      <c r="AA380">
        <v>3</v>
      </c>
      <c r="AB380">
        <v>2</v>
      </c>
      <c r="AC380">
        <v>80</v>
      </c>
      <c r="AD380">
        <v>0</v>
      </c>
      <c r="AE380" s="5">
        <v>9</v>
      </c>
      <c r="AF380" t="str">
        <f t="shared" si="37"/>
        <v>6-15</v>
      </c>
      <c r="AG380">
        <v>3</v>
      </c>
      <c r="AH380">
        <v>2</v>
      </c>
      <c r="AI380" s="5">
        <v>5</v>
      </c>
      <c r="AJ380">
        <v>2</v>
      </c>
      <c r="AK380">
        <v>0</v>
      </c>
      <c r="AL380">
        <v>4</v>
      </c>
      <c r="AM380" t="str">
        <f t="shared" si="38"/>
        <v>Below Avg</v>
      </c>
      <c r="AN380" s="21">
        <f t="shared" si="39"/>
        <v>27.813357731015554</v>
      </c>
      <c r="AO380" t="str">
        <f t="shared" ca="1" si="40"/>
        <v>No</v>
      </c>
      <c r="AP380" t="str">
        <f t="shared" si="41"/>
        <v>Low Risk</v>
      </c>
    </row>
    <row r="381" spans="1:42" x14ac:dyDescent="0.3">
      <c r="A381" s="5">
        <v>55</v>
      </c>
      <c r="B381" s="5" t="s">
        <v>43</v>
      </c>
      <c r="C381" s="5" t="str">
        <f t="shared" si="35"/>
        <v>No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 s="5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 s="5">
        <v>16659</v>
      </c>
      <c r="U381">
        <v>23258</v>
      </c>
      <c r="V381">
        <v>2</v>
      </c>
      <c r="W381" t="s">
        <v>42</v>
      </c>
      <c r="X381" t="s">
        <v>35</v>
      </c>
      <c r="Y381" t="str">
        <f t="shared" si="36"/>
        <v>Yes</v>
      </c>
      <c r="Z381">
        <v>13</v>
      </c>
      <c r="AA381">
        <v>3</v>
      </c>
      <c r="AB381">
        <v>3</v>
      </c>
      <c r="AC381">
        <v>80</v>
      </c>
      <c r="AD381">
        <v>0</v>
      </c>
      <c r="AE381" s="5">
        <v>30</v>
      </c>
      <c r="AF381" t="str">
        <f t="shared" si="37"/>
        <v>&gt;15</v>
      </c>
      <c r="AG381">
        <v>2</v>
      </c>
      <c r="AH381">
        <v>3</v>
      </c>
      <c r="AI381" s="5">
        <v>5</v>
      </c>
      <c r="AJ381">
        <v>4</v>
      </c>
      <c r="AK381">
        <v>1</v>
      </c>
      <c r="AL381">
        <v>2</v>
      </c>
      <c r="AM381" t="str">
        <f t="shared" si="38"/>
        <v>Ok</v>
      </c>
      <c r="AN381" s="21">
        <f t="shared" si="39"/>
        <v>27.838827838827839</v>
      </c>
      <c r="AO381" t="str">
        <f t="shared" ca="1" si="40"/>
        <v>No</v>
      </c>
      <c r="AP381" t="str">
        <f t="shared" si="41"/>
        <v>Low Risk</v>
      </c>
    </row>
    <row r="382" spans="1:42" x14ac:dyDescent="0.3">
      <c r="A382" s="5">
        <v>24</v>
      </c>
      <c r="B382" s="5" t="s">
        <v>43</v>
      </c>
      <c r="C382" s="5" t="str">
        <f t="shared" si="35"/>
        <v>No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 s="5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 s="5">
        <v>4260</v>
      </c>
      <c r="U382">
        <v>5915</v>
      </c>
      <c r="V382">
        <v>1</v>
      </c>
      <c r="W382" t="s">
        <v>42</v>
      </c>
      <c r="X382" t="s">
        <v>35</v>
      </c>
      <c r="Y382" t="str">
        <f t="shared" si="36"/>
        <v>Yes</v>
      </c>
      <c r="Z382">
        <v>12</v>
      </c>
      <c r="AA382">
        <v>3</v>
      </c>
      <c r="AB382">
        <v>4</v>
      </c>
      <c r="AC382">
        <v>80</v>
      </c>
      <c r="AD382">
        <v>1</v>
      </c>
      <c r="AE382" s="5">
        <v>5</v>
      </c>
      <c r="AF382" t="str">
        <f t="shared" si="37"/>
        <v>0-5</v>
      </c>
      <c r="AG382">
        <v>2</v>
      </c>
      <c r="AH382">
        <v>4</v>
      </c>
      <c r="AI382" s="5">
        <v>5</v>
      </c>
      <c r="AJ382">
        <v>2</v>
      </c>
      <c r="AK382">
        <v>0</v>
      </c>
      <c r="AL382">
        <v>3</v>
      </c>
      <c r="AM382" t="str">
        <f t="shared" si="38"/>
        <v>Below Avg</v>
      </c>
      <c r="AN382" s="21">
        <f t="shared" si="39"/>
        <v>27.772685609532537</v>
      </c>
      <c r="AO382" t="str">
        <f t="shared" ca="1" si="40"/>
        <v>No</v>
      </c>
      <c r="AP382" t="str">
        <f t="shared" si="41"/>
        <v>Low Risk</v>
      </c>
    </row>
    <row r="383" spans="1:42" x14ac:dyDescent="0.3">
      <c r="A383" s="5">
        <v>30</v>
      </c>
      <c r="B383" s="5" t="s">
        <v>43</v>
      </c>
      <c r="C383" s="5" t="str">
        <f t="shared" si="35"/>
        <v>No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 s="5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 s="5">
        <v>2476</v>
      </c>
      <c r="U383">
        <v>17434</v>
      </c>
      <c r="V383">
        <v>1</v>
      </c>
      <c r="W383" t="s">
        <v>42</v>
      </c>
      <c r="X383" t="s">
        <v>43</v>
      </c>
      <c r="Y383" t="str">
        <f t="shared" si="36"/>
        <v>No</v>
      </c>
      <c r="Z383">
        <v>18</v>
      </c>
      <c r="AA383">
        <v>3</v>
      </c>
      <c r="AB383">
        <v>1</v>
      </c>
      <c r="AC383">
        <v>80</v>
      </c>
      <c r="AD383">
        <v>1</v>
      </c>
      <c r="AE383" s="5">
        <v>1</v>
      </c>
      <c r="AF383" t="str">
        <f t="shared" si="37"/>
        <v>0-5</v>
      </c>
      <c r="AG383">
        <v>3</v>
      </c>
      <c r="AH383">
        <v>3</v>
      </c>
      <c r="AI383" s="5">
        <v>1</v>
      </c>
      <c r="AJ383">
        <v>0</v>
      </c>
      <c r="AK383">
        <v>0</v>
      </c>
      <c r="AL383">
        <v>0</v>
      </c>
      <c r="AM383" t="str">
        <f t="shared" si="38"/>
        <v>Below Avg</v>
      </c>
      <c r="AN383" s="21">
        <f t="shared" si="39"/>
        <v>27.706422018348626</v>
      </c>
      <c r="AO383" t="str">
        <f t="shared" ca="1" si="40"/>
        <v>No</v>
      </c>
      <c r="AP383" t="str">
        <f t="shared" si="41"/>
        <v>Low Risk</v>
      </c>
    </row>
    <row r="384" spans="1:42" x14ac:dyDescent="0.3">
      <c r="A384" s="5">
        <v>26</v>
      </c>
      <c r="B384" s="5" t="s">
        <v>35</v>
      </c>
      <c r="C384" s="5" t="str">
        <f t="shared" si="35"/>
        <v>Yes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 s="5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 s="5">
        <v>3102</v>
      </c>
      <c r="U384">
        <v>6582</v>
      </c>
      <c r="V384">
        <v>0</v>
      </c>
      <c r="W384" t="s">
        <v>42</v>
      </c>
      <c r="X384" t="s">
        <v>43</v>
      </c>
      <c r="Y384" t="str">
        <f t="shared" si="36"/>
        <v>No</v>
      </c>
      <c r="Z384">
        <v>22</v>
      </c>
      <c r="AA384">
        <v>4</v>
      </c>
      <c r="AB384">
        <v>3</v>
      </c>
      <c r="AC384">
        <v>80</v>
      </c>
      <c r="AD384">
        <v>0</v>
      </c>
      <c r="AE384" s="5">
        <v>7</v>
      </c>
      <c r="AF384" t="str">
        <f t="shared" si="37"/>
        <v>6-15</v>
      </c>
      <c r="AG384">
        <v>2</v>
      </c>
      <c r="AH384">
        <v>3</v>
      </c>
      <c r="AI384" s="5">
        <v>6</v>
      </c>
      <c r="AJ384">
        <v>4</v>
      </c>
      <c r="AK384">
        <v>0</v>
      </c>
      <c r="AL384">
        <v>4</v>
      </c>
      <c r="AM384" t="str">
        <f t="shared" si="38"/>
        <v>Below Avg</v>
      </c>
      <c r="AN384" s="21">
        <f t="shared" si="39"/>
        <v>27.640036730945823</v>
      </c>
      <c r="AO384" t="str">
        <f t="shared" ca="1" si="40"/>
        <v>No</v>
      </c>
      <c r="AP384" t="str">
        <f t="shared" si="41"/>
        <v>Low Risk</v>
      </c>
    </row>
    <row r="385" spans="1:42" x14ac:dyDescent="0.3">
      <c r="A385" s="5">
        <v>22</v>
      </c>
      <c r="B385" s="5" t="s">
        <v>43</v>
      </c>
      <c r="C385" s="5" t="str">
        <f t="shared" si="35"/>
        <v>No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 s="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 s="5">
        <v>2244</v>
      </c>
      <c r="U385">
        <v>24440</v>
      </c>
      <c r="V385">
        <v>1</v>
      </c>
      <c r="W385" t="s">
        <v>42</v>
      </c>
      <c r="X385" t="s">
        <v>43</v>
      </c>
      <c r="Y385" t="str">
        <f t="shared" si="36"/>
        <v>No</v>
      </c>
      <c r="Z385">
        <v>13</v>
      </c>
      <c r="AA385">
        <v>3</v>
      </c>
      <c r="AB385">
        <v>4</v>
      </c>
      <c r="AC385">
        <v>80</v>
      </c>
      <c r="AD385">
        <v>1</v>
      </c>
      <c r="AE385" s="5">
        <v>2</v>
      </c>
      <c r="AF385" t="str">
        <f t="shared" si="37"/>
        <v>0-5</v>
      </c>
      <c r="AG385">
        <v>1</v>
      </c>
      <c r="AH385">
        <v>3</v>
      </c>
      <c r="AI385" s="5">
        <v>2</v>
      </c>
      <c r="AJ385">
        <v>1</v>
      </c>
      <c r="AK385">
        <v>1</v>
      </c>
      <c r="AL385">
        <v>2</v>
      </c>
      <c r="AM385" t="str">
        <f t="shared" si="38"/>
        <v>Below Avg</v>
      </c>
      <c r="AN385" s="21">
        <f t="shared" si="39"/>
        <v>27.665441176470591</v>
      </c>
      <c r="AO385" t="str">
        <f t="shared" ca="1" si="40"/>
        <v>No</v>
      </c>
      <c r="AP385" t="str">
        <f t="shared" si="41"/>
        <v>Low Risk</v>
      </c>
    </row>
    <row r="386" spans="1:42" x14ac:dyDescent="0.3">
      <c r="A386" s="5">
        <v>36</v>
      </c>
      <c r="B386" s="5" t="s">
        <v>43</v>
      </c>
      <c r="C386" s="5" t="str">
        <f t="shared" si="35"/>
        <v>No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 s="5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 s="5">
        <v>7596</v>
      </c>
      <c r="U386">
        <v>3809</v>
      </c>
      <c r="V386">
        <v>1</v>
      </c>
      <c r="W386" t="s">
        <v>42</v>
      </c>
      <c r="X386" t="s">
        <v>43</v>
      </c>
      <c r="Y386" t="str">
        <f t="shared" si="36"/>
        <v>No</v>
      </c>
      <c r="Z386">
        <v>13</v>
      </c>
      <c r="AA386">
        <v>3</v>
      </c>
      <c r="AB386">
        <v>2</v>
      </c>
      <c r="AC386">
        <v>80</v>
      </c>
      <c r="AD386">
        <v>2</v>
      </c>
      <c r="AE386" s="5">
        <v>10</v>
      </c>
      <c r="AF386" t="str">
        <f t="shared" si="37"/>
        <v>6-15</v>
      </c>
      <c r="AG386">
        <v>2</v>
      </c>
      <c r="AH386">
        <v>3</v>
      </c>
      <c r="AI386" s="5">
        <v>10</v>
      </c>
      <c r="AJ386">
        <v>9</v>
      </c>
      <c r="AK386">
        <v>9</v>
      </c>
      <c r="AL386">
        <v>0</v>
      </c>
      <c r="AM386" t="str">
        <f t="shared" si="38"/>
        <v>Ok</v>
      </c>
      <c r="AN386" s="21">
        <f t="shared" si="39"/>
        <v>27.69089236430543</v>
      </c>
      <c r="AO386" t="str">
        <f t="shared" ca="1" si="40"/>
        <v>No</v>
      </c>
      <c r="AP386" t="str">
        <f t="shared" si="41"/>
        <v>Low Risk</v>
      </c>
    </row>
    <row r="387" spans="1:42" x14ac:dyDescent="0.3">
      <c r="A387" s="5">
        <v>30</v>
      </c>
      <c r="B387" s="5" t="s">
        <v>35</v>
      </c>
      <c r="C387" s="5" t="str">
        <f t="shared" ref="C387:C450" si="42">IF(LOWER(B387)="yes","Yes","No")</f>
        <v>Yes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 s="5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 s="5">
        <v>2285</v>
      </c>
      <c r="U387">
        <v>3427</v>
      </c>
      <c r="V387">
        <v>9</v>
      </c>
      <c r="W387" t="s">
        <v>42</v>
      </c>
      <c r="X387" t="s">
        <v>35</v>
      </c>
      <c r="Y387" t="str">
        <f t="shared" ref="Y387:Y450" si="43">IF(LOWER(X387)="yes","Yes","No")</f>
        <v>Yes</v>
      </c>
      <c r="Z387">
        <v>23</v>
      </c>
      <c r="AA387">
        <v>4</v>
      </c>
      <c r="AB387">
        <v>3</v>
      </c>
      <c r="AC387">
        <v>80</v>
      </c>
      <c r="AD387">
        <v>0</v>
      </c>
      <c r="AE387" s="5">
        <v>3</v>
      </c>
      <c r="AF387" t="str">
        <f t="shared" ref="AF387:AF450" si="44">IF(AE387&lt;=5,"0-5",IF(AE387&lt;=15,"6-15","&gt;15"))</f>
        <v>0-5</v>
      </c>
      <c r="AG387">
        <v>4</v>
      </c>
      <c r="AH387">
        <v>3</v>
      </c>
      <c r="AI387" s="5">
        <v>1</v>
      </c>
      <c r="AJ387">
        <v>0</v>
      </c>
      <c r="AK387">
        <v>0</v>
      </c>
      <c r="AL387">
        <v>0</v>
      </c>
      <c r="AM387" t="str">
        <f t="shared" ref="AM387:AM450" si="45">IF(T387&lt;AVERAGEIF($F386:$F1856,F387,$T386:$T1856),"Below Avg","Ok")</f>
        <v>Below Avg</v>
      </c>
      <c r="AN387" s="21">
        <f t="shared" ref="AN387:AN450" si="46">COUNTIF(X386:X1856,"Yes")/COUNTA(X386:X1856)*100</f>
        <v>27.716390423572747</v>
      </c>
      <c r="AO387" t="str">
        <f t="shared" ref="AO387:AO450" ca="1" si="47">IF(AND(AA387&gt;=4,Z387&lt;AVERAGEIF($F386:$F1856,F387,$Z387:$Z1856)),"Yes","No")</f>
        <v>No</v>
      </c>
      <c r="AP387" t="str">
        <f t="shared" ref="AP387:AP450" si="48">IF(AND(AI387&lt;2,C387="Yes"),"High Risk","Low Risk")</f>
        <v>High Risk</v>
      </c>
    </row>
    <row r="388" spans="1:42" x14ac:dyDescent="0.3">
      <c r="A388" s="5">
        <v>37</v>
      </c>
      <c r="B388" s="5" t="s">
        <v>43</v>
      </c>
      <c r="C388" s="5" t="str">
        <f t="shared" si="42"/>
        <v>No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 s="5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 s="5">
        <v>3034</v>
      </c>
      <c r="U388">
        <v>26914</v>
      </c>
      <c r="V388">
        <v>1</v>
      </c>
      <c r="W388" t="s">
        <v>42</v>
      </c>
      <c r="X388" t="s">
        <v>43</v>
      </c>
      <c r="Y388" t="str">
        <f t="shared" si="43"/>
        <v>No</v>
      </c>
      <c r="Z388">
        <v>12</v>
      </c>
      <c r="AA388">
        <v>3</v>
      </c>
      <c r="AB388">
        <v>3</v>
      </c>
      <c r="AC388">
        <v>80</v>
      </c>
      <c r="AD388">
        <v>1</v>
      </c>
      <c r="AE388" s="5">
        <v>18</v>
      </c>
      <c r="AF388" t="str">
        <f t="shared" si="44"/>
        <v>&gt;15</v>
      </c>
      <c r="AG388">
        <v>2</v>
      </c>
      <c r="AH388">
        <v>2</v>
      </c>
      <c r="AI388" s="5">
        <v>18</v>
      </c>
      <c r="AJ388">
        <v>7</v>
      </c>
      <c r="AK388">
        <v>12</v>
      </c>
      <c r="AL388">
        <v>17</v>
      </c>
      <c r="AM388" t="str">
        <f t="shared" si="45"/>
        <v>Below Avg</v>
      </c>
      <c r="AN388" s="21">
        <f t="shared" si="46"/>
        <v>27.741935483870968</v>
      </c>
      <c r="AO388" t="str">
        <f t="shared" ca="1" si="47"/>
        <v>No</v>
      </c>
      <c r="AP388" t="str">
        <f t="shared" si="48"/>
        <v>Low Risk</v>
      </c>
    </row>
    <row r="389" spans="1:42" x14ac:dyDescent="0.3">
      <c r="A389" s="5">
        <v>40</v>
      </c>
      <c r="B389" s="5" t="s">
        <v>43</v>
      </c>
      <c r="C389" s="5" t="str">
        <f t="shared" si="42"/>
        <v>No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 s="5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 s="5">
        <v>5715</v>
      </c>
      <c r="U389">
        <v>22553</v>
      </c>
      <c r="V389">
        <v>7</v>
      </c>
      <c r="W389" t="s">
        <v>42</v>
      </c>
      <c r="X389" t="s">
        <v>43</v>
      </c>
      <c r="Y389" t="str">
        <f t="shared" si="43"/>
        <v>No</v>
      </c>
      <c r="Z389">
        <v>12</v>
      </c>
      <c r="AA389">
        <v>3</v>
      </c>
      <c r="AB389">
        <v>3</v>
      </c>
      <c r="AC389">
        <v>80</v>
      </c>
      <c r="AD389">
        <v>2</v>
      </c>
      <c r="AE389" s="5">
        <v>8</v>
      </c>
      <c r="AF389" t="str">
        <f t="shared" si="44"/>
        <v>6-15</v>
      </c>
      <c r="AG389">
        <v>5</v>
      </c>
      <c r="AH389">
        <v>3</v>
      </c>
      <c r="AI389" s="5">
        <v>5</v>
      </c>
      <c r="AJ389">
        <v>4</v>
      </c>
      <c r="AK389">
        <v>1</v>
      </c>
      <c r="AL389">
        <v>3</v>
      </c>
      <c r="AM389" t="str">
        <f t="shared" si="45"/>
        <v>Below Avg</v>
      </c>
      <c r="AN389" s="21">
        <f t="shared" si="46"/>
        <v>27.67527675276753</v>
      </c>
      <c r="AO389" t="str">
        <f t="shared" ca="1" si="47"/>
        <v>No</v>
      </c>
      <c r="AP389" t="str">
        <f t="shared" si="48"/>
        <v>Low Risk</v>
      </c>
    </row>
    <row r="390" spans="1:42" x14ac:dyDescent="0.3">
      <c r="A390" s="5">
        <v>42</v>
      </c>
      <c r="B390" s="5" t="s">
        <v>43</v>
      </c>
      <c r="C390" s="5" t="str">
        <f t="shared" si="42"/>
        <v>No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 s="5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 s="5">
        <v>2576</v>
      </c>
      <c r="U390">
        <v>20490</v>
      </c>
      <c r="V390">
        <v>3</v>
      </c>
      <c r="W390" t="s">
        <v>42</v>
      </c>
      <c r="X390" t="s">
        <v>43</v>
      </c>
      <c r="Y390" t="str">
        <f t="shared" si="43"/>
        <v>No</v>
      </c>
      <c r="Z390">
        <v>16</v>
      </c>
      <c r="AA390">
        <v>3</v>
      </c>
      <c r="AB390">
        <v>2</v>
      </c>
      <c r="AC390">
        <v>80</v>
      </c>
      <c r="AD390">
        <v>1</v>
      </c>
      <c r="AE390" s="5">
        <v>8</v>
      </c>
      <c r="AF390" t="str">
        <f t="shared" si="44"/>
        <v>6-15</v>
      </c>
      <c r="AG390">
        <v>5</v>
      </c>
      <c r="AH390">
        <v>3</v>
      </c>
      <c r="AI390" s="5">
        <v>5</v>
      </c>
      <c r="AJ390">
        <v>2</v>
      </c>
      <c r="AK390">
        <v>1</v>
      </c>
      <c r="AL390">
        <v>2</v>
      </c>
      <c r="AM390" t="str">
        <f t="shared" si="45"/>
        <v>Below Avg</v>
      </c>
      <c r="AN390" s="21">
        <f t="shared" si="46"/>
        <v>27.70083102493075</v>
      </c>
      <c r="AO390" t="str">
        <f t="shared" ca="1" si="47"/>
        <v>No</v>
      </c>
      <c r="AP390" t="str">
        <f t="shared" si="48"/>
        <v>Low Risk</v>
      </c>
    </row>
    <row r="391" spans="1:42" x14ac:dyDescent="0.3">
      <c r="A391" s="5">
        <v>37</v>
      </c>
      <c r="B391" s="5" t="s">
        <v>43</v>
      </c>
      <c r="C391" s="5" t="str">
        <f t="shared" si="42"/>
        <v>No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 s="5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 s="5">
        <v>4197</v>
      </c>
      <c r="U391">
        <v>21123</v>
      </c>
      <c r="V391">
        <v>2</v>
      </c>
      <c r="W391" t="s">
        <v>42</v>
      </c>
      <c r="X391" t="s">
        <v>35</v>
      </c>
      <c r="Y391" t="str">
        <f t="shared" si="43"/>
        <v>Yes</v>
      </c>
      <c r="Z391">
        <v>12</v>
      </c>
      <c r="AA391">
        <v>3</v>
      </c>
      <c r="AB391">
        <v>4</v>
      </c>
      <c r="AC391">
        <v>80</v>
      </c>
      <c r="AD391">
        <v>0</v>
      </c>
      <c r="AE391" s="5">
        <v>18</v>
      </c>
      <c r="AF391" t="str">
        <f t="shared" si="44"/>
        <v>&gt;15</v>
      </c>
      <c r="AG391">
        <v>2</v>
      </c>
      <c r="AH391">
        <v>2</v>
      </c>
      <c r="AI391" s="5">
        <v>1</v>
      </c>
      <c r="AJ391">
        <v>0</v>
      </c>
      <c r="AK391">
        <v>0</v>
      </c>
      <c r="AL391">
        <v>1</v>
      </c>
      <c r="AM391" t="str">
        <f t="shared" si="45"/>
        <v>Below Avg</v>
      </c>
      <c r="AN391" s="21">
        <f t="shared" si="46"/>
        <v>27.726432532347506</v>
      </c>
      <c r="AO391" t="str">
        <f t="shared" ca="1" si="47"/>
        <v>No</v>
      </c>
      <c r="AP391" t="str">
        <f t="shared" si="48"/>
        <v>Low Risk</v>
      </c>
    </row>
    <row r="392" spans="1:42" x14ac:dyDescent="0.3">
      <c r="A392" s="5">
        <v>43</v>
      </c>
      <c r="B392" s="5" t="s">
        <v>43</v>
      </c>
      <c r="C392" s="5" t="str">
        <f t="shared" si="42"/>
        <v>No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 s="5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 s="5">
        <v>14336</v>
      </c>
      <c r="U392">
        <v>4345</v>
      </c>
      <c r="V392">
        <v>1</v>
      </c>
      <c r="W392" t="s">
        <v>42</v>
      </c>
      <c r="X392" t="s">
        <v>43</v>
      </c>
      <c r="Y392" t="str">
        <f t="shared" si="43"/>
        <v>No</v>
      </c>
      <c r="Z392">
        <v>11</v>
      </c>
      <c r="AA392">
        <v>3</v>
      </c>
      <c r="AB392">
        <v>3</v>
      </c>
      <c r="AC392">
        <v>80</v>
      </c>
      <c r="AD392">
        <v>1</v>
      </c>
      <c r="AE392" s="5">
        <v>25</v>
      </c>
      <c r="AF392" t="str">
        <f t="shared" si="44"/>
        <v>&gt;15</v>
      </c>
      <c r="AG392">
        <v>3</v>
      </c>
      <c r="AH392">
        <v>3</v>
      </c>
      <c r="AI392" s="5">
        <v>25</v>
      </c>
      <c r="AJ392">
        <v>10</v>
      </c>
      <c r="AK392">
        <v>3</v>
      </c>
      <c r="AL392">
        <v>9</v>
      </c>
      <c r="AM392" t="str">
        <f t="shared" si="45"/>
        <v>Ok</v>
      </c>
      <c r="AN392" s="21">
        <f t="shared" si="46"/>
        <v>27.752081406105454</v>
      </c>
      <c r="AO392" t="str">
        <f t="shared" ca="1" si="47"/>
        <v>No</v>
      </c>
      <c r="AP392" t="str">
        <f t="shared" si="48"/>
        <v>Low Risk</v>
      </c>
    </row>
    <row r="393" spans="1:42" x14ac:dyDescent="0.3">
      <c r="A393" s="5">
        <v>40</v>
      </c>
      <c r="B393" s="5" t="s">
        <v>43</v>
      </c>
      <c r="C393" s="5" t="str">
        <f t="shared" si="42"/>
        <v>No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 s="5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 s="5">
        <v>3448</v>
      </c>
      <c r="U393">
        <v>13436</v>
      </c>
      <c r="V393">
        <v>6</v>
      </c>
      <c r="W393" t="s">
        <v>42</v>
      </c>
      <c r="X393" t="s">
        <v>43</v>
      </c>
      <c r="Y393" t="str">
        <f t="shared" si="43"/>
        <v>No</v>
      </c>
      <c r="Z393">
        <v>22</v>
      </c>
      <c r="AA393">
        <v>4</v>
      </c>
      <c r="AB393">
        <v>2</v>
      </c>
      <c r="AC393">
        <v>80</v>
      </c>
      <c r="AD393">
        <v>1</v>
      </c>
      <c r="AE393" s="5">
        <v>20</v>
      </c>
      <c r="AF393" t="str">
        <f t="shared" si="44"/>
        <v>&gt;15</v>
      </c>
      <c r="AG393">
        <v>3</v>
      </c>
      <c r="AH393">
        <v>3</v>
      </c>
      <c r="AI393" s="5">
        <v>1</v>
      </c>
      <c r="AJ393">
        <v>0</v>
      </c>
      <c r="AK393">
        <v>0</v>
      </c>
      <c r="AL393">
        <v>0</v>
      </c>
      <c r="AM393" t="str">
        <f t="shared" si="45"/>
        <v>Below Avg</v>
      </c>
      <c r="AN393" s="21">
        <f t="shared" si="46"/>
        <v>27.685185185185183</v>
      </c>
      <c r="AO393" t="str">
        <f t="shared" ca="1" si="47"/>
        <v>No</v>
      </c>
      <c r="AP393" t="str">
        <f t="shared" si="48"/>
        <v>Low Risk</v>
      </c>
    </row>
    <row r="394" spans="1:42" x14ac:dyDescent="0.3">
      <c r="A394" s="5">
        <v>54</v>
      </c>
      <c r="B394" s="5" t="s">
        <v>43</v>
      </c>
      <c r="C394" s="5" t="str">
        <f t="shared" si="42"/>
        <v>No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 s="5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 s="5">
        <v>19406</v>
      </c>
      <c r="U394">
        <v>8509</v>
      </c>
      <c r="V394">
        <v>4</v>
      </c>
      <c r="W394" t="s">
        <v>42</v>
      </c>
      <c r="X394" t="s">
        <v>43</v>
      </c>
      <c r="Y394" t="str">
        <f t="shared" si="43"/>
        <v>No</v>
      </c>
      <c r="Z394">
        <v>11</v>
      </c>
      <c r="AA394">
        <v>3</v>
      </c>
      <c r="AB394">
        <v>3</v>
      </c>
      <c r="AC394">
        <v>80</v>
      </c>
      <c r="AD394">
        <v>1</v>
      </c>
      <c r="AE394" s="5">
        <v>24</v>
      </c>
      <c r="AF394" t="str">
        <f t="shared" si="44"/>
        <v>&gt;15</v>
      </c>
      <c r="AG394">
        <v>4</v>
      </c>
      <c r="AH394">
        <v>2</v>
      </c>
      <c r="AI394" s="5">
        <v>4</v>
      </c>
      <c r="AJ394">
        <v>2</v>
      </c>
      <c r="AK394">
        <v>1</v>
      </c>
      <c r="AL394">
        <v>2</v>
      </c>
      <c r="AM394" t="str">
        <f t="shared" si="45"/>
        <v>Ok</v>
      </c>
      <c r="AN394" s="21">
        <f t="shared" si="46"/>
        <v>27.710843373493976</v>
      </c>
      <c r="AO394" t="str">
        <f t="shared" ca="1" si="47"/>
        <v>No</v>
      </c>
      <c r="AP394" t="str">
        <f t="shared" si="48"/>
        <v>Low Risk</v>
      </c>
    </row>
    <row r="395" spans="1:42" x14ac:dyDescent="0.3">
      <c r="A395" s="5">
        <v>34</v>
      </c>
      <c r="B395" s="5" t="s">
        <v>43</v>
      </c>
      <c r="C395" s="5" t="str">
        <f t="shared" si="42"/>
        <v>No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 s="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 s="5">
        <v>6538</v>
      </c>
      <c r="U395">
        <v>12740</v>
      </c>
      <c r="V395">
        <v>9</v>
      </c>
      <c r="W395" t="s">
        <v>42</v>
      </c>
      <c r="X395" t="s">
        <v>43</v>
      </c>
      <c r="Y395" t="str">
        <f t="shared" si="43"/>
        <v>No</v>
      </c>
      <c r="Z395">
        <v>15</v>
      </c>
      <c r="AA395">
        <v>3</v>
      </c>
      <c r="AB395">
        <v>1</v>
      </c>
      <c r="AC395">
        <v>80</v>
      </c>
      <c r="AD395">
        <v>1</v>
      </c>
      <c r="AE395" s="5">
        <v>6</v>
      </c>
      <c r="AF395" t="str">
        <f t="shared" si="44"/>
        <v>6-15</v>
      </c>
      <c r="AG395">
        <v>3</v>
      </c>
      <c r="AH395">
        <v>3</v>
      </c>
      <c r="AI395" s="5">
        <v>3</v>
      </c>
      <c r="AJ395">
        <v>2</v>
      </c>
      <c r="AK395">
        <v>1</v>
      </c>
      <c r="AL395">
        <v>2</v>
      </c>
      <c r="AM395" t="str">
        <f t="shared" si="45"/>
        <v>Below Avg</v>
      </c>
      <c r="AN395" s="21">
        <f t="shared" si="46"/>
        <v>27.736549165120593</v>
      </c>
      <c r="AO395" t="str">
        <f t="shared" ca="1" si="47"/>
        <v>No</v>
      </c>
      <c r="AP395" t="str">
        <f t="shared" si="48"/>
        <v>Low Risk</v>
      </c>
    </row>
    <row r="396" spans="1:42" x14ac:dyDescent="0.3">
      <c r="A396" s="5">
        <v>31</v>
      </c>
      <c r="B396" s="5" t="s">
        <v>43</v>
      </c>
      <c r="C396" s="5" t="str">
        <f t="shared" si="42"/>
        <v>No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 s="5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 s="5">
        <v>4306</v>
      </c>
      <c r="U396">
        <v>4156</v>
      </c>
      <c r="V396">
        <v>1</v>
      </c>
      <c r="W396" t="s">
        <v>42</v>
      </c>
      <c r="X396" t="s">
        <v>43</v>
      </c>
      <c r="Y396" t="str">
        <f t="shared" si="43"/>
        <v>No</v>
      </c>
      <c r="Z396">
        <v>12</v>
      </c>
      <c r="AA396">
        <v>3</v>
      </c>
      <c r="AB396">
        <v>2</v>
      </c>
      <c r="AC396">
        <v>80</v>
      </c>
      <c r="AD396">
        <v>1</v>
      </c>
      <c r="AE396" s="5">
        <v>13</v>
      </c>
      <c r="AF396" t="str">
        <f t="shared" si="44"/>
        <v>6-15</v>
      </c>
      <c r="AG396">
        <v>5</v>
      </c>
      <c r="AH396">
        <v>1</v>
      </c>
      <c r="AI396" s="5">
        <v>13</v>
      </c>
      <c r="AJ396">
        <v>10</v>
      </c>
      <c r="AK396">
        <v>3</v>
      </c>
      <c r="AL396">
        <v>12</v>
      </c>
      <c r="AM396" t="str">
        <f t="shared" si="45"/>
        <v>Below Avg</v>
      </c>
      <c r="AN396" s="21">
        <f t="shared" si="46"/>
        <v>27.762302692664807</v>
      </c>
      <c r="AO396" t="str">
        <f t="shared" ca="1" si="47"/>
        <v>No</v>
      </c>
      <c r="AP396" t="str">
        <f t="shared" si="48"/>
        <v>Low Risk</v>
      </c>
    </row>
    <row r="397" spans="1:42" x14ac:dyDescent="0.3">
      <c r="A397" s="5">
        <v>43</v>
      </c>
      <c r="B397" s="5" t="s">
        <v>43</v>
      </c>
      <c r="C397" s="5" t="str">
        <f t="shared" si="42"/>
        <v>No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 s="5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 s="5">
        <v>2258</v>
      </c>
      <c r="U397">
        <v>15238</v>
      </c>
      <c r="V397">
        <v>7</v>
      </c>
      <c r="W397" t="s">
        <v>42</v>
      </c>
      <c r="X397" t="s">
        <v>43</v>
      </c>
      <c r="Y397" t="str">
        <f t="shared" si="43"/>
        <v>No</v>
      </c>
      <c r="Z397">
        <v>20</v>
      </c>
      <c r="AA397">
        <v>4</v>
      </c>
      <c r="AB397">
        <v>1</v>
      </c>
      <c r="AC397">
        <v>80</v>
      </c>
      <c r="AD397">
        <v>1</v>
      </c>
      <c r="AE397" s="5">
        <v>8</v>
      </c>
      <c r="AF397" t="str">
        <f t="shared" si="44"/>
        <v>6-15</v>
      </c>
      <c r="AG397">
        <v>1</v>
      </c>
      <c r="AH397">
        <v>3</v>
      </c>
      <c r="AI397" s="5">
        <v>3</v>
      </c>
      <c r="AJ397">
        <v>2</v>
      </c>
      <c r="AK397">
        <v>1</v>
      </c>
      <c r="AL397">
        <v>2</v>
      </c>
      <c r="AM397" t="str">
        <f t="shared" si="45"/>
        <v>Below Avg</v>
      </c>
      <c r="AN397" s="21">
        <f t="shared" si="46"/>
        <v>27.788104089219328</v>
      </c>
      <c r="AO397" t="str">
        <f t="shared" ca="1" si="47"/>
        <v>No</v>
      </c>
      <c r="AP397" t="str">
        <f t="shared" si="48"/>
        <v>Low Risk</v>
      </c>
    </row>
    <row r="398" spans="1:42" x14ac:dyDescent="0.3">
      <c r="A398" s="5">
        <v>43</v>
      </c>
      <c r="B398" s="5" t="s">
        <v>43</v>
      </c>
      <c r="C398" s="5" t="str">
        <f t="shared" si="42"/>
        <v>No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 s="5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 s="5">
        <v>4522</v>
      </c>
      <c r="U398">
        <v>2227</v>
      </c>
      <c r="V398">
        <v>4</v>
      </c>
      <c r="W398" t="s">
        <v>42</v>
      </c>
      <c r="X398" t="s">
        <v>35</v>
      </c>
      <c r="Y398" t="str">
        <f t="shared" si="43"/>
        <v>Yes</v>
      </c>
      <c r="Z398">
        <v>14</v>
      </c>
      <c r="AA398">
        <v>3</v>
      </c>
      <c r="AB398">
        <v>4</v>
      </c>
      <c r="AC398">
        <v>80</v>
      </c>
      <c r="AD398">
        <v>0</v>
      </c>
      <c r="AE398" s="5">
        <v>8</v>
      </c>
      <c r="AF398" t="str">
        <f t="shared" si="44"/>
        <v>6-15</v>
      </c>
      <c r="AG398">
        <v>3</v>
      </c>
      <c r="AH398">
        <v>3</v>
      </c>
      <c r="AI398" s="5">
        <v>5</v>
      </c>
      <c r="AJ398">
        <v>2</v>
      </c>
      <c r="AK398">
        <v>0</v>
      </c>
      <c r="AL398">
        <v>2</v>
      </c>
      <c r="AM398" t="str">
        <f t="shared" si="45"/>
        <v>Below Avg</v>
      </c>
      <c r="AN398" s="21">
        <f t="shared" si="46"/>
        <v>27.813953488372096</v>
      </c>
      <c r="AO398" t="str">
        <f t="shared" ca="1" si="47"/>
        <v>No</v>
      </c>
      <c r="AP398" t="str">
        <f t="shared" si="48"/>
        <v>Low Risk</v>
      </c>
    </row>
    <row r="399" spans="1:42" x14ac:dyDescent="0.3">
      <c r="A399" s="5">
        <v>25</v>
      </c>
      <c r="B399" s="5" t="s">
        <v>43</v>
      </c>
      <c r="C399" s="5" t="str">
        <f t="shared" si="42"/>
        <v>No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 s="5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 s="5">
        <v>4487</v>
      </c>
      <c r="U399">
        <v>12090</v>
      </c>
      <c r="V399">
        <v>1</v>
      </c>
      <c r="W399" t="s">
        <v>42</v>
      </c>
      <c r="X399" t="s">
        <v>35</v>
      </c>
      <c r="Y399" t="str">
        <f t="shared" si="43"/>
        <v>Yes</v>
      </c>
      <c r="Z399">
        <v>11</v>
      </c>
      <c r="AA399">
        <v>3</v>
      </c>
      <c r="AB399">
        <v>2</v>
      </c>
      <c r="AC399">
        <v>80</v>
      </c>
      <c r="AD399">
        <v>0</v>
      </c>
      <c r="AE399" s="5">
        <v>5</v>
      </c>
      <c r="AF399" t="str">
        <f t="shared" si="44"/>
        <v>0-5</v>
      </c>
      <c r="AG399">
        <v>3</v>
      </c>
      <c r="AH399">
        <v>3</v>
      </c>
      <c r="AI399" s="5">
        <v>5</v>
      </c>
      <c r="AJ399">
        <v>4</v>
      </c>
      <c r="AK399">
        <v>1</v>
      </c>
      <c r="AL399">
        <v>3</v>
      </c>
      <c r="AM399" t="str">
        <f t="shared" si="45"/>
        <v>Below Avg</v>
      </c>
      <c r="AN399" s="21">
        <f t="shared" si="46"/>
        <v>27.839851024208567</v>
      </c>
      <c r="AO399" t="str">
        <f t="shared" ca="1" si="47"/>
        <v>No</v>
      </c>
      <c r="AP399" t="str">
        <f t="shared" si="48"/>
        <v>Low Risk</v>
      </c>
    </row>
    <row r="400" spans="1:42" x14ac:dyDescent="0.3">
      <c r="A400" s="5">
        <v>37</v>
      </c>
      <c r="B400" s="5" t="s">
        <v>43</v>
      </c>
      <c r="C400" s="5" t="str">
        <f t="shared" si="42"/>
        <v>No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 s="5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 s="5">
        <v>4449</v>
      </c>
      <c r="U400">
        <v>23866</v>
      </c>
      <c r="V400">
        <v>3</v>
      </c>
      <c r="W400" t="s">
        <v>42</v>
      </c>
      <c r="X400" t="s">
        <v>35</v>
      </c>
      <c r="Y400" t="str">
        <f t="shared" si="43"/>
        <v>Yes</v>
      </c>
      <c r="Z400">
        <v>15</v>
      </c>
      <c r="AA400">
        <v>3</v>
      </c>
      <c r="AB400">
        <v>1</v>
      </c>
      <c r="AC400">
        <v>80</v>
      </c>
      <c r="AD400">
        <v>2</v>
      </c>
      <c r="AE400" s="5">
        <v>15</v>
      </c>
      <c r="AF400" t="str">
        <f t="shared" si="44"/>
        <v>6-15</v>
      </c>
      <c r="AG400">
        <v>2</v>
      </c>
      <c r="AH400">
        <v>3</v>
      </c>
      <c r="AI400" s="5">
        <v>13</v>
      </c>
      <c r="AJ400">
        <v>11</v>
      </c>
      <c r="AK400">
        <v>10</v>
      </c>
      <c r="AL400">
        <v>7</v>
      </c>
      <c r="AM400" t="str">
        <f t="shared" si="45"/>
        <v>Below Avg</v>
      </c>
      <c r="AN400" s="21">
        <f t="shared" si="46"/>
        <v>27.772600186393291</v>
      </c>
      <c r="AO400" t="str">
        <f t="shared" ca="1" si="47"/>
        <v>No</v>
      </c>
      <c r="AP400" t="str">
        <f t="shared" si="48"/>
        <v>Low Risk</v>
      </c>
    </row>
    <row r="401" spans="1:42" x14ac:dyDescent="0.3">
      <c r="A401" s="5">
        <v>31</v>
      </c>
      <c r="B401" s="5" t="s">
        <v>43</v>
      </c>
      <c r="C401" s="5" t="str">
        <f t="shared" si="42"/>
        <v>No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 s="5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 s="5">
        <v>2218</v>
      </c>
      <c r="U401">
        <v>16193</v>
      </c>
      <c r="V401">
        <v>1</v>
      </c>
      <c r="W401" t="s">
        <v>42</v>
      </c>
      <c r="X401" t="s">
        <v>43</v>
      </c>
      <c r="Y401" t="str">
        <f t="shared" si="43"/>
        <v>No</v>
      </c>
      <c r="Z401">
        <v>12</v>
      </c>
      <c r="AA401">
        <v>3</v>
      </c>
      <c r="AB401">
        <v>3</v>
      </c>
      <c r="AC401">
        <v>80</v>
      </c>
      <c r="AD401">
        <v>1</v>
      </c>
      <c r="AE401" s="5">
        <v>4</v>
      </c>
      <c r="AF401" t="str">
        <f t="shared" si="44"/>
        <v>0-5</v>
      </c>
      <c r="AG401">
        <v>3</v>
      </c>
      <c r="AH401">
        <v>3</v>
      </c>
      <c r="AI401" s="5">
        <v>4</v>
      </c>
      <c r="AJ401">
        <v>2</v>
      </c>
      <c r="AK401">
        <v>3</v>
      </c>
      <c r="AL401">
        <v>2</v>
      </c>
      <c r="AM401" t="str">
        <f t="shared" si="45"/>
        <v>Below Avg</v>
      </c>
      <c r="AN401" s="21">
        <f t="shared" si="46"/>
        <v>27.705223880597014</v>
      </c>
      <c r="AO401" t="str">
        <f t="shared" ca="1" si="47"/>
        <v>No</v>
      </c>
      <c r="AP401" t="str">
        <f t="shared" si="48"/>
        <v>Low Risk</v>
      </c>
    </row>
    <row r="402" spans="1:42" x14ac:dyDescent="0.3">
      <c r="A402" s="5">
        <v>39</v>
      </c>
      <c r="B402" s="5" t="s">
        <v>43</v>
      </c>
      <c r="C402" s="5" t="str">
        <f t="shared" si="42"/>
        <v>No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 s="5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 s="5">
        <v>19197</v>
      </c>
      <c r="U402">
        <v>8213</v>
      </c>
      <c r="V402">
        <v>1</v>
      </c>
      <c r="W402" t="s">
        <v>42</v>
      </c>
      <c r="X402" t="s">
        <v>35</v>
      </c>
      <c r="Y402" t="str">
        <f t="shared" si="43"/>
        <v>Yes</v>
      </c>
      <c r="Z402">
        <v>14</v>
      </c>
      <c r="AA402">
        <v>3</v>
      </c>
      <c r="AB402">
        <v>3</v>
      </c>
      <c r="AC402">
        <v>80</v>
      </c>
      <c r="AD402">
        <v>1</v>
      </c>
      <c r="AE402" s="5">
        <v>21</v>
      </c>
      <c r="AF402" t="str">
        <f t="shared" si="44"/>
        <v>&gt;15</v>
      </c>
      <c r="AG402">
        <v>3</v>
      </c>
      <c r="AH402">
        <v>3</v>
      </c>
      <c r="AI402" s="5">
        <v>21</v>
      </c>
      <c r="AJ402">
        <v>8</v>
      </c>
      <c r="AK402">
        <v>1</v>
      </c>
      <c r="AL402">
        <v>6</v>
      </c>
      <c r="AM402" t="str">
        <f t="shared" si="45"/>
        <v>Ok</v>
      </c>
      <c r="AN402" s="21">
        <f t="shared" si="46"/>
        <v>27.637721755368815</v>
      </c>
      <c r="AO402" t="str">
        <f t="shared" ca="1" si="47"/>
        <v>No</v>
      </c>
      <c r="AP402" t="str">
        <f t="shared" si="48"/>
        <v>Low Risk</v>
      </c>
    </row>
    <row r="403" spans="1:42" x14ac:dyDescent="0.3">
      <c r="A403" s="5">
        <v>56</v>
      </c>
      <c r="B403" s="5" t="s">
        <v>43</v>
      </c>
      <c r="C403" s="5" t="str">
        <f t="shared" si="42"/>
        <v>No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 s="5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 s="5">
        <v>13212</v>
      </c>
      <c r="U403">
        <v>18256</v>
      </c>
      <c r="V403">
        <v>9</v>
      </c>
      <c r="W403" t="s">
        <v>42</v>
      </c>
      <c r="X403" t="s">
        <v>43</v>
      </c>
      <c r="Y403" t="str">
        <f t="shared" si="43"/>
        <v>No</v>
      </c>
      <c r="Z403">
        <v>11</v>
      </c>
      <c r="AA403">
        <v>3</v>
      </c>
      <c r="AB403">
        <v>4</v>
      </c>
      <c r="AC403">
        <v>80</v>
      </c>
      <c r="AD403">
        <v>3</v>
      </c>
      <c r="AE403" s="5">
        <v>36</v>
      </c>
      <c r="AF403" t="str">
        <f t="shared" si="44"/>
        <v>&gt;15</v>
      </c>
      <c r="AG403">
        <v>0</v>
      </c>
      <c r="AH403">
        <v>2</v>
      </c>
      <c r="AI403" s="5">
        <v>7</v>
      </c>
      <c r="AJ403">
        <v>7</v>
      </c>
      <c r="AK403">
        <v>7</v>
      </c>
      <c r="AL403">
        <v>7</v>
      </c>
      <c r="AM403" t="str">
        <f t="shared" si="45"/>
        <v>Ok</v>
      </c>
      <c r="AN403" s="21">
        <f t="shared" si="46"/>
        <v>27.663551401869157</v>
      </c>
      <c r="AO403" t="str">
        <f t="shared" ca="1" si="47"/>
        <v>No</v>
      </c>
      <c r="AP403" t="str">
        <f t="shared" si="48"/>
        <v>Low Risk</v>
      </c>
    </row>
    <row r="404" spans="1:42" x14ac:dyDescent="0.3">
      <c r="A404" s="5">
        <v>30</v>
      </c>
      <c r="B404" s="5" t="s">
        <v>43</v>
      </c>
      <c r="C404" s="5" t="str">
        <f t="shared" si="42"/>
        <v>No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 s="5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 s="5">
        <v>6577</v>
      </c>
      <c r="U404">
        <v>19558</v>
      </c>
      <c r="V404">
        <v>0</v>
      </c>
      <c r="W404" t="s">
        <v>42</v>
      </c>
      <c r="X404" t="s">
        <v>43</v>
      </c>
      <c r="Y404" t="str">
        <f t="shared" si="43"/>
        <v>No</v>
      </c>
      <c r="Z404">
        <v>11</v>
      </c>
      <c r="AA404">
        <v>3</v>
      </c>
      <c r="AB404">
        <v>2</v>
      </c>
      <c r="AC404">
        <v>80</v>
      </c>
      <c r="AD404">
        <v>0</v>
      </c>
      <c r="AE404" s="5">
        <v>6</v>
      </c>
      <c r="AF404" t="str">
        <f t="shared" si="44"/>
        <v>6-15</v>
      </c>
      <c r="AG404">
        <v>6</v>
      </c>
      <c r="AH404">
        <v>3</v>
      </c>
      <c r="AI404" s="5">
        <v>5</v>
      </c>
      <c r="AJ404">
        <v>4</v>
      </c>
      <c r="AK404">
        <v>4</v>
      </c>
      <c r="AL404">
        <v>4</v>
      </c>
      <c r="AM404" t="str">
        <f t="shared" si="45"/>
        <v>Below Avg</v>
      </c>
      <c r="AN404" s="21">
        <f t="shared" si="46"/>
        <v>27.595884003741816</v>
      </c>
      <c r="AO404" t="str">
        <f t="shared" ca="1" si="47"/>
        <v>No</v>
      </c>
      <c r="AP404" t="str">
        <f t="shared" si="48"/>
        <v>Low Risk</v>
      </c>
    </row>
    <row r="405" spans="1:42" x14ac:dyDescent="0.3">
      <c r="A405" s="5">
        <v>41</v>
      </c>
      <c r="B405" s="5" t="s">
        <v>43</v>
      </c>
      <c r="C405" s="5" t="str">
        <f t="shared" si="42"/>
        <v>No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 s="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 s="5">
        <v>8392</v>
      </c>
      <c r="U405">
        <v>19566</v>
      </c>
      <c r="V405">
        <v>1</v>
      </c>
      <c r="W405" t="s">
        <v>42</v>
      </c>
      <c r="X405" t="s">
        <v>43</v>
      </c>
      <c r="Y405" t="str">
        <f t="shared" si="43"/>
        <v>No</v>
      </c>
      <c r="Z405">
        <v>16</v>
      </c>
      <c r="AA405">
        <v>3</v>
      </c>
      <c r="AB405">
        <v>3</v>
      </c>
      <c r="AC405">
        <v>80</v>
      </c>
      <c r="AD405">
        <v>1</v>
      </c>
      <c r="AE405" s="5">
        <v>10</v>
      </c>
      <c r="AF405" t="str">
        <f t="shared" si="44"/>
        <v>6-15</v>
      </c>
      <c r="AG405">
        <v>2</v>
      </c>
      <c r="AH405">
        <v>3</v>
      </c>
      <c r="AI405" s="5">
        <v>10</v>
      </c>
      <c r="AJ405">
        <v>7</v>
      </c>
      <c r="AK405">
        <v>0</v>
      </c>
      <c r="AL405">
        <v>7</v>
      </c>
      <c r="AM405" t="str">
        <f t="shared" si="45"/>
        <v>Ok</v>
      </c>
      <c r="AN405" s="21">
        <f t="shared" si="46"/>
        <v>27.621722846441948</v>
      </c>
      <c r="AO405" t="str">
        <f t="shared" ca="1" si="47"/>
        <v>No</v>
      </c>
      <c r="AP405" t="str">
        <f t="shared" si="48"/>
        <v>Low Risk</v>
      </c>
    </row>
    <row r="406" spans="1:42" x14ac:dyDescent="0.3">
      <c r="A406" s="5">
        <v>28</v>
      </c>
      <c r="B406" s="5" t="s">
        <v>43</v>
      </c>
      <c r="C406" s="5" t="str">
        <f t="shared" si="42"/>
        <v>No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 s="5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 s="5">
        <v>4558</v>
      </c>
      <c r="U406">
        <v>13535</v>
      </c>
      <c r="V406">
        <v>1</v>
      </c>
      <c r="W406" t="s">
        <v>42</v>
      </c>
      <c r="X406" t="s">
        <v>43</v>
      </c>
      <c r="Y406" t="str">
        <f t="shared" si="43"/>
        <v>No</v>
      </c>
      <c r="Z406">
        <v>12</v>
      </c>
      <c r="AA406">
        <v>3</v>
      </c>
      <c r="AB406">
        <v>4</v>
      </c>
      <c r="AC406">
        <v>80</v>
      </c>
      <c r="AD406">
        <v>1</v>
      </c>
      <c r="AE406" s="5">
        <v>10</v>
      </c>
      <c r="AF406" t="str">
        <f t="shared" si="44"/>
        <v>6-15</v>
      </c>
      <c r="AG406">
        <v>2</v>
      </c>
      <c r="AH406">
        <v>3</v>
      </c>
      <c r="AI406" s="5">
        <v>10</v>
      </c>
      <c r="AJ406">
        <v>0</v>
      </c>
      <c r="AK406">
        <v>1</v>
      </c>
      <c r="AL406">
        <v>8</v>
      </c>
      <c r="AM406" t="str">
        <f t="shared" si="45"/>
        <v>Below Avg</v>
      </c>
      <c r="AN406" s="21">
        <f t="shared" si="46"/>
        <v>27.647610121836923</v>
      </c>
      <c r="AO406" t="str">
        <f t="shared" ca="1" si="47"/>
        <v>No</v>
      </c>
      <c r="AP406" t="str">
        <f t="shared" si="48"/>
        <v>Low Risk</v>
      </c>
    </row>
    <row r="407" spans="1:42" x14ac:dyDescent="0.3">
      <c r="A407" s="5">
        <v>25</v>
      </c>
      <c r="B407" s="5" t="s">
        <v>35</v>
      </c>
      <c r="C407" s="5" t="str">
        <f t="shared" si="42"/>
        <v>Yes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 s="5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 s="5">
        <v>4031</v>
      </c>
      <c r="U407">
        <v>9396</v>
      </c>
      <c r="V407">
        <v>5</v>
      </c>
      <c r="W407" t="s">
        <v>42</v>
      </c>
      <c r="X407" t="s">
        <v>43</v>
      </c>
      <c r="Y407" t="str">
        <f t="shared" si="43"/>
        <v>No</v>
      </c>
      <c r="Z407">
        <v>13</v>
      </c>
      <c r="AA407">
        <v>3</v>
      </c>
      <c r="AB407">
        <v>3</v>
      </c>
      <c r="AC407">
        <v>80</v>
      </c>
      <c r="AD407">
        <v>1</v>
      </c>
      <c r="AE407" s="5">
        <v>6</v>
      </c>
      <c r="AF407" t="str">
        <f t="shared" si="44"/>
        <v>6-15</v>
      </c>
      <c r="AG407">
        <v>5</v>
      </c>
      <c r="AH407">
        <v>3</v>
      </c>
      <c r="AI407" s="5">
        <v>2</v>
      </c>
      <c r="AJ407">
        <v>2</v>
      </c>
      <c r="AK407">
        <v>0</v>
      </c>
      <c r="AL407">
        <v>2</v>
      </c>
      <c r="AM407" t="str">
        <f t="shared" si="45"/>
        <v>Below Avg</v>
      </c>
      <c r="AN407" s="21">
        <f t="shared" si="46"/>
        <v>27.67354596622889</v>
      </c>
      <c r="AO407" t="str">
        <f t="shared" ca="1" si="47"/>
        <v>No</v>
      </c>
      <c r="AP407" t="str">
        <f t="shared" si="48"/>
        <v>Low Risk</v>
      </c>
    </row>
    <row r="408" spans="1:42" x14ac:dyDescent="0.3">
      <c r="A408" s="5">
        <v>52</v>
      </c>
      <c r="B408" s="5" t="s">
        <v>43</v>
      </c>
      <c r="C408" s="5" t="str">
        <f t="shared" si="42"/>
        <v>No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 s="5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 s="5">
        <v>7969</v>
      </c>
      <c r="U408">
        <v>19609</v>
      </c>
      <c r="V408">
        <v>2</v>
      </c>
      <c r="W408" t="s">
        <v>42</v>
      </c>
      <c r="X408" t="s">
        <v>35</v>
      </c>
      <c r="Y408" t="str">
        <f t="shared" si="43"/>
        <v>Yes</v>
      </c>
      <c r="Z408">
        <v>14</v>
      </c>
      <c r="AA408">
        <v>3</v>
      </c>
      <c r="AB408">
        <v>3</v>
      </c>
      <c r="AC408">
        <v>80</v>
      </c>
      <c r="AD408">
        <v>0</v>
      </c>
      <c r="AE408" s="5">
        <v>28</v>
      </c>
      <c r="AF408" t="str">
        <f t="shared" si="44"/>
        <v>&gt;15</v>
      </c>
      <c r="AG408">
        <v>4</v>
      </c>
      <c r="AH408">
        <v>3</v>
      </c>
      <c r="AI408" s="5">
        <v>5</v>
      </c>
      <c r="AJ408">
        <v>4</v>
      </c>
      <c r="AK408">
        <v>0</v>
      </c>
      <c r="AL408">
        <v>4</v>
      </c>
      <c r="AM408" t="str">
        <f t="shared" si="45"/>
        <v>Ok</v>
      </c>
      <c r="AN408" s="21">
        <f t="shared" si="46"/>
        <v>27.699530516431924</v>
      </c>
      <c r="AO408" t="str">
        <f t="shared" ca="1" si="47"/>
        <v>No</v>
      </c>
      <c r="AP408" t="str">
        <f t="shared" si="48"/>
        <v>Low Risk</v>
      </c>
    </row>
    <row r="409" spans="1:42" x14ac:dyDescent="0.3">
      <c r="A409" s="5">
        <v>45</v>
      </c>
      <c r="B409" s="5" t="s">
        <v>43</v>
      </c>
      <c r="C409" s="5" t="str">
        <f t="shared" si="42"/>
        <v>No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 s="5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 s="5">
        <v>2654</v>
      </c>
      <c r="U409">
        <v>9655</v>
      </c>
      <c r="V409">
        <v>3</v>
      </c>
      <c r="W409" t="s">
        <v>42</v>
      </c>
      <c r="X409" t="s">
        <v>43</v>
      </c>
      <c r="Y409" t="str">
        <f t="shared" si="43"/>
        <v>No</v>
      </c>
      <c r="Z409">
        <v>21</v>
      </c>
      <c r="AA409">
        <v>4</v>
      </c>
      <c r="AB409">
        <v>4</v>
      </c>
      <c r="AC409">
        <v>80</v>
      </c>
      <c r="AD409">
        <v>2</v>
      </c>
      <c r="AE409" s="5">
        <v>8</v>
      </c>
      <c r="AF409" t="str">
        <f t="shared" si="44"/>
        <v>6-15</v>
      </c>
      <c r="AG409">
        <v>3</v>
      </c>
      <c r="AH409">
        <v>2</v>
      </c>
      <c r="AI409" s="5">
        <v>2</v>
      </c>
      <c r="AJ409">
        <v>2</v>
      </c>
      <c r="AK409">
        <v>0</v>
      </c>
      <c r="AL409">
        <v>2</v>
      </c>
      <c r="AM409" t="str">
        <f t="shared" si="45"/>
        <v>Below Avg</v>
      </c>
      <c r="AN409" s="21">
        <f t="shared" si="46"/>
        <v>27.725563909774436</v>
      </c>
      <c r="AO409" t="str">
        <f t="shared" ca="1" si="47"/>
        <v>No</v>
      </c>
      <c r="AP409" t="str">
        <f t="shared" si="48"/>
        <v>Low Risk</v>
      </c>
    </row>
    <row r="410" spans="1:42" x14ac:dyDescent="0.3">
      <c r="A410" s="5">
        <v>52</v>
      </c>
      <c r="B410" s="5" t="s">
        <v>43</v>
      </c>
      <c r="C410" s="5" t="str">
        <f t="shared" si="42"/>
        <v>No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 s="5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 s="5">
        <v>16555</v>
      </c>
      <c r="U410">
        <v>10310</v>
      </c>
      <c r="V410">
        <v>2</v>
      </c>
      <c r="W410" t="s">
        <v>42</v>
      </c>
      <c r="X410" t="s">
        <v>43</v>
      </c>
      <c r="Y410" t="str">
        <f t="shared" si="43"/>
        <v>No</v>
      </c>
      <c r="Z410">
        <v>13</v>
      </c>
      <c r="AA410">
        <v>3</v>
      </c>
      <c r="AB410">
        <v>4</v>
      </c>
      <c r="AC410">
        <v>80</v>
      </c>
      <c r="AD410">
        <v>0</v>
      </c>
      <c r="AE410" s="5">
        <v>31</v>
      </c>
      <c r="AF410" t="str">
        <f t="shared" si="44"/>
        <v>&gt;15</v>
      </c>
      <c r="AG410">
        <v>2</v>
      </c>
      <c r="AH410">
        <v>1</v>
      </c>
      <c r="AI410" s="5">
        <v>5</v>
      </c>
      <c r="AJ410">
        <v>2</v>
      </c>
      <c r="AK410">
        <v>1</v>
      </c>
      <c r="AL410">
        <v>4</v>
      </c>
      <c r="AM410" t="str">
        <f t="shared" si="45"/>
        <v>Ok</v>
      </c>
      <c r="AN410" s="21">
        <f t="shared" si="46"/>
        <v>27.657572906867355</v>
      </c>
      <c r="AO410" t="str">
        <f t="shared" ca="1" si="47"/>
        <v>No</v>
      </c>
      <c r="AP410" t="str">
        <f t="shared" si="48"/>
        <v>Low Risk</v>
      </c>
    </row>
    <row r="411" spans="1:42" x14ac:dyDescent="0.3">
      <c r="A411" s="5">
        <v>42</v>
      </c>
      <c r="B411" s="5" t="s">
        <v>43</v>
      </c>
      <c r="C411" s="5" t="str">
        <f t="shared" si="42"/>
        <v>No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 s="5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 s="5">
        <v>4556</v>
      </c>
      <c r="U411">
        <v>12932</v>
      </c>
      <c r="V411">
        <v>2</v>
      </c>
      <c r="W411" t="s">
        <v>42</v>
      </c>
      <c r="X411" t="s">
        <v>43</v>
      </c>
      <c r="Y411" t="str">
        <f t="shared" si="43"/>
        <v>No</v>
      </c>
      <c r="Z411">
        <v>11</v>
      </c>
      <c r="AA411">
        <v>3</v>
      </c>
      <c r="AB411">
        <v>2</v>
      </c>
      <c r="AC411">
        <v>80</v>
      </c>
      <c r="AD411">
        <v>1</v>
      </c>
      <c r="AE411" s="5">
        <v>19</v>
      </c>
      <c r="AF411" t="str">
        <f t="shared" si="44"/>
        <v>&gt;15</v>
      </c>
      <c r="AG411">
        <v>3</v>
      </c>
      <c r="AH411">
        <v>3</v>
      </c>
      <c r="AI411" s="5">
        <v>5</v>
      </c>
      <c r="AJ411">
        <v>4</v>
      </c>
      <c r="AK411">
        <v>0</v>
      </c>
      <c r="AL411">
        <v>2</v>
      </c>
      <c r="AM411" t="str">
        <f t="shared" si="45"/>
        <v>Below Avg</v>
      </c>
      <c r="AN411" s="21">
        <f t="shared" si="46"/>
        <v>27.683615819209038</v>
      </c>
      <c r="AO411" t="str">
        <f t="shared" ca="1" si="47"/>
        <v>No</v>
      </c>
      <c r="AP411" t="str">
        <f t="shared" si="48"/>
        <v>Low Risk</v>
      </c>
    </row>
    <row r="412" spans="1:42" x14ac:dyDescent="0.3">
      <c r="A412" s="5">
        <v>30</v>
      </c>
      <c r="B412" s="5" t="s">
        <v>43</v>
      </c>
      <c r="C412" s="5" t="str">
        <f t="shared" si="42"/>
        <v>No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 s="5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 s="5">
        <v>6091</v>
      </c>
      <c r="U412">
        <v>24793</v>
      </c>
      <c r="V412">
        <v>2</v>
      </c>
      <c r="W412" t="s">
        <v>42</v>
      </c>
      <c r="X412" t="s">
        <v>43</v>
      </c>
      <c r="Y412" t="str">
        <f t="shared" si="43"/>
        <v>No</v>
      </c>
      <c r="Z412">
        <v>20</v>
      </c>
      <c r="AA412">
        <v>4</v>
      </c>
      <c r="AB412">
        <v>3</v>
      </c>
      <c r="AC412">
        <v>80</v>
      </c>
      <c r="AD412">
        <v>0</v>
      </c>
      <c r="AE412" s="5">
        <v>11</v>
      </c>
      <c r="AF412" t="str">
        <f t="shared" si="44"/>
        <v>6-15</v>
      </c>
      <c r="AG412">
        <v>2</v>
      </c>
      <c r="AH412">
        <v>3</v>
      </c>
      <c r="AI412" s="5">
        <v>5</v>
      </c>
      <c r="AJ412">
        <v>4</v>
      </c>
      <c r="AK412">
        <v>0</v>
      </c>
      <c r="AL412">
        <v>2</v>
      </c>
      <c r="AM412" t="str">
        <f t="shared" si="45"/>
        <v>Below Avg</v>
      </c>
      <c r="AN412" s="21">
        <f t="shared" si="46"/>
        <v>27.709707822808671</v>
      </c>
      <c r="AO412" t="str">
        <f t="shared" ca="1" si="47"/>
        <v>No</v>
      </c>
      <c r="AP412" t="str">
        <f t="shared" si="48"/>
        <v>Low Risk</v>
      </c>
    </row>
    <row r="413" spans="1:42" x14ac:dyDescent="0.3">
      <c r="A413" s="5">
        <v>60</v>
      </c>
      <c r="B413" s="5" t="s">
        <v>43</v>
      </c>
      <c r="C413" s="5" t="str">
        <f t="shared" si="42"/>
        <v>No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 s="5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 s="5">
        <v>19566</v>
      </c>
      <c r="U413">
        <v>3854</v>
      </c>
      <c r="V413">
        <v>5</v>
      </c>
      <c r="W413" t="s">
        <v>42</v>
      </c>
      <c r="X413" t="s">
        <v>43</v>
      </c>
      <c r="Y413" t="str">
        <f t="shared" si="43"/>
        <v>No</v>
      </c>
      <c r="Z413">
        <v>11</v>
      </c>
      <c r="AA413">
        <v>3</v>
      </c>
      <c r="AB413">
        <v>4</v>
      </c>
      <c r="AC413">
        <v>80</v>
      </c>
      <c r="AD413">
        <v>0</v>
      </c>
      <c r="AE413" s="5">
        <v>33</v>
      </c>
      <c r="AF413" t="str">
        <f t="shared" si="44"/>
        <v>&gt;15</v>
      </c>
      <c r="AG413">
        <v>5</v>
      </c>
      <c r="AH413">
        <v>1</v>
      </c>
      <c r="AI413" s="5">
        <v>29</v>
      </c>
      <c r="AJ413">
        <v>8</v>
      </c>
      <c r="AK413">
        <v>11</v>
      </c>
      <c r="AL413">
        <v>10</v>
      </c>
      <c r="AM413" t="str">
        <f t="shared" si="45"/>
        <v>Ok</v>
      </c>
      <c r="AN413" s="21">
        <f t="shared" si="46"/>
        <v>27.735849056603772</v>
      </c>
      <c r="AO413" t="str">
        <f t="shared" ca="1" si="47"/>
        <v>No</v>
      </c>
      <c r="AP413" t="str">
        <f t="shared" si="48"/>
        <v>Low Risk</v>
      </c>
    </row>
    <row r="414" spans="1:42" x14ac:dyDescent="0.3">
      <c r="A414" s="5">
        <v>46</v>
      </c>
      <c r="B414" s="5" t="s">
        <v>43</v>
      </c>
      <c r="C414" s="5" t="str">
        <f t="shared" si="42"/>
        <v>No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 s="5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 s="5">
        <v>4810</v>
      </c>
      <c r="U414">
        <v>26314</v>
      </c>
      <c r="V414">
        <v>2</v>
      </c>
      <c r="W414" t="s">
        <v>42</v>
      </c>
      <c r="X414" t="s">
        <v>43</v>
      </c>
      <c r="Y414" t="str">
        <f t="shared" si="43"/>
        <v>No</v>
      </c>
      <c r="Z414">
        <v>14</v>
      </c>
      <c r="AA414">
        <v>3</v>
      </c>
      <c r="AB414">
        <v>3</v>
      </c>
      <c r="AC414">
        <v>80</v>
      </c>
      <c r="AD414">
        <v>1</v>
      </c>
      <c r="AE414" s="5">
        <v>19</v>
      </c>
      <c r="AF414" t="str">
        <f t="shared" si="44"/>
        <v>&gt;15</v>
      </c>
      <c r="AG414">
        <v>5</v>
      </c>
      <c r="AH414">
        <v>2</v>
      </c>
      <c r="AI414" s="5">
        <v>10</v>
      </c>
      <c r="AJ414">
        <v>7</v>
      </c>
      <c r="AK414">
        <v>0</v>
      </c>
      <c r="AL414">
        <v>8</v>
      </c>
      <c r="AM414" t="str">
        <f t="shared" si="45"/>
        <v>Below Avg</v>
      </c>
      <c r="AN414" s="21">
        <f t="shared" si="46"/>
        <v>27.762039660056658</v>
      </c>
      <c r="AO414" t="str">
        <f t="shared" ca="1" si="47"/>
        <v>No</v>
      </c>
      <c r="AP414" t="str">
        <f t="shared" si="48"/>
        <v>Low Risk</v>
      </c>
    </row>
    <row r="415" spans="1:42" x14ac:dyDescent="0.3">
      <c r="A415" s="5">
        <v>42</v>
      </c>
      <c r="B415" s="5" t="s">
        <v>43</v>
      </c>
      <c r="C415" s="5" t="str">
        <f t="shared" si="42"/>
        <v>No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 s="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 s="5">
        <v>4523</v>
      </c>
      <c r="U415">
        <v>4386</v>
      </c>
      <c r="V415">
        <v>0</v>
      </c>
      <c r="W415" t="s">
        <v>42</v>
      </c>
      <c r="X415" t="s">
        <v>43</v>
      </c>
      <c r="Y415" t="str">
        <f t="shared" si="43"/>
        <v>No</v>
      </c>
      <c r="Z415">
        <v>11</v>
      </c>
      <c r="AA415">
        <v>3</v>
      </c>
      <c r="AB415">
        <v>4</v>
      </c>
      <c r="AC415">
        <v>80</v>
      </c>
      <c r="AD415">
        <v>3</v>
      </c>
      <c r="AE415" s="5">
        <v>7</v>
      </c>
      <c r="AF415" t="str">
        <f t="shared" si="44"/>
        <v>6-15</v>
      </c>
      <c r="AG415">
        <v>4</v>
      </c>
      <c r="AH415">
        <v>4</v>
      </c>
      <c r="AI415" s="5">
        <v>6</v>
      </c>
      <c r="AJ415">
        <v>5</v>
      </c>
      <c r="AK415">
        <v>0</v>
      </c>
      <c r="AL415">
        <v>4</v>
      </c>
      <c r="AM415" t="str">
        <f t="shared" si="45"/>
        <v>Below Avg</v>
      </c>
      <c r="AN415" s="21">
        <f t="shared" si="46"/>
        <v>27.788279773156898</v>
      </c>
      <c r="AO415" t="str">
        <f t="shared" ca="1" si="47"/>
        <v>No</v>
      </c>
      <c r="AP415" t="str">
        <f t="shared" si="48"/>
        <v>Low Risk</v>
      </c>
    </row>
    <row r="416" spans="1:42" x14ac:dyDescent="0.3">
      <c r="A416" s="5">
        <v>24</v>
      </c>
      <c r="B416" s="5" t="s">
        <v>35</v>
      </c>
      <c r="C416" s="5" t="str">
        <f t="shared" si="42"/>
        <v>Yes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 s="5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 s="5">
        <v>3202</v>
      </c>
      <c r="U416">
        <v>21972</v>
      </c>
      <c r="V416">
        <v>1</v>
      </c>
      <c r="W416" t="s">
        <v>42</v>
      </c>
      <c r="X416" t="s">
        <v>35</v>
      </c>
      <c r="Y416" t="str">
        <f t="shared" si="43"/>
        <v>Yes</v>
      </c>
      <c r="Z416">
        <v>16</v>
      </c>
      <c r="AA416">
        <v>3</v>
      </c>
      <c r="AB416">
        <v>2</v>
      </c>
      <c r="AC416">
        <v>80</v>
      </c>
      <c r="AD416">
        <v>0</v>
      </c>
      <c r="AE416" s="5">
        <v>6</v>
      </c>
      <c r="AF416" t="str">
        <f t="shared" si="44"/>
        <v>6-15</v>
      </c>
      <c r="AG416">
        <v>4</v>
      </c>
      <c r="AH416">
        <v>3</v>
      </c>
      <c r="AI416" s="5">
        <v>5</v>
      </c>
      <c r="AJ416">
        <v>3</v>
      </c>
      <c r="AK416">
        <v>1</v>
      </c>
      <c r="AL416">
        <v>4</v>
      </c>
      <c r="AM416" t="str">
        <f t="shared" si="45"/>
        <v>Below Avg</v>
      </c>
      <c r="AN416" s="21">
        <f t="shared" si="46"/>
        <v>27.814569536423839</v>
      </c>
      <c r="AO416" t="str">
        <f t="shared" ca="1" si="47"/>
        <v>No</v>
      </c>
      <c r="AP416" t="str">
        <f t="shared" si="48"/>
        <v>Low Risk</v>
      </c>
    </row>
    <row r="417" spans="1:42" x14ac:dyDescent="0.3">
      <c r="A417" s="5">
        <v>34</v>
      </c>
      <c r="B417" s="5" t="s">
        <v>35</v>
      </c>
      <c r="C417" s="5" t="str">
        <f t="shared" si="42"/>
        <v>Yes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 s="5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 s="5">
        <v>2351</v>
      </c>
      <c r="U417">
        <v>12253</v>
      </c>
      <c r="V417">
        <v>0</v>
      </c>
      <c r="W417" t="s">
        <v>42</v>
      </c>
      <c r="X417" t="s">
        <v>43</v>
      </c>
      <c r="Y417" t="str">
        <f t="shared" si="43"/>
        <v>No</v>
      </c>
      <c r="Z417">
        <v>16</v>
      </c>
      <c r="AA417">
        <v>3</v>
      </c>
      <c r="AB417">
        <v>4</v>
      </c>
      <c r="AC417">
        <v>80</v>
      </c>
      <c r="AD417">
        <v>1</v>
      </c>
      <c r="AE417" s="5">
        <v>3</v>
      </c>
      <c r="AF417" t="str">
        <f t="shared" si="44"/>
        <v>0-5</v>
      </c>
      <c r="AG417">
        <v>3</v>
      </c>
      <c r="AH417">
        <v>2</v>
      </c>
      <c r="AI417" s="5">
        <v>2</v>
      </c>
      <c r="AJ417">
        <v>2</v>
      </c>
      <c r="AK417">
        <v>1</v>
      </c>
      <c r="AL417">
        <v>0</v>
      </c>
      <c r="AM417" t="str">
        <f t="shared" si="45"/>
        <v>Below Avg</v>
      </c>
      <c r="AN417" s="21">
        <f t="shared" si="46"/>
        <v>27.84090909090909</v>
      </c>
      <c r="AO417" t="str">
        <f t="shared" ca="1" si="47"/>
        <v>No</v>
      </c>
      <c r="AP417" t="str">
        <f t="shared" si="48"/>
        <v>Low Risk</v>
      </c>
    </row>
    <row r="418" spans="1:42" x14ac:dyDescent="0.3">
      <c r="A418" s="5">
        <v>38</v>
      </c>
      <c r="B418" s="5" t="s">
        <v>43</v>
      </c>
      <c r="C418" s="5" t="str">
        <f t="shared" si="42"/>
        <v>No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 s="5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 s="5">
        <v>1702</v>
      </c>
      <c r="U418">
        <v>12106</v>
      </c>
      <c r="V418">
        <v>1</v>
      </c>
      <c r="W418" t="s">
        <v>42</v>
      </c>
      <c r="X418" t="s">
        <v>35</v>
      </c>
      <c r="Y418" t="str">
        <f t="shared" si="43"/>
        <v>Yes</v>
      </c>
      <c r="Z418">
        <v>23</v>
      </c>
      <c r="AA418">
        <v>4</v>
      </c>
      <c r="AB418">
        <v>3</v>
      </c>
      <c r="AC418">
        <v>80</v>
      </c>
      <c r="AD418">
        <v>1</v>
      </c>
      <c r="AE418" s="5">
        <v>1</v>
      </c>
      <c r="AF418" t="str">
        <f t="shared" si="44"/>
        <v>0-5</v>
      </c>
      <c r="AG418">
        <v>3</v>
      </c>
      <c r="AH418">
        <v>3</v>
      </c>
      <c r="AI418" s="5">
        <v>1</v>
      </c>
      <c r="AJ418">
        <v>0</v>
      </c>
      <c r="AK418">
        <v>0</v>
      </c>
      <c r="AL418">
        <v>0</v>
      </c>
      <c r="AM418" t="str">
        <f t="shared" si="45"/>
        <v>Below Avg</v>
      </c>
      <c r="AN418" s="21">
        <f t="shared" si="46"/>
        <v>27.772511848341232</v>
      </c>
      <c r="AO418" t="str">
        <f t="shared" ca="1" si="47"/>
        <v>No</v>
      </c>
      <c r="AP418" t="str">
        <f t="shared" si="48"/>
        <v>Low Risk</v>
      </c>
    </row>
    <row r="419" spans="1:42" x14ac:dyDescent="0.3">
      <c r="A419" s="5">
        <v>40</v>
      </c>
      <c r="B419" s="5" t="s">
        <v>43</v>
      </c>
      <c r="C419" s="5" t="str">
        <f t="shared" si="42"/>
        <v>No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 s="5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 s="5">
        <v>18041</v>
      </c>
      <c r="U419">
        <v>13022</v>
      </c>
      <c r="V419">
        <v>0</v>
      </c>
      <c r="W419" t="s">
        <v>42</v>
      </c>
      <c r="X419" t="s">
        <v>43</v>
      </c>
      <c r="Y419" t="str">
        <f t="shared" si="43"/>
        <v>No</v>
      </c>
      <c r="Z419">
        <v>14</v>
      </c>
      <c r="AA419">
        <v>3</v>
      </c>
      <c r="AB419">
        <v>4</v>
      </c>
      <c r="AC419">
        <v>80</v>
      </c>
      <c r="AD419">
        <v>0</v>
      </c>
      <c r="AE419" s="5">
        <v>21</v>
      </c>
      <c r="AF419" t="str">
        <f t="shared" si="44"/>
        <v>&gt;15</v>
      </c>
      <c r="AG419">
        <v>2</v>
      </c>
      <c r="AH419">
        <v>3</v>
      </c>
      <c r="AI419" s="5">
        <v>20</v>
      </c>
      <c r="AJ419">
        <v>15</v>
      </c>
      <c r="AK419">
        <v>1</v>
      </c>
      <c r="AL419">
        <v>12</v>
      </c>
      <c r="AM419" t="str">
        <f t="shared" si="45"/>
        <v>Ok</v>
      </c>
      <c r="AN419" s="21">
        <f t="shared" si="46"/>
        <v>27.798861480075903</v>
      </c>
      <c r="AO419" t="str">
        <f t="shared" ca="1" si="47"/>
        <v>No</v>
      </c>
      <c r="AP419" t="str">
        <f t="shared" si="48"/>
        <v>Low Risk</v>
      </c>
    </row>
    <row r="420" spans="1:42" x14ac:dyDescent="0.3">
      <c r="A420" s="5">
        <v>26</v>
      </c>
      <c r="B420" s="5" t="s">
        <v>43</v>
      </c>
      <c r="C420" s="5" t="str">
        <f t="shared" si="42"/>
        <v>No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 s="5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 s="5">
        <v>2886</v>
      </c>
      <c r="U420">
        <v>3032</v>
      </c>
      <c r="V420">
        <v>1</v>
      </c>
      <c r="W420" t="s">
        <v>42</v>
      </c>
      <c r="X420" t="s">
        <v>43</v>
      </c>
      <c r="Y420" t="str">
        <f t="shared" si="43"/>
        <v>No</v>
      </c>
      <c r="Z420">
        <v>22</v>
      </c>
      <c r="AA420">
        <v>4</v>
      </c>
      <c r="AB420">
        <v>2</v>
      </c>
      <c r="AC420">
        <v>80</v>
      </c>
      <c r="AD420">
        <v>2</v>
      </c>
      <c r="AE420" s="5">
        <v>3</v>
      </c>
      <c r="AF420" t="str">
        <f t="shared" si="44"/>
        <v>0-5</v>
      </c>
      <c r="AG420">
        <v>3</v>
      </c>
      <c r="AH420">
        <v>1</v>
      </c>
      <c r="AI420" s="5">
        <v>3</v>
      </c>
      <c r="AJ420">
        <v>2</v>
      </c>
      <c r="AK420">
        <v>0</v>
      </c>
      <c r="AL420">
        <v>2</v>
      </c>
      <c r="AM420" t="str">
        <f t="shared" si="45"/>
        <v>Below Avg</v>
      </c>
      <c r="AN420" s="21">
        <f t="shared" si="46"/>
        <v>27.730294396961064</v>
      </c>
      <c r="AO420" t="str">
        <f t="shared" ca="1" si="47"/>
        <v>No</v>
      </c>
      <c r="AP420" t="str">
        <f t="shared" si="48"/>
        <v>Low Risk</v>
      </c>
    </row>
    <row r="421" spans="1:42" x14ac:dyDescent="0.3">
      <c r="A421" s="5">
        <v>30</v>
      </c>
      <c r="B421" s="5" t="s">
        <v>43</v>
      </c>
      <c r="C421" s="5" t="str">
        <f t="shared" si="42"/>
        <v>No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 s="5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 s="5">
        <v>2097</v>
      </c>
      <c r="U421">
        <v>16734</v>
      </c>
      <c r="V421">
        <v>4</v>
      </c>
      <c r="W421" t="s">
        <v>42</v>
      </c>
      <c r="X421" t="s">
        <v>43</v>
      </c>
      <c r="Y421" t="str">
        <f t="shared" si="43"/>
        <v>No</v>
      </c>
      <c r="Z421">
        <v>15</v>
      </c>
      <c r="AA421">
        <v>3</v>
      </c>
      <c r="AB421">
        <v>3</v>
      </c>
      <c r="AC421">
        <v>80</v>
      </c>
      <c r="AD421">
        <v>1</v>
      </c>
      <c r="AE421" s="5">
        <v>9</v>
      </c>
      <c r="AF421" t="str">
        <f t="shared" si="44"/>
        <v>6-15</v>
      </c>
      <c r="AG421">
        <v>3</v>
      </c>
      <c r="AH421">
        <v>1</v>
      </c>
      <c r="AI421" s="5">
        <v>5</v>
      </c>
      <c r="AJ421">
        <v>3</v>
      </c>
      <c r="AK421">
        <v>1</v>
      </c>
      <c r="AL421">
        <v>4</v>
      </c>
      <c r="AM421" t="str">
        <f t="shared" si="45"/>
        <v>Below Avg</v>
      </c>
      <c r="AN421" s="21">
        <f t="shared" si="46"/>
        <v>27.756653992395435</v>
      </c>
      <c r="AO421" t="str">
        <f t="shared" ca="1" si="47"/>
        <v>No</v>
      </c>
      <c r="AP421" t="str">
        <f t="shared" si="48"/>
        <v>Low Risk</v>
      </c>
    </row>
    <row r="422" spans="1:42" x14ac:dyDescent="0.3">
      <c r="A422" s="5">
        <v>29</v>
      </c>
      <c r="B422" s="5" t="s">
        <v>43</v>
      </c>
      <c r="C422" s="5" t="str">
        <f t="shared" si="42"/>
        <v>No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 s="5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 s="5">
        <v>11935</v>
      </c>
      <c r="U422">
        <v>21526</v>
      </c>
      <c r="V422">
        <v>1</v>
      </c>
      <c r="W422" t="s">
        <v>42</v>
      </c>
      <c r="X422" t="s">
        <v>43</v>
      </c>
      <c r="Y422" t="str">
        <f t="shared" si="43"/>
        <v>No</v>
      </c>
      <c r="Z422">
        <v>18</v>
      </c>
      <c r="AA422">
        <v>3</v>
      </c>
      <c r="AB422">
        <v>3</v>
      </c>
      <c r="AC422">
        <v>80</v>
      </c>
      <c r="AD422">
        <v>0</v>
      </c>
      <c r="AE422" s="5">
        <v>10</v>
      </c>
      <c r="AF422" t="str">
        <f t="shared" si="44"/>
        <v>6-15</v>
      </c>
      <c r="AG422">
        <v>2</v>
      </c>
      <c r="AH422">
        <v>3</v>
      </c>
      <c r="AI422" s="5">
        <v>10</v>
      </c>
      <c r="AJ422">
        <v>2</v>
      </c>
      <c r="AK422">
        <v>0</v>
      </c>
      <c r="AL422">
        <v>7</v>
      </c>
      <c r="AM422" t="str">
        <f t="shared" si="45"/>
        <v>Ok</v>
      </c>
      <c r="AN422" s="21">
        <f t="shared" si="46"/>
        <v>27.783063748810655</v>
      </c>
      <c r="AO422" t="str">
        <f t="shared" ca="1" si="47"/>
        <v>No</v>
      </c>
      <c r="AP422" t="str">
        <f t="shared" si="48"/>
        <v>Low Risk</v>
      </c>
    </row>
    <row r="423" spans="1:42" x14ac:dyDescent="0.3">
      <c r="A423" s="5">
        <v>29</v>
      </c>
      <c r="B423" s="5" t="s">
        <v>35</v>
      </c>
      <c r="C423" s="5" t="str">
        <f t="shared" si="42"/>
        <v>Yes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 s="5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 s="5">
        <v>2546</v>
      </c>
      <c r="U423">
        <v>18300</v>
      </c>
      <c r="V423">
        <v>5</v>
      </c>
      <c r="W423" t="s">
        <v>42</v>
      </c>
      <c r="X423" t="s">
        <v>43</v>
      </c>
      <c r="Y423" t="str">
        <f t="shared" si="43"/>
        <v>No</v>
      </c>
      <c r="Z423">
        <v>16</v>
      </c>
      <c r="AA423">
        <v>3</v>
      </c>
      <c r="AB423">
        <v>2</v>
      </c>
      <c r="AC423">
        <v>80</v>
      </c>
      <c r="AD423">
        <v>0</v>
      </c>
      <c r="AE423" s="5">
        <v>6</v>
      </c>
      <c r="AF423" t="str">
        <f t="shared" si="44"/>
        <v>6-15</v>
      </c>
      <c r="AG423">
        <v>2</v>
      </c>
      <c r="AH423">
        <v>4</v>
      </c>
      <c r="AI423" s="5">
        <v>2</v>
      </c>
      <c r="AJ423">
        <v>2</v>
      </c>
      <c r="AK423">
        <v>1</v>
      </c>
      <c r="AL423">
        <v>1</v>
      </c>
      <c r="AM423" t="str">
        <f t="shared" si="45"/>
        <v>Below Avg</v>
      </c>
      <c r="AN423" s="21">
        <f t="shared" si="46"/>
        <v>27.80952380952381</v>
      </c>
      <c r="AO423" t="str">
        <f t="shared" ca="1" si="47"/>
        <v>No</v>
      </c>
      <c r="AP423" t="str">
        <f t="shared" si="48"/>
        <v>Low Risk</v>
      </c>
    </row>
    <row r="424" spans="1:42" x14ac:dyDescent="0.3">
      <c r="A424" s="5">
        <v>19</v>
      </c>
      <c r="B424" s="5" t="s">
        <v>35</v>
      </c>
      <c r="C424" s="5" t="str">
        <f t="shared" si="42"/>
        <v>Yes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 s="5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 s="5">
        <v>2564</v>
      </c>
      <c r="U424">
        <v>18437</v>
      </c>
      <c r="V424">
        <v>1</v>
      </c>
      <c r="W424" t="s">
        <v>42</v>
      </c>
      <c r="X424" t="s">
        <v>43</v>
      </c>
      <c r="Y424" t="str">
        <f t="shared" si="43"/>
        <v>No</v>
      </c>
      <c r="Z424">
        <v>12</v>
      </c>
      <c r="AA424">
        <v>3</v>
      </c>
      <c r="AB424">
        <v>3</v>
      </c>
      <c r="AC424">
        <v>80</v>
      </c>
      <c r="AD424">
        <v>0</v>
      </c>
      <c r="AE424" s="5">
        <v>1</v>
      </c>
      <c r="AF424" t="str">
        <f t="shared" si="44"/>
        <v>0-5</v>
      </c>
      <c r="AG424">
        <v>3</v>
      </c>
      <c r="AH424">
        <v>4</v>
      </c>
      <c r="AI424" s="5">
        <v>1</v>
      </c>
      <c r="AJ424">
        <v>0</v>
      </c>
      <c r="AK424">
        <v>0</v>
      </c>
      <c r="AL424">
        <v>0</v>
      </c>
      <c r="AM424" t="str">
        <f t="shared" si="45"/>
        <v>Below Avg</v>
      </c>
      <c r="AN424" s="21">
        <f t="shared" si="46"/>
        <v>27.836034318398472</v>
      </c>
      <c r="AO424" t="str">
        <f t="shared" ca="1" si="47"/>
        <v>No</v>
      </c>
      <c r="AP424" t="str">
        <f t="shared" si="48"/>
        <v>High Risk</v>
      </c>
    </row>
    <row r="425" spans="1:42" x14ac:dyDescent="0.3">
      <c r="A425" s="5">
        <v>30</v>
      </c>
      <c r="B425" s="5" t="s">
        <v>43</v>
      </c>
      <c r="C425" s="5" t="str">
        <f t="shared" si="42"/>
        <v>No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 s="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 s="5">
        <v>8412</v>
      </c>
      <c r="U425">
        <v>2890</v>
      </c>
      <c r="V425">
        <v>0</v>
      </c>
      <c r="W425" t="s">
        <v>42</v>
      </c>
      <c r="X425" t="s">
        <v>43</v>
      </c>
      <c r="Y425" t="str">
        <f t="shared" si="43"/>
        <v>No</v>
      </c>
      <c r="Z425">
        <v>11</v>
      </c>
      <c r="AA425">
        <v>3</v>
      </c>
      <c r="AB425">
        <v>3</v>
      </c>
      <c r="AC425">
        <v>80</v>
      </c>
      <c r="AD425">
        <v>0</v>
      </c>
      <c r="AE425" s="5">
        <v>10</v>
      </c>
      <c r="AF425" t="str">
        <f t="shared" si="44"/>
        <v>6-15</v>
      </c>
      <c r="AG425">
        <v>3</v>
      </c>
      <c r="AH425">
        <v>3</v>
      </c>
      <c r="AI425" s="5">
        <v>9</v>
      </c>
      <c r="AJ425">
        <v>8</v>
      </c>
      <c r="AK425">
        <v>7</v>
      </c>
      <c r="AL425">
        <v>8</v>
      </c>
      <c r="AM425" t="str">
        <f t="shared" si="45"/>
        <v>Ok</v>
      </c>
      <c r="AN425" s="21">
        <f t="shared" si="46"/>
        <v>27.862595419847331</v>
      </c>
      <c r="AO425" t="str">
        <f t="shared" ca="1" si="47"/>
        <v>No</v>
      </c>
      <c r="AP425" t="str">
        <f t="shared" si="48"/>
        <v>Low Risk</v>
      </c>
    </row>
    <row r="426" spans="1:42" x14ac:dyDescent="0.3">
      <c r="A426" s="5">
        <v>57</v>
      </c>
      <c r="B426" s="5" t="s">
        <v>43</v>
      </c>
      <c r="C426" s="5" t="str">
        <f t="shared" si="42"/>
        <v>No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 s="5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 s="5">
        <v>14118</v>
      </c>
      <c r="U426">
        <v>22102</v>
      </c>
      <c r="V426">
        <v>3</v>
      </c>
      <c r="W426" t="s">
        <v>42</v>
      </c>
      <c r="X426" t="s">
        <v>43</v>
      </c>
      <c r="Y426" t="str">
        <f t="shared" si="43"/>
        <v>No</v>
      </c>
      <c r="Z426">
        <v>12</v>
      </c>
      <c r="AA426">
        <v>3</v>
      </c>
      <c r="AB426">
        <v>3</v>
      </c>
      <c r="AC426">
        <v>80</v>
      </c>
      <c r="AD426">
        <v>1</v>
      </c>
      <c r="AE426" s="5">
        <v>32</v>
      </c>
      <c r="AF426" t="str">
        <f t="shared" si="44"/>
        <v>&gt;15</v>
      </c>
      <c r="AG426">
        <v>3</v>
      </c>
      <c r="AH426">
        <v>2</v>
      </c>
      <c r="AI426" s="5">
        <v>1</v>
      </c>
      <c r="AJ426">
        <v>0</v>
      </c>
      <c r="AK426">
        <v>0</v>
      </c>
      <c r="AL426">
        <v>0</v>
      </c>
      <c r="AM426" t="str">
        <f t="shared" si="45"/>
        <v>Ok</v>
      </c>
      <c r="AN426" s="21">
        <f t="shared" si="46"/>
        <v>27.889207258834762</v>
      </c>
      <c r="AO426" t="str">
        <f t="shared" ca="1" si="47"/>
        <v>No</v>
      </c>
      <c r="AP426" t="str">
        <f t="shared" si="48"/>
        <v>Low Risk</v>
      </c>
    </row>
    <row r="427" spans="1:42" x14ac:dyDescent="0.3">
      <c r="A427" s="5">
        <v>50</v>
      </c>
      <c r="B427" s="5" t="s">
        <v>43</v>
      </c>
      <c r="C427" s="5" t="str">
        <f t="shared" si="42"/>
        <v>No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 s="5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 s="5">
        <v>17046</v>
      </c>
      <c r="U427">
        <v>9314</v>
      </c>
      <c r="V427">
        <v>0</v>
      </c>
      <c r="W427" t="s">
        <v>42</v>
      </c>
      <c r="X427" t="s">
        <v>43</v>
      </c>
      <c r="Y427" t="str">
        <f t="shared" si="43"/>
        <v>No</v>
      </c>
      <c r="Z427">
        <v>15</v>
      </c>
      <c r="AA427">
        <v>3</v>
      </c>
      <c r="AB427">
        <v>2</v>
      </c>
      <c r="AC427">
        <v>80</v>
      </c>
      <c r="AD427">
        <v>1</v>
      </c>
      <c r="AE427" s="5">
        <v>28</v>
      </c>
      <c r="AF427" t="str">
        <f t="shared" si="44"/>
        <v>&gt;15</v>
      </c>
      <c r="AG427">
        <v>2</v>
      </c>
      <c r="AH427">
        <v>3</v>
      </c>
      <c r="AI427" s="5">
        <v>27</v>
      </c>
      <c r="AJ427">
        <v>10</v>
      </c>
      <c r="AK427">
        <v>15</v>
      </c>
      <c r="AL427">
        <v>7</v>
      </c>
      <c r="AM427" t="str">
        <f t="shared" si="45"/>
        <v>Ok</v>
      </c>
      <c r="AN427" s="21">
        <f t="shared" si="46"/>
        <v>27.915869980879542</v>
      </c>
      <c r="AO427" t="str">
        <f t="shared" ca="1" si="47"/>
        <v>No</v>
      </c>
      <c r="AP427" t="str">
        <f t="shared" si="48"/>
        <v>Low Risk</v>
      </c>
    </row>
    <row r="428" spans="1:42" x14ac:dyDescent="0.3">
      <c r="A428" s="5">
        <v>30</v>
      </c>
      <c r="B428" s="5" t="s">
        <v>43</v>
      </c>
      <c r="C428" s="5" t="str">
        <f t="shared" si="42"/>
        <v>No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 s="5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 s="5">
        <v>2564</v>
      </c>
      <c r="U428">
        <v>7181</v>
      </c>
      <c r="V428">
        <v>0</v>
      </c>
      <c r="W428" t="s">
        <v>42</v>
      </c>
      <c r="X428" t="s">
        <v>43</v>
      </c>
      <c r="Y428" t="str">
        <f t="shared" si="43"/>
        <v>No</v>
      </c>
      <c r="Z428">
        <v>14</v>
      </c>
      <c r="AA428">
        <v>3</v>
      </c>
      <c r="AB428">
        <v>3</v>
      </c>
      <c r="AC428">
        <v>80</v>
      </c>
      <c r="AD428">
        <v>0</v>
      </c>
      <c r="AE428" s="5">
        <v>12</v>
      </c>
      <c r="AF428" t="str">
        <f t="shared" si="44"/>
        <v>6-15</v>
      </c>
      <c r="AG428">
        <v>2</v>
      </c>
      <c r="AH428">
        <v>2</v>
      </c>
      <c r="AI428" s="5">
        <v>11</v>
      </c>
      <c r="AJ428">
        <v>7</v>
      </c>
      <c r="AK428">
        <v>6</v>
      </c>
      <c r="AL428">
        <v>7</v>
      </c>
      <c r="AM428" t="str">
        <f t="shared" si="45"/>
        <v>Below Avg</v>
      </c>
      <c r="AN428" s="21">
        <f t="shared" si="46"/>
        <v>27.942583732057418</v>
      </c>
      <c r="AO428" t="str">
        <f t="shared" ca="1" si="47"/>
        <v>No</v>
      </c>
      <c r="AP428" t="str">
        <f t="shared" si="48"/>
        <v>Low Risk</v>
      </c>
    </row>
    <row r="429" spans="1:42" x14ac:dyDescent="0.3">
      <c r="A429" s="5">
        <v>60</v>
      </c>
      <c r="B429" s="5" t="s">
        <v>43</v>
      </c>
      <c r="C429" s="5" t="str">
        <f t="shared" si="42"/>
        <v>No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 s="5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 s="5">
        <v>10266</v>
      </c>
      <c r="U429">
        <v>2845</v>
      </c>
      <c r="V429">
        <v>4</v>
      </c>
      <c r="W429" t="s">
        <v>42</v>
      </c>
      <c r="X429" t="s">
        <v>43</v>
      </c>
      <c r="Y429" t="str">
        <f t="shared" si="43"/>
        <v>No</v>
      </c>
      <c r="Z429">
        <v>19</v>
      </c>
      <c r="AA429">
        <v>3</v>
      </c>
      <c r="AB429">
        <v>4</v>
      </c>
      <c r="AC429">
        <v>80</v>
      </c>
      <c r="AD429">
        <v>0</v>
      </c>
      <c r="AE429" s="5">
        <v>22</v>
      </c>
      <c r="AF429" t="str">
        <f t="shared" si="44"/>
        <v>&gt;15</v>
      </c>
      <c r="AG429">
        <v>5</v>
      </c>
      <c r="AH429">
        <v>4</v>
      </c>
      <c r="AI429" s="5">
        <v>18</v>
      </c>
      <c r="AJ429">
        <v>13</v>
      </c>
      <c r="AK429">
        <v>13</v>
      </c>
      <c r="AL429">
        <v>11</v>
      </c>
      <c r="AM429" t="str">
        <f t="shared" si="45"/>
        <v>Ok</v>
      </c>
      <c r="AN429" s="21">
        <f t="shared" si="46"/>
        <v>27.969348659003828</v>
      </c>
      <c r="AO429" t="str">
        <f t="shared" ca="1" si="47"/>
        <v>No</v>
      </c>
      <c r="AP429" t="str">
        <f t="shared" si="48"/>
        <v>Low Risk</v>
      </c>
    </row>
    <row r="430" spans="1:42" x14ac:dyDescent="0.3">
      <c r="A430" s="5">
        <v>47</v>
      </c>
      <c r="B430" s="5" t="s">
        <v>43</v>
      </c>
      <c r="C430" s="5" t="str">
        <f t="shared" si="42"/>
        <v>No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 s="5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 s="5">
        <v>5070</v>
      </c>
      <c r="U430">
        <v>7389</v>
      </c>
      <c r="V430">
        <v>5</v>
      </c>
      <c r="W430" t="s">
        <v>42</v>
      </c>
      <c r="X430" t="s">
        <v>43</v>
      </c>
      <c r="Y430" t="str">
        <f t="shared" si="43"/>
        <v>No</v>
      </c>
      <c r="Z430">
        <v>13</v>
      </c>
      <c r="AA430">
        <v>3</v>
      </c>
      <c r="AB430">
        <v>3</v>
      </c>
      <c r="AC430">
        <v>80</v>
      </c>
      <c r="AD430">
        <v>3</v>
      </c>
      <c r="AE430" s="5">
        <v>20</v>
      </c>
      <c r="AF430" t="str">
        <f t="shared" si="44"/>
        <v>&gt;15</v>
      </c>
      <c r="AG430">
        <v>2</v>
      </c>
      <c r="AH430">
        <v>3</v>
      </c>
      <c r="AI430" s="5">
        <v>5</v>
      </c>
      <c r="AJ430">
        <v>0</v>
      </c>
      <c r="AK430">
        <v>0</v>
      </c>
      <c r="AL430">
        <v>4</v>
      </c>
      <c r="AM430" t="str">
        <f t="shared" si="45"/>
        <v>Below Avg</v>
      </c>
      <c r="AN430" s="21">
        <f t="shared" si="46"/>
        <v>27.996164908916587</v>
      </c>
      <c r="AO430" t="str">
        <f t="shared" ca="1" si="47"/>
        <v>No</v>
      </c>
      <c r="AP430" t="str">
        <f t="shared" si="48"/>
        <v>Low Risk</v>
      </c>
    </row>
    <row r="431" spans="1:42" x14ac:dyDescent="0.3">
      <c r="A431" s="5">
        <v>46</v>
      </c>
      <c r="B431" s="5" t="s">
        <v>43</v>
      </c>
      <c r="C431" s="5" t="str">
        <f t="shared" si="42"/>
        <v>No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 s="5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 s="5">
        <v>17861</v>
      </c>
      <c r="U431">
        <v>2288</v>
      </c>
      <c r="V431">
        <v>6</v>
      </c>
      <c r="W431" t="s">
        <v>42</v>
      </c>
      <c r="X431" t="s">
        <v>43</v>
      </c>
      <c r="Y431" t="str">
        <f t="shared" si="43"/>
        <v>No</v>
      </c>
      <c r="Z431">
        <v>13</v>
      </c>
      <c r="AA431">
        <v>3</v>
      </c>
      <c r="AB431">
        <v>3</v>
      </c>
      <c r="AC431">
        <v>80</v>
      </c>
      <c r="AD431">
        <v>0</v>
      </c>
      <c r="AE431" s="5">
        <v>26</v>
      </c>
      <c r="AF431" t="str">
        <f t="shared" si="44"/>
        <v>&gt;15</v>
      </c>
      <c r="AG431">
        <v>2</v>
      </c>
      <c r="AH431">
        <v>1</v>
      </c>
      <c r="AI431" s="5">
        <v>3</v>
      </c>
      <c r="AJ431">
        <v>2</v>
      </c>
      <c r="AK431">
        <v>0</v>
      </c>
      <c r="AL431">
        <v>1</v>
      </c>
      <c r="AM431" t="str">
        <f t="shared" si="45"/>
        <v>Ok</v>
      </c>
      <c r="AN431" s="21">
        <f t="shared" si="46"/>
        <v>28.023032629558543</v>
      </c>
      <c r="AO431" t="str">
        <f t="shared" ca="1" si="47"/>
        <v>No</v>
      </c>
      <c r="AP431" t="str">
        <f t="shared" si="48"/>
        <v>Low Risk</v>
      </c>
    </row>
    <row r="432" spans="1:42" x14ac:dyDescent="0.3">
      <c r="A432" s="5">
        <v>35</v>
      </c>
      <c r="B432" s="5" t="s">
        <v>43</v>
      </c>
      <c r="C432" s="5" t="str">
        <f t="shared" si="42"/>
        <v>No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 s="5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 s="5">
        <v>4230</v>
      </c>
      <c r="U432">
        <v>19225</v>
      </c>
      <c r="V432">
        <v>0</v>
      </c>
      <c r="W432" t="s">
        <v>42</v>
      </c>
      <c r="X432" t="s">
        <v>43</v>
      </c>
      <c r="Y432" t="str">
        <f t="shared" si="43"/>
        <v>No</v>
      </c>
      <c r="Z432">
        <v>15</v>
      </c>
      <c r="AA432">
        <v>3</v>
      </c>
      <c r="AB432">
        <v>3</v>
      </c>
      <c r="AC432">
        <v>80</v>
      </c>
      <c r="AD432">
        <v>0</v>
      </c>
      <c r="AE432" s="5">
        <v>6</v>
      </c>
      <c r="AF432" t="str">
        <f t="shared" si="44"/>
        <v>6-15</v>
      </c>
      <c r="AG432">
        <v>2</v>
      </c>
      <c r="AH432">
        <v>3</v>
      </c>
      <c r="AI432" s="5">
        <v>5</v>
      </c>
      <c r="AJ432">
        <v>4</v>
      </c>
      <c r="AK432">
        <v>4</v>
      </c>
      <c r="AL432">
        <v>3</v>
      </c>
      <c r="AM432" t="str">
        <f t="shared" si="45"/>
        <v>Below Avg</v>
      </c>
      <c r="AN432" s="21">
        <f t="shared" si="46"/>
        <v>28.049951969260327</v>
      </c>
      <c r="AO432" t="str">
        <f t="shared" ca="1" si="47"/>
        <v>No</v>
      </c>
      <c r="AP432" t="str">
        <f t="shared" si="48"/>
        <v>Low Risk</v>
      </c>
    </row>
    <row r="433" spans="1:42" x14ac:dyDescent="0.3">
      <c r="A433" s="5">
        <v>54</v>
      </c>
      <c r="B433" s="5" t="s">
        <v>43</v>
      </c>
      <c r="C433" s="5" t="str">
        <f t="shared" si="42"/>
        <v>No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 s="5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 s="5">
        <v>3780</v>
      </c>
      <c r="U433">
        <v>23428</v>
      </c>
      <c r="V433">
        <v>7</v>
      </c>
      <c r="W433" t="s">
        <v>42</v>
      </c>
      <c r="X433" t="s">
        <v>43</v>
      </c>
      <c r="Y433" t="str">
        <f t="shared" si="43"/>
        <v>No</v>
      </c>
      <c r="Z433">
        <v>11</v>
      </c>
      <c r="AA433">
        <v>3</v>
      </c>
      <c r="AB433">
        <v>3</v>
      </c>
      <c r="AC433">
        <v>80</v>
      </c>
      <c r="AD433">
        <v>0</v>
      </c>
      <c r="AE433" s="5">
        <v>19</v>
      </c>
      <c r="AF433" t="str">
        <f t="shared" si="44"/>
        <v>&gt;15</v>
      </c>
      <c r="AG433">
        <v>3</v>
      </c>
      <c r="AH433">
        <v>3</v>
      </c>
      <c r="AI433" s="5">
        <v>1</v>
      </c>
      <c r="AJ433">
        <v>0</v>
      </c>
      <c r="AK433">
        <v>0</v>
      </c>
      <c r="AL433">
        <v>0</v>
      </c>
      <c r="AM433" t="str">
        <f t="shared" si="45"/>
        <v>Below Avg</v>
      </c>
      <c r="AN433" s="21">
        <f t="shared" si="46"/>
        <v>28.076923076923077</v>
      </c>
      <c r="AO433" t="str">
        <f t="shared" ca="1" si="47"/>
        <v>No</v>
      </c>
      <c r="AP433" t="str">
        <f t="shared" si="48"/>
        <v>Low Risk</v>
      </c>
    </row>
    <row r="434" spans="1:42" x14ac:dyDescent="0.3">
      <c r="A434" s="5">
        <v>34</v>
      </c>
      <c r="B434" s="5" t="s">
        <v>43</v>
      </c>
      <c r="C434" s="5" t="str">
        <f t="shared" si="42"/>
        <v>No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 s="5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 s="5">
        <v>2768</v>
      </c>
      <c r="U434">
        <v>8416</v>
      </c>
      <c r="V434">
        <v>3</v>
      </c>
      <c r="W434" t="s">
        <v>42</v>
      </c>
      <c r="X434" t="s">
        <v>43</v>
      </c>
      <c r="Y434" t="str">
        <f t="shared" si="43"/>
        <v>No</v>
      </c>
      <c r="Z434">
        <v>12</v>
      </c>
      <c r="AA434">
        <v>3</v>
      </c>
      <c r="AB434">
        <v>3</v>
      </c>
      <c r="AC434">
        <v>80</v>
      </c>
      <c r="AD434">
        <v>1</v>
      </c>
      <c r="AE434" s="5">
        <v>14</v>
      </c>
      <c r="AF434" t="str">
        <f t="shared" si="44"/>
        <v>6-15</v>
      </c>
      <c r="AG434">
        <v>3</v>
      </c>
      <c r="AH434">
        <v>3</v>
      </c>
      <c r="AI434" s="5">
        <v>7</v>
      </c>
      <c r="AJ434">
        <v>3</v>
      </c>
      <c r="AK434">
        <v>5</v>
      </c>
      <c r="AL434">
        <v>7</v>
      </c>
      <c r="AM434" t="str">
        <f t="shared" si="45"/>
        <v>Below Avg</v>
      </c>
      <c r="AN434" s="21">
        <f t="shared" si="46"/>
        <v>28.103946102021176</v>
      </c>
      <c r="AO434" t="str">
        <f t="shared" ca="1" si="47"/>
        <v>No</v>
      </c>
      <c r="AP434" t="str">
        <f t="shared" si="48"/>
        <v>Low Risk</v>
      </c>
    </row>
    <row r="435" spans="1:42" x14ac:dyDescent="0.3">
      <c r="A435" s="5">
        <v>46</v>
      </c>
      <c r="B435" s="5" t="s">
        <v>43</v>
      </c>
      <c r="C435" s="5" t="str">
        <f t="shared" si="42"/>
        <v>No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 s="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 s="5">
        <v>9071</v>
      </c>
      <c r="U435">
        <v>11563</v>
      </c>
      <c r="V435">
        <v>2</v>
      </c>
      <c r="W435" t="s">
        <v>42</v>
      </c>
      <c r="X435" t="s">
        <v>35</v>
      </c>
      <c r="Y435" t="str">
        <f t="shared" si="43"/>
        <v>Yes</v>
      </c>
      <c r="Z435">
        <v>19</v>
      </c>
      <c r="AA435">
        <v>3</v>
      </c>
      <c r="AB435">
        <v>3</v>
      </c>
      <c r="AC435">
        <v>80</v>
      </c>
      <c r="AD435">
        <v>1</v>
      </c>
      <c r="AE435" s="5">
        <v>15</v>
      </c>
      <c r="AF435" t="str">
        <f t="shared" si="44"/>
        <v>6-15</v>
      </c>
      <c r="AG435">
        <v>3</v>
      </c>
      <c r="AH435">
        <v>3</v>
      </c>
      <c r="AI435" s="5">
        <v>3</v>
      </c>
      <c r="AJ435">
        <v>2</v>
      </c>
      <c r="AK435">
        <v>1</v>
      </c>
      <c r="AL435">
        <v>2</v>
      </c>
      <c r="AM435" t="str">
        <f t="shared" si="45"/>
        <v>Ok</v>
      </c>
      <c r="AN435" s="21">
        <f t="shared" si="46"/>
        <v>28.131021194605012</v>
      </c>
      <c r="AO435" t="str">
        <f t="shared" ca="1" si="47"/>
        <v>No</v>
      </c>
      <c r="AP435" t="str">
        <f t="shared" si="48"/>
        <v>Low Risk</v>
      </c>
    </row>
    <row r="436" spans="1:42" x14ac:dyDescent="0.3">
      <c r="A436" s="5">
        <v>31</v>
      </c>
      <c r="B436" s="5" t="s">
        <v>43</v>
      </c>
      <c r="C436" s="5" t="str">
        <f t="shared" si="42"/>
        <v>No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 s="5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 s="5">
        <v>10648</v>
      </c>
      <c r="U436">
        <v>14394</v>
      </c>
      <c r="V436">
        <v>1</v>
      </c>
      <c r="W436" t="s">
        <v>42</v>
      </c>
      <c r="X436" t="s">
        <v>43</v>
      </c>
      <c r="Y436" t="str">
        <f t="shared" si="43"/>
        <v>No</v>
      </c>
      <c r="Z436">
        <v>25</v>
      </c>
      <c r="AA436">
        <v>4</v>
      </c>
      <c r="AB436">
        <v>4</v>
      </c>
      <c r="AC436">
        <v>80</v>
      </c>
      <c r="AD436">
        <v>1</v>
      </c>
      <c r="AE436" s="5">
        <v>13</v>
      </c>
      <c r="AF436" t="str">
        <f t="shared" si="44"/>
        <v>6-15</v>
      </c>
      <c r="AG436">
        <v>6</v>
      </c>
      <c r="AH436">
        <v>4</v>
      </c>
      <c r="AI436" s="5">
        <v>13</v>
      </c>
      <c r="AJ436">
        <v>8</v>
      </c>
      <c r="AK436">
        <v>0</v>
      </c>
      <c r="AL436">
        <v>8</v>
      </c>
      <c r="AM436" t="str">
        <f t="shared" si="45"/>
        <v>Ok</v>
      </c>
      <c r="AN436" s="21">
        <f t="shared" si="46"/>
        <v>28.15814850530376</v>
      </c>
      <c r="AO436" t="str">
        <f t="shared" ca="1" si="47"/>
        <v>No</v>
      </c>
      <c r="AP436" t="str">
        <f t="shared" si="48"/>
        <v>Low Risk</v>
      </c>
    </row>
    <row r="437" spans="1:42" x14ac:dyDescent="0.3">
      <c r="A437" s="5">
        <v>33</v>
      </c>
      <c r="B437" s="5" t="s">
        <v>35</v>
      </c>
      <c r="C437" s="5" t="str">
        <f t="shared" si="42"/>
        <v>Yes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 s="5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 s="5">
        <v>13610</v>
      </c>
      <c r="U437">
        <v>24619</v>
      </c>
      <c r="V437">
        <v>7</v>
      </c>
      <c r="W437" t="s">
        <v>42</v>
      </c>
      <c r="X437" t="s">
        <v>35</v>
      </c>
      <c r="Y437" t="str">
        <f t="shared" si="43"/>
        <v>Yes</v>
      </c>
      <c r="Z437">
        <v>12</v>
      </c>
      <c r="AA437">
        <v>3</v>
      </c>
      <c r="AB437">
        <v>4</v>
      </c>
      <c r="AC437">
        <v>80</v>
      </c>
      <c r="AD437">
        <v>0</v>
      </c>
      <c r="AE437" s="5">
        <v>15</v>
      </c>
      <c r="AF437" t="str">
        <f t="shared" si="44"/>
        <v>6-15</v>
      </c>
      <c r="AG437">
        <v>2</v>
      </c>
      <c r="AH437">
        <v>4</v>
      </c>
      <c r="AI437" s="5">
        <v>7</v>
      </c>
      <c r="AJ437">
        <v>6</v>
      </c>
      <c r="AK437">
        <v>7</v>
      </c>
      <c r="AL437">
        <v>7</v>
      </c>
      <c r="AM437" t="str">
        <f t="shared" si="45"/>
        <v>Ok</v>
      </c>
      <c r="AN437" s="21">
        <f t="shared" si="46"/>
        <v>28.08880308880309</v>
      </c>
      <c r="AO437" t="str">
        <f t="shared" ca="1" si="47"/>
        <v>No</v>
      </c>
      <c r="AP437" t="str">
        <f t="shared" si="48"/>
        <v>Low Risk</v>
      </c>
    </row>
    <row r="438" spans="1:42" x14ac:dyDescent="0.3">
      <c r="A438" s="5">
        <v>33</v>
      </c>
      <c r="B438" s="5" t="s">
        <v>35</v>
      </c>
      <c r="C438" s="5" t="str">
        <f t="shared" si="42"/>
        <v>Yes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 s="5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 s="5">
        <v>3408</v>
      </c>
      <c r="U438">
        <v>6705</v>
      </c>
      <c r="V438">
        <v>7</v>
      </c>
      <c r="W438" t="s">
        <v>42</v>
      </c>
      <c r="X438" t="s">
        <v>43</v>
      </c>
      <c r="Y438" t="str">
        <f t="shared" si="43"/>
        <v>No</v>
      </c>
      <c r="Z438">
        <v>13</v>
      </c>
      <c r="AA438">
        <v>3</v>
      </c>
      <c r="AB438">
        <v>1</v>
      </c>
      <c r="AC438">
        <v>80</v>
      </c>
      <c r="AD438">
        <v>3</v>
      </c>
      <c r="AE438" s="5">
        <v>8</v>
      </c>
      <c r="AF438" t="str">
        <f t="shared" si="44"/>
        <v>6-15</v>
      </c>
      <c r="AG438">
        <v>2</v>
      </c>
      <c r="AH438">
        <v>3</v>
      </c>
      <c r="AI438" s="5">
        <v>4</v>
      </c>
      <c r="AJ438">
        <v>3</v>
      </c>
      <c r="AK438">
        <v>1</v>
      </c>
      <c r="AL438">
        <v>3</v>
      </c>
      <c r="AM438" t="str">
        <f t="shared" si="45"/>
        <v>Below Avg</v>
      </c>
      <c r="AN438" s="21">
        <f t="shared" si="46"/>
        <v>28.115942028985508</v>
      </c>
      <c r="AO438" t="str">
        <f t="shared" ca="1" si="47"/>
        <v>No</v>
      </c>
      <c r="AP438" t="str">
        <f t="shared" si="48"/>
        <v>Low Risk</v>
      </c>
    </row>
    <row r="439" spans="1:42" x14ac:dyDescent="0.3">
      <c r="A439" s="5">
        <v>30</v>
      </c>
      <c r="B439" s="5" t="s">
        <v>43</v>
      </c>
      <c r="C439" s="5" t="str">
        <f t="shared" si="42"/>
        <v>No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 s="5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 s="5">
        <v>2983</v>
      </c>
      <c r="U439">
        <v>18398</v>
      </c>
      <c r="V439">
        <v>0</v>
      </c>
      <c r="W439" t="s">
        <v>42</v>
      </c>
      <c r="X439" t="s">
        <v>43</v>
      </c>
      <c r="Y439" t="str">
        <f t="shared" si="43"/>
        <v>No</v>
      </c>
      <c r="Z439">
        <v>14</v>
      </c>
      <c r="AA439">
        <v>3</v>
      </c>
      <c r="AB439">
        <v>1</v>
      </c>
      <c r="AC439">
        <v>80</v>
      </c>
      <c r="AD439">
        <v>0</v>
      </c>
      <c r="AE439" s="5">
        <v>4</v>
      </c>
      <c r="AF439" t="str">
        <f t="shared" si="44"/>
        <v>0-5</v>
      </c>
      <c r="AG439">
        <v>3</v>
      </c>
      <c r="AH439">
        <v>3</v>
      </c>
      <c r="AI439" s="5">
        <v>3</v>
      </c>
      <c r="AJ439">
        <v>2</v>
      </c>
      <c r="AK439">
        <v>1</v>
      </c>
      <c r="AL439">
        <v>2</v>
      </c>
      <c r="AM439" t="str">
        <f t="shared" si="45"/>
        <v>Below Avg</v>
      </c>
      <c r="AN439" s="21">
        <f t="shared" si="46"/>
        <v>28.046421663442938</v>
      </c>
      <c r="AO439" t="str">
        <f t="shared" ca="1" si="47"/>
        <v>No</v>
      </c>
      <c r="AP439" t="str">
        <f t="shared" si="48"/>
        <v>Low Risk</v>
      </c>
    </row>
    <row r="440" spans="1:42" x14ac:dyDescent="0.3">
      <c r="A440" s="5">
        <v>35</v>
      </c>
      <c r="B440" s="5" t="s">
        <v>43</v>
      </c>
      <c r="C440" s="5" t="str">
        <f t="shared" si="42"/>
        <v>No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 s="5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 s="5">
        <v>7632</v>
      </c>
      <c r="U440">
        <v>14295</v>
      </c>
      <c r="V440">
        <v>4</v>
      </c>
      <c r="W440" t="s">
        <v>42</v>
      </c>
      <c r="X440" t="s">
        <v>35</v>
      </c>
      <c r="Y440" t="str">
        <f t="shared" si="43"/>
        <v>Yes</v>
      </c>
      <c r="Z440">
        <v>12</v>
      </c>
      <c r="AA440">
        <v>3</v>
      </c>
      <c r="AB440">
        <v>3</v>
      </c>
      <c r="AC440">
        <v>80</v>
      </c>
      <c r="AD440">
        <v>0</v>
      </c>
      <c r="AE440" s="5">
        <v>10</v>
      </c>
      <c r="AF440" t="str">
        <f t="shared" si="44"/>
        <v>6-15</v>
      </c>
      <c r="AG440">
        <v>2</v>
      </c>
      <c r="AH440">
        <v>3</v>
      </c>
      <c r="AI440" s="5">
        <v>8</v>
      </c>
      <c r="AJ440">
        <v>7</v>
      </c>
      <c r="AK440">
        <v>0</v>
      </c>
      <c r="AL440">
        <v>0</v>
      </c>
      <c r="AM440" t="str">
        <f t="shared" si="45"/>
        <v>Ok</v>
      </c>
      <c r="AN440" s="21">
        <f t="shared" si="46"/>
        <v>28.073572120038719</v>
      </c>
      <c r="AO440" t="str">
        <f t="shared" ca="1" si="47"/>
        <v>No</v>
      </c>
      <c r="AP440" t="str">
        <f t="shared" si="48"/>
        <v>Low Risk</v>
      </c>
    </row>
    <row r="441" spans="1:42" x14ac:dyDescent="0.3">
      <c r="A441" s="5">
        <v>31</v>
      </c>
      <c r="B441" s="5" t="s">
        <v>35</v>
      </c>
      <c r="C441" s="5" t="str">
        <f t="shared" si="42"/>
        <v>Yes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 s="5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 s="5">
        <v>9824</v>
      </c>
      <c r="U441">
        <v>22908</v>
      </c>
      <c r="V441">
        <v>3</v>
      </c>
      <c r="W441" t="s">
        <v>42</v>
      </c>
      <c r="X441" t="s">
        <v>43</v>
      </c>
      <c r="Y441" t="str">
        <f t="shared" si="43"/>
        <v>No</v>
      </c>
      <c r="Z441">
        <v>12</v>
      </c>
      <c r="AA441">
        <v>3</v>
      </c>
      <c r="AB441">
        <v>1</v>
      </c>
      <c r="AC441">
        <v>80</v>
      </c>
      <c r="AD441">
        <v>0</v>
      </c>
      <c r="AE441" s="5">
        <v>12</v>
      </c>
      <c r="AF441" t="str">
        <f t="shared" si="44"/>
        <v>6-15</v>
      </c>
      <c r="AG441">
        <v>2</v>
      </c>
      <c r="AH441">
        <v>3</v>
      </c>
      <c r="AI441" s="5">
        <v>1</v>
      </c>
      <c r="AJ441">
        <v>0</v>
      </c>
      <c r="AK441">
        <v>0</v>
      </c>
      <c r="AL441">
        <v>0</v>
      </c>
      <c r="AM441" t="str">
        <f t="shared" si="45"/>
        <v>Ok</v>
      </c>
      <c r="AN441" s="21">
        <f t="shared" si="46"/>
        <v>28.100775193798448</v>
      </c>
      <c r="AO441" t="str">
        <f t="shared" ca="1" si="47"/>
        <v>No</v>
      </c>
      <c r="AP441" t="str">
        <f t="shared" si="48"/>
        <v>High Risk</v>
      </c>
    </row>
    <row r="442" spans="1:42" x14ac:dyDescent="0.3">
      <c r="A442" s="5">
        <v>34</v>
      </c>
      <c r="B442" s="5" t="s">
        <v>35</v>
      </c>
      <c r="C442" s="5" t="str">
        <f t="shared" si="42"/>
        <v>Yes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 s="5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 s="5">
        <v>9950</v>
      </c>
      <c r="U442">
        <v>11533</v>
      </c>
      <c r="V442">
        <v>9</v>
      </c>
      <c r="W442" t="s">
        <v>42</v>
      </c>
      <c r="X442" t="s">
        <v>35</v>
      </c>
      <c r="Y442" t="str">
        <f t="shared" si="43"/>
        <v>Yes</v>
      </c>
      <c r="Z442">
        <v>15</v>
      </c>
      <c r="AA442">
        <v>3</v>
      </c>
      <c r="AB442">
        <v>3</v>
      </c>
      <c r="AC442">
        <v>80</v>
      </c>
      <c r="AD442">
        <v>3</v>
      </c>
      <c r="AE442" s="5">
        <v>11</v>
      </c>
      <c r="AF442" t="str">
        <f t="shared" si="44"/>
        <v>6-15</v>
      </c>
      <c r="AG442">
        <v>2</v>
      </c>
      <c r="AH442">
        <v>3</v>
      </c>
      <c r="AI442" s="5">
        <v>3</v>
      </c>
      <c r="AJ442">
        <v>2</v>
      </c>
      <c r="AK442">
        <v>0</v>
      </c>
      <c r="AL442">
        <v>2</v>
      </c>
      <c r="AM442" t="str">
        <f t="shared" si="45"/>
        <v>Ok</v>
      </c>
      <c r="AN442" s="21">
        <f t="shared" si="46"/>
        <v>28.031037827352083</v>
      </c>
      <c r="AO442" t="str">
        <f t="shared" ca="1" si="47"/>
        <v>No</v>
      </c>
      <c r="AP442" t="str">
        <f t="shared" si="48"/>
        <v>Low Risk</v>
      </c>
    </row>
    <row r="443" spans="1:42" x14ac:dyDescent="0.3">
      <c r="A443" s="5">
        <v>42</v>
      </c>
      <c r="B443" s="5" t="s">
        <v>43</v>
      </c>
      <c r="C443" s="5" t="str">
        <f t="shared" si="42"/>
        <v>No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 s="5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 s="5">
        <v>2093</v>
      </c>
      <c r="U443">
        <v>9260</v>
      </c>
      <c r="V443">
        <v>4</v>
      </c>
      <c r="W443" t="s">
        <v>42</v>
      </c>
      <c r="X443" t="s">
        <v>43</v>
      </c>
      <c r="Y443" t="str">
        <f t="shared" si="43"/>
        <v>No</v>
      </c>
      <c r="Z443">
        <v>17</v>
      </c>
      <c r="AA443">
        <v>3</v>
      </c>
      <c r="AB443">
        <v>4</v>
      </c>
      <c r="AC443">
        <v>80</v>
      </c>
      <c r="AD443">
        <v>1</v>
      </c>
      <c r="AE443" s="5">
        <v>8</v>
      </c>
      <c r="AF443" t="str">
        <f t="shared" si="44"/>
        <v>6-15</v>
      </c>
      <c r="AG443">
        <v>4</v>
      </c>
      <c r="AH443">
        <v>3</v>
      </c>
      <c r="AI443" s="5">
        <v>2</v>
      </c>
      <c r="AJ443">
        <v>2</v>
      </c>
      <c r="AK443">
        <v>2</v>
      </c>
      <c r="AL443">
        <v>0</v>
      </c>
      <c r="AM443" t="str">
        <f t="shared" si="45"/>
        <v>Below Avg</v>
      </c>
      <c r="AN443" s="21">
        <f t="shared" si="46"/>
        <v>28.058252427184467</v>
      </c>
      <c r="AO443" t="str">
        <f t="shared" ca="1" si="47"/>
        <v>No</v>
      </c>
      <c r="AP443" t="str">
        <f t="shared" si="48"/>
        <v>Low Risk</v>
      </c>
    </row>
    <row r="444" spans="1:42" x14ac:dyDescent="0.3">
      <c r="A444" s="5">
        <v>36</v>
      </c>
      <c r="B444" s="5" t="s">
        <v>43</v>
      </c>
      <c r="C444" s="5" t="str">
        <f t="shared" si="42"/>
        <v>No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 s="5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 s="5">
        <v>9980</v>
      </c>
      <c r="U444">
        <v>15318</v>
      </c>
      <c r="V444">
        <v>1</v>
      </c>
      <c r="W444" t="s">
        <v>42</v>
      </c>
      <c r="X444" t="s">
        <v>43</v>
      </c>
      <c r="Y444" t="str">
        <f t="shared" si="43"/>
        <v>No</v>
      </c>
      <c r="Z444">
        <v>14</v>
      </c>
      <c r="AA444">
        <v>3</v>
      </c>
      <c r="AB444">
        <v>4</v>
      </c>
      <c r="AC444">
        <v>80</v>
      </c>
      <c r="AD444">
        <v>0</v>
      </c>
      <c r="AE444" s="5">
        <v>10</v>
      </c>
      <c r="AF444" t="str">
        <f t="shared" si="44"/>
        <v>6-15</v>
      </c>
      <c r="AG444">
        <v>3</v>
      </c>
      <c r="AH444">
        <v>2</v>
      </c>
      <c r="AI444" s="5">
        <v>10</v>
      </c>
      <c r="AJ444">
        <v>3</v>
      </c>
      <c r="AK444">
        <v>9</v>
      </c>
      <c r="AL444">
        <v>7</v>
      </c>
      <c r="AM444" t="str">
        <f t="shared" si="45"/>
        <v>Ok</v>
      </c>
      <c r="AN444" s="21">
        <f t="shared" si="46"/>
        <v>27.988338192419825</v>
      </c>
      <c r="AO444" t="str">
        <f t="shared" ca="1" si="47"/>
        <v>No</v>
      </c>
      <c r="AP444" t="str">
        <f t="shared" si="48"/>
        <v>Low Risk</v>
      </c>
    </row>
    <row r="445" spans="1:42" x14ac:dyDescent="0.3">
      <c r="A445" s="5">
        <v>22</v>
      </c>
      <c r="B445" s="5" t="s">
        <v>35</v>
      </c>
      <c r="C445" s="5" t="str">
        <f t="shared" si="42"/>
        <v>Yes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 s="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 s="5">
        <v>3894</v>
      </c>
      <c r="U445">
        <v>9129</v>
      </c>
      <c r="V445">
        <v>5</v>
      </c>
      <c r="W445" t="s">
        <v>42</v>
      </c>
      <c r="X445" t="s">
        <v>43</v>
      </c>
      <c r="Y445" t="str">
        <f t="shared" si="43"/>
        <v>No</v>
      </c>
      <c r="Z445">
        <v>16</v>
      </c>
      <c r="AA445">
        <v>3</v>
      </c>
      <c r="AB445">
        <v>3</v>
      </c>
      <c r="AC445">
        <v>80</v>
      </c>
      <c r="AD445">
        <v>0</v>
      </c>
      <c r="AE445" s="5">
        <v>4</v>
      </c>
      <c r="AF445" t="str">
        <f t="shared" si="44"/>
        <v>0-5</v>
      </c>
      <c r="AG445">
        <v>3</v>
      </c>
      <c r="AH445">
        <v>3</v>
      </c>
      <c r="AI445" s="5">
        <v>2</v>
      </c>
      <c r="AJ445">
        <v>2</v>
      </c>
      <c r="AK445">
        <v>1</v>
      </c>
      <c r="AL445">
        <v>2</v>
      </c>
      <c r="AM445" t="str">
        <f t="shared" si="45"/>
        <v>Below Avg</v>
      </c>
      <c r="AN445" s="21">
        <f t="shared" si="46"/>
        <v>28.01556420233463</v>
      </c>
      <c r="AO445" t="str">
        <f t="shared" ca="1" si="47"/>
        <v>No</v>
      </c>
      <c r="AP445" t="str">
        <f t="shared" si="48"/>
        <v>Low Risk</v>
      </c>
    </row>
    <row r="446" spans="1:42" x14ac:dyDescent="0.3">
      <c r="A446" s="5">
        <v>48</v>
      </c>
      <c r="B446" s="5" t="s">
        <v>43</v>
      </c>
      <c r="C446" s="5" t="str">
        <f t="shared" si="42"/>
        <v>No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 s="5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 s="5">
        <v>4051</v>
      </c>
      <c r="U446">
        <v>19658</v>
      </c>
      <c r="V446">
        <v>2</v>
      </c>
      <c r="W446" t="s">
        <v>42</v>
      </c>
      <c r="X446" t="s">
        <v>43</v>
      </c>
      <c r="Y446" t="str">
        <f t="shared" si="43"/>
        <v>No</v>
      </c>
      <c r="Z446">
        <v>14</v>
      </c>
      <c r="AA446">
        <v>3</v>
      </c>
      <c r="AB446">
        <v>1</v>
      </c>
      <c r="AC446">
        <v>80</v>
      </c>
      <c r="AD446">
        <v>1</v>
      </c>
      <c r="AE446" s="5">
        <v>14</v>
      </c>
      <c r="AF446" t="str">
        <f t="shared" si="44"/>
        <v>6-15</v>
      </c>
      <c r="AG446">
        <v>2</v>
      </c>
      <c r="AH446">
        <v>3</v>
      </c>
      <c r="AI446" s="5">
        <v>9</v>
      </c>
      <c r="AJ446">
        <v>7</v>
      </c>
      <c r="AK446">
        <v>6</v>
      </c>
      <c r="AL446">
        <v>7</v>
      </c>
      <c r="AM446" t="str">
        <f t="shared" si="45"/>
        <v>Below Avg</v>
      </c>
      <c r="AN446" s="21">
        <f t="shared" si="46"/>
        <v>28.042843232716653</v>
      </c>
      <c r="AO446" t="str">
        <f t="shared" ca="1" si="47"/>
        <v>No</v>
      </c>
      <c r="AP446" t="str">
        <f t="shared" si="48"/>
        <v>Low Risk</v>
      </c>
    </row>
    <row r="447" spans="1:42" x14ac:dyDescent="0.3">
      <c r="A447" s="5">
        <v>55</v>
      </c>
      <c r="B447" s="5" t="s">
        <v>43</v>
      </c>
      <c r="C447" s="5" t="str">
        <f t="shared" si="42"/>
        <v>No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 s="5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 s="5">
        <v>16835</v>
      </c>
      <c r="U447">
        <v>9873</v>
      </c>
      <c r="V447">
        <v>3</v>
      </c>
      <c r="W447" t="s">
        <v>42</v>
      </c>
      <c r="X447" t="s">
        <v>43</v>
      </c>
      <c r="Y447" t="str">
        <f t="shared" si="43"/>
        <v>No</v>
      </c>
      <c r="Z447">
        <v>23</v>
      </c>
      <c r="AA447">
        <v>4</v>
      </c>
      <c r="AB447">
        <v>4</v>
      </c>
      <c r="AC447">
        <v>80</v>
      </c>
      <c r="AD447">
        <v>0</v>
      </c>
      <c r="AE447" s="5">
        <v>37</v>
      </c>
      <c r="AF447" t="str">
        <f t="shared" si="44"/>
        <v>&gt;15</v>
      </c>
      <c r="AG447">
        <v>2</v>
      </c>
      <c r="AH447">
        <v>3</v>
      </c>
      <c r="AI447" s="5">
        <v>10</v>
      </c>
      <c r="AJ447">
        <v>9</v>
      </c>
      <c r="AK447">
        <v>7</v>
      </c>
      <c r="AL447">
        <v>7</v>
      </c>
      <c r="AM447" t="str">
        <f t="shared" si="45"/>
        <v>Ok</v>
      </c>
      <c r="AN447" s="21">
        <f t="shared" si="46"/>
        <v>28.07017543859649</v>
      </c>
      <c r="AO447" t="str">
        <f t="shared" ca="1" si="47"/>
        <v>No</v>
      </c>
      <c r="AP447" t="str">
        <f t="shared" si="48"/>
        <v>Low Risk</v>
      </c>
    </row>
    <row r="448" spans="1:42" x14ac:dyDescent="0.3">
      <c r="A448" s="5">
        <v>41</v>
      </c>
      <c r="B448" s="5" t="s">
        <v>43</v>
      </c>
      <c r="C448" s="5" t="str">
        <f t="shared" si="42"/>
        <v>No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 s="5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 s="5">
        <v>6230</v>
      </c>
      <c r="U448">
        <v>13430</v>
      </c>
      <c r="V448">
        <v>7</v>
      </c>
      <c r="W448" t="s">
        <v>42</v>
      </c>
      <c r="X448" t="s">
        <v>43</v>
      </c>
      <c r="Y448" t="str">
        <f t="shared" si="43"/>
        <v>No</v>
      </c>
      <c r="Z448">
        <v>14</v>
      </c>
      <c r="AA448">
        <v>3</v>
      </c>
      <c r="AB448">
        <v>4</v>
      </c>
      <c r="AC448">
        <v>80</v>
      </c>
      <c r="AD448">
        <v>0</v>
      </c>
      <c r="AE448" s="5">
        <v>16</v>
      </c>
      <c r="AF448" t="str">
        <f t="shared" si="44"/>
        <v>&gt;15</v>
      </c>
      <c r="AG448">
        <v>3</v>
      </c>
      <c r="AH448">
        <v>3</v>
      </c>
      <c r="AI448" s="5">
        <v>14</v>
      </c>
      <c r="AJ448">
        <v>3</v>
      </c>
      <c r="AK448">
        <v>1</v>
      </c>
      <c r="AL448">
        <v>10</v>
      </c>
      <c r="AM448" t="str">
        <f t="shared" si="45"/>
        <v>Below Avg</v>
      </c>
      <c r="AN448" s="21">
        <f t="shared" si="46"/>
        <v>28.09756097560976</v>
      </c>
      <c r="AO448" t="str">
        <f t="shared" ca="1" si="47"/>
        <v>No</v>
      </c>
      <c r="AP448" t="str">
        <f t="shared" si="48"/>
        <v>Low Risk</v>
      </c>
    </row>
    <row r="449" spans="1:42" x14ac:dyDescent="0.3">
      <c r="A449" s="5">
        <v>35</v>
      </c>
      <c r="B449" s="5" t="s">
        <v>43</v>
      </c>
      <c r="C449" s="5" t="str">
        <f t="shared" si="42"/>
        <v>No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 s="5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 s="5">
        <v>4717</v>
      </c>
      <c r="U449">
        <v>18659</v>
      </c>
      <c r="V449">
        <v>9</v>
      </c>
      <c r="W449" t="s">
        <v>42</v>
      </c>
      <c r="X449" t="s">
        <v>43</v>
      </c>
      <c r="Y449" t="str">
        <f t="shared" si="43"/>
        <v>No</v>
      </c>
      <c r="Z449">
        <v>11</v>
      </c>
      <c r="AA449">
        <v>3</v>
      </c>
      <c r="AB449">
        <v>3</v>
      </c>
      <c r="AC449">
        <v>80</v>
      </c>
      <c r="AD449">
        <v>0</v>
      </c>
      <c r="AE449" s="5">
        <v>15</v>
      </c>
      <c r="AF449" t="str">
        <f t="shared" si="44"/>
        <v>6-15</v>
      </c>
      <c r="AG449">
        <v>2</v>
      </c>
      <c r="AH449">
        <v>3</v>
      </c>
      <c r="AI449" s="5">
        <v>11</v>
      </c>
      <c r="AJ449">
        <v>9</v>
      </c>
      <c r="AK449">
        <v>6</v>
      </c>
      <c r="AL449">
        <v>9</v>
      </c>
      <c r="AM449" t="str">
        <f t="shared" si="45"/>
        <v>Below Avg</v>
      </c>
      <c r="AN449" s="21">
        <f t="shared" si="46"/>
        <v>28.125</v>
      </c>
      <c r="AO449" t="str">
        <f t="shared" ca="1" si="47"/>
        <v>No</v>
      </c>
      <c r="AP449" t="str">
        <f t="shared" si="48"/>
        <v>Low Risk</v>
      </c>
    </row>
    <row r="450" spans="1:42" x14ac:dyDescent="0.3">
      <c r="A450" s="5">
        <v>40</v>
      </c>
      <c r="B450" s="5" t="s">
        <v>43</v>
      </c>
      <c r="C450" s="5" t="str">
        <f t="shared" si="42"/>
        <v>No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 s="5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 s="5">
        <v>13237</v>
      </c>
      <c r="U450">
        <v>20364</v>
      </c>
      <c r="V450">
        <v>7</v>
      </c>
      <c r="W450" t="s">
        <v>42</v>
      </c>
      <c r="X450" t="s">
        <v>43</v>
      </c>
      <c r="Y450" t="str">
        <f t="shared" si="43"/>
        <v>No</v>
      </c>
      <c r="Z450">
        <v>15</v>
      </c>
      <c r="AA450">
        <v>3</v>
      </c>
      <c r="AB450">
        <v>3</v>
      </c>
      <c r="AC450">
        <v>80</v>
      </c>
      <c r="AD450">
        <v>0</v>
      </c>
      <c r="AE450" s="5">
        <v>22</v>
      </c>
      <c r="AF450" t="str">
        <f t="shared" si="44"/>
        <v>&gt;15</v>
      </c>
      <c r="AG450">
        <v>3</v>
      </c>
      <c r="AH450">
        <v>3</v>
      </c>
      <c r="AI450" s="5">
        <v>20</v>
      </c>
      <c r="AJ450">
        <v>6</v>
      </c>
      <c r="AK450">
        <v>5</v>
      </c>
      <c r="AL450">
        <v>13</v>
      </c>
      <c r="AM450" t="str">
        <f t="shared" si="45"/>
        <v>Ok</v>
      </c>
      <c r="AN450" s="21">
        <f t="shared" si="46"/>
        <v>28.152492668621704</v>
      </c>
      <c r="AO450" t="str">
        <f t="shared" ca="1" si="47"/>
        <v>No</v>
      </c>
      <c r="AP450" t="str">
        <f t="shared" si="48"/>
        <v>Low Risk</v>
      </c>
    </row>
    <row r="451" spans="1:42" x14ac:dyDescent="0.3">
      <c r="A451" s="5">
        <v>39</v>
      </c>
      <c r="B451" s="5" t="s">
        <v>43</v>
      </c>
      <c r="C451" s="5" t="str">
        <f t="shared" ref="C451:C514" si="49">IF(LOWER(B451)="yes","Yes","No")</f>
        <v>No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 s="5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 s="5">
        <v>3755</v>
      </c>
      <c r="U451">
        <v>17872</v>
      </c>
      <c r="V451">
        <v>1</v>
      </c>
      <c r="W451" t="s">
        <v>42</v>
      </c>
      <c r="X451" t="s">
        <v>43</v>
      </c>
      <c r="Y451" t="str">
        <f t="shared" ref="Y451:Y514" si="50">IF(LOWER(X451)="yes","Yes","No")</f>
        <v>No</v>
      </c>
      <c r="Z451">
        <v>11</v>
      </c>
      <c r="AA451">
        <v>3</v>
      </c>
      <c r="AB451">
        <v>1</v>
      </c>
      <c r="AC451">
        <v>80</v>
      </c>
      <c r="AD451">
        <v>1</v>
      </c>
      <c r="AE451" s="5">
        <v>8</v>
      </c>
      <c r="AF451" t="str">
        <f t="shared" ref="AF451:AF514" si="51">IF(AE451&lt;=5,"0-5",IF(AE451&lt;=15,"6-15","&gt;15"))</f>
        <v>6-15</v>
      </c>
      <c r="AG451">
        <v>3</v>
      </c>
      <c r="AH451">
        <v>3</v>
      </c>
      <c r="AI451" s="5">
        <v>8</v>
      </c>
      <c r="AJ451">
        <v>3</v>
      </c>
      <c r="AK451">
        <v>0</v>
      </c>
      <c r="AL451">
        <v>7</v>
      </c>
      <c r="AM451" t="str">
        <f t="shared" ref="AM451:AM514" si="52">IF(T451&lt;AVERAGEIF($F450:$F1920,F451,$T450:$T1920),"Below Avg","Ok")</f>
        <v>Below Avg</v>
      </c>
      <c r="AN451" s="21">
        <f t="shared" ref="AN451:AN514" si="53">COUNTIF(X450:X1920,"Yes")/COUNTA(X450:X1920)*100</f>
        <v>28.180039138943247</v>
      </c>
      <c r="AO451" t="str">
        <f t="shared" ref="AO451:AO514" ca="1" si="54">IF(AND(AA451&gt;=4,Z451&lt;AVERAGEIF($F450:$F1920,F451,$Z451:$Z1920)),"Yes","No")</f>
        <v>No</v>
      </c>
      <c r="AP451" t="str">
        <f t="shared" ref="AP451:AP514" si="55">IF(AND(AI451&lt;2,C451="Yes"),"High Risk","Low Risk")</f>
        <v>Low Risk</v>
      </c>
    </row>
    <row r="452" spans="1:42" x14ac:dyDescent="0.3">
      <c r="A452" s="5">
        <v>31</v>
      </c>
      <c r="B452" s="5" t="s">
        <v>43</v>
      </c>
      <c r="C452" s="5" t="str">
        <f t="shared" si="49"/>
        <v>No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 s="5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 s="5">
        <v>6582</v>
      </c>
      <c r="U452">
        <v>8346</v>
      </c>
      <c r="V452">
        <v>4</v>
      </c>
      <c r="W452" t="s">
        <v>42</v>
      </c>
      <c r="X452" t="s">
        <v>35</v>
      </c>
      <c r="Y452" t="str">
        <f t="shared" si="50"/>
        <v>Yes</v>
      </c>
      <c r="Z452">
        <v>13</v>
      </c>
      <c r="AA452">
        <v>3</v>
      </c>
      <c r="AB452">
        <v>3</v>
      </c>
      <c r="AC452">
        <v>80</v>
      </c>
      <c r="AD452">
        <v>0</v>
      </c>
      <c r="AE452" s="5">
        <v>10</v>
      </c>
      <c r="AF452" t="str">
        <f t="shared" si="51"/>
        <v>6-15</v>
      </c>
      <c r="AG452">
        <v>2</v>
      </c>
      <c r="AH452">
        <v>4</v>
      </c>
      <c r="AI452" s="5">
        <v>6</v>
      </c>
      <c r="AJ452">
        <v>5</v>
      </c>
      <c r="AK452">
        <v>0</v>
      </c>
      <c r="AL452">
        <v>5</v>
      </c>
      <c r="AM452" t="str">
        <f t="shared" si="52"/>
        <v>Below Avg</v>
      </c>
      <c r="AN452" s="21">
        <f t="shared" si="53"/>
        <v>28.207639569049952</v>
      </c>
      <c r="AO452" t="str">
        <f t="shared" ca="1" si="54"/>
        <v>No</v>
      </c>
      <c r="AP452" t="str">
        <f t="shared" si="55"/>
        <v>Low Risk</v>
      </c>
    </row>
    <row r="453" spans="1:42" x14ac:dyDescent="0.3">
      <c r="A453" s="5">
        <v>42</v>
      </c>
      <c r="B453" s="5" t="s">
        <v>43</v>
      </c>
      <c r="C453" s="5" t="str">
        <f t="shared" si="49"/>
        <v>No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 s="5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 s="5">
        <v>7406</v>
      </c>
      <c r="U453">
        <v>6950</v>
      </c>
      <c r="V453">
        <v>1</v>
      </c>
      <c r="W453" t="s">
        <v>42</v>
      </c>
      <c r="X453" t="s">
        <v>35</v>
      </c>
      <c r="Y453" t="str">
        <f t="shared" si="50"/>
        <v>Yes</v>
      </c>
      <c r="Z453">
        <v>21</v>
      </c>
      <c r="AA453">
        <v>4</v>
      </c>
      <c r="AB453">
        <v>4</v>
      </c>
      <c r="AC453">
        <v>80</v>
      </c>
      <c r="AD453">
        <v>1</v>
      </c>
      <c r="AE453" s="5">
        <v>10</v>
      </c>
      <c r="AF453" t="str">
        <f t="shared" si="51"/>
        <v>6-15</v>
      </c>
      <c r="AG453">
        <v>5</v>
      </c>
      <c r="AH453">
        <v>2</v>
      </c>
      <c r="AI453" s="5">
        <v>10</v>
      </c>
      <c r="AJ453">
        <v>9</v>
      </c>
      <c r="AK453">
        <v>5</v>
      </c>
      <c r="AL453">
        <v>8</v>
      </c>
      <c r="AM453" t="str">
        <f t="shared" si="52"/>
        <v>Ok</v>
      </c>
      <c r="AN453" s="21">
        <f t="shared" si="53"/>
        <v>28.235294117647058</v>
      </c>
      <c r="AO453" t="str">
        <f t="shared" ca="1" si="54"/>
        <v>No</v>
      </c>
      <c r="AP453" t="str">
        <f t="shared" si="55"/>
        <v>Low Risk</v>
      </c>
    </row>
    <row r="454" spans="1:42" x14ac:dyDescent="0.3">
      <c r="A454" s="5">
        <v>45</v>
      </c>
      <c r="B454" s="5" t="s">
        <v>43</v>
      </c>
      <c r="C454" s="5" t="str">
        <f t="shared" si="49"/>
        <v>No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 s="5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 s="5">
        <v>4805</v>
      </c>
      <c r="U454">
        <v>16177</v>
      </c>
      <c r="V454">
        <v>0</v>
      </c>
      <c r="W454" t="s">
        <v>42</v>
      </c>
      <c r="X454" t="s">
        <v>43</v>
      </c>
      <c r="Y454" t="str">
        <f t="shared" si="50"/>
        <v>No</v>
      </c>
      <c r="Z454">
        <v>19</v>
      </c>
      <c r="AA454">
        <v>3</v>
      </c>
      <c r="AB454">
        <v>2</v>
      </c>
      <c r="AC454">
        <v>80</v>
      </c>
      <c r="AD454">
        <v>1</v>
      </c>
      <c r="AE454" s="5">
        <v>9</v>
      </c>
      <c r="AF454" t="str">
        <f t="shared" si="51"/>
        <v>6-15</v>
      </c>
      <c r="AG454">
        <v>3</v>
      </c>
      <c r="AH454">
        <v>4</v>
      </c>
      <c r="AI454" s="5">
        <v>8</v>
      </c>
      <c r="AJ454">
        <v>7</v>
      </c>
      <c r="AK454">
        <v>3</v>
      </c>
      <c r="AL454">
        <v>7</v>
      </c>
      <c r="AM454" t="str">
        <f t="shared" si="52"/>
        <v>Below Avg</v>
      </c>
      <c r="AN454" s="21">
        <f t="shared" si="53"/>
        <v>28.164867517173697</v>
      </c>
      <c r="AO454" t="str">
        <f t="shared" ca="1" si="54"/>
        <v>No</v>
      </c>
      <c r="AP454" t="str">
        <f t="shared" si="55"/>
        <v>Low Risk</v>
      </c>
    </row>
    <row r="455" spans="1:42" x14ac:dyDescent="0.3">
      <c r="A455" s="5">
        <v>26</v>
      </c>
      <c r="B455" s="5" t="s">
        <v>35</v>
      </c>
      <c r="C455" s="5" t="str">
        <f t="shared" si="49"/>
        <v>Yes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 s="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 s="5">
        <v>2741</v>
      </c>
      <c r="U455">
        <v>22808</v>
      </c>
      <c r="V455">
        <v>0</v>
      </c>
      <c r="W455" t="s">
        <v>42</v>
      </c>
      <c r="X455" t="s">
        <v>35</v>
      </c>
      <c r="Y455" t="str">
        <f t="shared" si="50"/>
        <v>Yes</v>
      </c>
      <c r="Z455">
        <v>11</v>
      </c>
      <c r="AA455">
        <v>3</v>
      </c>
      <c r="AB455">
        <v>2</v>
      </c>
      <c r="AC455">
        <v>80</v>
      </c>
      <c r="AD455">
        <v>1</v>
      </c>
      <c r="AE455" s="5">
        <v>8</v>
      </c>
      <c r="AF455" t="str">
        <f t="shared" si="51"/>
        <v>6-15</v>
      </c>
      <c r="AG455">
        <v>2</v>
      </c>
      <c r="AH455">
        <v>2</v>
      </c>
      <c r="AI455" s="5">
        <v>7</v>
      </c>
      <c r="AJ455">
        <v>7</v>
      </c>
      <c r="AK455">
        <v>1</v>
      </c>
      <c r="AL455">
        <v>0</v>
      </c>
      <c r="AM455" t="str">
        <f t="shared" si="52"/>
        <v>Below Avg</v>
      </c>
      <c r="AN455" s="21">
        <f t="shared" si="53"/>
        <v>28.094302554027507</v>
      </c>
      <c r="AO455" t="str">
        <f t="shared" ca="1" si="54"/>
        <v>No</v>
      </c>
      <c r="AP455" t="str">
        <f t="shared" si="55"/>
        <v>Low Risk</v>
      </c>
    </row>
    <row r="456" spans="1:42" x14ac:dyDescent="0.3">
      <c r="A456" s="5">
        <v>29</v>
      </c>
      <c r="B456" s="5" t="s">
        <v>43</v>
      </c>
      <c r="C456" s="5" t="str">
        <f t="shared" si="49"/>
        <v>No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 s="5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 s="5">
        <v>4262</v>
      </c>
      <c r="U456">
        <v>22645</v>
      </c>
      <c r="V456">
        <v>4</v>
      </c>
      <c r="W456" t="s">
        <v>42</v>
      </c>
      <c r="X456" t="s">
        <v>43</v>
      </c>
      <c r="Y456" t="str">
        <f t="shared" si="50"/>
        <v>No</v>
      </c>
      <c r="Z456">
        <v>12</v>
      </c>
      <c r="AA456">
        <v>3</v>
      </c>
      <c r="AB456">
        <v>2</v>
      </c>
      <c r="AC456">
        <v>80</v>
      </c>
      <c r="AD456">
        <v>2</v>
      </c>
      <c r="AE456" s="5">
        <v>8</v>
      </c>
      <c r="AF456" t="str">
        <f t="shared" si="51"/>
        <v>6-15</v>
      </c>
      <c r="AG456">
        <v>2</v>
      </c>
      <c r="AH456">
        <v>4</v>
      </c>
      <c r="AI456" s="5">
        <v>3</v>
      </c>
      <c r="AJ456">
        <v>2</v>
      </c>
      <c r="AK456">
        <v>1</v>
      </c>
      <c r="AL456">
        <v>2</v>
      </c>
      <c r="AM456" t="str">
        <f t="shared" si="52"/>
        <v>Below Avg</v>
      </c>
      <c r="AN456" s="21">
        <f t="shared" si="53"/>
        <v>28.121927236971484</v>
      </c>
      <c r="AO456" t="str">
        <f t="shared" ca="1" si="54"/>
        <v>No</v>
      </c>
      <c r="AP456" t="str">
        <f t="shared" si="55"/>
        <v>Low Risk</v>
      </c>
    </row>
    <row r="457" spans="1:42" x14ac:dyDescent="0.3">
      <c r="A457" s="5">
        <v>33</v>
      </c>
      <c r="B457" s="5" t="s">
        <v>43</v>
      </c>
      <c r="C457" s="5" t="str">
        <f t="shared" si="49"/>
        <v>No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 s="5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 s="5">
        <v>16184</v>
      </c>
      <c r="U457">
        <v>22578</v>
      </c>
      <c r="V457">
        <v>4</v>
      </c>
      <c r="W457" t="s">
        <v>42</v>
      </c>
      <c r="X457" t="s">
        <v>43</v>
      </c>
      <c r="Y457" t="str">
        <f t="shared" si="50"/>
        <v>No</v>
      </c>
      <c r="Z457">
        <v>19</v>
      </c>
      <c r="AA457">
        <v>3</v>
      </c>
      <c r="AB457">
        <v>3</v>
      </c>
      <c r="AC457">
        <v>80</v>
      </c>
      <c r="AD457">
        <v>1</v>
      </c>
      <c r="AE457" s="5">
        <v>10</v>
      </c>
      <c r="AF457" t="str">
        <f t="shared" si="51"/>
        <v>6-15</v>
      </c>
      <c r="AG457">
        <v>2</v>
      </c>
      <c r="AH457">
        <v>3</v>
      </c>
      <c r="AI457" s="5">
        <v>6</v>
      </c>
      <c r="AJ457">
        <v>1</v>
      </c>
      <c r="AK457">
        <v>0</v>
      </c>
      <c r="AL457">
        <v>5</v>
      </c>
      <c r="AM457" t="str">
        <f t="shared" si="52"/>
        <v>Ok</v>
      </c>
      <c r="AN457" s="21">
        <f t="shared" si="53"/>
        <v>28.051181102362204</v>
      </c>
      <c r="AO457" t="str">
        <f t="shared" ca="1" si="54"/>
        <v>No</v>
      </c>
      <c r="AP457" t="str">
        <f t="shared" si="55"/>
        <v>Low Risk</v>
      </c>
    </row>
    <row r="458" spans="1:42" x14ac:dyDescent="0.3">
      <c r="A458" s="5">
        <v>31</v>
      </c>
      <c r="B458" s="5" t="s">
        <v>43</v>
      </c>
      <c r="C458" s="5" t="str">
        <f t="shared" si="49"/>
        <v>No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 s="5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 s="5">
        <v>11557</v>
      </c>
      <c r="U458">
        <v>25291</v>
      </c>
      <c r="V458">
        <v>9</v>
      </c>
      <c r="W458" t="s">
        <v>42</v>
      </c>
      <c r="X458" t="s">
        <v>43</v>
      </c>
      <c r="Y458" t="str">
        <f t="shared" si="50"/>
        <v>No</v>
      </c>
      <c r="Z458">
        <v>21</v>
      </c>
      <c r="AA458">
        <v>4</v>
      </c>
      <c r="AB458">
        <v>3</v>
      </c>
      <c r="AC458">
        <v>80</v>
      </c>
      <c r="AD458">
        <v>1</v>
      </c>
      <c r="AE458" s="5">
        <v>10</v>
      </c>
      <c r="AF458" t="str">
        <f t="shared" si="51"/>
        <v>6-15</v>
      </c>
      <c r="AG458">
        <v>3</v>
      </c>
      <c r="AH458">
        <v>2</v>
      </c>
      <c r="AI458" s="5">
        <v>5</v>
      </c>
      <c r="AJ458">
        <v>4</v>
      </c>
      <c r="AK458">
        <v>0</v>
      </c>
      <c r="AL458">
        <v>1</v>
      </c>
      <c r="AM458" t="str">
        <f t="shared" si="52"/>
        <v>Ok</v>
      </c>
      <c r="AN458" s="21">
        <f t="shared" si="53"/>
        <v>28.078817733990146</v>
      </c>
      <c r="AO458" t="str">
        <f t="shared" ca="1" si="54"/>
        <v>No</v>
      </c>
      <c r="AP458" t="str">
        <f t="shared" si="55"/>
        <v>Low Risk</v>
      </c>
    </row>
    <row r="459" spans="1:42" x14ac:dyDescent="0.3">
      <c r="A459" s="5">
        <v>18</v>
      </c>
      <c r="B459" s="5" t="s">
        <v>35</v>
      </c>
      <c r="C459" s="5" t="str">
        <f t="shared" si="49"/>
        <v>Yes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 s="5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 s="5">
        <v>1878</v>
      </c>
      <c r="U459">
        <v>8059</v>
      </c>
      <c r="V459">
        <v>1</v>
      </c>
      <c r="W459" t="s">
        <v>42</v>
      </c>
      <c r="X459" t="s">
        <v>35</v>
      </c>
      <c r="Y459" t="str">
        <f t="shared" si="50"/>
        <v>Yes</v>
      </c>
      <c r="Z459">
        <v>14</v>
      </c>
      <c r="AA459">
        <v>3</v>
      </c>
      <c r="AB459">
        <v>4</v>
      </c>
      <c r="AC459">
        <v>80</v>
      </c>
      <c r="AD459">
        <v>0</v>
      </c>
      <c r="AE459" s="5">
        <v>0</v>
      </c>
      <c r="AF459" t="str">
        <f t="shared" si="51"/>
        <v>0-5</v>
      </c>
      <c r="AG459">
        <v>3</v>
      </c>
      <c r="AH459">
        <v>3</v>
      </c>
      <c r="AI459" s="5">
        <v>0</v>
      </c>
      <c r="AJ459">
        <v>0</v>
      </c>
      <c r="AK459">
        <v>0</v>
      </c>
      <c r="AL459">
        <v>0</v>
      </c>
      <c r="AM459" t="str">
        <f t="shared" si="52"/>
        <v>Below Avg</v>
      </c>
      <c r="AN459" s="21">
        <f t="shared" si="53"/>
        <v>28.106508875739642</v>
      </c>
      <c r="AO459" t="str">
        <f t="shared" ca="1" si="54"/>
        <v>No</v>
      </c>
      <c r="AP459" t="str">
        <f t="shared" si="55"/>
        <v>High Risk</v>
      </c>
    </row>
    <row r="460" spans="1:42" x14ac:dyDescent="0.3">
      <c r="A460" s="5">
        <v>40</v>
      </c>
      <c r="B460" s="5" t="s">
        <v>43</v>
      </c>
      <c r="C460" s="5" t="str">
        <f t="shared" si="49"/>
        <v>No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 s="5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 s="5">
        <v>10932</v>
      </c>
      <c r="U460">
        <v>11373</v>
      </c>
      <c r="V460">
        <v>3</v>
      </c>
      <c r="W460" t="s">
        <v>42</v>
      </c>
      <c r="X460" t="s">
        <v>43</v>
      </c>
      <c r="Y460" t="str">
        <f t="shared" si="50"/>
        <v>No</v>
      </c>
      <c r="Z460">
        <v>15</v>
      </c>
      <c r="AA460">
        <v>3</v>
      </c>
      <c r="AB460">
        <v>3</v>
      </c>
      <c r="AC460">
        <v>80</v>
      </c>
      <c r="AD460">
        <v>1</v>
      </c>
      <c r="AE460" s="5">
        <v>20</v>
      </c>
      <c r="AF460" t="str">
        <f t="shared" si="51"/>
        <v>&gt;15</v>
      </c>
      <c r="AG460">
        <v>2</v>
      </c>
      <c r="AH460">
        <v>3</v>
      </c>
      <c r="AI460" s="5">
        <v>1</v>
      </c>
      <c r="AJ460">
        <v>0</v>
      </c>
      <c r="AK460">
        <v>0</v>
      </c>
      <c r="AL460">
        <v>1</v>
      </c>
      <c r="AM460" t="str">
        <f t="shared" si="52"/>
        <v>Ok</v>
      </c>
      <c r="AN460" s="21">
        <f t="shared" si="53"/>
        <v>28.13425468904245</v>
      </c>
      <c r="AO460" t="str">
        <f t="shared" ca="1" si="54"/>
        <v>No</v>
      </c>
      <c r="AP460" t="str">
        <f t="shared" si="55"/>
        <v>Low Risk</v>
      </c>
    </row>
    <row r="461" spans="1:42" x14ac:dyDescent="0.3">
      <c r="A461" s="5">
        <v>41</v>
      </c>
      <c r="B461" s="5" t="s">
        <v>43</v>
      </c>
      <c r="C461" s="5" t="str">
        <f t="shared" si="49"/>
        <v>No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 s="5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 s="5">
        <v>6811</v>
      </c>
      <c r="U461">
        <v>2112</v>
      </c>
      <c r="V461">
        <v>2</v>
      </c>
      <c r="W461" t="s">
        <v>42</v>
      </c>
      <c r="X461" t="s">
        <v>35</v>
      </c>
      <c r="Y461" t="str">
        <f t="shared" si="50"/>
        <v>Yes</v>
      </c>
      <c r="Z461">
        <v>17</v>
      </c>
      <c r="AA461">
        <v>3</v>
      </c>
      <c r="AB461">
        <v>1</v>
      </c>
      <c r="AC461">
        <v>80</v>
      </c>
      <c r="AD461">
        <v>0</v>
      </c>
      <c r="AE461" s="5">
        <v>10</v>
      </c>
      <c r="AF461" t="str">
        <f t="shared" si="51"/>
        <v>6-15</v>
      </c>
      <c r="AG461">
        <v>3</v>
      </c>
      <c r="AH461">
        <v>3</v>
      </c>
      <c r="AI461" s="5">
        <v>8</v>
      </c>
      <c r="AJ461">
        <v>7</v>
      </c>
      <c r="AK461">
        <v>0</v>
      </c>
      <c r="AL461">
        <v>7</v>
      </c>
      <c r="AM461" t="str">
        <f t="shared" si="52"/>
        <v>Ok</v>
      </c>
      <c r="AN461" s="21">
        <f t="shared" si="53"/>
        <v>28.063241106719367</v>
      </c>
      <c r="AO461" t="str">
        <f t="shared" ca="1" si="54"/>
        <v>No</v>
      </c>
      <c r="AP461" t="str">
        <f t="shared" si="55"/>
        <v>Low Risk</v>
      </c>
    </row>
    <row r="462" spans="1:42" x14ac:dyDescent="0.3">
      <c r="A462" s="5">
        <v>26</v>
      </c>
      <c r="B462" s="5" t="s">
        <v>43</v>
      </c>
      <c r="C462" s="5" t="str">
        <f t="shared" si="49"/>
        <v>No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 s="5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 s="5">
        <v>4306</v>
      </c>
      <c r="U462">
        <v>4267</v>
      </c>
      <c r="V462">
        <v>5</v>
      </c>
      <c r="W462" t="s">
        <v>42</v>
      </c>
      <c r="X462" t="s">
        <v>43</v>
      </c>
      <c r="Y462" t="str">
        <f t="shared" si="50"/>
        <v>No</v>
      </c>
      <c r="Z462">
        <v>12</v>
      </c>
      <c r="AA462">
        <v>3</v>
      </c>
      <c r="AB462">
        <v>1</v>
      </c>
      <c r="AC462">
        <v>80</v>
      </c>
      <c r="AD462">
        <v>2</v>
      </c>
      <c r="AE462" s="5">
        <v>8</v>
      </c>
      <c r="AF462" t="str">
        <f t="shared" si="51"/>
        <v>6-15</v>
      </c>
      <c r="AG462">
        <v>5</v>
      </c>
      <c r="AH462">
        <v>3</v>
      </c>
      <c r="AI462" s="5">
        <v>0</v>
      </c>
      <c r="AJ462">
        <v>0</v>
      </c>
      <c r="AK462">
        <v>0</v>
      </c>
      <c r="AL462">
        <v>0</v>
      </c>
      <c r="AM462" t="str">
        <f t="shared" si="52"/>
        <v>Below Avg</v>
      </c>
      <c r="AN462" s="21">
        <f t="shared" si="53"/>
        <v>28.090999010880317</v>
      </c>
      <c r="AO462" t="str">
        <f t="shared" ca="1" si="54"/>
        <v>No</v>
      </c>
      <c r="AP462" t="str">
        <f t="shared" si="55"/>
        <v>Low Risk</v>
      </c>
    </row>
    <row r="463" spans="1:42" x14ac:dyDescent="0.3">
      <c r="A463" s="5">
        <v>35</v>
      </c>
      <c r="B463" s="5" t="s">
        <v>43</v>
      </c>
      <c r="C463" s="5" t="str">
        <f t="shared" si="49"/>
        <v>No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 s="5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 s="5">
        <v>4859</v>
      </c>
      <c r="U463">
        <v>6698</v>
      </c>
      <c r="V463">
        <v>1</v>
      </c>
      <c r="W463" t="s">
        <v>42</v>
      </c>
      <c r="X463" t="s">
        <v>43</v>
      </c>
      <c r="Y463" t="str">
        <f t="shared" si="50"/>
        <v>No</v>
      </c>
      <c r="Z463">
        <v>16</v>
      </c>
      <c r="AA463">
        <v>3</v>
      </c>
      <c r="AB463">
        <v>4</v>
      </c>
      <c r="AC463">
        <v>80</v>
      </c>
      <c r="AD463">
        <v>0</v>
      </c>
      <c r="AE463" s="5">
        <v>5</v>
      </c>
      <c r="AF463" t="str">
        <f t="shared" si="51"/>
        <v>0-5</v>
      </c>
      <c r="AG463">
        <v>3</v>
      </c>
      <c r="AH463">
        <v>3</v>
      </c>
      <c r="AI463" s="5">
        <v>5</v>
      </c>
      <c r="AJ463">
        <v>4</v>
      </c>
      <c r="AK463">
        <v>0</v>
      </c>
      <c r="AL463">
        <v>3</v>
      </c>
      <c r="AM463" t="str">
        <f t="shared" si="52"/>
        <v>Below Avg</v>
      </c>
      <c r="AN463" s="21">
        <f t="shared" si="53"/>
        <v>28.019801980198022</v>
      </c>
      <c r="AO463" t="str">
        <f t="shared" ca="1" si="54"/>
        <v>No</v>
      </c>
      <c r="AP463" t="str">
        <f t="shared" si="55"/>
        <v>Low Risk</v>
      </c>
    </row>
    <row r="464" spans="1:42" x14ac:dyDescent="0.3">
      <c r="A464" s="5">
        <v>34</v>
      </c>
      <c r="B464" s="5" t="s">
        <v>43</v>
      </c>
      <c r="C464" s="5" t="str">
        <f t="shared" si="49"/>
        <v>No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 s="5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 s="5">
        <v>5337</v>
      </c>
      <c r="U464">
        <v>19921</v>
      </c>
      <c r="V464">
        <v>1</v>
      </c>
      <c r="W464" t="s">
        <v>42</v>
      </c>
      <c r="X464" t="s">
        <v>43</v>
      </c>
      <c r="Y464" t="str">
        <f t="shared" si="50"/>
        <v>No</v>
      </c>
      <c r="Z464">
        <v>12</v>
      </c>
      <c r="AA464">
        <v>3</v>
      </c>
      <c r="AB464">
        <v>4</v>
      </c>
      <c r="AC464">
        <v>80</v>
      </c>
      <c r="AD464">
        <v>0</v>
      </c>
      <c r="AE464" s="5">
        <v>10</v>
      </c>
      <c r="AF464" t="str">
        <f t="shared" si="51"/>
        <v>6-15</v>
      </c>
      <c r="AG464">
        <v>3</v>
      </c>
      <c r="AH464">
        <v>3</v>
      </c>
      <c r="AI464" s="5">
        <v>10</v>
      </c>
      <c r="AJ464">
        <v>7</v>
      </c>
      <c r="AK464">
        <v>5</v>
      </c>
      <c r="AL464">
        <v>7</v>
      </c>
      <c r="AM464" t="str">
        <f t="shared" si="52"/>
        <v>Below Avg</v>
      </c>
      <c r="AN464" s="21">
        <f t="shared" si="53"/>
        <v>28.047571853320118</v>
      </c>
      <c r="AO464" t="str">
        <f t="shared" ca="1" si="54"/>
        <v>No</v>
      </c>
      <c r="AP464" t="str">
        <f t="shared" si="55"/>
        <v>Low Risk</v>
      </c>
    </row>
    <row r="465" spans="1:42" x14ac:dyDescent="0.3">
      <c r="A465" s="5">
        <v>26</v>
      </c>
      <c r="B465" s="5" t="s">
        <v>35</v>
      </c>
      <c r="C465" s="5" t="str">
        <f t="shared" si="49"/>
        <v>Yes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 s="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 s="5">
        <v>2340</v>
      </c>
      <c r="U465">
        <v>23213</v>
      </c>
      <c r="V465">
        <v>1</v>
      </c>
      <c r="W465" t="s">
        <v>42</v>
      </c>
      <c r="X465" t="s">
        <v>35</v>
      </c>
      <c r="Y465" t="str">
        <f t="shared" si="50"/>
        <v>Yes</v>
      </c>
      <c r="Z465">
        <v>18</v>
      </c>
      <c r="AA465">
        <v>3</v>
      </c>
      <c r="AB465">
        <v>2</v>
      </c>
      <c r="AC465">
        <v>80</v>
      </c>
      <c r="AD465">
        <v>0</v>
      </c>
      <c r="AE465" s="5">
        <v>1</v>
      </c>
      <c r="AF465" t="str">
        <f t="shared" si="51"/>
        <v>0-5</v>
      </c>
      <c r="AG465">
        <v>3</v>
      </c>
      <c r="AH465">
        <v>1</v>
      </c>
      <c r="AI465" s="5">
        <v>1</v>
      </c>
      <c r="AJ465">
        <v>0</v>
      </c>
      <c r="AK465">
        <v>0</v>
      </c>
      <c r="AL465">
        <v>0</v>
      </c>
      <c r="AM465" t="str">
        <f t="shared" si="52"/>
        <v>Below Avg</v>
      </c>
      <c r="AN465" s="21">
        <f t="shared" si="53"/>
        <v>28.075396825396826</v>
      </c>
      <c r="AO465" t="str">
        <f t="shared" ca="1" si="54"/>
        <v>No</v>
      </c>
      <c r="AP465" t="str">
        <f t="shared" si="55"/>
        <v>High Risk</v>
      </c>
    </row>
    <row r="466" spans="1:42" x14ac:dyDescent="0.3">
      <c r="A466" s="5">
        <v>37</v>
      </c>
      <c r="B466" s="5" t="s">
        <v>43</v>
      </c>
      <c r="C466" s="5" t="str">
        <f t="shared" si="49"/>
        <v>No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 s="5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 s="5">
        <v>7491</v>
      </c>
      <c r="U466">
        <v>23848</v>
      </c>
      <c r="V466">
        <v>4</v>
      </c>
      <c r="W466" t="s">
        <v>42</v>
      </c>
      <c r="X466" t="s">
        <v>43</v>
      </c>
      <c r="Y466" t="str">
        <f t="shared" si="50"/>
        <v>No</v>
      </c>
      <c r="Z466">
        <v>17</v>
      </c>
      <c r="AA466">
        <v>3</v>
      </c>
      <c r="AB466">
        <v>4</v>
      </c>
      <c r="AC466">
        <v>80</v>
      </c>
      <c r="AD466">
        <v>0</v>
      </c>
      <c r="AE466" s="5">
        <v>12</v>
      </c>
      <c r="AF466" t="str">
        <f t="shared" si="51"/>
        <v>6-15</v>
      </c>
      <c r="AG466">
        <v>3</v>
      </c>
      <c r="AH466">
        <v>4</v>
      </c>
      <c r="AI466" s="5">
        <v>6</v>
      </c>
      <c r="AJ466">
        <v>5</v>
      </c>
      <c r="AK466">
        <v>1</v>
      </c>
      <c r="AL466">
        <v>2</v>
      </c>
      <c r="AM466" t="str">
        <f t="shared" si="52"/>
        <v>Ok</v>
      </c>
      <c r="AN466" s="21">
        <f t="shared" si="53"/>
        <v>28.103277060575969</v>
      </c>
      <c r="AO466" t="str">
        <f t="shared" ca="1" si="54"/>
        <v>No</v>
      </c>
      <c r="AP466" t="str">
        <f t="shared" si="55"/>
        <v>Low Risk</v>
      </c>
    </row>
    <row r="467" spans="1:42" x14ac:dyDescent="0.3">
      <c r="A467" s="5">
        <v>46</v>
      </c>
      <c r="B467" s="5" t="s">
        <v>43</v>
      </c>
      <c r="C467" s="5" t="str">
        <f t="shared" si="49"/>
        <v>No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 s="5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 s="5">
        <v>10527</v>
      </c>
      <c r="U467">
        <v>8984</v>
      </c>
      <c r="V467">
        <v>5</v>
      </c>
      <c r="W467" t="s">
        <v>42</v>
      </c>
      <c r="X467" t="s">
        <v>43</v>
      </c>
      <c r="Y467" t="str">
        <f t="shared" si="50"/>
        <v>No</v>
      </c>
      <c r="Z467">
        <v>11</v>
      </c>
      <c r="AA467">
        <v>3</v>
      </c>
      <c r="AB467">
        <v>4</v>
      </c>
      <c r="AC467">
        <v>80</v>
      </c>
      <c r="AD467">
        <v>0</v>
      </c>
      <c r="AE467" s="5">
        <v>28</v>
      </c>
      <c r="AF467" t="str">
        <f t="shared" si="51"/>
        <v>&gt;15</v>
      </c>
      <c r="AG467">
        <v>3</v>
      </c>
      <c r="AH467">
        <v>2</v>
      </c>
      <c r="AI467" s="5">
        <v>2</v>
      </c>
      <c r="AJ467">
        <v>2</v>
      </c>
      <c r="AK467">
        <v>1</v>
      </c>
      <c r="AL467">
        <v>2</v>
      </c>
      <c r="AM467" t="str">
        <f t="shared" si="52"/>
        <v>Ok</v>
      </c>
      <c r="AN467" s="21">
        <f t="shared" si="53"/>
        <v>28.031809145129227</v>
      </c>
      <c r="AO467" t="str">
        <f t="shared" ca="1" si="54"/>
        <v>No</v>
      </c>
      <c r="AP467" t="str">
        <f t="shared" si="55"/>
        <v>Low Risk</v>
      </c>
    </row>
    <row r="468" spans="1:42" x14ac:dyDescent="0.3">
      <c r="A468" s="5">
        <v>41</v>
      </c>
      <c r="B468" s="5" t="s">
        <v>43</v>
      </c>
      <c r="C468" s="5" t="str">
        <f t="shared" si="49"/>
        <v>No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 s="5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 s="5">
        <v>16595</v>
      </c>
      <c r="U468">
        <v>5626</v>
      </c>
      <c r="V468">
        <v>7</v>
      </c>
      <c r="W468" t="s">
        <v>42</v>
      </c>
      <c r="X468" t="s">
        <v>43</v>
      </c>
      <c r="Y468" t="str">
        <f t="shared" si="50"/>
        <v>No</v>
      </c>
      <c r="Z468">
        <v>16</v>
      </c>
      <c r="AA468">
        <v>3</v>
      </c>
      <c r="AB468">
        <v>2</v>
      </c>
      <c r="AC468">
        <v>80</v>
      </c>
      <c r="AD468">
        <v>1</v>
      </c>
      <c r="AE468" s="5">
        <v>22</v>
      </c>
      <c r="AF468" t="str">
        <f t="shared" si="51"/>
        <v>&gt;15</v>
      </c>
      <c r="AG468">
        <v>2</v>
      </c>
      <c r="AH468">
        <v>3</v>
      </c>
      <c r="AI468" s="5">
        <v>18</v>
      </c>
      <c r="AJ468">
        <v>16</v>
      </c>
      <c r="AK468">
        <v>11</v>
      </c>
      <c r="AL468">
        <v>8</v>
      </c>
      <c r="AM468" t="str">
        <f t="shared" si="52"/>
        <v>Ok</v>
      </c>
      <c r="AN468" s="21">
        <f t="shared" si="53"/>
        <v>28.059701492537314</v>
      </c>
      <c r="AO468" t="str">
        <f t="shared" ca="1" si="54"/>
        <v>No</v>
      </c>
      <c r="AP468" t="str">
        <f t="shared" si="55"/>
        <v>Low Risk</v>
      </c>
    </row>
    <row r="469" spans="1:42" x14ac:dyDescent="0.3">
      <c r="A469" s="5">
        <v>37</v>
      </c>
      <c r="B469" s="5" t="s">
        <v>43</v>
      </c>
      <c r="C469" s="5" t="str">
        <f t="shared" si="49"/>
        <v>No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 s="5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 s="5">
        <v>8834</v>
      </c>
      <c r="U469">
        <v>24666</v>
      </c>
      <c r="V469">
        <v>1</v>
      </c>
      <c r="W469" t="s">
        <v>42</v>
      </c>
      <c r="X469" t="s">
        <v>43</v>
      </c>
      <c r="Y469" t="str">
        <f t="shared" si="50"/>
        <v>No</v>
      </c>
      <c r="Z469">
        <v>13</v>
      </c>
      <c r="AA469">
        <v>3</v>
      </c>
      <c r="AB469">
        <v>4</v>
      </c>
      <c r="AC469">
        <v>80</v>
      </c>
      <c r="AD469">
        <v>1</v>
      </c>
      <c r="AE469" s="5">
        <v>9</v>
      </c>
      <c r="AF469" t="str">
        <f t="shared" si="51"/>
        <v>6-15</v>
      </c>
      <c r="AG469">
        <v>6</v>
      </c>
      <c r="AH469">
        <v>3</v>
      </c>
      <c r="AI469" s="5">
        <v>9</v>
      </c>
      <c r="AJ469">
        <v>5</v>
      </c>
      <c r="AK469">
        <v>7</v>
      </c>
      <c r="AL469">
        <v>7</v>
      </c>
      <c r="AM469" t="str">
        <f t="shared" si="52"/>
        <v>Ok</v>
      </c>
      <c r="AN469" s="21">
        <f t="shared" si="53"/>
        <v>28.087649402390436</v>
      </c>
      <c r="AO469" t="str">
        <f t="shared" ca="1" si="54"/>
        <v>No</v>
      </c>
      <c r="AP469" t="str">
        <f t="shared" si="55"/>
        <v>Low Risk</v>
      </c>
    </row>
    <row r="470" spans="1:42" x14ac:dyDescent="0.3">
      <c r="A470" s="5">
        <v>52</v>
      </c>
      <c r="B470" s="5" t="s">
        <v>43</v>
      </c>
      <c r="C470" s="5" t="str">
        <f t="shared" si="49"/>
        <v>No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 s="5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 s="5">
        <v>5577</v>
      </c>
      <c r="U470">
        <v>22087</v>
      </c>
      <c r="V470">
        <v>3</v>
      </c>
      <c r="W470" t="s">
        <v>42</v>
      </c>
      <c r="X470" t="s">
        <v>35</v>
      </c>
      <c r="Y470" t="str">
        <f t="shared" si="50"/>
        <v>Yes</v>
      </c>
      <c r="Z470">
        <v>12</v>
      </c>
      <c r="AA470">
        <v>3</v>
      </c>
      <c r="AB470">
        <v>2</v>
      </c>
      <c r="AC470">
        <v>80</v>
      </c>
      <c r="AD470">
        <v>2</v>
      </c>
      <c r="AE470" s="5">
        <v>18</v>
      </c>
      <c r="AF470" t="str">
        <f t="shared" si="51"/>
        <v>&gt;15</v>
      </c>
      <c r="AG470">
        <v>3</v>
      </c>
      <c r="AH470">
        <v>3</v>
      </c>
      <c r="AI470" s="5">
        <v>10</v>
      </c>
      <c r="AJ470">
        <v>9</v>
      </c>
      <c r="AK470">
        <v>6</v>
      </c>
      <c r="AL470">
        <v>9</v>
      </c>
      <c r="AM470" t="str">
        <f t="shared" si="52"/>
        <v>Below Avg</v>
      </c>
      <c r="AN470" s="21">
        <f t="shared" si="53"/>
        <v>28.115653040877369</v>
      </c>
      <c r="AO470" t="str">
        <f t="shared" ca="1" si="54"/>
        <v>No</v>
      </c>
      <c r="AP470" t="str">
        <f t="shared" si="55"/>
        <v>Low Risk</v>
      </c>
    </row>
    <row r="471" spans="1:42" x14ac:dyDescent="0.3">
      <c r="A471" s="5">
        <v>32</v>
      </c>
      <c r="B471" s="5" t="s">
        <v>35</v>
      </c>
      <c r="C471" s="5" t="str">
        <f t="shared" si="49"/>
        <v>Yes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 s="5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 s="5">
        <v>4707</v>
      </c>
      <c r="U471">
        <v>23914</v>
      </c>
      <c r="V471">
        <v>8</v>
      </c>
      <c r="W471" t="s">
        <v>42</v>
      </c>
      <c r="X471" t="s">
        <v>43</v>
      </c>
      <c r="Y471" t="str">
        <f t="shared" si="50"/>
        <v>No</v>
      </c>
      <c r="Z471">
        <v>12</v>
      </c>
      <c r="AA471">
        <v>3</v>
      </c>
      <c r="AB471">
        <v>4</v>
      </c>
      <c r="AC471">
        <v>80</v>
      </c>
      <c r="AD471">
        <v>0</v>
      </c>
      <c r="AE471" s="5">
        <v>6</v>
      </c>
      <c r="AF471" t="str">
        <f t="shared" si="51"/>
        <v>6-15</v>
      </c>
      <c r="AG471">
        <v>2</v>
      </c>
      <c r="AH471">
        <v>3</v>
      </c>
      <c r="AI471" s="5">
        <v>4</v>
      </c>
      <c r="AJ471">
        <v>2</v>
      </c>
      <c r="AK471">
        <v>1</v>
      </c>
      <c r="AL471">
        <v>2</v>
      </c>
      <c r="AM471" t="str">
        <f t="shared" si="52"/>
        <v>Below Avg</v>
      </c>
      <c r="AN471" s="21">
        <f t="shared" si="53"/>
        <v>28.143712574850298</v>
      </c>
      <c r="AO471" t="str">
        <f t="shared" ca="1" si="54"/>
        <v>No</v>
      </c>
      <c r="AP471" t="str">
        <f t="shared" si="55"/>
        <v>Low Risk</v>
      </c>
    </row>
    <row r="472" spans="1:42" x14ac:dyDescent="0.3">
      <c r="A472" s="5">
        <v>24</v>
      </c>
      <c r="B472" s="5" t="s">
        <v>43</v>
      </c>
      <c r="C472" s="5" t="str">
        <f t="shared" si="49"/>
        <v>No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 s="5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 s="5">
        <v>2400</v>
      </c>
      <c r="U472">
        <v>5530</v>
      </c>
      <c r="V472">
        <v>0</v>
      </c>
      <c r="W472" t="s">
        <v>42</v>
      </c>
      <c r="X472" t="s">
        <v>43</v>
      </c>
      <c r="Y472" t="str">
        <f t="shared" si="50"/>
        <v>No</v>
      </c>
      <c r="Z472">
        <v>13</v>
      </c>
      <c r="AA472">
        <v>3</v>
      </c>
      <c r="AB472">
        <v>3</v>
      </c>
      <c r="AC472">
        <v>80</v>
      </c>
      <c r="AD472">
        <v>2</v>
      </c>
      <c r="AE472" s="5">
        <v>3</v>
      </c>
      <c r="AF472" t="str">
        <f t="shared" si="51"/>
        <v>0-5</v>
      </c>
      <c r="AG472">
        <v>3</v>
      </c>
      <c r="AH472">
        <v>3</v>
      </c>
      <c r="AI472" s="5">
        <v>2</v>
      </c>
      <c r="AJ472">
        <v>2</v>
      </c>
      <c r="AK472">
        <v>2</v>
      </c>
      <c r="AL472">
        <v>1</v>
      </c>
      <c r="AM472" t="str">
        <f t="shared" si="52"/>
        <v>Below Avg</v>
      </c>
      <c r="AN472" s="21">
        <f t="shared" si="53"/>
        <v>28.07192807192807</v>
      </c>
      <c r="AO472" t="str">
        <f t="shared" ca="1" si="54"/>
        <v>No</v>
      </c>
      <c r="AP472" t="str">
        <f t="shared" si="55"/>
        <v>Low Risk</v>
      </c>
    </row>
    <row r="473" spans="1:42" x14ac:dyDescent="0.3">
      <c r="A473" s="5">
        <v>38</v>
      </c>
      <c r="B473" s="5" t="s">
        <v>43</v>
      </c>
      <c r="C473" s="5" t="str">
        <f t="shared" si="49"/>
        <v>No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 s="5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 s="5">
        <v>9824</v>
      </c>
      <c r="U473">
        <v>22174</v>
      </c>
      <c r="V473">
        <v>3</v>
      </c>
      <c r="W473" t="s">
        <v>42</v>
      </c>
      <c r="X473" t="s">
        <v>43</v>
      </c>
      <c r="Y473" t="str">
        <f t="shared" si="50"/>
        <v>No</v>
      </c>
      <c r="Z473">
        <v>19</v>
      </c>
      <c r="AA473">
        <v>3</v>
      </c>
      <c r="AB473">
        <v>3</v>
      </c>
      <c r="AC473">
        <v>80</v>
      </c>
      <c r="AD473">
        <v>1</v>
      </c>
      <c r="AE473" s="5">
        <v>18</v>
      </c>
      <c r="AF473" t="str">
        <f t="shared" si="51"/>
        <v>&gt;15</v>
      </c>
      <c r="AG473">
        <v>4</v>
      </c>
      <c r="AH473">
        <v>3</v>
      </c>
      <c r="AI473" s="5">
        <v>1</v>
      </c>
      <c r="AJ473">
        <v>0</v>
      </c>
      <c r="AK473">
        <v>0</v>
      </c>
      <c r="AL473">
        <v>0</v>
      </c>
      <c r="AM473" t="str">
        <f t="shared" si="52"/>
        <v>Ok</v>
      </c>
      <c r="AN473" s="21">
        <f t="shared" si="53"/>
        <v>28.1</v>
      </c>
      <c r="AO473" t="str">
        <f t="shared" ca="1" si="54"/>
        <v>No</v>
      </c>
      <c r="AP473" t="str">
        <f t="shared" si="55"/>
        <v>Low Risk</v>
      </c>
    </row>
    <row r="474" spans="1:42" x14ac:dyDescent="0.3">
      <c r="A474" s="5">
        <v>37</v>
      </c>
      <c r="B474" s="5" t="s">
        <v>43</v>
      </c>
      <c r="C474" s="5" t="str">
        <f t="shared" si="49"/>
        <v>No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 s="5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 s="5">
        <v>6447</v>
      </c>
      <c r="U474">
        <v>15701</v>
      </c>
      <c r="V474">
        <v>6</v>
      </c>
      <c r="W474" t="s">
        <v>42</v>
      </c>
      <c r="X474" t="s">
        <v>43</v>
      </c>
      <c r="Y474" t="str">
        <f t="shared" si="50"/>
        <v>No</v>
      </c>
      <c r="Z474">
        <v>12</v>
      </c>
      <c r="AA474">
        <v>3</v>
      </c>
      <c r="AB474">
        <v>2</v>
      </c>
      <c r="AC474">
        <v>80</v>
      </c>
      <c r="AD474">
        <v>1</v>
      </c>
      <c r="AE474" s="5">
        <v>8</v>
      </c>
      <c r="AF474" t="str">
        <f t="shared" si="51"/>
        <v>6-15</v>
      </c>
      <c r="AG474">
        <v>2</v>
      </c>
      <c r="AH474">
        <v>2</v>
      </c>
      <c r="AI474" s="5">
        <v>6</v>
      </c>
      <c r="AJ474">
        <v>5</v>
      </c>
      <c r="AK474">
        <v>4</v>
      </c>
      <c r="AL474">
        <v>3</v>
      </c>
      <c r="AM474" t="str">
        <f t="shared" si="52"/>
        <v>Ok</v>
      </c>
      <c r="AN474" s="21">
        <f t="shared" si="53"/>
        <v>28.128128128128125</v>
      </c>
      <c r="AO474" t="str">
        <f t="shared" ca="1" si="54"/>
        <v>No</v>
      </c>
      <c r="AP474" t="str">
        <f t="shared" si="55"/>
        <v>Low Risk</v>
      </c>
    </row>
    <row r="475" spans="1:42" x14ac:dyDescent="0.3">
      <c r="A475" s="5">
        <v>49</v>
      </c>
      <c r="B475" s="5" t="s">
        <v>43</v>
      </c>
      <c r="C475" s="5" t="str">
        <f t="shared" si="49"/>
        <v>No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 s="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 s="5">
        <v>19502</v>
      </c>
      <c r="U475">
        <v>2125</v>
      </c>
      <c r="V475">
        <v>1</v>
      </c>
      <c r="W475" t="s">
        <v>42</v>
      </c>
      <c r="X475" t="s">
        <v>35</v>
      </c>
      <c r="Y475" t="str">
        <f t="shared" si="50"/>
        <v>Yes</v>
      </c>
      <c r="Z475">
        <v>17</v>
      </c>
      <c r="AA475">
        <v>3</v>
      </c>
      <c r="AB475">
        <v>3</v>
      </c>
      <c r="AC475">
        <v>80</v>
      </c>
      <c r="AD475">
        <v>1</v>
      </c>
      <c r="AE475" s="5">
        <v>31</v>
      </c>
      <c r="AF475" t="str">
        <f t="shared" si="51"/>
        <v>&gt;15</v>
      </c>
      <c r="AG475">
        <v>5</v>
      </c>
      <c r="AH475">
        <v>3</v>
      </c>
      <c r="AI475" s="5">
        <v>31</v>
      </c>
      <c r="AJ475">
        <v>9</v>
      </c>
      <c r="AK475">
        <v>0</v>
      </c>
      <c r="AL475">
        <v>9</v>
      </c>
      <c r="AM475" t="str">
        <f t="shared" si="52"/>
        <v>Ok</v>
      </c>
      <c r="AN475" s="21">
        <f t="shared" si="53"/>
        <v>28.1563126252505</v>
      </c>
      <c r="AO475" t="str">
        <f t="shared" ca="1" si="54"/>
        <v>No</v>
      </c>
      <c r="AP475" t="str">
        <f t="shared" si="55"/>
        <v>Low Risk</v>
      </c>
    </row>
    <row r="476" spans="1:42" x14ac:dyDescent="0.3">
      <c r="A476" s="5">
        <v>24</v>
      </c>
      <c r="B476" s="5" t="s">
        <v>43</v>
      </c>
      <c r="C476" s="5" t="str">
        <f t="shared" si="49"/>
        <v>No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 s="5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 s="5">
        <v>2725</v>
      </c>
      <c r="U476">
        <v>21630</v>
      </c>
      <c r="V476">
        <v>1</v>
      </c>
      <c r="W476" t="s">
        <v>42</v>
      </c>
      <c r="X476" t="s">
        <v>35</v>
      </c>
      <c r="Y476" t="str">
        <f t="shared" si="50"/>
        <v>Yes</v>
      </c>
      <c r="Z476">
        <v>11</v>
      </c>
      <c r="AA476">
        <v>3</v>
      </c>
      <c r="AB476">
        <v>2</v>
      </c>
      <c r="AC476">
        <v>80</v>
      </c>
      <c r="AD476">
        <v>2</v>
      </c>
      <c r="AE476" s="5">
        <v>6</v>
      </c>
      <c r="AF476" t="str">
        <f t="shared" si="51"/>
        <v>6-15</v>
      </c>
      <c r="AG476">
        <v>3</v>
      </c>
      <c r="AH476">
        <v>3</v>
      </c>
      <c r="AI476" s="5">
        <v>6</v>
      </c>
      <c r="AJ476">
        <v>5</v>
      </c>
      <c r="AK476">
        <v>1</v>
      </c>
      <c r="AL476">
        <v>4</v>
      </c>
      <c r="AM476" t="str">
        <f t="shared" si="52"/>
        <v>Below Avg</v>
      </c>
      <c r="AN476" s="21">
        <f t="shared" si="53"/>
        <v>28.184553660982946</v>
      </c>
      <c r="AO476" t="str">
        <f t="shared" ca="1" si="54"/>
        <v>No</v>
      </c>
      <c r="AP476" t="str">
        <f t="shared" si="55"/>
        <v>Low Risk</v>
      </c>
    </row>
    <row r="477" spans="1:42" x14ac:dyDescent="0.3">
      <c r="A477" s="5">
        <v>26</v>
      </c>
      <c r="B477" s="5" t="s">
        <v>43</v>
      </c>
      <c r="C477" s="5" t="str">
        <f t="shared" si="49"/>
        <v>No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 s="5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 s="5">
        <v>6272</v>
      </c>
      <c r="U477">
        <v>7428</v>
      </c>
      <c r="V477">
        <v>1</v>
      </c>
      <c r="W477" t="s">
        <v>42</v>
      </c>
      <c r="X477" t="s">
        <v>43</v>
      </c>
      <c r="Y477" t="str">
        <f t="shared" si="50"/>
        <v>No</v>
      </c>
      <c r="Z477">
        <v>20</v>
      </c>
      <c r="AA477">
        <v>4</v>
      </c>
      <c r="AB477">
        <v>4</v>
      </c>
      <c r="AC477">
        <v>80</v>
      </c>
      <c r="AD477">
        <v>2</v>
      </c>
      <c r="AE477" s="5">
        <v>6</v>
      </c>
      <c r="AF477" t="str">
        <f t="shared" si="51"/>
        <v>6-15</v>
      </c>
      <c r="AG477">
        <v>5</v>
      </c>
      <c r="AH477">
        <v>4</v>
      </c>
      <c r="AI477" s="5">
        <v>5</v>
      </c>
      <c r="AJ477">
        <v>3</v>
      </c>
      <c r="AK477">
        <v>1</v>
      </c>
      <c r="AL477">
        <v>4</v>
      </c>
      <c r="AM477" t="str">
        <f t="shared" si="52"/>
        <v>Below Avg</v>
      </c>
      <c r="AN477" s="21">
        <f t="shared" si="53"/>
        <v>28.112449799196789</v>
      </c>
      <c r="AO477" t="str">
        <f t="shared" ca="1" si="54"/>
        <v>No</v>
      </c>
      <c r="AP477" t="str">
        <f t="shared" si="55"/>
        <v>Low Risk</v>
      </c>
    </row>
    <row r="478" spans="1:42" x14ac:dyDescent="0.3">
      <c r="A478" s="5">
        <v>24</v>
      </c>
      <c r="B478" s="5" t="s">
        <v>43</v>
      </c>
      <c r="C478" s="5" t="str">
        <f t="shared" si="49"/>
        <v>No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 s="5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 s="5">
        <v>2127</v>
      </c>
      <c r="U478">
        <v>9100</v>
      </c>
      <c r="V478">
        <v>1</v>
      </c>
      <c r="W478" t="s">
        <v>42</v>
      </c>
      <c r="X478" t="s">
        <v>43</v>
      </c>
      <c r="Y478" t="str">
        <f t="shared" si="50"/>
        <v>No</v>
      </c>
      <c r="Z478">
        <v>21</v>
      </c>
      <c r="AA478">
        <v>4</v>
      </c>
      <c r="AB478">
        <v>4</v>
      </c>
      <c r="AC478">
        <v>80</v>
      </c>
      <c r="AD478">
        <v>1</v>
      </c>
      <c r="AE478" s="5">
        <v>1</v>
      </c>
      <c r="AF478" t="str">
        <f t="shared" si="51"/>
        <v>0-5</v>
      </c>
      <c r="AG478">
        <v>2</v>
      </c>
      <c r="AH478">
        <v>3</v>
      </c>
      <c r="AI478" s="5">
        <v>1</v>
      </c>
      <c r="AJ478">
        <v>0</v>
      </c>
      <c r="AK478">
        <v>0</v>
      </c>
      <c r="AL478">
        <v>0</v>
      </c>
      <c r="AM478" t="str">
        <f t="shared" si="52"/>
        <v>Below Avg</v>
      </c>
      <c r="AN478" s="21">
        <f t="shared" si="53"/>
        <v>28.040201005025128</v>
      </c>
      <c r="AO478" t="str">
        <f t="shared" ca="1" si="54"/>
        <v>No</v>
      </c>
      <c r="AP478" t="str">
        <f t="shared" si="55"/>
        <v>Low Risk</v>
      </c>
    </row>
    <row r="479" spans="1:42" x14ac:dyDescent="0.3">
      <c r="A479" s="5">
        <v>50</v>
      </c>
      <c r="B479" s="5" t="s">
        <v>43</v>
      </c>
      <c r="C479" s="5" t="str">
        <f t="shared" si="49"/>
        <v>No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 s="5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 s="5">
        <v>18200</v>
      </c>
      <c r="U479">
        <v>7999</v>
      </c>
      <c r="V479">
        <v>1</v>
      </c>
      <c r="W479" t="s">
        <v>42</v>
      </c>
      <c r="X479" t="s">
        <v>43</v>
      </c>
      <c r="Y479" t="str">
        <f t="shared" si="50"/>
        <v>No</v>
      </c>
      <c r="Z479">
        <v>11</v>
      </c>
      <c r="AA479">
        <v>3</v>
      </c>
      <c r="AB479">
        <v>3</v>
      </c>
      <c r="AC479">
        <v>80</v>
      </c>
      <c r="AD479">
        <v>1</v>
      </c>
      <c r="AE479" s="5">
        <v>32</v>
      </c>
      <c r="AF479" t="str">
        <f t="shared" si="51"/>
        <v>&gt;15</v>
      </c>
      <c r="AG479">
        <v>2</v>
      </c>
      <c r="AH479">
        <v>3</v>
      </c>
      <c r="AI479" s="5">
        <v>32</v>
      </c>
      <c r="AJ479">
        <v>5</v>
      </c>
      <c r="AK479">
        <v>10</v>
      </c>
      <c r="AL479">
        <v>7</v>
      </c>
      <c r="AM479" t="str">
        <f t="shared" si="52"/>
        <v>Ok</v>
      </c>
      <c r="AN479" s="21">
        <f t="shared" si="53"/>
        <v>28.068410462776662</v>
      </c>
      <c r="AO479" t="str">
        <f t="shared" ca="1" si="54"/>
        <v>No</v>
      </c>
      <c r="AP479" t="str">
        <f t="shared" si="55"/>
        <v>Low Risk</v>
      </c>
    </row>
    <row r="480" spans="1:42" x14ac:dyDescent="0.3">
      <c r="A480" s="5">
        <v>25</v>
      </c>
      <c r="B480" s="5" t="s">
        <v>43</v>
      </c>
      <c r="C480" s="5" t="str">
        <f t="shared" si="49"/>
        <v>No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 s="5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 s="5">
        <v>2096</v>
      </c>
      <c r="U480">
        <v>26376</v>
      </c>
      <c r="V480">
        <v>1</v>
      </c>
      <c r="W480" t="s">
        <v>42</v>
      </c>
      <c r="X480" t="s">
        <v>43</v>
      </c>
      <c r="Y480" t="str">
        <f t="shared" si="50"/>
        <v>No</v>
      </c>
      <c r="Z480">
        <v>11</v>
      </c>
      <c r="AA480">
        <v>3</v>
      </c>
      <c r="AB480">
        <v>3</v>
      </c>
      <c r="AC480">
        <v>80</v>
      </c>
      <c r="AD480">
        <v>0</v>
      </c>
      <c r="AE480" s="5">
        <v>7</v>
      </c>
      <c r="AF480" t="str">
        <f t="shared" si="51"/>
        <v>6-15</v>
      </c>
      <c r="AG480">
        <v>1</v>
      </c>
      <c r="AH480">
        <v>3</v>
      </c>
      <c r="AI480" s="5">
        <v>7</v>
      </c>
      <c r="AJ480">
        <v>4</v>
      </c>
      <c r="AK480">
        <v>0</v>
      </c>
      <c r="AL480">
        <v>6</v>
      </c>
      <c r="AM480" t="str">
        <f t="shared" si="52"/>
        <v>Below Avg</v>
      </c>
      <c r="AN480" s="21">
        <f t="shared" si="53"/>
        <v>28.09667673716012</v>
      </c>
      <c r="AO480" t="str">
        <f t="shared" ca="1" si="54"/>
        <v>No</v>
      </c>
      <c r="AP480" t="str">
        <f t="shared" si="55"/>
        <v>Low Risk</v>
      </c>
    </row>
    <row r="481" spans="1:42" x14ac:dyDescent="0.3">
      <c r="A481" s="5">
        <v>24</v>
      </c>
      <c r="B481" s="5" t="s">
        <v>35</v>
      </c>
      <c r="C481" s="5" t="str">
        <f t="shared" si="49"/>
        <v>Yes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 s="5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 s="5">
        <v>2886</v>
      </c>
      <c r="U481">
        <v>14168</v>
      </c>
      <c r="V481">
        <v>1</v>
      </c>
      <c r="W481" t="s">
        <v>42</v>
      </c>
      <c r="X481" t="s">
        <v>35</v>
      </c>
      <c r="Y481" t="str">
        <f t="shared" si="50"/>
        <v>Yes</v>
      </c>
      <c r="Z481">
        <v>16</v>
      </c>
      <c r="AA481">
        <v>3</v>
      </c>
      <c r="AB481">
        <v>4</v>
      </c>
      <c r="AC481">
        <v>80</v>
      </c>
      <c r="AD481">
        <v>1</v>
      </c>
      <c r="AE481" s="5">
        <v>6</v>
      </c>
      <c r="AF481" t="str">
        <f t="shared" si="51"/>
        <v>6-15</v>
      </c>
      <c r="AG481">
        <v>4</v>
      </c>
      <c r="AH481">
        <v>3</v>
      </c>
      <c r="AI481" s="5">
        <v>6</v>
      </c>
      <c r="AJ481">
        <v>3</v>
      </c>
      <c r="AK481">
        <v>1</v>
      </c>
      <c r="AL481">
        <v>2</v>
      </c>
      <c r="AM481" t="str">
        <f t="shared" si="52"/>
        <v>Below Avg</v>
      </c>
      <c r="AN481" s="21">
        <f t="shared" si="53"/>
        <v>28.125</v>
      </c>
      <c r="AO481" t="str">
        <f t="shared" ca="1" si="54"/>
        <v>No</v>
      </c>
      <c r="AP481" t="str">
        <f t="shared" si="55"/>
        <v>Low Risk</v>
      </c>
    </row>
    <row r="482" spans="1:42" x14ac:dyDescent="0.3">
      <c r="A482" s="5">
        <v>30</v>
      </c>
      <c r="B482" s="5" t="s">
        <v>35</v>
      </c>
      <c r="C482" s="5" t="str">
        <f t="shared" si="49"/>
        <v>Yes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 s="5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 s="5">
        <v>2033</v>
      </c>
      <c r="U482">
        <v>14470</v>
      </c>
      <c r="V482">
        <v>1</v>
      </c>
      <c r="W482" t="s">
        <v>42</v>
      </c>
      <c r="X482" t="s">
        <v>43</v>
      </c>
      <c r="Y482" t="str">
        <f t="shared" si="50"/>
        <v>No</v>
      </c>
      <c r="Z482">
        <v>18</v>
      </c>
      <c r="AA482">
        <v>3</v>
      </c>
      <c r="AB482">
        <v>3</v>
      </c>
      <c r="AC482">
        <v>80</v>
      </c>
      <c r="AD482">
        <v>1</v>
      </c>
      <c r="AE482" s="5">
        <v>1</v>
      </c>
      <c r="AF482" t="str">
        <f t="shared" si="51"/>
        <v>0-5</v>
      </c>
      <c r="AG482">
        <v>2</v>
      </c>
      <c r="AH482">
        <v>4</v>
      </c>
      <c r="AI482" s="5">
        <v>1</v>
      </c>
      <c r="AJ482">
        <v>0</v>
      </c>
      <c r="AK482">
        <v>0</v>
      </c>
      <c r="AL482">
        <v>0</v>
      </c>
      <c r="AM482" t="str">
        <f t="shared" si="52"/>
        <v>Below Avg</v>
      </c>
      <c r="AN482" s="21">
        <f t="shared" si="53"/>
        <v>28.15338042381433</v>
      </c>
      <c r="AO482" t="str">
        <f t="shared" ca="1" si="54"/>
        <v>No</v>
      </c>
      <c r="AP482" t="str">
        <f t="shared" si="55"/>
        <v>High Risk</v>
      </c>
    </row>
    <row r="483" spans="1:42" x14ac:dyDescent="0.3">
      <c r="A483" s="5">
        <v>34</v>
      </c>
      <c r="B483" s="5" t="s">
        <v>43</v>
      </c>
      <c r="C483" s="5" t="str">
        <f t="shared" si="49"/>
        <v>No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 s="5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 s="5">
        <v>3622</v>
      </c>
      <c r="U483">
        <v>22794</v>
      </c>
      <c r="V483">
        <v>1</v>
      </c>
      <c r="W483" t="s">
        <v>42</v>
      </c>
      <c r="X483" t="s">
        <v>35</v>
      </c>
      <c r="Y483" t="str">
        <f t="shared" si="50"/>
        <v>Yes</v>
      </c>
      <c r="Z483">
        <v>13</v>
      </c>
      <c r="AA483">
        <v>3</v>
      </c>
      <c r="AB483">
        <v>4</v>
      </c>
      <c r="AC483">
        <v>80</v>
      </c>
      <c r="AD483">
        <v>1</v>
      </c>
      <c r="AE483" s="5">
        <v>6</v>
      </c>
      <c r="AF483" t="str">
        <f t="shared" si="51"/>
        <v>6-15</v>
      </c>
      <c r="AG483">
        <v>3</v>
      </c>
      <c r="AH483">
        <v>3</v>
      </c>
      <c r="AI483" s="5">
        <v>6</v>
      </c>
      <c r="AJ483">
        <v>5</v>
      </c>
      <c r="AK483">
        <v>1</v>
      </c>
      <c r="AL483">
        <v>3</v>
      </c>
      <c r="AM483" t="str">
        <f t="shared" si="52"/>
        <v>Below Avg</v>
      </c>
      <c r="AN483" s="21">
        <f t="shared" si="53"/>
        <v>28.08080808080808</v>
      </c>
      <c r="AO483" t="str">
        <f t="shared" ca="1" si="54"/>
        <v>No</v>
      </c>
      <c r="AP483" t="str">
        <f t="shared" si="55"/>
        <v>Low Risk</v>
      </c>
    </row>
    <row r="484" spans="1:42" x14ac:dyDescent="0.3">
      <c r="A484" s="5">
        <v>31</v>
      </c>
      <c r="B484" s="5" t="s">
        <v>35</v>
      </c>
      <c r="C484" s="5" t="str">
        <f t="shared" si="49"/>
        <v>Yes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 s="5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 s="5">
        <v>4233</v>
      </c>
      <c r="U484">
        <v>11512</v>
      </c>
      <c r="V484">
        <v>2</v>
      </c>
      <c r="W484" t="s">
        <v>42</v>
      </c>
      <c r="X484" t="s">
        <v>43</v>
      </c>
      <c r="Y484" t="str">
        <f t="shared" si="50"/>
        <v>No</v>
      </c>
      <c r="Z484">
        <v>17</v>
      </c>
      <c r="AA484">
        <v>3</v>
      </c>
      <c r="AB484">
        <v>3</v>
      </c>
      <c r="AC484">
        <v>80</v>
      </c>
      <c r="AD484">
        <v>0</v>
      </c>
      <c r="AE484" s="5">
        <v>9</v>
      </c>
      <c r="AF484" t="str">
        <f t="shared" si="51"/>
        <v>6-15</v>
      </c>
      <c r="AG484">
        <v>2</v>
      </c>
      <c r="AH484">
        <v>1</v>
      </c>
      <c r="AI484" s="5">
        <v>3</v>
      </c>
      <c r="AJ484">
        <v>1</v>
      </c>
      <c r="AK484">
        <v>1</v>
      </c>
      <c r="AL484">
        <v>2</v>
      </c>
      <c r="AM484" t="str">
        <f t="shared" si="52"/>
        <v>Below Avg</v>
      </c>
      <c r="AN484" s="21">
        <f t="shared" si="53"/>
        <v>28.109201213346815</v>
      </c>
      <c r="AO484" t="str">
        <f t="shared" ca="1" si="54"/>
        <v>No</v>
      </c>
      <c r="AP484" t="str">
        <f t="shared" si="55"/>
        <v>Low Risk</v>
      </c>
    </row>
    <row r="485" spans="1:42" x14ac:dyDescent="0.3">
      <c r="A485" s="5">
        <v>35</v>
      </c>
      <c r="B485" s="5" t="s">
        <v>43</v>
      </c>
      <c r="C485" s="5" t="str">
        <f t="shared" si="49"/>
        <v>No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 s="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 s="5">
        <v>3681</v>
      </c>
      <c r="U485">
        <v>14004</v>
      </c>
      <c r="V485">
        <v>4</v>
      </c>
      <c r="W485" t="s">
        <v>42</v>
      </c>
      <c r="X485" t="s">
        <v>43</v>
      </c>
      <c r="Y485" t="str">
        <f t="shared" si="50"/>
        <v>No</v>
      </c>
      <c r="Z485">
        <v>14</v>
      </c>
      <c r="AA485">
        <v>3</v>
      </c>
      <c r="AB485">
        <v>4</v>
      </c>
      <c r="AC485">
        <v>80</v>
      </c>
      <c r="AD485">
        <v>0</v>
      </c>
      <c r="AE485" s="5">
        <v>9</v>
      </c>
      <c r="AF485" t="str">
        <f t="shared" si="51"/>
        <v>6-15</v>
      </c>
      <c r="AG485">
        <v>3</v>
      </c>
      <c r="AH485">
        <v>3</v>
      </c>
      <c r="AI485" s="5">
        <v>3</v>
      </c>
      <c r="AJ485">
        <v>2</v>
      </c>
      <c r="AK485">
        <v>0</v>
      </c>
      <c r="AL485">
        <v>2</v>
      </c>
      <c r="AM485" t="str">
        <f t="shared" si="52"/>
        <v>Below Avg</v>
      </c>
      <c r="AN485" s="21">
        <f t="shared" si="53"/>
        <v>28.036437246963565</v>
      </c>
      <c r="AO485" t="str">
        <f t="shared" ca="1" si="54"/>
        <v>No</v>
      </c>
      <c r="AP485" t="str">
        <f t="shared" si="55"/>
        <v>Low Risk</v>
      </c>
    </row>
    <row r="486" spans="1:42" x14ac:dyDescent="0.3">
      <c r="A486" s="5">
        <v>31</v>
      </c>
      <c r="B486" s="5" t="s">
        <v>43</v>
      </c>
      <c r="C486" s="5" t="str">
        <f t="shared" si="49"/>
        <v>No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 s="5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 s="5">
        <v>5460</v>
      </c>
      <c r="U486">
        <v>6219</v>
      </c>
      <c r="V486">
        <v>4</v>
      </c>
      <c r="W486" t="s">
        <v>42</v>
      </c>
      <c r="X486" t="s">
        <v>43</v>
      </c>
      <c r="Y486" t="str">
        <f t="shared" si="50"/>
        <v>No</v>
      </c>
      <c r="Z486">
        <v>22</v>
      </c>
      <c r="AA486">
        <v>4</v>
      </c>
      <c r="AB486">
        <v>4</v>
      </c>
      <c r="AC486">
        <v>80</v>
      </c>
      <c r="AD486">
        <v>2</v>
      </c>
      <c r="AE486" s="5">
        <v>13</v>
      </c>
      <c r="AF486" t="str">
        <f t="shared" si="51"/>
        <v>6-15</v>
      </c>
      <c r="AG486">
        <v>4</v>
      </c>
      <c r="AH486">
        <v>4</v>
      </c>
      <c r="AI486" s="5">
        <v>7</v>
      </c>
      <c r="AJ486">
        <v>7</v>
      </c>
      <c r="AK486">
        <v>5</v>
      </c>
      <c r="AL486">
        <v>7</v>
      </c>
      <c r="AM486" t="str">
        <f t="shared" si="52"/>
        <v>Below Avg</v>
      </c>
      <c r="AN486" s="21">
        <f t="shared" si="53"/>
        <v>28.06484295845998</v>
      </c>
      <c r="AO486" t="str">
        <f t="shared" ca="1" si="54"/>
        <v>No</v>
      </c>
      <c r="AP486" t="str">
        <f t="shared" si="55"/>
        <v>Low Risk</v>
      </c>
    </row>
    <row r="487" spans="1:42" x14ac:dyDescent="0.3">
      <c r="A487" s="5">
        <v>27</v>
      </c>
      <c r="B487" s="5" t="s">
        <v>43</v>
      </c>
      <c r="C487" s="5" t="str">
        <f t="shared" si="49"/>
        <v>No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 s="5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 s="5">
        <v>2187</v>
      </c>
      <c r="U487">
        <v>5013</v>
      </c>
      <c r="V487">
        <v>0</v>
      </c>
      <c r="W487" t="s">
        <v>42</v>
      </c>
      <c r="X487" t="s">
        <v>43</v>
      </c>
      <c r="Y487" t="str">
        <f t="shared" si="50"/>
        <v>No</v>
      </c>
      <c r="Z487">
        <v>12</v>
      </c>
      <c r="AA487">
        <v>3</v>
      </c>
      <c r="AB487">
        <v>3</v>
      </c>
      <c r="AC487">
        <v>80</v>
      </c>
      <c r="AD487">
        <v>2</v>
      </c>
      <c r="AE487" s="5">
        <v>6</v>
      </c>
      <c r="AF487" t="str">
        <f t="shared" si="51"/>
        <v>6-15</v>
      </c>
      <c r="AG487">
        <v>5</v>
      </c>
      <c r="AH487">
        <v>2</v>
      </c>
      <c r="AI487" s="5">
        <v>5</v>
      </c>
      <c r="AJ487">
        <v>3</v>
      </c>
      <c r="AK487">
        <v>0</v>
      </c>
      <c r="AL487">
        <v>3</v>
      </c>
      <c r="AM487" t="str">
        <f t="shared" si="52"/>
        <v>Below Avg</v>
      </c>
      <c r="AN487" s="21">
        <f t="shared" si="53"/>
        <v>28.093306288032455</v>
      </c>
      <c r="AO487" t="str">
        <f t="shared" ca="1" si="54"/>
        <v>No</v>
      </c>
      <c r="AP487" t="str">
        <f t="shared" si="55"/>
        <v>Low Risk</v>
      </c>
    </row>
    <row r="488" spans="1:42" x14ac:dyDescent="0.3">
      <c r="A488" s="5">
        <v>37</v>
      </c>
      <c r="B488" s="5" t="s">
        <v>43</v>
      </c>
      <c r="C488" s="5" t="str">
        <f t="shared" si="49"/>
        <v>No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 s="5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 s="5">
        <v>9602</v>
      </c>
      <c r="U488">
        <v>3010</v>
      </c>
      <c r="V488">
        <v>4</v>
      </c>
      <c r="W488" t="s">
        <v>42</v>
      </c>
      <c r="X488" t="s">
        <v>35</v>
      </c>
      <c r="Y488" t="str">
        <f t="shared" si="50"/>
        <v>Yes</v>
      </c>
      <c r="Z488">
        <v>11</v>
      </c>
      <c r="AA488">
        <v>3</v>
      </c>
      <c r="AB488">
        <v>3</v>
      </c>
      <c r="AC488">
        <v>80</v>
      </c>
      <c r="AD488">
        <v>1</v>
      </c>
      <c r="AE488" s="5">
        <v>17</v>
      </c>
      <c r="AF488" t="str">
        <f t="shared" si="51"/>
        <v>&gt;15</v>
      </c>
      <c r="AG488">
        <v>3</v>
      </c>
      <c r="AH488">
        <v>2</v>
      </c>
      <c r="AI488" s="5">
        <v>3</v>
      </c>
      <c r="AJ488">
        <v>0</v>
      </c>
      <c r="AK488">
        <v>1</v>
      </c>
      <c r="AL488">
        <v>0</v>
      </c>
      <c r="AM488" t="str">
        <f t="shared" si="52"/>
        <v>Ok</v>
      </c>
      <c r="AN488" s="21">
        <f t="shared" si="53"/>
        <v>28.121827411167509</v>
      </c>
      <c r="AO488" t="str">
        <f t="shared" ca="1" si="54"/>
        <v>No</v>
      </c>
      <c r="AP488" t="str">
        <f t="shared" si="55"/>
        <v>Low Risk</v>
      </c>
    </row>
    <row r="489" spans="1:42" x14ac:dyDescent="0.3">
      <c r="A489" s="5">
        <v>20</v>
      </c>
      <c r="B489" s="5" t="s">
        <v>43</v>
      </c>
      <c r="C489" s="5" t="str">
        <f t="shared" si="49"/>
        <v>No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 s="5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 s="5">
        <v>2836</v>
      </c>
      <c r="U489">
        <v>11757</v>
      </c>
      <c r="V489">
        <v>1</v>
      </c>
      <c r="W489" t="s">
        <v>42</v>
      </c>
      <c r="X489" t="s">
        <v>43</v>
      </c>
      <c r="Y489" t="str">
        <f t="shared" si="50"/>
        <v>No</v>
      </c>
      <c r="Z489">
        <v>13</v>
      </c>
      <c r="AA489">
        <v>3</v>
      </c>
      <c r="AB489">
        <v>4</v>
      </c>
      <c r="AC489">
        <v>80</v>
      </c>
      <c r="AD489">
        <v>0</v>
      </c>
      <c r="AE489" s="5">
        <v>1</v>
      </c>
      <c r="AF489" t="str">
        <f t="shared" si="51"/>
        <v>0-5</v>
      </c>
      <c r="AG489">
        <v>0</v>
      </c>
      <c r="AH489">
        <v>4</v>
      </c>
      <c r="AI489" s="5">
        <v>1</v>
      </c>
      <c r="AJ489">
        <v>0</v>
      </c>
      <c r="AK489">
        <v>0</v>
      </c>
      <c r="AL489">
        <v>0</v>
      </c>
      <c r="AM489" t="str">
        <f t="shared" si="52"/>
        <v>Below Avg</v>
      </c>
      <c r="AN489" s="21">
        <f t="shared" si="53"/>
        <v>28.150406504065039</v>
      </c>
      <c r="AO489" t="str">
        <f t="shared" ca="1" si="54"/>
        <v>No</v>
      </c>
      <c r="AP489" t="str">
        <f t="shared" si="55"/>
        <v>Low Risk</v>
      </c>
    </row>
    <row r="490" spans="1:42" x14ac:dyDescent="0.3">
      <c r="A490" s="5">
        <v>42</v>
      </c>
      <c r="B490" s="5" t="s">
        <v>43</v>
      </c>
      <c r="C490" s="5" t="str">
        <f t="shared" si="49"/>
        <v>No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 s="5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 s="5">
        <v>4089</v>
      </c>
      <c r="U490">
        <v>5718</v>
      </c>
      <c r="V490">
        <v>1</v>
      </c>
      <c r="W490" t="s">
        <v>42</v>
      </c>
      <c r="X490" t="s">
        <v>43</v>
      </c>
      <c r="Y490" t="str">
        <f t="shared" si="50"/>
        <v>No</v>
      </c>
      <c r="Z490">
        <v>13</v>
      </c>
      <c r="AA490">
        <v>3</v>
      </c>
      <c r="AB490">
        <v>2</v>
      </c>
      <c r="AC490">
        <v>80</v>
      </c>
      <c r="AD490">
        <v>2</v>
      </c>
      <c r="AE490" s="5">
        <v>10</v>
      </c>
      <c r="AF490" t="str">
        <f t="shared" si="51"/>
        <v>6-15</v>
      </c>
      <c r="AG490">
        <v>4</v>
      </c>
      <c r="AH490">
        <v>3</v>
      </c>
      <c r="AI490" s="5">
        <v>10</v>
      </c>
      <c r="AJ490">
        <v>2</v>
      </c>
      <c r="AK490">
        <v>2</v>
      </c>
      <c r="AL490">
        <v>2</v>
      </c>
      <c r="AM490" t="str">
        <f t="shared" si="52"/>
        <v>Below Avg</v>
      </c>
      <c r="AN490" s="21">
        <f t="shared" si="53"/>
        <v>28.077314343845373</v>
      </c>
      <c r="AO490" t="str">
        <f t="shared" ca="1" si="54"/>
        <v>No</v>
      </c>
      <c r="AP490" t="str">
        <f t="shared" si="55"/>
        <v>Low Risk</v>
      </c>
    </row>
    <row r="491" spans="1:42" x14ac:dyDescent="0.3">
      <c r="A491" s="5">
        <v>43</v>
      </c>
      <c r="B491" s="5" t="s">
        <v>43</v>
      </c>
      <c r="C491" s="5" t="str">
        <f t="shared" si="49"/>
        <v>No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 s="5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 s="5">
        <v>16627</v>
      </c>
      <c r="U491">
        <v>2671</v>
      </c>
      <c r="V491">
        <v>4</v>
      </c>
      <c r="W491" t="s">
        <v>42</v>
      </c>
      <c r="X491" t="s">
        <v>35</v>
      </c>
      <c r="Y491" t="str">
        <f t="shared" si="50"/>
        <v>Yes</v>
      </c>
      <c r="Z491">
        <v>14</v>
      </c>
      <c r="AA491">
        <v>3</v>
      </c>
      <c r="AB491">
        <v>3</v>
      </c>
      <c r="AC491">
        <v>80</v>
      </c>
      <c r="AD491">
        <v>1</v>
      </c>
      <c r="AE491" s="5">
        <v>21</v>
      </c>
      <c r="AF491" t="str">
        <f t="shared" si="51"/>
        <v>&gt;15</v>
      </c>
      <c r="AG491">
        <v>3</v>
      </c>
      <c r="AH491">
        <v>2</v>
      </c>
      <c r="AI491" s="5">
        <v>1</v>
      </c>
      <c r="AJ491">
        <v>0</v>
      </c>
      <c r="AK491">
        <v>0</v>
      </c>
      <c r="AL491">
        <v>0</v>
      </c>
      <c r="AM491" t="str">
        <f t="shared" si="52"/>
        <v>Ok</v>
      </c>
      <c r="AN491" s="21">
        <f t="shared" si="53"/>
        <v>28.105906313645622</v>
      </c>
      <c r="AO491" t="str">
        <f t="shared" ca="1" si="54"/>
        <v>No</v>
      </c>
      <c r="AP491" t="str">
        <f t="shared" si="55"/>
        <v>Low Risk</v>
      </c>
    </row>
    <row r="492" spans="1:42" x14ac:dyDescent="0.3">
      <c r="A492" s="5">
        <v>38</v>
      </c>
      <c r="B492" s="5" t="s">
        <v>43</v>
      </c>
      <c r="C492" s="5" t="str">
        <f t="shared" si="49"/>
        <v>No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 s="5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 s="5">
        <v>2619</v>
      </c>
      <c r="U492">
        <v>14561</v>
      </c>
      <c r="V492">
        <v>3</v>
      </c>
      <c r="W492" t="s">
        <v>42</v>
      </c>
      <c r="X492" t="s">
        <v>43</v>
      </c>
      <c r="Y492" t="str">
        <f t="shared" si="50"/>
        <v>No</v>
      </c>
      <c r="Z492">
        <v>17</v>
      </c>
      <c r="AA492">
        <v>3</v>
      </c>
      <c r="AB492">
        <v>4</v>
      </c>
      <c r="AC492">
        <v>80</v>
      </c>
      <c r="AD492">
        <v>0</v>
      </c>
      <c r="AE492" s="5">
        <v>8</v>
      </c>
      <c r="AF492" t="str">
        <f t="shared" si="51"/>
        <v>6-15</v>
      </c>
      <c r="AG492">
        <v>3</v>
      </c>
      <c r="AH492">
        <v>2</v>
      </c>
      <c r="AI492" s="5">
        <v>0</v>
      </c>
      <c r="AJ492">
        <v>0</v>
      </c>
      <c r="AK492">
        <v>0</v>
      </c>
      <c r="AL492">
        <v>0</v>
      </c>
      <c r="AM492" t="str">
        <f t="shared" si="52"/>
        <v>Below Avg</v>
      </c>
      <c r="AN492" s="21">
        <f t="shared" si="53"/>
        <v>28.134556574923547</v>
      </c>
      <c r="AO492" t="str">
        <f t="shared" ca="1" si="54"/>
        <v>No</v>
      </c>
      <c r="AP492" t="str">
        <f t="shared" si="55"/>
        <v>Low Risk</v>
      </c>
    </row>
    <row r="493" spans="1:42" x14ac:dyDescent="0.3">
      <c r="A493" s="5">
        <v>43</v>
      </c>
      <c r="B493" s="5" t="s">
        <v>43</v>
      </c>
      <c r="C493" s="5" t="str">
        <f t="shared" si="49"/>
        <v>No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 s="5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 s="5">
        <v>5679</v>
      </c>
      <c r="U493">
        <v>19627</v>
      </c>
      <c r="V493">
        <v>3</v>
      </c>
      <c r="W493" t="s">
        <v>42</v>
      </c>
      <c r="X493" t="s">
        <v>35</v>
      </c>
      <c r="Y493" t="str">
        <f t="shared" si="50"/>
        <v>Yes</v>
      </c>
      <c r="Z493">
        <v>13</v>
      </c>
      <c r="AA493">
        <v>3</v>
      </c>
      <c r="AB493">
        <v>2</v>
      </c>
      <c r="AC493">
        <v>80</v>
      </c>
      <c r="AD493">
        <v>1</v>
      </c>
      <c r="AE493" s="5">
        <v>10</v>
      </c>
      <c r="AF493" t="str">
        <f t="shared" si="51"/>
        <v>6-15</v>
      </c>
      <c r="AG493">
        <v>3</v>
      </c>
      <c r="AH493">
        <v>3</v>
      </c>
      <c r="AI493" s="5">
        <v>8</v>
      </c>
      <c r="AJ493">
        <v>7</v>
      </c>
      <c r="AK493">
        <v>4</v>
      </c>
      <c r="AL493">
        <v>7</v>
      </c>
      <c r="AM493" t="str">
        <f t="shared" si="52"/>
        <v>Below Avg</v>
      </c>
      <c r="AN493" s="21">
        <f t="shared" si="53"/>
        <v>28.061224489795915</v>
      </c>
      <c r="AO493" t="str">
        <f t="shared" ca="1" si="54"/>
        <v>No</v>
      </c>
      <c r="AP493" t="str">
        <f t="shared" si="55"/>
        <v>Low Risk</v>
      </c>
    </row>
    <row r="494" spans="1:42" x14ac:dyDescent="0.3">
      <c r="A494" s="5">
        <v>48</v>
      </c>
      <c r="B494" s="5" t="s">
        <v>43</v>
      </c>
      <c r="C494" s="5" t="str">
        <f t="shared" si="49"/>
        <v>No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 s="5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 s="5">
        <v>15402</v>
      </c>
      <c r="U494">
        <v>17997</v>
      </c>
      <c r="V494">
        <v>7</v>
      </c>
      <c r="W494" t="s">
        <v>42</v>
      </c>
      <c r="X494" t="s">
        <v>43</v>
      </c>
      <c r="Y494" t="str">
        <f t="shared" si="50"/>
        <v>No</v>
      </c>
      <c r="Z494">
        <v>11</v>
      </c>
      <c r="AA494">
        <v>3</v>
      </c>
      <c r="AB494">
        <v>1</v>
      </c>
      <c r="AC494">
        <v>80</v>
      </c>
      <c r="AD494">
        <v>1</v>
      </c>
      <c r="AE494" s="5">
        <v>21</v>
      </c>
      <c r="AF494" t="str">
        <f t="shared" si="51"/>
        <v>&gt;15</v>
      </c>
      <c r="AG494">
        <v>3</v>
      </c>
      <c r="AH494">
        <v>1</v>
      </c>
      <c r="AI494" s="5">
        <v>3</v>
      </c>
      <c r="AJ494">
        <v>2</v>
      </c>
      <c r="AK494">
        <v>0</v>
      </c>
      <c r="AL494">
        <v>2</v>
      </c>
      <c r="AM494" t="str">
        <f t="shared" si="52"/>
        <v>Ok</v>
      </c>
      <c r="AN494" s="21">
        <f t="shared" si="53"/>
        <v>28.08988764044944</v>
      </c>
      <c r="AO494" t="str">
        <f t="shared" ca="1" si="54"/>
        <v>No</v>
      </c>
      <c r="AP494" t="str">
        <f t="shared" si="55"/>
        <v>Low Risk</v>
      </c>
    </row>
    <row r="495" spans="1:42" x14ac:dyDescent="0.3">
      <c r="A495" s="5">
        <v>44</v>
      </c>
      <c r="B495" s="5" t="s">
        <v>43</v>
      </c>
      <c r="C495" s="5" t="str">
        <f t="shared" si="49"/>
        <v>No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 s="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 s="5">
        <v>5985</v>
      </c>
      <c r="U495">
        <v>26894</v>
      </c>
      <c r="V495">
        <v>4</v>
      </c>
      <c r="W495" t="s">
        <v>42</v>
      </c>
      <c r="X495" t="s">
        <v>43</v>
      </c>
      <c r="Y495" t="str">
        <f t="shared" si="50"/>
        <v>No</v>
      </c>
      <c r="Z495">
        <v>11</v>
      </c>
      <c r="AA495">
        <v>3</v>
      </c>
      <c r="AB495">
        <v>2</v>
      </c>
      <c r="AC495">
        <v>80</v>
      </c>
      <c r="AD495">
        <v>0</v>
      </c>
      <c r="AE495" s="5">
        <v>10</v>
      </c>
      <c r="AF495" t="str">
        <f t="shared" si="51"/>
        <v>6-15</v>
      </c>
      <c r="AG495">
        <v>1</v>
      </c>
      <c r="AH495">
        <v>4</v>
      </c>
      <c r="AI495" s="5">
        <v>2</v>
      </c>
      <c r="AJ495">
        <v>2</v>
      </c>
      <c r="AK495">
        <v>0</v>
      </c>
      <c r="AL495">
        <v>2</v>
      </c>
      <c r="AM495" t="str">
        <f t="shared" si="52"/>
        <v>Below Avg</v>
      </c>
      <c r="AN495" s="21">
        <f t="shared" si="53"/>
        <v>28.016359918200408</v>
      </c>
      <c r="AO495" t="str">
        <f t="shared" ca="1" si="54"/>
        <v>No</v>
      </c>
      <c r="AP495" t="str">
        <f t="shared" si="55"/>
        <v>Low Risk</v>
      </c>
    </row>
    <row r="496" spans="1:42" x14ac:dyDescent="0.3">
      <c r="A496" s="5">
        <v>34</v>
      </c>
      <c r="B496" s="5" t="s">
        <v>43</v>
      </c>
      <c r="C496" s="5" t="str">
        <f t="shared" si="49"/>
        <v>No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 s="5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 s="5">
        <v>2579</v>
      </c>
      <c r="U496">
        <v>2912</v>
      </c>
      <c r="V496">
        <v>1</v>
      </c>
      <c r="W496" t="s">
        <v>42</v>
      </c>
      <c r="X496" t="s">
        <v>35</v>
      </c>
      <c r="Y496" t="str">
        <f t="shared" si="50"/>
        <v>Yes</v>
      </c>
      <c r="Z496">
        <v>18</v>
      </c>
      <c r="AA496">
        <v>3</v>
      </c>
      <c r="AB496">
        <v>4</v>
      </c>
      <c r="AC496">
        <v>80</v>
      </c>
      <c r="AD496">
        <v>2</v>
      </c>
      <c r="AE496" s="5">
        <v>8</v>
      </c>
      <c r="AF496" t="str">
        <f t="shared" si="51"/>
        <v>6-15</v>
      </c>
      <c r="AG496">
        <v>3</v>
      </c>
      <c r="AH496">
        <v>3</v>
      </c>
      <c r="AI496" s="5">
        <v>8</v>
      </c>
      <c r="AJ496">
        <v>2</v>
      </c>
      <c r="AK496">
        <v>0</v>
      </c>
      <c r="AL496">
        <v>6</v>
      </c>
      <c r="AM496" t="str">
        <f t="shared" si="52"/>
        <v>Below Avg</v>
      </c>
      <c r="AN496" s="21">
        <f t="shared" si="53"/>
        <v>28.045035823950869</v>
      </c>
      <c r="AO496" t="str">
        <f t="shared" ca="1" si="54"/>
        <v>No</v>
      </c>
      <c r="AP496" t="str">
        <f t="shared" si="55"/>
        <v>Low Risk</v>
      </c>
    </row>
    <row r="497" spans="1:42" x14ac:dyDescent="0.3">
      <c r="A497" s="5">
        <v>27</v>
      </c>
      <c r="B497" s="5" t="s">
        <v>35</v>
      </c>
      <c r="C497" s="5" t="str">
        <f t="shared" si="49"/>
        <v>Yes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 s="5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 s="5">
        <v>3041</v>
      </c>
      <c r="U497">
        <v>16346</v>
      </c>
      <c r="V497">
        <v>0</v>
      </c>
      <c r="W497" t="s">
        <v>42</v>
      </c>
      <c r="X497" t="s">
        <v>43</v>
      </c>
      <c r="Y497" t="str">
        <f t="shared" si="50"/>
        <v>No</v>
      </c>
      <c r="Z497">
        <v>11</v>
      </c>
      <c r="AA497">
        <v>3</v>
      </c>
      <c r="AB497">
        <v>2</v>
      </c>
      <c r="AC497">
        <v>80</v>
      </c>
      <c r="AD497">
        <v>1</v>
      </c>
      <c r="AE497" s="5">
        <v>5</v>
      </c>
      <c r="AF497" t="str">
        <f t="shared" si="51"/>
        <v>0-5</v>
      </c>
      <c r="AG497">
        <v>3</v>
      </c>
      <c r="AH497">
        <v>3</v>
      </c>
      <c r="AI497" s="5">
        <v>4</v>
      </c>
      <c r="AJ497">
        <v>3</v>
      </c>
      <c r="AK497">
        <v>0</v>
      </c>
      <c r="AL497">
        <v>2</v>
      </c>
      <c r="AM497" t="str">
        <f t="shared" si="52"/>
        <v>Below Avg</v>
      </c>
      <c r="AN497" s="21">
        <f t="shared" si="53"/>
        <v>28.07377049180328</v>
      </c>
      <c r="AO497" t="str">
        <f t="shared" ca="1" si="54"/>
        <v>No</v>
      </c>
      <c r="AP497" t="str">
        <f t="shared" si="55"/>
        <v>Low Risk</v>
      </c>
    </row>
    <row r="498" spans="1:42" x14ac:dyDescent="0.3">
      <c r="A498" s="5">
        <v>21</v>
      </c>
      <c r="B498" s="5" t="s">
        <v>43</v>
      </c>
      <c r="C498" s="5" t="str">
        <f t="shared" si="49"/>
        <v>No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 s="5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 s="5">
        <v>3447</v>
      </c>
      <c r="U498">
        <v>24444</v>
      </c>
      <c r="V498">
        <v>1</v>
      </c>
      <c r="W498" t="s">
        <v>42</v>
      </c>
      <c r="X498" t="s">
        <v>43</v>
      </c>
      <c r="Y498" t="str">
        <f t="shared" si="50"/>
        <v>No</v>
      </c>
      <c r="Z498">
        <v>11</v>
      </c>
      <c r="AA498">
        <v>3</v>
      </c>
      <c r="AB498">
        <v>3</v>
      </c>
      <c r="AC498">
        <v>80</v>
      </c>
      <c r="AD498">
        <v>0</v>
      </c>
      <c r="AE498" s="5">
        <v>3</v>
      </c>
      <c r="AF498" t="str">
        <f t="shared" si="51"/>
        <v>0-5</v>
      </c>
      <c r="AG498">
        <v>2</v>
      </c>
      <c r="AH498">
        <v>3</v>
      </c>
      <c r="AI498" s="5">
        <v>3</v>
      </c>
      <c r="AJ498">
        <v>2</v>
      </c>
      <c r="AK498">
        <v>1</v>
      </c>
      <c r="AL498">
        <v>2</v>
      </c>
      <c r="AM498" t="str">
        <f t="shared" si="52"/>
        <v>Below Avg</v>
      </c>
      <c r="AN498" s="21">
        <f t="shared" si="53"/>
        <v>28.000000000000004</v>
      </c>
      <c r="AO498" t="str">
        <f t="shared" ca="1" si="54"/>
        <v>No</v>
      </c>
      <c r="AP498" t="str">
        <f t="shared" si="55"/>
        <v>Low Risk</v>
      </c>
    </row>
    <row r="499" spans="1:42" x14ac:dyDescent="0.3">
      <c r="A499" s="5">
        <v>44</v>
      </c>
      <c r="B499" s="5" t="s">
        <v>43</v>
      </c>
      <c r="C499" s="5" t="str">
        <f t="shared" si="49"/>
        <v>No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 s="5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 s="5">
        <v>19513</v>
      </c>
      <c r="U499">
        <v>9358</v>
      </c>
      <c r="V499">
        <v>4</v>
      </c>
      <c r="W499" t="s">
        <v>42</v>
      </c>
      <c r="X499" t="s">
        <v>35</v>
      </c>
      <c r="Y499" t="str">
        <f t="shared" si="50"/>
        <v>Yes</v>
      </c>
      <c r="Z499">
        <v>12</v>
      </c>
      <c r="AA499">
        <v>3</v>
      </c>
      <c r="AB499">
        <v>1</v>
      </c>
      <c r="AC499">
        <v>80</v>
      </c>
      <c r="AD499">
        <v>1</v>
      </c>
      <c r="AE499" s="5">
        <v>26</v>
      </c>
      <c r="AF499" t="str">
        <f t="shared" si="51"/>
        <v>&gt;15</v>
      </c>
      <c r="AG499">
        <v>2</v>
      </c>
      <c r="AH499">
        <v>4</v>
      </c>
      <c r="AI499" s="5">
        <v>2</v>
      </c>
      <c r="AJ499">
        <v>2</v>
      </c>
      <c r="AK499">
        <v>0</v>
      </c>
      <c r="AL499">
        <v>1</v>
      </c>
      <c r="AM499" t="str">
        <f t="shared" si="52"/>
        <v>Ok</v>
      </c>
      <c r="AN499" s="21">
        <f t="shared" si="53"/>
        <v>28.02874743326489</v>
      </c>
      <c r="AO499" t="str">
        <f t="shared" ca="1" si="54"/>
        <v>No</v>
      </c>
      <c r="AP499" t="str">
        <f t="shared" si="55"/>
        <v>Low Risk</v>
      </c>
    </row>
    <row r="500" spans="1:42" x14ac:dyDescent="0.3">
      <c r="A500" s="5">
        <v>22</v>
      </c>
      <c r="B500" s="5" t="s">
        <v>43</v>
      </c>
      <c r="C500" s="5" t="str">
        <f t="shared" si="49"/>
        <v>No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 s="5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 s="5">
        <v>2773</v>
      </c>
      <c r="U500">
        <v>12145</v>
      </c>
      <c r="V500">
        <v>0</v>
      </c>
      <c r="W500" t="s">
        <v>42</v>
      </c>
      <c r="X500" t="s">
        <v>43</v>
      </c>
      <c r="Y500" t="str">
        <f t="shared" si="50"/>
        <v>No</v>
      </c>
      <c r="Z500">
        <v>20</v>
      </c>
      <c r="AA500">
        <v>4</v>
      </c>
      <c r="AB500">
        <v>4</v>
      </c>
      <c r="AC500">
        <v>80</v>
      </c>
      <c r="AD500">
        <v>0</v>
      </c>
      <c r="AE500" s="5">
        <v>3</v>
      </c>
      <c r="AF500" t="str">
        <f t="shared" si="51"/>
        <v>0-5</v>
      </c>
      <c r="AG500">
        <v>3</v>
      </c>
      <c r="AH500">
        <v>3</v>
      </c>
      <c r="AI500" s="5">
        <v>2</v>
      </c>
      <c r="AJ500">
        <v>2</v>
      </c>
      <c r="AK500">
        <v>2</v>
      </c>
      <c r="AL500">
        <v>2</v>
      </c>
      <c r="AM500" t="str">
        <f t="shared" si="52"/>
        <v>Below Avg</v>
      </c>
      <c r="AN500" s="21">
        <f t="shared" si="53"/>
        <v>28.057553956834528</v>
      </c>
      <c r="AO500" t="str">
        <f t="shared" ca="1" si="54"/>
        <v>No</v>
      </c>
      <c r="AP500" t="str">
        <f t="shared" si="55"/>
        <v>Low Risk</v>
      </c>
    </row>
    <row r="501" spans="1:42" x14ac:dyDescent="0.3">
      <c r="A501" s="5">
        <v>33</v>
      </c>
      <c r="B501" s="5" t="s">
        <v>43</v>
      </c>
      <c r="C501" s="5" t="str">
        <f t="shared" si="49"/>
        <v>No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 s="5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 s="5">
        <v>7104</v>
      </c>
      <c r="U501">
        <v>20431</v>
      </c>
      <c r="V501">
        <v>0</v>
      </c>
      <c r="W501" t="s">
        <v>42</v>
      </c>
      <c r="X501" t="s">
        <v>43</v>
      </c>
      <c r="Y501" t="str">
        <f t="shared" si="50"/>
        <v>No</v>
      </c>
      <c r="Z501">
        <v>12</v>
      </c>
      <c r="AA501">
        <v>3</v>
      </c>
      <c r="AB501">
        <v>4</v>
      </c>
      <c r="AC501">
        <v>80</v>
      </c>
      <c r="AD501">
        <v>0</v>
      </c>
      <c r="AE501" s="5">
        <v>6</v>
      </c>
      <c r="AF501" t="str">
        <f t="shared" si="51"/>
        <v>6-15</v>
      </c>
      <c r="AG501">
        <v>3</v>
      </c>
      <c r="AH501">
        <v>3</v>
      </c>
      <c r="AI501" s="5">
        <v>5</v>
      </c>
      <c r="AJ501">
        <v>0</v>
      </c>
      <c r="AK501">
        <v>1</v>
      </c>
      <c r="AL501">
        <v>2</v>
      </c>
      <c r="AM501" t="str">
        <f t="shared" si="52"/>
        <v>Ok</v>
      </c>
      <c r="AN501" s="21">
        <f t="shared" si="53"/>
        <v>27.983539094650205</v>
      </c>
      <c r="AO501" t="str">
        <f t="shared" ca="1" si="54"/>
        <v>No</v>
      </c>
      <c r="AP501" t="str">
        <f t="shared" si="55"/>
        <v>Low Risk</v>
      </c>
    </row>
    <row r="502" spans="1:42" x14ac:dyDescent="0.3">
      <c r="A502" s="5">
        <v>32</v>
      </c>
      <c r="B502" s="5" t="s">
        <v>43</v>
      </c>
      <c r="C502" s="5" t="str">
        <f t="shared" si="49"/>
        <v>No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 s="5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 s="5">
        <v>6322</v>
      </c>
      <c r="U502">
        <v>18089</v>
      </c>
      <c r="V502">
        <v>1</v>
      </c>
      <c r="W502" t="s">
        <v>42</v>
      </c>
      <c r="X502" t="s">
        <v>35</v>
      </c>
      <c r="Y502" t="str">
        <f t="shared" si="50"/>
        <v>Yes</v>
      </c>
      <c r="Z502">
        <v>12</v>
      </c>
      <c r="AA502">
        <v>3</v>
      </c>
      <c r="AB502">
        <v>4</v>
      </c>
      <c r="AC502">
        <v>80</v>
      </c>
      <c r="AD502">
        <v>1</v>
      </c>
      <c r="AE502" s="5">
        <v>6</v>
      </c>
      <c r="AF502" t="str">
        <f t="shared" si="51"/>
        <v>6-15</v>
      </c>
      <c r="AG502">
        <v>2</v>
      </c>
      <c r="AH502">
        <v>2</v>
      </c>
      <c r="AI502" s="5">
        <v>6</v>
      </c>
      <c r="AJ502">
        <v>4</v>
      </c>
      <c r="AK502">
        <v>0</v>
      </c>
      <c r="AL502">
        <v>5</v>
      </c>
      <c r="AM502" t="str">
        <f t="shared" si="52"/>
        <v>Ok</v>
      </c>
      <c r="AN502" s="21">
        <f t="shared" si="53"/>
        <v>28.01235839340886</v>
      </c>
      <c r="AO502" t="str">
        <f t="shared" ca="1" si="54"/>
        <v>No</v>
      </c>
      <c r="AP502" t="str">
        <f t="shared" si="55"/>
        <v>Low Risk</v>
      </c>
    </row>
    <row r="503" spans="1:42" x14ac:dyDescent="0.3">
      <c r="A503" s="5">
        <v>30</v>
      </c>
      <c r="B503" s="5" t="s">
        <v>43</v>
      </c>
      <c r="C503" s="5" t="str">
        <f t="shared" si="49"/>
        <v>No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 s="5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 s="5">
        <v>2083</v>
      </c>
      <c r="U503">
        <v>22653</v>
      </c>
      <c r="V503">
        <v>1</v>
      </c>
      <c r="W503" t="s">
        <v>42</v>
      </c>
      <c r="X503" t="s">
        <v>43</v>
      </c>
      <c r="Y503" t="str">
        <f t="shared" si="50"/>
        <v>No</v>
      </c>
      <c r="Z503">
        <v>20</v>
      </c>
      <c r="AA503">
        <v>4</v>
      </c>
      <c r="AB503">
        <v>3</v>
      </c>
      <c r="AC503">
        <v>80</v>
      </c>
      <c r="AD503">
        <v>1</v>
      </c>
      <c r="AE503" s="5">
        <v>1</v>
      </c>
      <c r="AF503" t="str">
        <f t="shared" si="51"/>
        <v>0-5</v>
      </c>
      <c r="AG503">
        <v>2</v>
      </c>
      <c r="AH503">
        <v>3</v>
      </c>
      <c r="AI503" s="5">
        <v>1</v>
      </c>
      <c r="AJ503">
        <v>0</v>
      </c>
      <c r="AK503">
        <v>0</v>
      </c>
      <c r="AL503">
        <v>0</v>
      </c>
      <c r="AM503" t="str">
        <f t="shared" si="52"/>
        <v>Below Avg</v>
      </c>
      <c r="AN503" s="21">
        <f t="shared" si="53"/>
        <v>28.041237113402062</v>
      </c>
      <c r="AO503" t="str">
        <f t="shared" ca="1" si="54"/>
        <v>No</v>
      </c>
      <c r="AP503" t="str">
        <f t="shared" si="55"/>
        <v>Low Risk</v>
      </c>
    </row>
    <row r="504" spans="1:42" x14ac:dyDescent="0.3">
      <c r="A504" s="5">
        <v>53</v>
      </c>
      <c r="B504" s="5" t="s">
        <v>43</v>
      </c>
      <c r="C504" s="5" t="str">
        <f t="shared" si="49"/>
        <v>No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 s="5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 s="5">
        <v>8381</v>
      </c>
      <c r="U504">
        <v>7507</v>
      </c>
      <c r="V504">
        <v>7</v>
      </c>
      <c r="W504" t="s">
        <v>42</v>
      </c>
      <c r="X504" t="s">
        <v>43</v>
      </c>
      <c r="Y504" t="str">
        <f t="shared" si="50"/>
        <v>No</v>
      </c>
      <c r="Z504">
        <v>20</v>
      </c>
      <c r="AA504">
        <v>4</v>
      </c>
      <c r="AB504">
        <v>4</v>
      </c>
      <c r="AC504">
        <v>80</v>
      </c>
      <c r="AD504">
        <v>0</v>
      </c>
      <c r="AE504" s="5">
        <v>18</v>
      </c>
      <c r="AF504" t="str">
        <f t="shared" si="51"/>
        <v>&gt;15</v>
      </c>
      <c r="AG504">
        <v>2</v>
      </c>
      <c r="AH504">
        <v>4</v>
      </c>
      <c r="AI504" s="5">
        <v>14</v>
      </c>
      <c r="AJ504">
        <v>7</v>
      </c>
      <c r="AK504">
        <v>8</v>
      </c>
      <c r="AL504">
        <v>10</v>
      </c>
      <c r="AM504" t="str">
        <f t="shared" si="52"/>
        <v>Ok</v>
      </c>
      <c r="AN504" s="21">
        <f t="shared" si="53"/>
        <v>27.966976264189885</v>
      </c>
      <c r="AO504" t="str">
        <f t="shared" ca="1" si="54"/>
        <v>No</v>
      </c>
      <c r="AP504" t="str">
        <f t="shared" si="55"/>
        <v>Low Risk</v>
      </c>
    </row>
    <row r="505" spans="1:42" x14ac:dyDescent="0.3">
      <c r="A505" s="5">
        <v>34</v>
      </c>
      <c r="B505" s="5" t="s">
        <v>43</v>
      </c>
      <c r="C505" s="5" t="str">
        <f t="shared" si="49"/>
        <v>No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 s="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 s="5">
        <v>2691</v>
      </c>
      <c r="U505">
        <v>7660</v>
      </c>
      <c r="V505">
        <v>1</v>
      </c>
      <c r="W505" t="s">
        <v>42</v>
      </c>
      <c r="X505" t="s">
        <v>43</v>
      </c>
      <c r="Y505" t="str">
        <f t="shared" si="50"/>
        <v>No</v>
      </c>
      <c r="Z505">
        <v>12</v>
      </c>
      <c r="AA505">
        <v>3</v>
      </c>
      <c r="AB505">
        <v>4</v>
      </c>
      <c r="AC505">
        <v>80</v>
      </c>
      <c r="AD505">
        <v>1</v>
      </c>
      <c r="AE505" s="5">
        <v>10</v>
      </c>
      <c r="AF505" t="str">
        <f t="shared" si="51"/>
        <v>6-15</v>
      </c>
      <c r="AG505">
        <v>4</v>
      </c>
      <c r="AH505">
        <v>2</v>
      </c>
      <c r="AI505" s="5">
        <v>10</v>
      </c>
      <c r="AJ505">
        <v>9</v>
      </c>
      <c r="AK505">
        <v>8</v>
      </c>
      <c r="AL505">
        <v>8</v>
      </c>
      <c r="AM505" t="str">
        <f t="shared" si="52"/>
        <v>Below Avg</v>
      </c>
      <c r="AN505" s="21">
        <f t="shared" si="53"/>
        <v>27.995867768595041</v>
      </c>
      <c r="AO505" t="str">
        <f t="shared" ca="1" si="54"/>
        <v>No</v>
      </c>
      <c r="AP505" t="str">
        <f t="shared" si="55"/>
        <v>Low Risk</v>
      </c>
    </row>
    <row r="506" spans="1:42" x14ac:dyDescent="0.3">
      <c r="A506" s="5">
        <v>45</v>
      </c>
      <c r="B506" s="5" t="s">
        <v>35</v>
      </c>
      <c r="C506" s="5" t="str">
        <f t="shared" si="49"/>
        <v>Yes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 s="5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 s="5">
        <v>4286</v>
      </c>
      <c r="U506">
        <v>5630</v>
      </c>
      <c r="V506">
        <v>2</v>
      </c>
      <c r="W506" t="s">
        <v>42</v>
      </c>
      <c r="X506" t="s">
        <v>43</v>
      </c>
      <c r="Y506" t="str">
        <f t="shared" si="50"/>
        <v>No</v>
      </c>
      <c r="Z506">
        <v>14</v>
      </c>
      <c r="AA506">
        <v>3</v>
      </c>
      <c r="AB506">
        <v>4</v>
      </c>
      <c r="AC506">
        <v>80</v>
      </c>
      <c r="AD506">
        <v>2</v>
      </c>
      <c r="AE506" s="5">
        <v>5</v>
      </c>
      <c r="AF506" t="str">
        <f t="shared" si="51"/>
        <v>0-5</v>
      </c>
      <c r="AG506">
        <v>4</v>
      </c>
      <c r="AH506">
        <v>3</v>
      </c>
      <c r="AI506" s="5">
        <v>1</v>
      </c>
      <c r="AJ506">
        <v>1</v>
      </c>
      <c r="AK506">
        <v>0</v>
      </c>
      <c r="AL506">
        <v>0</v>
      </c>
      <c r="AM506" t="str">
        <f t="shared" si="52"/>
        <v>Below Avg</v>
      </c>
      <c r="AN506" s="21">
        <f t="shared" si="53"/>
        <v>28.024819027921406</v>
      </c>
      <c r="AO506" t="str">
        <f t="shared" ca="1" si="54"/>
        <v>No</v>
      </c>
      <c r="AP506" t="str">
        <f t="shared" si="55"/>
        <v>High Risk</v>
      </c>
    </row>
    <row r="507" spans="1:42" x14ac:dyDescent="0.3">
      <c r="A507" s="5">
        <v>26</v>
      </c>
      <c r="B507" s="5" t="s">
        <v>43</v>
      </c>
      <c r="C507" s="5" t="str">
        <f t="shared" si="49"/>
        <v>No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 s="5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 s="5">
        <v>2659</v>
      </c>
      <c r="U507">
        <v>17759</v>
      </c>
      <c r="V507">
        <v>1</v>
      </c>
      <c r="W507" t="s">
        <v>42</v>
      </c>
      <c r="X507" t="s">
        <v>35</v>
      </c>
      <c r="Y507" t="str">
        <f t="shared" si="50"/>
        <v>Yes</v>
      </c>
      <c r="Z507">
        <v>13</v>
      </c>
      <c r="AA507">
        <v>3</v>
      </c>
      <c r="AB507">
        <v>3</v>
      </c>
      <c r="AC507">
        <v>80</v>
      </c>
      <c r="AD507">
        <v>1</v>
      </c>
      <c r="AE507" s="5">
        <v>3</v>
      </c>
      <c r="AF507" t="str">
        <f t="shared" si="51"/>
        <v>0-5</v>
      </c>
      <c r="AG507">
        <v>2</v>
      </c>
      <c r="AH507">
        <v>3</v>
      </c>
      <c r="AI507" s="5">
        <v>3</v>
      </c>
      <c r="AJ507">
        <v>2</v>
      </c>
      <c r="AK507">
        <v>0</v>
      </c>
      <c r="AL507">
        <v>2</v>
      </c>
      <c r="AM507" t="str">
        <f t="shared" si="52"/>
        <v>Below Avg</v>
      </c>
      <c r="AN507" s="21">
        <f t="shared" si="53"/>
        <v>28.053830227743269</v>
      </c>
      <c r="AO507" t="str">
        <f t="shared" ca="1" si="54"/>
        <v>No</v>
      </c>
      <c r="AP507" t="str">
        <f t="shared" si="55"/>
        <v>Low Risk</v>
      </c>
    </row>
    <row r="508" spans="1:42" x14ac:dyDescent="0.3">
      <c r="A508" s="5">
        <v>37</v>
      </c>
      <c r="B508" s="5" t="s">
        <v>43</v>
      </c>
      <c r="C508" s="5" t="str">
        <f t="shared" si="49"/>
        <v>No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 s="5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 s="5">
        <v>9434</v>
      </c>
      <c r="U508">
        <v>9606</v>
      </c>
      <c r="V508">
        <v>1</v>
      </c>
      <c r="W508" t="s">
        <v>42</v>
      </c>
      <c r="X508" t="s">
        <v>43</v>
      </c>
      <c r="Y508" t="str">
        <f t="shared" si="50"/>
        <v>No</v>
      </c>
      <c r="Z508">
        <v>15</v>
      </c>
      <c r="AA508">
        <v>3</v>
      </c>
      <c r="AB508">
        <v>3</v>
      </c>
      <c r="AC508">
        <v>80</v>
      </c>
      <c r="AD508">
        <v>1</v>
      </c>
      <c r="AE508" s="5">
        <v>10</v>
      </c>
      <c r="AF508" t="str">
        <f t="shared" si="51"/>
        <v>6-15</v>
      </c>
      <c r="AG508">
        <v>2</v>
      </c>
      <c r="AH508">
        <v>3</v>
      </c>
      <c r="AI508" s="5">
        <v>10</v>
      </c>
      <c r="AJ508">
        <v>7</v>
      </c>
      <c r="AK508">
        <v>7</v>
      </c>
      <c r="AL508">
        <v>8</v>
      </c>
      <c r="AM508" t="str">
        <f t="shared" si="52"/>
        <v>Ok</v>
      </c>
      <c r="AN508" s="21">
        <f t="shared" si="53"/>
        <v>28.082901554404145</v>
      </c>
      <c r="AO508" t="str">
        <f t="shared" ca="1" si="54"/>
        <v>No</v>
      </c>
      <c r="AP508" t="str">
        <f t="shared" si="55"/>
        <v>Low Risk</v>
      </c>
    </row>
    <row r="509" spans="1:42" x14ac:dyDescent="0.3">
      <c r="A509" s="5">
        <v>29</v>
      </c>
      <c r="B509" s="5" t="s">
        <v>43</v>
      </c>
      <c r="C509" s="5" t="str">
        <f t="shared" si="49"/>
        <v>No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 s="5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 s="5">
        <v>5561</v>
      </c>
      <c r="U509">
        <v>3487</v>
      </c>
      <c r="V509">
        <v>1</v>
      </c>
      <c r="W509" t="s">
        <v>42</v>
      </c>
      <c r="X509" t="s">
        <v>43</v>
      </c>
      <c r="Y509" t="str">
        <f t="shared" si="50"/>
        <v>No</v>
      </c>
      <c r="Z509">
        <v>14</v>
      </c>
      <c r="AA509">
        <v>3</v>
      </c>
      <c r="AB509">
        <v>1</v>
      </c>
      <c r="AC509">
        <v>80</v>
      </c>
      <c r="AD509">
        <v>1</v>
      </c>
      <c r="AE509" s="5">
        <v>6</v>
      </c>
      <c r="AF509" t="str">
        <f t="shared" si="51"/>
        <v>6-15</v>
      </c>
      <c r="AG509">
        <v>5</v>
      </c>
      <c r="AH509">
        <v>2</v>
      </c>
      <c r="AI509" s="5">
        <v>6</v>
      </c>
      <c r="AJ509">
        <v>0</v>
      </c>
      <c r="AK509">
        <v>1</v>
      </c>
      <c r="AL509">
        <v>2</v>
      </c>
      <c r="AM509" t="str">
        <f t="shared" si="52"/>
        <v>Below Avg</v>
      </c>
      <c r="AN509" s="21">
        <f t="shared" si="53"/>
        <v>28.008298755186722</v>
      </c>
      <c r="AO509" t="str">
        <f t="shared" ca="1" si="54"/>
        <v>No</v>
      </c>
      <c r="AP509" t="str">
        <f t="shared" si="55"/>
        <v>Low Risk</v>
      </c>
    </row>
    <row r="510" spans="1:42" x14ac:dyDescent="0.3">
      <c r="A510" s="5">
        <v>35</v>
      </c>
      <c r="B510" s="5" t="s">
        <v>43</v>
      </c>
      <c r="C510" s="5" t="str">
        <f t="shared" si="49"/>
        <v>No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 s="5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 s="5">
        <v>6646</v>
      </c>
      <c r="U510">
        <v>19368</v>
      </c>
      <c r="V510">
        <v>1</v>
      </c>
      <c r="W510" t="s">
        <v>42</v>
      </c>
      <c r="X510" t="s">
        <v>43</v>
      </c>
      <c r="Y510" t="str">
        <f t="shared" si="50"/>
        <v>No</v>
      </c>
      <c r="Z510">
        <v>13</v>
      </c>
      <c r="AA510">
        <v>3</v>
      </c>
      <c r="AB510">
        <v>2</v>
      </c>
      <c r="AC510">
        <v>80</v>
      </c>
      <c r="AD510">
        <v>0</v>
      </c>
      <c r="AE510" s="5">
        <v>17</v>
      </c>
      <c r="AF510" t="str">
        <f t="shared" si="51"/>
        <v>&gt;15</v>
      </c>
      <c r="AG510">
        <v>3</v>
      </c>
      <c r="AH510">
        <v>3</v>
      </c>
      <c r="AI510" s="5">
        <v>17</v>
      </c>
      <c r="AJ510">
        <v>11</v>
      </c>
      <c r="AK510">
        <v>11</v>
      </c>
      <c r="AL510">
        <v>8</v>
      </c>
      <c r="AM510" t="str">
        <f t="shared" si="52"/>
        <v>Ok</v>
      </c>
      <c r="AN510" s="21">
        <f t="shared" si="53"/>
        <v>28.037383177570092</v>
      </c>
      <c r="AO510" t="str">
        <f t="shared" ca="1" si="54"/>
        <v>No</v>
      </c>
      <c r="AP510" t="str">
        <f t="shared" si="55"/>
        <v>Low Risk</v>
      </c>
    </row>
    <row r="511" spans="1:42" x14ac:dyDescent="0.3">
      <c r="A511" s="5">
        <v>33</v>
      </c>
      <c r="B511" s="5" t="s">
        <v>43</v>
      </c>
      <c r="C511" s="5" t="str">
        <f t="shared" si="49"/>
        <v>No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 s="5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 s="5">
        <v>7725</v>
      </c>
      <c r="U511">
        <v>5335</v>
      </c>
      <c r="V511">
        <v>3</v>
      </c>
      <c r="W511" t="s">
        <v>42</v>
      </c>
      <c r="X511" t="s">
        <v>43</v>
      </c>
      <c r="Y511" t="str">
        <f t="shared" si="50"/>
        <v>No</v>
      </c>
      <c r="Z511">
        <v>23</v>
      </c>
      <c r="AA511">
        <v>4</v>
      </c>
      <c r="AB511">
        <v>3</v>
      </c>
      <c r="AC511">
        <v>80</v>
      </c>
      <c r="AD511">
        <v>1</v>
      </c>
      <c r="AE511" s="5">
        <v>15</v>
      </c>
      <c r="AF511" t="str">
        <f t="shared" si="51"/>
        <v>6-15</v>
      </c>
      <c r="AG511">
        <v>2</v>
      </c>
      <c r="AH511">
        <v>1</v>
      </c>
      <c r="AI511" s="5">
        <v>13</v>
      </c>
      <c r="AJ511">
        <v>11</v>
      </c>
      <c r="AK511">
        <v>4</v>
      </c>
      <c r="AL511">
        <v>7</v>
      </c>
      <c r="AM511" t="str">
        <f t="shared" si="52"/>
        <v>Ok</v>
      </c>
      <c r="AN511" s="21">
        <f t="shared" si="53"/>
        <v>28.066528066528068</v>
      </c>
      <c r="AO511" t="str">
        <f t="shared" ca="1" si="54"/>
        <v>No</v>
      </c>
      <c r="AP511" t="str">
        <f t="shared" si="55"/>
        <v>Low Risk</v>
      </c>
    </row>
    <row r="512" spans="1:42" x14ac:dyDescent="0.3">
      <c r="A512" s="5">
        <v>54</v>
      </c>
      <c r="B512" s="5" t="s">
        <v>43</v>
      </c>
      <c r="C512" s="5" t="str">
        <f t="shared" si="49"/>
        <v>No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 s="5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 s="5">
        <v>10725</v>
      </c>
      <c r="U512">
        <v>6729</v>
      </c>
      <c r="V512">
        <v>2</v>
      </c>
      <c r="W512" t="s">
        <v>42</v>
      </c>
      <c r="X512" t="s">
        <v>43</v>
      </c>
      <c r="Y512" t="str">
        <f t="shared" si="50"/>
        <v>No</v>
      </c>
      <c r="Z512">
        <v>15</v>
      </c>
      <c r="AA512">
        <v>3</v>
      </c>
      <c r="AB512">
        <v>3</v>
      </c>
      <c r="AC512">
        <v>80</v>
      </c>
      <c r="AD512">
        <v>1</v>
      </c>
      <c r="AE512" s="5">
        <v>16</v>
      </c>
      <c r="AF512" t="str">
        <f t="shared" si="51"/>
        <v>&gt;15</v>
      </c>
      <c r="AG512">
        <v>1</v>
      </c>
      <c r="AH512">
        <v>4</v>
      </c>
      <c r="AI512" s="5">
        <v>9</v>
      </c>
      <c r="AJ512">
        <v>7</v>
      </c>
      <c r="AK512">
        <v>7</v>
      </c>
      <c r="AL512">
        <v>1</v>
      </c>
      <c r="AM512" t="str">
        <f t="shared" si="52"/>
        <v>Ok</v>
      </c>
      <c r="AN512" s="21">
        <f t="shared" si="53"/>
        <v>28.095733610822059</v>
      </c>
      <c r="AO512" t="str">
        <f t="shared" ca="1" si="54"/>
        <v>No</v>
      </c>
      <c r="AP512" t="str">
        <f t="shared" si="55"/>
        <v>Low Risk</v>
      </c>
    </row>
    <row r="513" spans="1:42" x14ac:dyDescent="0.3">
      <c r="A513" s="5">
        <v>36</v>
      </c>
      <c r="B513" s="5" t="s">
        <v>43</v>
      </c>
      <c r="C513" s="5" t="str">
        <f t="shared" si="49"/>
        <v>No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 s="5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 s="5">
        <v>8847</v>
      </c>
      <c r="U513">
        <v>13934</v>
      </c>
      <c r="V513">
        <v>2</v>
      </c>
      <c r="W513" t="s">
        <v>42</v>
      </c>
      <c r="X513" t="s">
        <v>35</v>
      </c>
      <c r="Y513" t="str">
        <f t="shared" si="50"/>
        <v>Yes</v>
      </c>
      <c r="Z513">
        <v>11</v>
      </c>
      <c r="AA513">
        <v>3</v>
      </c>
      <c r="AB513">
        <v>3</v>
      </c>
      <c r="AC513">
        <v>80</v>
      </c>
      <c r="AD513">
        <v>1</v>
      </c>
      <c r="AE513" s="5">
        <v>13</v>
      </c>
      <c r="AF513" t="str">
        <f t="shared" si="51"/>
        <v>6-15</v>
      </c>
      <c r="AG513">
        <v>2</v>
      </c>
      <c r="AH513">
        <v>3</v>
      </c>
      <c r="AI513" s="5">
        <v>3</v>
      </c>
      <c r="AJ513">
        <v>2</v>
      </c>
      <c r="AK513">
        <v>0</v>
      </c>
      <c r="AL513">
        <v>2</v>
      </c>
      <c r="AM513" t="str">
        <f t="shared" si="52"/>
        <v>Ok</v>
      </c>
      <c r="AN513" s="21">
        <f t="shared" si="53"/>
        <v>28.125</v>
      </c>
      <c r="AO513" t="str">
        <f t="shared" ca="1" si="54"/>
        <v>No</v>
      </c>
      <c r="AP513" t="str">
        <f t="shared" si="55"/>
        <v>Low Risk</v>
      </c>
    </row>
    <row r="514" spans="1:42" x14ac:dyDescent="0.3">
      <c r="A514" s="5">
        <v>27</v>
      </c>
      <c r="B514" s="5" t="s">
        <v>43</v>
      </c>
      <c r="C514" s="5" t="str">
        <f t="shared" si="49"/>
        <v>No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 s="5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 s="5">
        <v>2045</v>
      </c>
      <c r="U514">
        <v>15174</v>
      </c>
      <c r="V514">
        <v>0</v>
      </c>
      <c r="W514" t="s">
        <v>42</v>
      </c>
      <c r="X514" t="s">
        <v>43</v>
      </c>
      <c r="Y514" t="str">
        <f t="shared" si="50"/>
        <v>No</v>
      </c>
      <c r="Z514">
        <v>13</v>
      </c>
      <c r="AA514">
        <v>3</v>
      </c>
      <c r="AB514">
        <v>4</v>
      </c>
      <c r="AC514">
        <v>80</v>
      </c>
      <c r="AD514">
        <v>0</v>
      </c>
      <c r="AE514" s="5">
        <v>5</v>
      </c>
      <c r="AF514" t="str">
        <f t="shared" si="51"/>
        <v>0-5</v>
      </c>
      <c r="AG514">
        <v>0</v>
      </c>
      <c r="AH514">
        <v>3</v>
      </c>
      <c r="AI514" s="5">
        <v>4</v>
      </c>
      <c r="AJ514">
        <v>2</v>
      </c>
      <c r="AK514">
        <v>1</v>
      </c>
      <c r="AL514">
        <v>1</v>
      </c>
      <c r="AM514" t="str">
        <f t="shared" si="52"/>
        <v>Below Avg</v>
      </c>
      <c r="AN514" s="21">
        <f t="shared" si="53"/>
        <v>28.154327424400417</v>
      </c>
      <c r="AO514" t="str">
        <f t="shared" ca="1" si="54"/>
        <v>No</v>
      </c>
      <c r="AP514" t="str">
        <f t="shared" si="55"/>
        <v>Low Risk</v>
      </c>
    </row>
    <row r="515" spans="1:42" x14ac:dyDescent="0.3">
      <c r="A515" s="5">
        <v>20</v>
      </c>
      <c r="B515" s="5" t="s">
        <v>35</v>
      </c>
      <c r="C515" s="5" t="str">
        <f t="shared" ref="C515:C578" si="56">IF(LOWER(B515)="yes","Yes","No")</f>
        <v>Yes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 s="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 s="5">
        <v>1009</v>
      </c>
      <c r="U515">
        <v>26999</v>
      </c>
      <c r="V515">
        <v>1</v>
      </c>
      <c r="W515" t="s">
        <v>42</v>
      </c>
      <c r="X515" t="s">
        <v>35</v>
      </c>
      <c r="Y515" t="str">
        <f t="shared" ref="Y515:Y578" si="57">IF(LOWER(X515)="yes","Yes","No")</f>
        <v>Yes</v>
      </c>
      <c r="Z515">
        <v>11</v>
      </c>
      <c r="AA515">
        <v>3</v>
      </c>
      <c r="AB515">
        <v>4</v>
      </c>
      <c r="AC515">
        <v>80</v>
      </c>
      <c r="AD515">
        <v>0</v>
      </c>
      <c r="AE515" s="5">
        <v>1</v>
      </c>
      <c r="AF515" t="str">
        <f t="shared" ref="AF515:AF578" si="58">IF(AE515&lt;=5,"0-5",IF(AE515&lt;=15,"6-15","&gt;15"))</f>
        <v>0-5</v>
      </c>
      <c r="AG515">
        <v>5</v>
      </c>
      <c r="AH515">
        <v>3</v>
      </c>
      <c r="AI515" s="5">
        <v>1</v>
      </c>
      <c r="AJ515">
        <v>0</v>
      </c>
      <c r="AK515">
        <v>1</v>
      </c>
      <c r="AL515">
        <v>1</v>
      </c>
      <c r="AM515" t="str">
        <f t="shared" ref="AM515:AM578" si="59">IF(T515&lt;AVERAGEIF($F514:$F1984,F515,$T514:$T1984),"Below Avg","Ok")</f>
        <v>Below Avg</v>
      </c>
      <c r="AN515" s="21">
        <f t="shared" ref="AN515:AN578" si="60">COUNTIF(X514:X1984,"Yes")/COUNTA(X514:X1984)*100</f>
        <v>28.079331941544883</v>
      </c>
      <c r="AO515" t="str">
        <f t="shared" ref="AO515:AO578" ca="1" si="61">IF(AND(AA515&gt;=4,Z515&lt;AVERAGEIF($F514:$F1984,F515,$Z515:$Z1984)),"Yes","No")</f>
        <v>No</v>
      </c>
      <c r="AP515" t="str">
        <f t="shared" ref="AP515:AP578" si="62">IF(AND(AI515&lt;2,C515="Yes"),"High Risk","Low Risk")</f>
        <v>High Risk</v>
      </c>
    </row>
    <row r="516" spans="1:42" x14ac:dyDescent="0.3">
      <c r="A516" s="5">
        <v>33</v>
      </c>
      <c r="B516" s="5" t="s">
        <v>35</v>
      </c>
      <c r="C516" s="5" t="str">
        <f t="shared" si="56"/>
        <v>Yes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 s="5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 s="5">
        <v>3348</v>
      </c>
      <c r="U516">
        <v>3164</v>
      </c>
      <c r="V516">
        <v>1</v>
      </c>
      <c r="W516" t="s">
        <v>42</v>
      </c>
      <c r="X516" t="s">
        <v>35</v>
      </c>
      <c r="Y516" t="str">
        <f t="shared" si="57"/>
        <v>Yes</v>
      </c>
      <c r="Z516">
        <v>11</v>
      </c>
      <c r="AA516">
        <v>3</v>
      </c>
      <c r="AB516">
        <v>1</v>
      </c>
      <c r="AC516">
        <v>80</v>
      </c>
      <c r="AD516">
        <v>0</v>
      </c>
      <c r="AE516" s="5">
        <v>10</v>
      </c>
      <c r="AF516" t="str">
        <f t="shared" si="58"/>
        <v>6-15</v>
      </c>
      <c r="AG516">
        <v>3</v>
      </c>
      <c r="AH516">
        <v>3</v>
      </c>
      <c r="AI516" s="5">
        <v>10</v>
      </c>
      <c r="AJ516">
        <v>8</v>
      </c>
      <c r="AK516">
        <v>9</v>
      </c>
      <c r="AL516">
        <v>7</v>
      </c>
      <c r="AM516" t="str">
        <f t="shared" si="59"/>
        <v>Below Avg</v>
      </c>
      <c r="AN516" s="21">
        <f t="shared" si="60"/>
        <v>28.108672936259143</v>
      </c>
      <c r="AO516" t="str">
        <f t="shared" ca="1" si="61"/>
        <v>No</v>
      </c>
      <c r="AP516" t="str">
        <f t="shared" si="62"/>
        <v>Low Risk</v>
      </c>
    </row>
    <row r="517" spans="1:42" x14ac:dyDescent="0.3">
      <c r="A517" s="5">
        <v>35</v>
      </c>
      <c r="B517" s="5" t="s">
        <v>43</v>
      </c>
      <c r="C517" s="5" t="str">
        <f t="shared" si="56"/>
        <v>No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 s="5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 s="5">
        <v>1281</v>
      </c>
      <c r="U517">
        <v>16900</v>
      </c>
      <c r="V517">
        <v>1</v>
      </c>
      <c r="W517" t="s">
        <v>42</v>
      </c>
      <c r="X517" t="s">
        <v>43</v>
      </c>
      <c r="Y517" t="str">
        <f t="shared" si="57"/>
        <v>No</v>
      </c>
      <c r="Z517">
        <v>18</v>
      </c>
      <c r="AA517">
        <v>3</v>
      </c>
      <c r="AB517">
        <v>3</v>
      </c>
      <c r="AC517">
        <v>80</v>
      </c>
      <c r="AD517">
        <v>2</v>
      </c>
      <c r="AE517" s="5">
        <v>1</v>
      </c>
      <c r="AF517" t="str">
        <f t="shared" si="58"/>
        <v>0-5</v>
      </c>
      <c r="AG517">
        <v>3</v>
      </c>
      <c r="AH517">
        <v>3</v>
      </c>
      <c r="AI517" s="5">
        <v>1</v>
      </c>
      <c r="AJ517">
        <v>0</v>
      </c>
      <c r="AK517">
        <v>0</v>
      </c>
      <c r="AL517">
        <v>0</v>
      </c>
      <c r="AM517" t="str">
        <f t="shared" si="59"/>
        <v>Below Avg</v>
      </c>
      <c r="AN517" s="21">
        <f t="shared" si="60"/>
        <v>28.03347280334728</v>
      </c>
      <c r="AO517" t="str">
        <f t="shared" ca="1" si="61"/>
        <v>No</v>
      </c>
      <c r="AP517" t="str">
        <f t="shared" si="62"/>
        <v>Low Risk</v>
      </c>
    </row>
    <row r="518" spans="1:42" x14ac:dyDescent="0.3">
      <c r="A518" s="5">
        <v>23</v>
      </c>
      <c r="B518" s="5" t="s">
        <v>43</v>
      </c>
      <c r="C518" s="5" t="str">
        <f t="shared" si="56"/>
        <v>No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 s="5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 s="5">
        <v>2819</v>
      </c>
      <c r="U518">
        <v>8544</v>
      </c>
      <c r="V518">
        <v>2</v>
      </c>
      <c r="W518" t="s">
        <v>42</v>
      </c>
      <c r="X518" t="s">
        <v>43</v>
      </c>
      <c r="Y518" t="str">
        <f t="shared" si="57"/>
        <v>No</v>
      </c>
      <c r="Z518">
        <v>16</v>
      </c>
      <c r="AA518">
        <v>3</v>
      </c>
      <c r="AB518">
        <v>1</v>
      </c>
      <c r="AC518">
        <v>80</v>
      </c>
      <c r="AD518">
        <v>1</v>
      </c>
      <c r="AE518" s="5">
        <v>5</v>
      </c>
      <c r="AF518" t="str">
        <f t="shared" si="58"/>
        <v>0-5</v>
      </c>
      <c r="AG518">
        <v>3</v>
      </c>
      <c r="AH518">
        <v>4</v>
      </c>
      <c r="AI518" s="5">
        <v>3</v>
      </c>
      <c r="AJ518">
        <v>2</v>
      </c>
      <c r="AK518">
        <v>0</v>
      </c>
      <c r="AL518">
        <v>2</v>
      </c>
      <c r="AM518" t="str">
        <f t="shared" si="59"/>
        <v>Below Avg</v>
      </c>
      <c r="AN518" s="21">
        <f t="shared" si="60"/>
        <v>27.958115183246075</v>
      </c>
      <c r="AO518" t="str">
        <f t="shared" ca="1" si="61"/>
        <v>No</v>
      </c>
      <c r="AP518" t="str">
        <f t="shared" si="62"/>
        <v>Low Risk</v>
      </c>
    </row>
    <row r="519" spans="1:42" x14ac:dyDescent="0.3">
      <c r="A519" s="5">
        <v>25</v>
      </c>
      <c r="B519" s="5" t="s">
        <v>43</v>
      </c>
      <c r="C519" s="5" t="str">
        <f t="shared" si="56"/>
        <v>No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 s="5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 s="5">
        <v>4851</v>
      </c>
      <c r="U519">
        <v>15678</v>
      </c>
      <c r="V519">
        <v>0</v>
      </c>
      <c r="W519" t="s">
        <v>42</v>
      </c>
      <c r="X519" t="s">
        <v>43</v>
      </c>
      <c r="Y519" t="str">
        <f t="shared" si="57"/>
        <v>No</v>
      </c>
      <c r="Z519">
        <v>22</v>
      </c>
      <c r="AA519">
        <v>4</v>
      </c>
      <c r="AB519">
        <v>3</v>
      </c>
      <c r="AC519">
        <v>80</v>
      </c>
      <c r="AD519">
        <v>1</v>
      </c>
      <c r="AE519" s="5">
        <v>4</v>
      </c>
      <c r="AF519" t="str">
        <f t="shared" si="58"/>
        <v>0-5</v>
      </c>
      <c r="AG519">
        <v>4</v>
      </c>
      <c r="AH519">
        <v>3</v>
      </c>
      <c r="AI519" s="5">
        <v>3</v>
      </c>
      <c r="AJ519">
        <v>2</v>
      </c>
      <c r="AK519">
        <v>1</v>
      </c>
      <c r="AL519">
        <v>2</v>
      </c>
      <c r="AM519" t="str">
        <f t="shared" si="59"/>
        <v>Below Avg</v>
      </c>
      <c r="AN519" s="21">
        <f t="shared" si="60"/>
        <v>27.987421383647799</v>
      </c>
      <c r="AO519" t="str">
        <f t="shared" ca="1" si="61"/>
        <v>No</v>
      </c>
      <c r="AP519" t="str">
        <f t="shared" si="62"/>
        <v>Low Risk</v>
      </c>
    </row>
    <row r="520" spans="1:42" x14ac:dyDescent="0.3">
      <c r="A520" s="5">
        <v>38</v>
      </c>
      <c r="B520" s="5" t="s">
        <v>43</v>
      </c>
      <c r="C520" s="5" t="str">
        <f t="shared" si="56"/>
        <v>No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 s="5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 s="5">
        <v>4028</v>
      </c>
      <c r="U520">
        <v>7791</v>
      </c>
      <c r="V520">
        <v>0</v>
      </c>
      <c r="W520" t="s">
        <v>42</v>
      </c>
      <c r="X520" t="s">
        <v>43</v>
      </c>
      <c r="Y520" t="str">
        <f t="shared" si="57"/>
        <v>No</v>
      </c>
      <c r="Z520">
        <v>20</v>
      </c>
      <c r="AA520">
        <v>4</v>
      </c>
      <c r="AB520">
        <v>1</v>
      </c>
      <c r="AC520">
        <v>80</v>
      </c>
      <c r="AD520">
        <v>0</v>
      </c>
      <c r="AE520" s="5">
        <v>8</v>
      </c>
      <c r="AF520" t="str">
        <f t="shared" si="58"/>
        <v>6-15</v>
      </c>
      <c r="AG520">
        <v>2</v>
      </c>
      <c r="AH520">
        <v>3</v>
      </c>
      <c r="AI520" s="5">
        <v>7</v>
      </c>
      <c r="AJ520">
        <v>7</v>
      </c>
      <c r="AK520">
        <v>0</v>
      </c>
      <c r="AL520">
        <v>5</v>
      </c>
      <c r="AM520" t="str">
        <f t="shared" si="59"/>
        <v>Below Avg</v>
      </c>
      <c r="AN520" s="21">
        <f t="shared" si="60"/>
        <v>28.01678908709339</v>
      </c>
      <c r="AO520" t="str">
        <f t="shared" ca="1" si="61"/>
        <v>No</v>
      </c>
      <c r="AP520" t="str">
        <f t="shared" si="62"/>
        <v>Low Risk</v>
      </c>
    </row>
    <row r="521" spans="1:42" x14ac:dyDescent="0.3">
      <c r="A521" s="5">
        <v>29</v>
      </c>
      <c r="B521" s="5" t="s">
        <v>43</v>
      </c>
      <c r="C521" s="5" t="str">
        <f t="shared" si="56"/>
        <v>No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 s="5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 s="5">
        <v>2720</v>
      </c>
      <c r="U521">
        <v>18959</v>
      </c>
      <c r="V521">
        <v>1</v>
      </c>
      <c r="W521" t="s">
        <v>42</v>
      </c>
      <c r="X521" t="s">
        <v>43</v>
      </c>
      <c r="Y521" t="str">
        <f t="shared" si="57"/>
        <v>No</v>
      </c>
      <c r="Z521">
        <v>18</v>
      </c>
      <c r="AA521">
        <v>3</v>
      </c>
      <c r="AB521">
        <v>4</v>
      </c>
      <c r="AC521">
        <v>80</v>
      </c>
      <c r="AD521">
        <v>1</v>
      </c>
      <c r="AE521" s="5">
        <v>10</v>
      </c>
      <c r="AF521" t="str">
        <f t="shared" si="58"/>
        <v>6-15</v>
      </c>
      <c r="AG521">
        <v>5</v>
      </c>
      <c r="AH521">
        <v>3</v>
      </c>
      <c r="AI521" s="5">
        <v>10</v>
      </c>
      <c r="AJ521">
        <v>7</v>
      </c>
      <c r="AK521">
        <v>2</v>
      </c>
      <c r="AL521">
        <v>8</v>
      </c>
      <c r="AM521" t="str">
        <f t="shared" si="59"/>
        <v>Below Avg</v>
      </c>
      <c r="AN521" s="21">
        <f t="shared" si="60"/>
        <v>28.04621848739496</v>
      </c>
      <c r="AO521" t="str">
        <f t="shared" ca="1" si="61"/>
        <v>No</v>
      </c>
      <c r="AP521" t="str">
        <f t="shared" si="62"/>
        <v>Low Risk</v>
      </c>
    </row>
    <row r="522" spans="1:42" x14ac:dyDescent="0.3">
      <c r="A522" s="5">
        <v>48</v>
      </c>
      <c r="B522" s="5" t="s">
        <v>43</v>
      </c>
      <c r="C522" s="5" t="str">
        <f t="shared" si="56"/>
        <v>No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 s="5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 s="5">
        <v>8120</v>
      </c>
      <c r="U522">
        <v>18597</v>
      </c>
      <c r="V522">
        <v>3</v>
      </c>
      <c r="W522" t="s">
        <v>42</v>
      </c>
      <c r="X522" t="s">
        <v>43</v>
      </c>
      <c r="Y522" t="str">
        <f t="shared" si="57"/>
        <v>No</v>
      </c>
      <c r="Z522">
        <v>12</v>
      </c>
      <c r="AA522">
        <v>3</v>
      </c>
      <c r="AB522">
        <v>4</v>
      </c>
      <c r="AC522">
        <v>80</v>
      </c>
      <c r="AD522">
        <v>0</v>
      </c>
      <c r="AE522" s="5">
        <v>12</v>
      </c>
      <c r="AF522" t="str">
        <f t="shared" si="58"/>
        <v>6-15</v>
      </c>
      <c r="AG522">
        <v>3</v>
      </c>
      <c r="AH522">
        <v>3</v>
      </c>
      <c r="AI522" s="5">
        <v>2</v>
      </c>
      <c r="AJ522">
        <v>2</v>
      </c>
      <c r="AK522">
        <v>2</v>
      </c>
      <c r="AL522">
        <v>2</v>
      </c>
      <c r="AM522" t="str">
        <f t="shared" si="59"/>
        <v>Ok</v>
      </c>
      <c r="AN522" s="21">
        <f t="shared" si="60"/>
        <v>28.075709779179807</v>
      </c>
      <c r="AO522" t="str">
        <f t="shared" ca="1" si="61"/>
        <v>No</v>
      </c>
      <c r="AP522" t="str">
        <f t="shared" si="62"/>
        <v>Low Risk</v>
      </c>
    </row>
    <row r="523" spans="1:42" x14ac:dyDescent="0.3">
      <c r="A523" s="5">
        <v>27</v>
      </c>
      <c r="B523" s="5" t="s">
        <v>43</v>
      </c>
      <c r="C523" s="5" t="str">
        <f t="shared" si="56"/>
        <v>No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 s="5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 s="5">
        <v>4647</v>
      </c>
      <c r="U523">
        <v>16673</v>
      </c>
      <c r="V523">
        <v>1</v>
      </c>
      <c r="W523" t="s">
        <v>42</v>
      </c>
      <c r="X523" t="s">
        <v>35</v>
      </c>
      <c r="Y523" t="str">
        <f t="shared" si="57"/>
        <v>Yes</v>
      </c>
      <c r="Z523">
        <v>20</v>
      </c>
      <c r="AA523">
        <v>4</v>
      </c>
      <c r="AB523">
        <v>2</v>
      </c>
      <c r="AC523">
        <v>80</v>
      </c>
      <c r="AD523">
        <v>2</v>
      </c>
      <c r="AE523" s="5">
        <v>6</v>
      </c>
      <c r="AF523" t="str">
        <f t="shared" si="58"/>
        <v>6-15</v>
      </c>
      <c r="AG523">
        <v>3</v>
      </c>
      <c r="AH523">
        <v>3</v>
      </c>
      <c r="AI523" s="5">
        <v>6</v>
      </c>
      <c r="AJ523">
        <v>5</v>
      </c>
      <c r="AK523">
        <v>0</v>
      </c>
      <c r="AL523">
        <v>4</v>
      </c>
      <c r="AM523" t="str">
        <f t="shared" si="59"/>
        <v>Below Avg</v>
      </c>
      <c r="AN523" s="21">
        <f t="shared" si="60"/>
        <v>28.10526315789474</v>
      </c>
      <c r="AO523" t="str">
        <f t="shared" ca="1" si="61"/>
        <v>No</v>
      </c>
      <c r="AP523" t="str">
        <f t="shared" si="62"/>
        <v>Low Risk</v>
      </c>
    </row>
    <row r="524" spans="1:42" x14ac:dyDescent="0.3">
      <c r="A524" s="5">
        <v>37</v>
      </c>
      <c r="B524" s="5" t="s">
        <v>43</v>
      </c>
      <c r="C524" s="5" t="str">
        <f t="shared" si="56"/>
        <v>No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 s="5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 s="5">
        <v>4680</v>
      </c>
      <c r="U524">
        <v>15232</v>
      </c>
      <c r="V524">
        <v>3</v>
      </c>
      <c r="W524" t="s">
        <v>42</v>
      </c>
      <c r="X524" t="s">
        <v>43</v>
      </c>
      <c r="Y524" t="str">
        <f t="shared" si="57"/>
        <v>No</v>
      </c>
      <c r="Z524">
        <v>17</v>
      </c>
      <c r="AA524">
        <v>3</v>
      </c>
      <c r="AB524">
        <v>1</v>
      </c>
      <c r="AC524">
        <v>80</v>
      </c>
      <c r="AD524">
        <v>0</v>
      </c>
      <c r="AE524" s="5">
        <v>4</v>
      </c>
      <c r="AF524" t="str">
        <f t="shared" si="58"/>
        <v>0-5</v>
      </c>
      <c r="AG524">
        <v>2</v>
      </c>
      <c r="AH524">
        <v>3</v>
      </c>
      <c r="AI524" s="5">
        <v>1</v>
      </c>
      <c r="AJ524">
        <v>0</v>
      </c>
      <c r="AK524">
        <v>0</v>
      </c>
      <c r="AL524">
        <v>0</v>
      </c>
      <c r="AM524" t="str">
        <f t="shared" si="59"/>
        <v>Below Avg</v>
      </c>
      <c r="AN524" s="21">
        <f t="shared" si="60"/>
        <v>28.134878819810329</v>
      </c>
      <c r="AO524" t="str">
        <f t="shared" ca="1" si="61"/>
        <v>No</v>
      </c>
      <c r="AP524" t="str">
        <f t="shared" si="62"/>
        <v>Low Risk</v>
      </c>
    </row>
    <row r="525" spans="1:42" x14ac:dyDescent="0.3">
      <c r="A525" s="5">
        <v>50</v>
      </c>
      <c r="B525" s="5" t="s">
        <v>43</v>
      </c>
      <c r="C525" s="5" t="str">
        <f t="shared" si="56"/>
        <v>No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 s="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 s="5">
        <v>3221</v>
      </c>
      <c r="U525">
        <v>3297</v>
      </c>
      <c r="V525">
        <v>1</v>
      </c>
      <c r="W525" t="s">
        <v>42</v>
      </c>
      <c r="X525" t="s">
        <v>35</v>
      </c>
      <c r="Y525" t="str">
        <f t="shared" si="57"/>
        <v>Yes</v>
      </c>
      <c r="Z525">
        <v>11</v>
      </c>
      <c r="AA525">
        <v>3</v>
      </c>
      <c r="AB525">
        <v>3</v>
      </c>
      <c r="AC525">
        <v>80</v>
      </c>
      <c r="AD525">
        <v>3</v>
      </c>
      <c r="AE525" s="5">
        <v>20</v>
      </c>
      <c r="AF525" t="str">
        <f t="shared" si="58"/>
        <v>&gt;15</v>
      </c>
      <c r="AG525">
        <v>3</v>
      </c>
      <c r="AH525">
        <v>3</v>
      </c>
      <c r="AI525" s="5">
        <v>20</v>
      </c>
      <c r="AJ525">
        <v>8</v>
      </c>
      <c r="AK525">
        <v>3</v>
      </c>
      <c r="AL525">
        <v>8</v>
      </c>
      <c r="AM525" t="str">
        <f t="shared" si="59"/>
        <v>Below Avg</v>
      </c>
      <c r="AN525" s="21">
        <f t="shared" si="60"/>
        <v>28.059071729957807</v>
      </c>
      <c r="AO525" t="str">
        <f t="shared" ca="1" si="61"/>
        <v>No</v>
      </c>
      <c r="AP525" t="str">
        <f t="shared" si="62"/>
        <v>Low Risk</v>
      </c>
    </row>
    <row r="526" spans="1:42" x14ac:dyDescent="0.3">
      <c r="A526" s="5">
        <v>34</v>
      </c>
      <c r="B526" s="5" t="s">
        <v>43</v>
      </c>
      <c r="C526" s="5" t="str">
        <f t="shared" si="56"/>
        <v>No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 s="5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 s="5">
        <v>8621</v>
      </c>
      <c r="U526">
        <v>17654</v>
      </c>
      <c r="V526">
        <v>1</v>
      </c>
      <c r="W526" t="s">
        <v>42</v>
      </c>
      <c r="X526" t="s">
        <v>43</v>
      </c>
      <c r="Y526" t="str">
        <f t="shared" si="57"/>
        <v>No</v>
      </c>
      <c r="Z526">
        <v>14</v>
      </c>
      <c r="AA526">
        <v>3</v>
      </c>
      <c r="AB526">
        <v>2</v>
      </c>
      <c r="AC526">
        <v>80</v>
      </c>
      <c r="AD526">
        <v>0</v>
      </c>
      <c r="AE526" s="5">
        <v>9</v>
      </c>
      <c r="AF526" t="str">
        <f t="shared" si="58"/>
        <v>6-15</v>
      </c>
      <c r="AG526">
        <v>3</v>
      </c>
      <c r="AH526">
        <v>4</v>
      </c>
      <c r="AI526" s="5">
        <v>8</v>
      </c>
      <c r="AJ526">
        <v>7</v>
      </c>
      <c r="AK526">
        <v>7</v>
      </c>
      <c r="AL526">
        <v>7</v>
      </c>
      <c r="AM526" t="str">
        <f t="shared" si="59"/>
        <v>Ok</v>
      </c>
      <c r="AN526" s="21">
        <f t="shared" si="60"/>
        <v>28.088701161562827</v>
      </c>
      <c r="AO526" t="str">
        <f t="shared" ca="1" si="61"/>
        <v>No</v>
      </c>
      <c r="AP526" t="str">
        <f t="shared" si="62"/>
        <v>Low Risk</v>
      </c>
    </row>
    <row r="527" spans="1:42" x14ac:dyDescent="0.3">
      <c r="A527" s="5">
        <v>24</v>
      </c>
      <c r="B527" s="5" t="s">
        <v>35</v>
      </c>
      <c r="C527" s="5" t="str">
        <f t="shared" si="56"/>
        <v>Yes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 s="5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 s="5">
        <v>4577</v>
      </c>
      <c r="U527">
        <v>24785</v>
      </c>
      <c r="V527">
        <v>9</v>
      </c>
      <c r="W527" t="s">
        <v>42</v>
      </c>
      <c r="X527" t="s">
        <v>43</v>
      </c>
      <c r="Y527" t="str">
        <f t="shared" si="57"/>
        <v>No</v>
      </c>
      <c r="Z527">
        <v>14</v>
      </c>
      <c r="AA527">
        <v>3</v>
      </c>
      <c r="AB527">
        <v>1</v>
      </c>
      <c r="AC527">
        <v>80</v>
      </c>
      <c r="AD527">
        <v>0</v>
      </c>
      <c r="AE527" s="5">
        <v>4</v>
      </c>
      <c r="AF527" t="str">
        <f t="shared" si="58"/>
        <v>0-5</v>
      </c>
      <c r="AG527">
        <v>3</v>
      </c>
      <c r="AH527">
        <v>3</v>
      </c>
      <c r="AI527" s="5">
        <v>2</v>
      </c>
      <c r="AJ527">
        <v>2</v>
      </c>
      <c r="AK527">
        <v>2</v>
      </c>
      <c r="AL527">
        <v>0</v>
      </c>
      <c r="AM527" t="str">
        <f t="shared" si="59"/>
        <v>Below Avg</v>
      </c>
      <c r="AN527" s="21">
        <f t="shared" si="60"/>
        <v>28.012684989429175</v>
      </c>
      <c r="AO527" t="str">
        <f t="shared" ca="1" si="61"/>
        <v>No</v>
      </c>
      <c r="AP527" t="str">
        <f t="shared" si="62"/>
        <v>Low Risk</v>
      </c>
    </row>
    <row r="528" spans="1:42" x14ac:dyDescent="0.3">
      <c r="A528" s="5">
        <v>39</v>
      </c>
      <c r="B528" s="5" t="s">
        <v>43</v>
      </c>
      <c r="C528" s="5" t="str">
        <f t="shared" si="56"/>
        <v>No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 s="5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 s="5">
        <v>4553</v>
      </c>
      <c r="U528">
        <v>20978</v>
      </c>
      <c r="V528">
        <v>1</v>
      </c>
      <c r="W528" t="s">
        <v>42</v>
      </c>
      <c r="X528" t="s">
        <v>43</v>
      </c>
      <c r="Y528" t="str">
        <f t="shared" si="57"/>
        <v>No</v>
      </c>
      <c r="Z528">
        <v>11</v>
      </c>
      <c r="AA528">
        <v>3</v>
      </c>
      <c r="AB528">
        <v>1</v>
      </c>
      <c r="AC528">
        <v>80</v>
      </c>
      <c r="AD528">
        <v>0</v>
      </c>
      <c r="AE528" s="5">
        <v>20</v>
      </c>
      <c r="AF528" t="str">
        <f t="shared" si="58"/>
        <v>&gt;15</v>
      </c>
      <c r="AG528">
        <v>4</v>
      </c>
      <c r="AH528">
        <v>3</v>
      </c>
      <c r="AI528" s="5">
        <v>20</v>
      </c>
      <c r="AJ528">
        <v>7</v>
      </c>
      <c r="AK528">
        <v>11</v>
      </c>
      <c r="AL528">
        <v>10</v>
      </c>
      <c r="AM528" t="str">
        <f t="shared" si="59"/>
        <v>Below Avg</v>
      </c>
      <c r="AN528" s="21">
        <f t="shared" si="60"/>
        <v>28.042328042328041</v>
      </c>
      <c r="AO528" t="str">
        <f t="shared" ca="1" si="61"/>
        <v>No</v>
      </c>
      <c r="AP528" t="str">
        <f t="shared" si="62"/>
        <v>Low Risk</v>
      </c>
    </row>
    <row r="529" spans="1:42" x14ac:dyDescent="0.3">
      <c r="A529" s="5">
        <v>32</v>
      </c>
      <c r="B529" s="5" t="s">
        <v>43</v>
      </c>
      <c r="C529" s="5" t="str">
        <f t="shared" si="56"/>
        <v>No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 s="5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 s="5">
        <v>5396</v>
      </c>
      <c r="U529">
        <v>21703</v>
      </c>
      <c r="V529">
        <v>1</v>
      </c>
      <c r="W529" t="s">
        <v>42</v>
      </c>
      <c r="X529" t="s">
        <v>43</v>
      </c>
      <c r="Y529" t="str">
        <f t="shared" si="57"/>
        <v>No</v>
      </c>
      <c r="Z529">
        <v>12</v>
      </c>
      <c r="AA529">
        <v>3</v>
      </c>
      <c r="AB529">
        <v>4</v>
      </c>
      <c r="AC529">
        <v>80</v>
      </c>
      <c r="AD529">
        <v>0</v>
      </c>
      <c r="AE529" s="5">
        <v>10</v>
      </c>
      <c r="AF529" t="str">
        <f t="shared" si="58"/>
        <v>6-15</v>
      </c>
      <c r="AG529">
        <v>2</v>
      </c>
      <c r="AH529">
        <v>2</v>
      </c>
      <c r="AI529" s="5">
        <v>10</v>
      </c>
      <c r="AJ529">
        <v>7</v>
      </c>
      <c r="AK529">
        <v>0</v>
      </c>
      <c r="AL529">
        <v>8</v>
      </c>
      <c r="AM529" t="str">
        <f t="shared" si="59"/>
        <v>Below Avg</v>
      </c>
      <c r="AN529" s="21">
        <f t="shared" si="60"/>
        <v>28.072033898305083</v>
      </c>
      <c r="AO529" t="str">
        <f t="shared" ca="1" si="61"/>
        <v>No</v>
      </c>
      <c r="AP529" t="str">
        <f t="shared" si="62"/>
        <v>Low Risk</v>
      </c>
    </row>
    <row r="530" spans="1:42" x14ac:dyDescent="0.3">
      <c r="A530" s="5">
        <v>50</v>
      </c>
      <c r="B530" s="5" t="s">
        <v>35</v>
      </c>
      <c r="C530" s="5" t="str">
        <f t="shared" si="56"/>
        <v>Yes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 s="5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 s="5">
        <v>6796</v>
      </c>
      <c r="U530">
        <v>23452</v>
      </c>
      <c r="V530">
        <v>3</v>
      </c>
      <c r="W530" t="s">
        <v>42</v>
      </c>
      <c r="X530" t="s">
        <v>35</v>
      </c>
      <c r="Y530" t="str">
        <f t="shared" si="57"/>
        <v>Yes</v>
      </c>
      <c r="Z530">
        <v>14</v>
      </c>
      <c r="AA530">
        <v>3</v>
      </c>
      <c r="AB530">
        <v>1</v>
      </c>
      <c r="AC530">
        <v>80</v>
      </c>
      <c r="AD530">
        <v>1</v>
      </c>
      <c r="AE530" s="5">
        <v>18</v>
      </c>
      <c r="AF530" t="str">
        <f t="shared" si="58"/>
        <v>&gt;15</v>
      </c>
      <c r="AG530">
        <v>4</v>
      </c>
      <c r="AH530">
        <v>3</v>
      </c>
      <c r="AI530" s="5">
        <v>4</v>
      </c>
      <c r="AJ530">
        <v>3</v>
      </c>
      <c r="AK530">
        <v>1</v>
      </c>
      <c r="AL530">
        <v>3</v>
      </c>
      <c r="AM530" t="str">
        <f t="shared" si="59"/>
        <v>Below Avg</v>
      </c>
      <c r="AN530" s="21">
        <f t="shared" si="60"/>
        <v>28.101802757158005</v>
      </c>
      <c r="AO530" t="str">
        <f t="shared" ca="1" si="61"/>
        <v>No</v>
      </c>
      <c r="AP530" t="str">
        <f t="shared" si="62"/>
        <v>Low Risk</v>
      </c>
    </row>
    <row r="531" spans="1:42" x14ac:dyDescent="0.3">
      <c r="A531" s="5">
        <v>38</v>
      </c>
      <c r="B531" s="5" t="s">
        <v>43</v>
      </c>
      <c r="C531" s="5" t="str">
        <f t="shared" si="56"/>
        <v>No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 s="5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 s="5">
        <v>7625</v>
      </c>
      <c r="U531">
        <v>19383</v>
      </c>
      <c r="V531">
        <v>0</v>
      </c>
      <c r="W531" t="s">
        <v>42</v>
      </c>
      <c r="X531" t="s">
        <v>43</v>
      </c>
      <c r="Y531" t="str">
        <f t="shared" si="57"/>
        <v>No</v>
      </c>
      <c r="Z531">
        <v>13</v>
      </c>
      <c r="AA531">
        <v>3</v>
      </c>
      <c r="AB531">
        <v>3</v>
      </c>
      <c r="AC531">
        <v>80</v>
      </c>
      <c r="AD531">
        <v>0</v>
      </c>
      <c r="AE531" s="5">
        <v>10</v>
      </c>
      <c r="AF531" t="str">
        <f t="shared" si="58"/>
        <v>6-15</v>
      </c>
      <c r="AG531">
        <v>4</v>
      </c>
      <c r="AH531">
        <v>2</v>
      </c>
      <c r="AI531" s="5">
        <v>9</v>
      </c>
      <c r="AJ531">
        <v>7</v>
      </c>
      <c r="AK531">
        <v>1</v>
      </c>
      <c r="AL531">
        <v>8</v>
      </c>
      <c r="AM531" t="str">
        <f t="shared" si="59"/>
        <v>Ok</v>
      </c>
      <c r="AN531" s="21">
        <f t="shared" si="60"/>
        <v>28.131634819532909</v>
      </c>
      <c r="AO531" t="str">
        <f t="shared" ca="1" si="61"/>
        <v>No</v>
      </c>
      <c r="AP531" t="str">
        <f t="shared" si="62"/>
        <v>Low Risk</v>
      </c>
    </row>
    <row r="532" spans="1:42" x14ac:dyDescent="0.3">
      <c r="A532" s="5">
        <v>27</v>
      </c>
      <c r="B532" s="5" t="s">
        <v>43</v>
      </c>
      <c r="C532" s="5" t="str">
        <f t="shared" si="56"/>
        <v>No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 s="5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 s="5">
        <v>7412</v>
      </c>
      <c r="U532">
        <v>6009</v>
      </c>
      <c r="V532">
        <v>1</v>
      </c>
      <c r="W532" t="s">
        <v>42</v>
      </c>
      <c r="X532" t="s">
        <v>43</v>
      </c>
      <c r="Y532" t="str">
        <f t="shared" si="57"/>
        <v>No</v>
      </c>
      <c r="Z532">
        <v>11</v>
      </c>
      <c r="AA532">
        <v>3</v>
      </c>
      <c r="AB532">
        <v>4</v>
      </c>
      <c r="AC532">
        <v>80</v>
      </c>
      <c r="AD532">
        <v>0</v>
      </c>
      <c r="AE532" s="5">
        <v>9</v>
      </c>
      <c r="AF532" t="str">
        <f t="shared" si="58"/>
        <v>6-15</v>
      </c>
      <c r="AG532">
        <v>3</v>
      </c>
      <c r="AH532">
        <v>3</v>
      </c>
      <c r="AI532" s="5">
        <v>9</v>
      </c>
      <c r="AJ532">
        <v>7</v>
      </c>
      <c r="AK532">
        <v>0</v>
      </c>
      <c r="AL532">
        <v>7</v>
      </c>
      <c r="AM532" t="str">
        <f t="shared" si="59"/>
        <v>Ok</v>
      </c>
      <c r="AN532" s="21">
        <f t="shared" si="60"/>
        <v>28.055260361317746</v>
      </c>
      <c r="AO532" t="str">
        <f t="shared" ca="1" si="61"/>
        <v>No</v>
      </c>
      <c r="AP532" t="str">
        <f t="shared" si="62"/>
        <v>Low Risk</v>
      </c>
    </row>
    <row r="533" spans="1:42" x14ac:dyDescent="0.3">
      <c r="A533" s="5">
        <v>32</v>
      </c>
      <c r="B533" s="5" t="s">
        <v>43</v>
      </c>
      <c r="C533" s="5" t="str">
        <f t="shared" si="56"/>
        <v>No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 s="5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 s="5">
        <v>11159</v>
      </c>
      <c r="U533">
        <v>19373</v>
      </c>
      <c r="V533">
        <v>3</v>
      </c>
      <c r="W533" t="s">
        <v>42</v>
      </c>
      <c r="X533" t="s">
        <v>43</v>
      </c>
      <c r="Y533" t="str">
        <f t="shared" si="57"/>
        <v>No</v>
      </c>
      <c r="Z533">
        <v>15</v>
      </c>
      <c r="AA533">
        <v>3</v>
      </c>
      <c r="AB533">
        <v>4</v>
      </c>
      <c r="AC533">
        <v>80</v>
      </c>
      <c r="AD533">
        <v>0</v>
      </c>
      <c r="AE533" s="5">
        <v>10</v>
      </c>
      <c r="AF533" t="str">
        <f t="shared" si="58"/>
        <v>6-15</v>
      </c>
      <c r="AG533">
        <v>6</v>
      </c>
      <c r="AH533">
        <v>3</v>
      </c>
      <c r="AI533" s="5">
        <v>7</v>
      </c>
      <c r="AJ533">
        <v>7</v>
      </c>
      <c r="AK533">
        <v>7</v>
      </c>
      <c r="AL533">
        <v>7</v>
      </c>
      <c r="AM533" t="str">
        <f t="shared" si="59"/>
        <v>Ok</v>
      </c>
      <c r="AN533" s="21">
        <f t="shared" si="60"/>
        <v>28.085106382978726</v>
      </c>
      <c r="AO533" t="str">
        <f t="shared" ca="1" si="61"/>
        <v>No</v>
      </c>
      <c r="AP533" t="str">
        <f t="shared" si="62"/>
        <v>Low Risk</v>
      </c>
    </row>
    <row r="534" spans="1:42" x14ac:dyDescent="0.3">
      <c r="A534" s="5">
        <v>47</v>
      </c>
      <c r="B534" s="5" t="s">
        <v>43</v>
      </c>
      <c r="C534" s="5" t="str">
        <f t="shared" si="56"/>
        <v>No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 s="5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 s="5">
        <v>4960</v>
      </c>
      <c r="U534">
        <v>11825</v>
      </c>
      <c r="V534">
        <v>2</v>
      </c>
      <c r="W534" t="s">
        <v>42</v>
      </c>
      <c r="X534" t="s">
        <v>43</v>
      </c>
      <c r="Y534" t="str">
        <f t="shared" si="57"/>
        <v>No</v>
      </c>
      <c r="Z534">
        <v>12</v>
      </c>
      <c r="AA534">
        <v>3</v>
      </c>
      <c r="AB534">
        <v>4</v>
      </c>
      <c r="AC534">
        <v>80</v>
      </c>
      <c r="AD534">
        <v>0</v>
      </c>
      <c r="AE534" s="5">
        <v>20</v>
      </c>
      <c r="AF534" t="str">
        <f t="shared" si="58"/>
        <v>&gt;15</v>
      </c>
      <c r="AG534">
        <v>2</v>
      </c>
      <c r="AH534">
        <v>3</v>
      </c>
      <c r="AI534" s="5">
        <v>7</v>
      </c>
      <c r="AJ534">
        <v>7</v>
      </c>
      <c r="AK534">
        <v>1</v>
      </c>
      <c r="AL534">
        <v>7</v>
      </c>
      <c r="AM534" t="str">
        <f t="shared" si="59"/>
        <v>Below Avg</v>
      </c>
      <c r="AN534" s="21">
        <f t="shared" si="60"/>
        <v>28.115015974440894</v>
      </c>
      <c r="AO534" t="str">
        <f t="shared" ca="1" si="61"/>
        <v>No</v>
      </c>
      <c r="AP534" t="str">
        <f t="shared" si="62"/>
        <v>Low Risk</v>
      </c>
    </row>
    <row r="535" spans="1:42" x14ac:dyDescent="0.3">
      <c r="A535" s="5">
        <v>40</v>
      </c>
      <c r="B535" s="5" t="s">
        <v>43</v>
      </c>
      <c r="C535" s="5" t="str">
        <f t="shared" si="56"/>
        <v>No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 s="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 s="5">
        <v>10475</v>
      </c>
      <c r="U535">
        <v>23772</v>
      </c>
      <c r="V535">
        <v>5</v>
      </c>
      <c r="W535" t="s">
        <v>42</v>
      </c>
      <c r="X535" t="s">
        <v>35</v>
      </c>
      <c r="Y535" t="str">
        <f t="shared" si="57"/>
        <v>Yes</v>
      </c>
      <c r="Z535">
        <v>21</v>
      </c>
      <c r="AA535">
        <v>4</v>
      </c>
      <c r="AB535">
        <v>3</v>
      </c>
      <c r="AC535">
        <v>80</v>
      </c>
      <c r="AD535">
        <v>1</v>
      </c>
      <c r="AE535" s="5">
        <v>20</v>
      </c>
      <c r="AF535" t="str">
        <f t="shared" si="58"/>
        <v>&gt;15</v>
      </c>
      <c r="AG535">
        <v>2</v>
      </c>
      <c r="AH535">
        <v>3</v>
      </c>
      <c r="AI535" s="5">
        <v>18</v>
      </c>
      <c r="AJ535">
        <v>13</v>
      </c>
      <c r="AK535">
        <v>1</v>
      </c>
      <c r="AL535">
        <v>12</v>
      </c>
      <c r="AM535" t="str">
        <f t="shared" si="59"/>
        <v>Ok</v>
      </c>
      <c r="AN535" s="21">
        <f t="shared" si="60"/>
        <v>28.14498933901919</v>
      </c>
      <c r="AO535" t="str">
        <f t="shared" ca="1" si="61"/>
        <v>No</v>
      </c>
      <c r="AP535" t="str">
        <f t="shared" si="62"/>
        <v>Low Risk</v>
      </c>
    </row>
    <row r="536" spans="1:42" x14ac:dyDescent="0.3">
      <c r="A536" s="5">
        <v>53</v>
      </c>
      <c r="B536" s="5" t="s">
        <v>43</v>
      </c>
      <c r="C536" s="5" t="str">
        <f t="shared" si="56"/>
        <v>No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 s="5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 s="5">
        <v>14814</v>
      </c>
      <c r="U536">
        <v>13514</v>
      </c>
      <c r="V536">
        <v>3</v>
      </c>
      <c r="W536" t="s">
        <v>42</v>
      </c>
      <c r="X536" t="s">
        <v>43</v>
      </c>
      <c r="Y536" t="str">
        <f t="shared" si="57"/>
        <v>No</v>
      </c>
      <c r="Z536">
        <v>19</v>
      </c>
      <c r="AA536">
        <v>3</v>
      </c>
      <c r="AB536">
        <v>3</v>
      </c>
      <c r="AC536">
        <v>80</v>
      </c>
      <c r="AD536">
        <v>0</v>
      </c>
      <c r="AE536" s="5">
        <v>32</v>
      </c>
      <c r="AF536" t="str">
        <f t="shared" si="58"/>
        <v>&gt;15</v>
      </c>
      <c r="AG536">
        <v>3</v>
      </c>
      <c r="AH536">
        <v>3</v>
      </c>
      <c r="AI536" s="5">
        <v>5</v>
      </c>
      <c r="AJ536">
        <v>1</v>
      </c>
      <c r="AK536">
        <v>1</v>
      </c>
      <c r="AL536">
        <v>3</v>
      </c>
      <c r="AM536" t="str">
        <f t="shared" si="59"/>
        <v>Ok</v>
      </c>
      <c r="AN536" s="21">
        <f t="shared" si="60"/>
        <v>28.175026680896476</v>
      </c>
      <c r="AO536" t="str">
        <f t="shared" ca="1" si="61"/>
        <v>No</v>
      </c>
      <c r="AP536" t="str">
        <f t="shared" si="62"/>
        <v>Low Risk</v>
      </c>
    </row>
    <row r="537" spans="1:42" x14ac:dyDescent="0.3">
      <c r="A537" s="5">
        <v>41</v>
      </c>
      <c r="B537" s="5" t="s">
        <v>43</v>
      </c>
      <c r="C537" s="5" t="str">
        <f t="shared" si="56"/>
        <v>No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 s="5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 s="5">
        <v>19141</v>
      </c>
      <c r="U537">
        <v>8861</v>
      </c>
      <c r="V537">
        <v>3</v>
      </c>
      <c r="W537" t="s">
        <v>42</v>
      </c>
      <c r="X537" t="s">
        <v>43</v>
      </c>
      <c r="Y537" t="str">
        <f t="shared" si="57"/>
        <v>No</v>
      </c>
      <c r="Z537">
        <v>15</v>
      </c>
      <c r="AA537">
        <v>3</v>
      </c>
      <c r="AB537">
        <v>2</v>
      </c>
      <c r="AC537">
        <v>80</v>
      </c>
      <c r="AD537">
        <v>3</v>
      </c>
      <c r="AE537" s="5">
        <v>23</v>
      </c>
      <c r="AF537" t="str">
        <f t="shared" si="58"/>
        <v>&gt;15</v>
      </c>
      <c r="AG537">
        <v>2</v>
      </c>
      <c r="AH537">
        <v>2</v>
      </c>
      <c r="AI537" s="5">
        <v>21</v>
      </c>
      <c r="AJ537">
        <v>6</v>
      </c>
      <c r="AK537">
        <v>12</v>
      </c>
      <c r="AL537">
        <v>6</v>
      </c>
      <c r="AM537" t="str">
        <f t="shared" si="59"/>
        <v>Ok</v>
      </c>
      <c r="AN537" s="21">
        <f t="shared" si="60"/>
        <v>28.0982905982906</v>
      </c>
      <c r="AO537" t="str">
        <f t="shared" ca="1" si="61"/>
        <v>No</v>
      </c>
      <c r="AP537" t="str">
        <f t="shared" si="62"/>
        <v>Low Risk</v>
      </c>
    </row>
    <row r="538" spans="1:42" x14ac:dyDescent="0.3">
      <c r="A538" s="5">
        <v>60</v>
      </c>
      <c r="B538" s="5" t="s">
        <v>43</v>
      </c>
      <c r="C538" s="5" t="str">
        <f t="shared" si="56"/>
        <v>No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 s="5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 s="5">
        <v>5405</v>
      </c>
      <c r="U538">
        <v>11924</v>
      </c>
      <c r="V538">
        <v>8</v>
      </c>
      <c r="W538" t="s">
        <v>42</v>
      </c>
      <c r="X538" t="s">
        <v>43</v>
      </c>
      <c r="Y538" t="str">
        <f t="shared" si="57"/>
        <v>No</v>
      </c>
      <c r="Z538">
        <v>14</v>
      </c>
      <c r="AA538">
        <v>3</v>
      </c>
      <c r="AB538">
        <v>4</v>
      </c>
      <c r="AC538">
        <v>80</v>
      </c>
      <c r="AD538">
        <v>0</v>
      </c>
      <c r="AE538" s="5">
        <v>10</v>
      </c>
      <c r="AF538" t="str">
        <f t="shared" si="58"/>
        <v>6-15</v>
      </c>
      <c r="AG538">
        <v>1</v>
      </c>
      <c r="AH538">
        <v>3</v>
      </c>
      <c r="AI538" s="5">
        <v>2</v>
      </c>
      <c r="AJ538">
        <v>2</v>
      </c>
      <c r="AK538">
        <v>2</v>
      </c>
      <c r="AL538">
        <v>2</v>
      </c>
      <c r="AM538" t="str">
        <f t="shared" si="59"/>
        <v>Below Avg</v>
      </c>
      <c r="AN538" s="21">
        <f t="shared" si="60"/>
        <v>28.128342245989309</v>
      </c>
      <c r="AO538" t="str">
        <f t="shared" ca="1" si="61"/>
        <v>No</v>
      </c>
      <c r="AP538" t="str">
        <f t="shared" si="62"/>
        <v>Low Risk</v>
      </c>
    </row>
    <row r="539" spans="1:42" x14ac:dyDescent="0.3">
      <c r="A539" s="5">
        <v>27</v>
      </c>
      <c r="B539" s="5" t="s">
        <v>43</v>
      </c>
      <c r="C539" s="5" t="str">
        <f t="shared" si="56"/>
        <v>No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 s="5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 s="5">
        <v>8793</v>
      </c>
      <c r="U539">
        <v>4809</v>
      </c>
      <c r="V539">
        <v>1</v>
      </c>
      <c r="W539" t="s">
        <v>42</v>
      </c>
      <c r="X539" t="s">
        <v>43</v>
      </c>
      <c r="Y539" t="str">
        <f t="shared" si="57"/>
        <v>No</v>
      </c>
      <c r="Z539">
        <v>21</v>
      </c>
      <c r="AA539">
        <v>4</v>
      </c>
      <c r="AB539">
        <v>3</v>
      </c>
      <c r="AC539">
        <v>80</v>
      </c>
      <c r="AD539">
        <v>2</v>
      </c>
      <c r="AE539" s="5">
        <v>9</v>
      </c>
      <c r="AF539" t="str">
        <f t="shared" si="58"/>
        <v>6-15</v>
      </c>
      <c r="AG539">
        <v>4</v>
      </c>
      <c r="AH539">
        <v>2</v>
      </c>
      <c r="AI539" s="5">
        <v>9</v>
      </c>
      <c r="AJ539">
        <v>7</v>
      </c>
      <c r="AK539">
        <v>1</v>
      </c>
      <c r="AL539">
        <v>7</v>
      </c>
      <c r="AM539" t="str">
        <f t="shared" si="59"/>
        <v>Ok</v>
      </c>
      <c r="AN539" s="21">
        <f t="shared" si="60"/>
        <v>28.158458244111351</v>
      </c>
      <c r="AO539" t="str">
        <f t="shared" ca="1" si="61"/>
        <v>No</v>
      </c>
      <c r="AP539" t="str">
        <f t="shared" si="62"/>
        <v>Low Risk</v>
      </c>
    </row>
    <row r="540" spans="1:42" x14ac:dyDescent="0.3">
      <c r="A540" s="5">
        <v>41</v>
      </c>
      <c r="B540" s="5" t="s">
        <v>43</v>
      </c>
      <c r="C540" s="5" t="str">
        <f t="shared" si="56"/>
        <v>No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 s="5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 s="5">
        <v>19189</v>
      </c>
      <c r="U540">
        <v>19562</v>
      </c>
      <c r="V540">
        <v>1</v>
      </c>
      <c r="W540" t="s">
        <v>42</v>
      </c>
      <c r="X540" t="s">
        <v>43</v>
      </c>
      <c r="Y540" t="str">
        <f t="shared" si="57"/>
        <v>No</v>
      </c>
      <c r="Z540">
        <v>12</v>
      </c>
      <c r="AA540">
        <v>3</v>
      </c>
      <c r="AB540">
        <v>2</v>
      </c>
      <c r="AC540">
        <v>80</v>
      </c>
      <c r="AD540">
        <v>1</v>
      </c>
      <c r="AE540" s="5">
        <v>22</v>
      </c>
      <c r="AF540" t="str">
        <f t="shared" si="58"/>
        <v>&gt;15</v>
      </c>
      <c r="AG540">
        <v>3</v>
      </c>
      <c r="AH540">
        <v>3</v>
      </c>
      <c r="AI540" s="5">
        <v>22</v>
      </c>
      <c r="AJ540">
        <v>7</v>
      </c>
      <c r="AK540">
        <v>2</v>
      </c>
      <c r="AL540">
        <v>10</v>
      </c>
      <c r="AM540" t="str">
        <f t="shared" si="59"/>
        <v>Ok</v>
      </c>
      <c r="AN540" s="21">
        <f t="shared" si="60"/>
        <v>28.188638799571276</v>
      </c>
      <c r="AO540" t="str">
        <f t="shared" ca="1" si="61"/>
        <v>No</v>
      </c>
      <c r="AP540" t="str">
        <f t="shared" si="62"/>
        <v>Low Risk</v>
      </c>
    </row>
    <row r="541" spans="1:42" x14ac:dyDescent="0.3">
      <c r="A541" s="5">
        <v>50</v>
      </c>
      <c r="B541" s="5" t="s">
        <v>43</v>
      </c>
      <c r="C541" s="5" t="str">
        <f t="shared" si="56"/>
        <v>No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 s="5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 s="5">
        <v>3875</v>
      </c>
      <c r="U541">
        <v>9983</v>
      </c>
      <c r="V541">
        <v>7</v>
      </c>
      <c r="W541" t="s">
        <v>42</v>
      </c>
      <c r="X541" t="s">
        <v>43</v>
      </c>
      <c r="Y541" t="str">
        <f t="shared" si="57"/>
        <v>No</v>
      </c>
      <c r="Z541">
        <v>15</v>
      </c>
      <c r="AA541">
        <v>3</v>
      </c>
      <c r="AB541">
        <v>4</v>
      </c>
      <c r="AC541">
        <v>80</v>
      </c>
      <c r="AD541">
        <v>1</v>
      </c>
      <c r="AE541" s="5">
        <v>4</v>
      </c>
      <c r="AF541" t="str">
        <f t="shared" si="58"/>
        <v>0-5</v>
      </c>
      <c r="AG541">
        <v>2</v>
      </c>
      <c r="AH541">
        <v>3</v>
      </c>
      <c r="AI541" s="5">
        <v>2</v>
      </c>
      <c r="AJ541">
        <v>2</v>
      </c>
      <c r="AK541">
        <v>2</v>
      </c>
      <c r="AL541">
        <v>2</v>
      </c>
      <c r="AM541" t="str">
        <f t="shared" si="59"/>
        <v>Below Avg</v>
      </c>
      <c r="AN541" s="21">
        <f t="shared" si="60"/>
        <v>28.218884120171673</v>
      </c>
      <c r="AO541" t="str">
        <f t="shared" ca="1" si="61"/>
        <v>No</v>
      </c>
      <c r="AP541" t="str">
        <f t="shared" si="62"/>
        <v>Low Risk</v>
      </c>
    </row>
    <row r="542" spans="1:42" x14ac:dyDescent="0.3">
      <c r="A542" s="5">
        <v>28</v>
      </c>
      <c r="B542" s="5" t="s">
        <v>35</v>
      </c>
      <c r="C542" s="5" t="str">
        <f t="shared" si="56"/>
        <v>Yes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 s="5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 s="5">
        <v>2216</v>
      </c>
      <c r="U542">
        <v>3872</v>
      </c>
      <c r="V542">
        <v>7</v>
      </c>
      <c r="W542" t="s">
        <v>42</v>
      </c>
      <c r="X542" t="s">
        <v>35</v>
      </c>
      <c r="Y542" t="str">
        <f t="shared" si="57"/>
        <v>Yes</v>
      </c>
      <c r="Z542">
        <v>13</v>
      </c>
      <c r="AA542">
        <v>3</v>
      </c>
      <c r="AB542">
        <v>4</v>
      </c>
      <c r="AC542">
        <v>80</v>
      </c>
      <c r="AD542">
        <v>0</v>
      </c>
      <c r="AE542" s="5">
        <v>10</v>
      </c>
      <c r="AF542" t="str">
        <f t="shared" si="58"/>
        <v>6-15</v>
      </c>
      <c r="AG542">
        <v>4</v>
      </c>
      <c r="AH542">
        <v>3</v>
      </c>
      <c r="AI542" s="5">
        <v>7</v>
      </c>
      <c r="AJ542">
        <v>7</v>
      </c>
      <c r="AK542">
        <v>3</v>
      </c>
      <c r="AL542">
        <v>7</v>
      </c>
      <c r="AM542" t="str">
        <f t="shared" si="59"/>
        <v>Below Avg</v>
      </c>
      <c r="AN542" s="21">
        <f t="shared" si="60"/>
        <v>28.249194414607949</v>
      </c>
      <c r="AO542" t="str">
        <f t="shared" ca="1" si="61"/>
        <v>No</v>
      </c>
      <c r="AP542" t="str">
        <f t="shared" si="62"/>
        <v>Low Risk</v>
      </c>
    </row>
    <row r="543" spans="1:42" x14ac:dyDescent="0.3">
      <c r="A543" s="5">
        <v>36</v>
      </c>
      <c r="B543" s="5" t="s">
        <v>43</v>
      </c>
      <c r="C543" s="5" t="str">
        <f t="shared" si="56"/>
        <v>No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 s="5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 s="5">
        <v>11713</v>
      </c>
      <c r="U543">
        <v>20335</v>
      </c>
      <c r="V543">
        <v>9</v>
      </c>
      <c r="W543" t="s">
        <v>42</v>
      </c>
      <c r="X543" t="s">
        <v>43</v>
      </c>
      <c r="Y543" t="str">
        <f t="shared" si="57"/>
        <v>No</v>
      </c>
      <c r="Z543">
        <v>14</v>
      </c>
      <c r="AA543">
        <v>3</v>
      </c>
      <c r="AB543">
        <v>1</v>
      </c>
      <c r="AC543">
        <v>80</v>
      </c>
      <c r="AD543">
        <v>1</v>
      </c>
      <c r="AE543" s="5">
        <v>10</v>
      </c>
      <c r="AF543" t="str">
        <f t="shared" si="58"/>
        <v>6-15</v>
      </c>
      <c r="AG543">
        <v>2</v>
      </c>
      <c r="AH543">
        <v>3</v>
      </c>
      <c r="AI543" s="5">
        <v>8</v>
      </c>
      <c r="AJ543">
        <v>7</v>
      </c>
      <c r="AK543">
        <v>0</v>
      </c>
      <c r="AL543">
        <v>5</v>
      </c>
      <c r="AM543" t="str">
        <f t="shared" si="59"/>
        <v>Ok</v>
      </c>
      <c r="AN543" s="21">
        <f t="shared" si="60"/>
        <v>28.279569892473116</v>
      </c>
      <c r="AO543" t="str">
        <f t="shared" ca="1" si="61"/>
        <v>No</v>
      </c>
      <c r="AP543" t="str">
        <f t="shared" si="62"/>
        <v>Low Risk</v>
      </c>
    </row>
    <row r="544" spans="1:42" x14ac:dyDescent="0.3">
      <c r="A544" s="5">
        <v>38</v>
      </c>
      <c r="B544" s="5" t="s">
        <v>43</v>
      </c>
      <c r="C544" s="5" t="str">
        <f t="shared" si="56"/>
        <v>No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 s="5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 s="5">
        <v>7861</v>
      </c>
      <c r="U544">
        <v>15397</v>
      </c>
      <c r="V544">
        <v>4</v>
      </c>
      <c r="W544" t="s">
        <v>42</v>
      </c>
      <c r="X544" t="s">
        <v>35</v>
      </c>
      <c r="Y544" t="str">
        <f t="shared" si="57"/>
        <v>Yes</v>
      </c>
      <c r="Z544">
        <v>14</v>
      </c>
      <c r="AA544">
        <v>3</v>
      </c>
      <c r="AB544">
        <v>4</v>
      </c>
      <c r="AC544">
        <v>80</v>
      </c>
      <c r="AD544">
        <v>0</v>
      </c>
      <c r="AE544" s="5">
        <v>10</v>
      </c>
      <c r="AF544" t="str">
        <f t="shared" si="58"/>
        <v>6-15</v>
      </c>
      <c r="AG544">
        <v>4</v>
      </c>
      <c r="AH544">
        <v>4</v>
      </c>
      <c r="AI544" s="5">
        <v>1</v>
      </c>
      <c r="AJ544">
        <v>0</v>
      </c>
      <c r="AK544">
        <v>0</v>
      </c>
      <c r="AL544">
        <v>0</v>
      </c>
      <c r="AM544" t="str">
        <f t="shared" si="59"/>
        <v>Ok</v>
      </c>
      <c r="AN544" s="21">
        <f t="shared" si="60"/>
        <v>28.202368137782564</v>
      </c>
      <c r="AO544" t="str">
        <f t="shared" ca="1" si="61"/>
        <v>No</v>
      </c>
      <c r="AP544" t="str">
        <f t="shared" si="62"/>
        <v>Low Risk</v>
      </c>
    </row>
    <row r="545" spans="1:42" x14ac:dyDescent="0.3">
      <c r="A545" s="5">
        <v>44</v>
      </c>
      <c r="B545" s="5" t="s">
        <v>43</v>
      </c>
      <c r="C545" s="5" t="str">
        <f t="shared" si="56"/>
        <v>No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 s="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 s="5">
        <v>3708</v>
      </c>
      <c r="U545">
        <v>2104</v>
      </c>
      <c r="V545">
        <v>2</v>
      </c>
      <c r="W545" t="s">
        <v>42</v>
      </c>
      <c r="X545" t="s">
        <v>43</v>
      </c>
      <c r="Y545" t="str">
        <f t="shared" si="57"/>
        <v>No</v>
      </c>
      <c r="Z545">
        <v>14</v>
      </c>
      <c r="AA545">
        <v>3</v>
      </c>
      <c r="AB545">
        <v>3</v>
      </c>
      <c r="AC545">
        <v>80</v>
      </c>
      <c r="AD545">
        <v>0</v>
      </c>
      <c r="AE545" s="5">
        <v>9</v>
      </c>
      <c r="AF545" t="str">
        <f t="shared" si="58"/>
        <v>6-15</v>
      </c>
      <c r="AG545">
        <v>5</v>
      </c>
      <c r="AH545">
        <v>3</v>
      </c>
      <c r="AI545" s="5">
        <v>5</v>
      </c>
      <c r="AJ545">
        <v>2</v>
      </c>
      <c r="AK545">
        <v>1</v>
      </c>
      <c r="AL545">
        <v>4</v>
      </c>
      <c r="AM545" t="str">
        <f t="shared" si="59"/>
        <v>Below Avg</v>
      </c>
      <c r="AN545" s="21">
        <f t="shared" si="60"/>
        <v>28.232758620689658</v>
      </c>
      <c r="AO545" t="str">
        <f t="shared" ca="1" si="61"/>
        <v>No</v>
      </c>
      <c r="AP545" t="str">
        <f t="shared" si="62"/>
        <v>Low Risk</v>
      </c>
    </row>
    <row r="546" spans="1:42" x14ac:dyDescent="0.3">
      <c r="A546" s="5">
        <v>47</v>
      </c>
      <c r="B546" s="5" t="s">
        <v>43</v>
      </c>
      <c r="C546" s="5" t="str">
        <f t="shared" si="56"/>
        <v>No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 s="5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 s="5">
        <v>13770</v>
      </c>
      <c r="U546">
        <v>10225</v>
      </c>
      <c r="V546">
        <v>9</v>
      </c>
      <c r="W546" t="s">
        <v>42</v>
      </c>
      <c r="X546" t="s">
        <v>35</v>
      </c>
      <c r="Y546" t="str">
        <f t="shared" si="57"/>
        <v>Yes</v>
      </c>
      <c r="Z546">
        <v>12</v>
      </c>
      <c r="AA546">
        <v>3</v>
      </c>
      <c r="AB546">
        <v>4</v>
      </c>
      <c r="AC546">
        <v>80</v>
      </c>
      <c r="AD546">
        <v>2</v>
      </c>
      <c r="AE546" s="5">
        <v>28</v>
      </c>
      <c r="AF546" t="str">
        <f t="shared" si="58"/>
        <v>&gt;15</v>
      </c>
      <c r="AG546">
        <v>2</v>
      </c>
      <c r="AH546">
        <v>2</v>
      </c>
      <c r="AI546" s="5">
        <v>22</v>
      </c>
      <c r="AJ546">
        <v>2</v>
      </c>
      <c r="AK546">
        <v>11</v>
      </c>
      <c r="AL546">
        <v>13</v>
      </c>
      <c r="AM546" t="str">
        <f t="shared" si="59"/>
        <v>Ok</v>
      </c>
      <c r="AN546" s="21">
        <f t="shared" si="60"/>
        <v>28.155339805825243</v>
      </c>
      <c r="AO546" t="str">
        <f t="shared" ca="1" si="61"/>
        <v>No</v>
      </c>
      <c r="AP546" t="str">
        <f t="shared" si="62"/>
        <v>Low Risk</v>
      </c>
    </row>
    <row r="547" spans="1:42" x14ac:dyDescent="0.3">
      <c r="A547" s="5">
        <v>30</v>
      </c>
      <c r="B547" s="5" t="s">
        <v>43</v>
      </c>
      <c r="C547" s="5" t="str">
        <f t="shared" si="56"/>
        <v>No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 s="5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 s="5">
        <v>5304</v>
      </c>
      <c r="U547">
        <v>25275</v>
      </c>
      <c r="V547">
        <v>7</v>
      </c>
      <c r="W547" t="s">
        <v>42</v>
      </c>
      <c r="X547" t="s">
        <v>43</v>
      </c>
      <c r="Y547" t="str">
        <f t="shared" si="57"/>
        <v>No</v>
      </c>
      <c r="Z547">
        <v>23</v>
      </c>
      <c r="AA547">
        <v>4</v>
      </c>
      <c r="AB547">
        <v>4</v>
      </c>
      <c r="AC547">
        <v>80</v>
      </c>
      <c r="AD547">
        <v>1</v>
      </c>
      <c r="AE547" s="5">
        <v>10</v>
      </c>
      <c r="AF547" t="str">
        <f t="shared" si="58"/>
        <v>6-15</v>
      </c>
      <c r="AG547">
        <v>2</v>
      </c>
      <c r="AH547">
        <v>2</v>
      </c>
      <c r="AI547" s="5">
        <v>8</v>
      </c>
      <c r="AJ547">
        <v>7</v>
      </c>
      <c r="AK547">
        <v>7</v>
      </c>
      <c r="AL547">
        <v>7</v>
      </c>
      <c r="AM547" t="str">
        <f t="shared" si="59"/>
        <v>Below Avg</v>
      </c>
      <c r="AN547" s="21">
        <f t="shared" si="60"/>
        <v>28.185745140388768</v>
      </c>
      <c r="AO547" t="str">
        <f t="shared" ca="1" si="61"/>
        <v>No</v>
      </c>
      <c r="AP547" t="str">
        <f t="shared" si="62"/>
        <v>Low Risk</v>
      </c>
    </row>
    <row r="548" spans="1:42" x14ac:dyDescent="0.3">
      <c r="A548" s="5">
        <v>29</v>
      </c>
      <c r="B548" s="5" t="s">
        <v>43</v>
      </c>
      <c r="C548" s="5" t="str">
        <f t="shared" si="56"/>
        <v>No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 s="5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 s="5">
        <v>2642</v>
      </c>
      <c r="U548">
        <v>2755</v>
      </c>
      <c r="V548">
        <v>1</v>
      </c>
      <c r="W548" t="s">
        <v>42</v>
      </c>
      <c r="X548" t="s">
        <v>43</v>
      </c>
      <c r="Y548" t="str">
        <f t="shared" si="57"/>
        <v>No</v>
      </c>
      <c r="Z548">
        <v>11</v>
      </c>
      <c r="AA548">
        <v>3</v>
      </c>
      <c r="AB548">
        <v>3</v>
      </c>
      <c r="AC548">
        <v>80</v>
      </c>
      <c r="AD548">
        <v>0</v>
      </c>
      <c r="AE548" s="5">
        <v>1</v>
      </c>
      <c r="AF548" t="str">
        <f t="shared" si="58"/>
        <v>0-5</v>
      </c>
      <c r="AG548">
        <v>6</v>
      </c>
      <c r="AH548">
        <v>3</v>
      </c>
      <c r="AI548" s="5">
        <v>1</v>
      </c>
      <c r="AJ548">
        <v>0</v>
      </c>
      <c r="AK548">
        <v>0</v>
      </c>
      <c r="AL548">
        <v>0</v>
      </c>
      <c r="AM548" t="str">
        <f t="shared" si="59"/>
        <v>Below Avg</v>
      </c>
      <c r="AN548" s="21">
        <f t="shared" si="60"/>
        <v>28.108108108108109</v>
      </c>
      <c r="AO548" t="str">
        <f t="shared" ca="1" si="61"/>
        <v>No</v>
      </c>
      <c r="AP548" t="str">
        <f t="shared" si="62"/>
        <v>Low Risk</v>
      </c>
    </row>
    <row r="549" spans="1:42" x14ac:dyDescent="0.3">
      <c r="A549" s="5">
        <v>42</v>
      </c>
      <c r="B549" s="5" t="s">
        <v>35</v>
      </c>
      <c r="C549" s="5" t="str">
        <f t="shared" si="56"/>
        <v>Yes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 s="5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 s="5">
        <v>2759</v>
      </c>
      <c r="U549">
        <v>20366</v>
      </c>
      <c r="V549">
        <v>6</v>
      </c>
      <c r="W549" t="s">
        <v>42</v>
      </c>
      <c r="X549" t="s">
        <v>35</v>
      </c>
      <c r="Y549" t="str">
        <f t="shared" si="57"/>
        <v>Yes</v>
      </c>
      <c r="Z549">
        <v>12</v>
      </c>
      <c r="AA549">
        <v>3</v>
      </c>
      <c r="AB549">
        <v>4</v>
      </c>
      <c r="AC549">
        <v>80</v>
      </c>
      <c r="AD549">
        <v>0</v>
      </c>
      <c r="AE549" s="5">
        <v>7</v>
      </c>
      <c r="AF549" t="str">
        <f t="shared" si="58"/>
        <v>6-15</v>
      </c>
      <c r="AG549">
        <v>2</v>
      </c>
      <c r="AH549">
        <v>3</v>
      </c>
      <c r="AI549" s="5">
        <v>2</v>
      </c>
      <c r="AJ549">
        <v>2</v>
      </c>
      <c r="AK549">
        <v>2</v>
      </c>
      <c r="AL549">
        <v>2</v>
      </c>
      <c r="AM549" t="str">
        <f t="shared" si="59"/>
        <v>Below Avg</v>
      </c>
      <c r="AN549" s="21">
        <f t="shared" si="60"/>
        <v>28.138528138528141</v>
      </c>
      <c r="AO549" t="str">
        <f t="shared" ca="1" si="61"/>
        <v>No</v>
      </c>
      <c r="AP549" t="str">
        <f t="shared" si="62"/>
        <v>Low Risk</v>
      </c>
    </row>
    <row r="550" spans="1:42" x14ac:dyDescent="0.3">
      <c r="A550" s="5">
        <v>43</v>
      </c>
      <c r="B550" s="5" t="s">
        <v>43</v>
      </c>
      <c r="C550" s="5" t="str">
        <f t="shared" si="56"/>
        <v>No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 s="5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 s="5">
        <v>6804</v>
      </c>
      <c r="U550">
        <v>23683</v>
      </c>
      <c r="V550">
        <v>3</v>
      </c>
      <c r="W550" t="s">
        <v>42</v>
      </c>
      <c r="X550" t="s">
        <v>43</v>
      </c>
      <c r="Y550" t="str">
        <f t="shared" si="57"/>
        <v>No</v>
      </c>
      <c r="Z550">
        <v>18</v>
      </c>
      <c r="AA550">
        <v>3</v>
      </c>
      <c r="AB550">
        <v>3</v>
      </c>
      <c r="AC550">
        <v>80</v>
      </c>
      <c r="AD550">
        <v>1</v>
      </c>
      <c r="AE550" s="5">
        <v>7</v>
      </c>
      <c r="AF550" t="str">
        <f t="shared" si="58"/>
        <v>6-15</v>
      </c>
      <c r="AG550">
        <v>5</v>
      </c>
      <c r="AH550">
        <v>3</v>
      </c>
      <c r="AI550" s="5">
        <v>2</v>
      </c>
      <c r="AJ550">
        <v>2</v>
      </c>
      <c r="AK550">
        <v>2</v>
      </c>
      <c r="AL550">
        <v>2</v>
      </c>
      <c r="AM550" t="str">
        <f t="shared" si="59"/>
        <v>Below Avg</v>
      </c>
      <c r="AN550" s="21">
        <f t="shared" si="60"/>
        <v>28.169014084507044</v>
      </c>
      <c r="AO550" t="str">
        <f t="shared" ca="1" si="61"/>
        <v>No</v>
      </c>
      <c r="AP550" t="str">
        <f t="shared" si="62"/>
        <v>Low Risk</v>
      </c>
    </row>
    <row r="551" spans="1:42" x14ac:dyDescent="0.3">
      <c r="A551" s="5">
        <v>34</v>
      </c>
      <c r="B551" s="5" t="s">
        <v>43</v>
      </c>
      <c r="C551" s="5" t="str">
        <f t="shared" si="56"/>
        <v>No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 s="5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 s="5">
        <v>6142</v>
      </c>
      <c r="U551">
        <v>7360</v>
      </c>
      <c r="V551">
        <v>3</v>
      </c>
      <c r="W551" t="s">
        <v>42</v>
      </c>
      <c r="X551" t="s">
        <v>43</v>
      </c>
      <c r="Y551" t="str">
        <f t="shared" si="57"/>
        <v>No</v>
      </c>
      <c r="Z551">
        <v>11</v>
      </c>
      <c r="AA551">
        <v>3</v>
      </c>
      <c r="AB551">
        <v>4</v>
      </c>
      <c r="AC551">
        <v>80</v>
      </c>
      <c r="AD551">
        <v>0</v>
      </c>
      <c r="AE551" s="5">
        <v>10</v>
      </c>
      <c r="AF551" t="str">
        <f t="shared" si="58"/>
        <v>6-15</v>
      </c>
      <c r="AG551">
        <v>2</v>
      </c>
      <c r="AH551">
        <v>3</v>
      </c>
      <c r="AI551" s="5">
        <v>5</v>
      </c>
      <c r="AJ551">
        <v>1</v>
      </c>
      <c r="AK551">
        <v>4</v>
      </c>
      <c r="AL551">
        <v>3</v>
      </c>
      <c r="AM551" t="str">
        <f t="shared" si="59"/>
        <v>Below Avg</v>
      </c>
      <c r="AN551" s="21">
        <f t="shared" si="60"/>
        <v>28.091106290672453</v>
      </c>
      <c r="AO551" t="str">
        <f t="shared" ca="1" si="61"/>
        <v>No</v>
      </c>
      <c r="AP551" t="str">
        <f t="shared" si="62"/>
        <v>Low Risk</v>
      </c>
    </row>
    <row r="552" spans="1:42" x14ac:dyDescent="0.3">
      <c r="A552" s="5">
        <v>23</v>
      </c>
      <c r="B552" s="5" t="s">
        <v>43</v>
      </c>
      <c r="C552" s="5" t="str">
        <f t="shared" si="56"/>
        <v>No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 s="5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 s="5">
        <v>2500</v>
      </c>
      <c r="U552">
        <v>4344</v>
      </c>
      <c r="V552">
        <v>1</v>
      </c>
      <c r="W552" t="s">
        <v>42</v>
      </c>
      <c r="X552" t="s">
        <v>43</v>
      </c>
      <c r="Y552" t="str">
        <f t="shared" si="57"/>
        <v>No</v>
      </c>
      <c r="Z552">
        <v>14</v>
      </c>
      <c r="AA552">
        <v>3</v>
      </c>
      <c r="AB552">
        <v>4</v>
      </c>
      <c r="AC552">
        <v>80</v>
      </c>
      <c r="AD552">
        <v>1</v>
      </c>
      <c r="AE552" s="5">
        <v>5</v>
      </c>
      <c r="AF552" t="str">
        <f t="shared" si="58"/>
        <v>0-5</v>
      </c>
      <c r="AG552">
        <v>2</v>
      </c>
      <c r="AH552">
        <v>4</v>
      </c>
      <c r="AI552" s="5">
        <v>4</v>
      </c>
      <c r="AJ552">
        <v>3</v>
      </c>
      <c r="AK552">
        <v>0</v>
      </c>
      <c r="AL552">
        <v>2</v>
      </c>
      <c r="AM552" t="str">
        <f t="shared" si="59"/>
        <v>Below Avg</v>
      </c>
      <c r="AN552" s="21">
        <f t="shared" si="60"/>
        <v>28.121606948968513</v>
      </c>
      <c r="AO552" t="str">
        <f t="shared" ca="1" si="61"/>
        <v>No</v>
      </c>
      <c r="AP552" t="str">
        <f t="shared" si="62"/>
        <v>Low Risk</v>
      </c>
    </row>
    <row r="553" spans="1:42" x14ac:dyDescent="0.3">
      <c r="A553" s="5">
        <v>39</v>
      </c>
      <c r="B553" s="5" t="s">
        <v>43</v>
      </c>
      <c r="C553" s="5" t="str">
        <f t="shared" si="56"/>
        <v>No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 s="5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 s="5">
        <v>6389</v>
      </c>
      <c r="U553">
        <v>18767</v>
      </c>
      <c r="V553">
        <v>9</v>
      </c>
      <c r="W553" t="s">
        <v>42</v>
      </c>
      <c r="X553" t="s">
        <v>43</v>
      </c>
      <c r="Y553" t="str">
        <f t="shared" si="57"/>
        <v>No</v>
      </c>
      <c r="Z553">
        <v>15</v>
      </c>
      <c r="AA553">
        <v>3</v>
      </c>
      <c r="AB553">
        <v>3</v>
      </c>
      <c r="AC553">
        <v>80</v>
      </c>
      <c r="AD553">
        <v>1</v>
      </c>
      <c r="AE553" s="5">
        <v>12</v>
      </c>
      <c r="AF553" t="str">
        <f t="shared" si="58"/>
        <v>6-15</v>
      </c>
      <c r="AG553">
        <v>3</v>
      </c>
      <c r="AH553">
        <v>1</v>
      </c>
      <c r="AI553" s="5">
        <v>8</v>
      </c>
      <c r="AJ553">
        <v>3</v>
      </c>
      <c r="AK553">
        <v>3</v>
      </c>
      <c r="AL553">
        <v>6</v>
      </c>
      <c r="AM553" t="str">
        <f t="shared" si="59"/>
        <v>Ok</v>
      </c>
      <c r="AN553" s="21">
        <f t="shared" si="60"/>
        <v>28.152173913043477</v>
      </c>
      <c r="AO553" t="str">
        <f t="shared" ca="1" si="61"/>
        <v>No</v>
      </c>
      <c r="AP553" t="str">
        <f t="shared" si="62"/>
        <v>Low Risk</v>
      </c>
    </row>
    <row r="554" spans="1:42" x14ac:dyDescent="0.3">
      <c r="A554" s="5">
        <v>56</v>
      </c>
      <c r="B554" s="5" t="s">
        <v>43</v>
      </c>
      <c r="C554" s="5" t="str">
        <f t="shared" si="56"/>
        <v>No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 s="5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 s="5">
        <v>11103</v>
      </c>
      <c r="U554">
        <v>20420</v>
      </c>
      <c r="V554">
        <v>7</v>
      </c>
      <c r="W554" t="s">
        <v>42</v>
      </c>
      <c r="X554" t="s">
        <v>43</v>
      </c>
      <c r="Y554" t="str">
        <f t="shared" si="57"/>
        <v>No</v>
      </c>
      <c r="Z554">
        <v>11</v>
      </c>
      <c r="AA554">
        <v>3</v>
      </c>
      <c r="AB554">
        <v>3</v>
      </c>
      <c r="AC554">
        <v>80</v>
      </c>
      <c r="AD554">
        <v>0</v>
      </c>
      <c r="AE554" s="5">
        <v>30</v>
      </c>
      <c r="AF554" t="str">
        <f t="shared" si="58"/>
        <v>&gt;15</v>
      </c>
      <c r="AG554">
        <v>1</v>
      </c>
      <c r="AH554">
        <v>2</v>
      </c>
      <c r="AI554" s="5">
        <v>10</v>
      </c>
      <c r="AJ554">
        <v>7</v>
      </c>
      <c r="AK554">
        <v>1</v>
      </c>
      <c r="AL554">
        <v>1</v>
      </c>
      <c r="AM554" t="str">
        <f t="shared" si="59"/>
        <v>Ok</v>
      </c>
      <c r="AN554" s="21">
        <f t="shared" si="60"/>
        <v>28.182807399347116</v>
      </c>
      <c r="AO554" t="str">
        <f t="shared" ca="1" si="61"/>
        <v>No</v>
      </c>
      <c r="AP554" t="str">
        <f t="shared" si="62"/>
        <v>Low Risk</v>
      </c>
    </row>
    <row r="555" spans="1:42" x14ac:dyDescent="0.3">
      <c r="A555" s="5">
        <v>40</v>
      </c>
      <c r="B555" s="5" t="s">
        <v>43</v>
      </c>
      <c r="C555" s="5" t="str">
        <f t="shared" si="56"/>
        <v>No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 s="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 s="5">
        <v>2342</v>
      </c>
      <c r="U555">
        <v>22929</v>
      </c>
      <c r="V555">
        <v>0</v>
      </c>
      <c r="W555" t="s">
        <v>42</v>
      </c>
      <c r="X555" t="s">
        <v>35</v>
      </c>
      <c r="Y555" t="str">
        <f t="shared" si="57"/>
        <v>Yes</v>
      </c>
      <c r="Z555">
        <v>20</v>
      </c>
      <c r="AA555">
        <v>4</v>
      </c>
      <c r="AB555">
        <v>4</v>
      </c>
      <c r="AC555">
        <v>80</v>
      </c>
      <c r="AD555">
        <v>0</v>
      </c>
      <c r="AE555" s="5">
        <v>5</v>
      </c>
      <c r="AF555" t="str">
        <f t="shared" si="58"/>
        <v>0-5</v>
      </c>
      <c r="AG555">
        <v>2</v>
      </c>
      <c r="AH555">
        <v>2</v>
      </c>
      <c r="AI555" s="5">
        <v>4</v>
      </c>
      <c r="AJ555">
        <v>2</v>
      </c>
      <c r="AK555">
        <v>2</v>
      </c>
      <c r="AL555">
        <v>3</v>
      </c>
      <c r="AM555" t="str">
        <f t="shared" si="59"/>
        <v>Below Avg</v>
      </c>
      <c r="AN555" s="21">
        <f t="shared" si="60"/>
        <v>28.213507625272332</v>
      </c>
      <c r="AO555" t="str">
        <f t="shared" ca="1" si="61"/>
        <v>No</v>
      </c>
      <c r="AP555" t="str">
        <f t="shared" si="62"/>
        <v>Low Risk</v>
      </c>
    </row>
    <row r="556" spans="1:42" x14ac:dyDescent="0.3">
      <c r="A556" s="5">
        <v>27</v>
      </c>
      <c r="B556" s="5" t="s">
        <v>43</v>
      </c>
      <c r="C556" s="5" t="str">
        <f t="shared" si="56"/>
        <v>No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 s="5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 s="5">
        <v>6811</v>
      </c>
      <c r="U556">
        <v>23398</v>
      </c>
      <c r="V556">
        <v>8</v>
      </c>
      <c r="W556" t="s">
        <v>42</v>
      </c>
      <c r="X556" t="s">
        <v>43</v>
      </c>
      <c r="Y556" t="str">
        <f t="shared" si="57"/>
        <v>No</v>
      </c>
      <c r="Z556">
        <v>19</v>
      </c>
      <c r="AA556">
        <v>3</v>
      </c>
      <c r="AB556">
        <v>1</v>
      </c>
      <c r="AC556">
        <v>80</v>
      </c>
      <c r="AD556">
        <v>0</v>
      </c>
      <c r="AE556" s="5">
        <v>9</v>
      </c>
      <c r="AF556" t="str">
        <f t="shared" si="58"/>
        <v>6-15</v>
      </c>
      <c r="AG556">
        <v>2</v>
      </c>
      <c r="AH556">
        <v>1</v>
      </c>
      <c r="AI556" s="5">
        <v>7</v>
      </c>
      <c r="AJ556">
        <v>6</v>
      </c>
      <c r="AK556">
        <v>0</v>
      </c>
      <c r="AL556">
        <v>7</v>
      </c>
      <c r="AM556" t="str">
        <f t="shared" si="59"/>
        <v>Ok</v>
      </c>
      <c r="AN556" s="21">
        <f t="shared" si="60"/>
        <v>28.244274809160309</v>
      </c>
      <c r="AO556" t="str">
        <f t="shared" ca="1" si="61"/>
        <v>No</v>
      </c>
      <c r="AP556" t="str">
        <f t="shared" si="62"/>
        <v>Low Risk</v>
      </c>
    </row>
    <row r="557" spans="1:42" x14ac:dyDescent="0.3">
      <c r="A557" s="5">
        <v>29</v>
      </c>
      <c r="B557" s="5" t="s">
        <v>43</v>
      </c>
      <c r="C557" s="5" t="str">
        <f t="shared" si="56"/>
        <v>No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 s="5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 s="5">
        <v>2297</v>
      </c>
      <c r="U557">
        <v>17967</v>
      </c>
      <c r="V557">
        <v>1</v>
      </c>
      <c r="W557" t="s">
        <v>42</v>
      </c>
      <c r="X557" t="s">
        <v>43</v>
      </c>
      <c r="Y557" t="str">
        <f t="shared" si="57"/>
        <v>No</v>
      </c>
      <c r="Z557">
        <v>14</v>
      </c>
      <c r="AA557">
        <v>3</v>
      </c>
      <c r="AB557">
        <v>4</v>
      </c>
      <c r="AC557">
        <v>80</v>
      </c>
      <c r="AD557">
        <v>2</v>
      </c>
      <c r="AE557" s="5">
        <v>2</v>
      </c>
      <c r="AF557" t="str">
        <f t="shared" si="58"/>
        <v>0-5</v>
      </c>
      <c r="AG557">
        <v>2</v>
      </c>
      <c r="AH557">
        <v>3</v>
      </c>
      <c r="AI557" s="5">
        <v>2</v>
      </c>
      <c r="AJ557">
        <v>2</v>
      </c>
      <c r="AK557">
        <v>2</v>
      </c>
      <c r="AL557">
        <v>2</v>
      </c>
      <c r="AM557" t="str">
        <f t="shared" si="59"/>
        <v>Below Avg</v>
      </c>
      <c r="AN557" s="21">
        <f t="shared" si="60"/>
        <v>28.165938864628821</v>
      </c>
      <c r="AO557" t="str">
        <f t="shared" ca="1" si="61"/>
        <v>No</v>
      </c>
      <c r="AP557" t="str">
        <f t="shared" si="62"/>
        <v>Low Risk</v>
      </c>
    </row>
    <row r="558" spans="1:42" x14ac:dyDescent="0.3">
      <c r="A558" s="5">
        <v>53</v>
      </c>
      <c r="B558" s="5" t="s">
        <v>43</v>
      </c>
      <c r="C558" s="5" t="str">
        <f t="shared" si="56"/>
        <v>No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 s="5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 s="5">
        <v>2450</v>
      </c>
      <c r="U558">
        <v>10919</v>
      </c>
      <c r="V558">
        <v>2</v>
      </c>
      <c r="W558" t="s">
        <v>42</v>
      </c>
      <c r="X558" t="s">
        <v>43</v>
      </c>
      <c r="Y558" t="str">
        <f t="shared" si="57"/>
        <v>No</v>
      </c>
      <c r="Z558">
        <v>17</v>
      </c>
      <c r="AA558">
        <v>3</v>
      </c>
      <c r="AB558">
        <v>4</v>
      </c>
      <c r="AC558">
        <v>80</v>
      </c>
      <c r="AD558">
        <v>0</v>
      </c>
      <c r="AE558" s="5">
        <v>19</v>
      </c>
      <c r="AF558" t="str">
        <f t="shared" si="58"/>
        <v>&gt;15</v>
      </c>
      <c r="AG558">
        <v>4</v>
      </c>
      <c r="AH558">
        <v>3</v>
      </c>
      <c r="AI558" s="5">
        <v>2</v>
      </c>
      <c r="AJ558">
        <v>2</v>
      </c>
      <c r="AK558">
        <v>2</v>
      </c>
      <c r="AL558">
        <v>2</v>
      </c>
      <c r="AM558" t="str">
        <f t="shared" si="59"/>
        <v>Below Avg</v>
      </c>
      <c r="AN558" s="21">
        <f t="shared" si="60"/>
        <v>28.196721311475407</v>
      </c>
      <c r="AO558" t="str">
        <f t="shared" ca="1" si="61"/>
        <v>No</v>
      </c>
      <c r="AP558" t="str">
        <f t="shared" si="62"/>
        <v>Low Risk</v>
      </c>
    </row>
    <row r="559" spans="1:42" x14ac:dyDescent="0.3">
      <c r="A559" s="5">
        <v>35</v>
      </c>
      <c r="B559" s="5" t="s">
        <v>43</v>
      </c>
      <c r="C559" s="5" t="str">
        <f t="shared" si="56"/>
        <v>No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 s="5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 s="5">
        <v>5093</v>
      </c>
      <c r="U559">
        <v>4761</v>
      </c>
      <c r="V559">
        <v>2</v>
      </c>
      <c r="W559" t="s">
        <v>42</v>
      </c>
      <c r="X559" t="s">
        <v>43</v>
      </c>
      <c r="Y559" t="str">
        <f t="shared" si="57"/>
        <v>No</v>
      </c>
      <c r="Z559">
        <v>11</v>
      </c>
      <c r="AA559">
        <v>3</v>
      </c>
      <c r="AB559">
        <v>1</v>
      </c>
      <c r="AC559">
        <v>80</v>
      </c>
      <c r="AD559">
        <v>1</v>
      </c>
      <c r="AE559" s="5">
        <v>16</v>
      </c>
      <c r="AF559" t="str">
        <f t="shared" si="58"/>
        <v>&gt;15</v>
      </c>
      <c r="AG559">
        <v>2</v>
      </c>
      <c r="AH559">
        <v>4</v>
      </c>
      <c r="AI559" s="5">
        <v>1</v>
      </c>
      <c r="AJ559">
        <v>0</v>
      </c>
      <c r="AK559">
        <v>0</v>
      </c>
      <c r="AL559">
        <v>0</v>
      </c>
      <c r="AM559" t="str">
        <f t="shared" si="59"/>
        <v>Below Avg</v>
      </c>
      <c r="AN559" s="21">
        <f t="shared" si="60"/>
        <v>28.227571115973742</v>
      </c>
      <c r="AO559" t="str">
        <f t="shared" ca="1" si="61"/>
        <v>No</v>
      </c>
      <c r="AP559" t="str">
        <f t="shared" si="62"/>
        <v>Low Risk</v>
      </c>
    </row>
    <row r="560" spans="1:42" x14ac:dyDescent="0.3">
      <c r="A560" s="5">
        <v>32</v>
      </c>
      <c r="B560" s="5" t="s">
        <v>43</v>
      </c>
      <c r="C560" s="5" t="str">
        <f t="shared" si="56"/>
        <v>No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 s="5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 s="5">
        <v>5309</v>
      </c>
      <c r="U560">
        <v>21146</v>
      </c>
      <c r="V560">
        <v>1</v>
      </c>
      <c r="W560" t="s">
        <v>42</v>
      </c>
      <c r="X560" t="s">
        <v>43</v>
      </c>
      <c r="Y560" t="str">
        <f t="shared" si="57"/>
        <v>No</v>
      </c>
      <c r="Z560">
        <v>15</v>
      </c>
      <c r="AA560">
        <v>3</v>
      </c>
      <c r="AB560">
        <v>4</v>
      </c>
      <c r="AC560">
        <v>80</v>
      </c>
      <c r="AD560">
        <v>2</v>
      </c>
      <c r="AE560" s="5">
        <v>10</v>
      </c>
      <c r="AF560" t="str">
        <f t="shared" si="58"/>
        <v>6-15</v>
      </c>
      <c r="AG560">
        <v>2</v>
      </c>
      <c r="AH560">
        <v>3</v>
      </c>
      <c r="AI560" s="5">
        <v>10</v>
      </c>
      <c r="AJ560">
        <v>8</v>
      </c>
      <c r="AK560">
        <v>4</v>
      </c>
      <c r="AL560">
        <v>7</v>
      </c>
      <c r="AM560" t="str">
        <f t="shared" si="59"/>
        <v>Below Avg</v>
      </c>
      <c r="AN560" s="21">
        <f t="shared" si="60"/>
        <v>28.258488499452355</v>
      </c>
      <c r="AO560" t="str">
        <f t="shared" ca="1" si="61"/>
        <v>No</v>
      </c>
      <c r="AP560" t="str">
        <f t="shared" si="62"/>
        <v>Low Risk</v>
      </c>
    </row>
    <row r="561" spans="1:42" x14ac:dyDescent="0.3">
      <c r="A561" s="5">
        <v>38</v>
      </c>
      <c r="B561" s="5" t="s">
        <v>43</v>
      </c>
      <c r="C561" s="5" t="str">
        <f t="shared" si="56"/>
        <v>No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 s="5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 s="5">
        <v>3057</v>
      </c>
      <c r="U561">
        <v>20471</v>
      </c>
      <c r="V561">
        <v>6</v>
      </c>
      <c r="W561" t="s">
        <v>42</v>
      </c>
      <c r="X561" t="s">
        <v>35</v>
      </c>
      <c r="Y561" t="str">
        <f t="shared" si="57"/>
        <v>Yes</v>
      </c>
      <c r="Z561">
        <v>13</v>
      </c>
      <c r="AA561">
        <v>3</v>
      </c>
      <c r="AB561">
        <v>2</v>
      </c>
      <c r="AC561">
        <v>80</v>
      </c>
      <c r="AD561">
        <v>1</v>
      </c>
      <c r="AE561" s="5">
        <v>6</v>
      </c>
      <c r="AF561" t="str">
        <f t="shared" si="58"/>
        <v>6-15</v>
      </c>
      <c r="AG561">
        <v>0</v>
      </c>
      <c r="AH561">
        <v>1</v>
      </c>
      <c r="AI561" s="5">
        <v>1</v>
      </c>
      <c r="AJ561">
        <v>0</v>
      </c>
      <c r="AK561">
        <v>0</v>
      </c>
      <c r="AL561">
        <v>1</v>
      </c>
      <c r="AM561" t="str">
        <f t="shared" si="59"/>
        <v>Below Avg</v>
      </c>
      <c r="AN561" s="21">
        <f t="shared" si="60"/>
        <v>28.289473684210524</v>
      </c>
      <c r="AO561" t="str">
        <f t="shared" ca="1" si="61"/>
        <v>No</v>
      </c>
      <c r="AP561" t="str">
        <f t="shared" si="62"/>
        <v>Low Risk</v>
      </c>
    </row>
    <row r="562" spans="1:42" x14ac:dyDescent="0.3">
      <c r="A562" s="5">
        <v>34</v>
      </c>
      <c r="B562" s="5" t="s">
        <v>43</v>
      </c>
      <c r="C562" s="5" t="str">
        <f t="shared" si="56"/>
        <v>No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 s="5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 s="5">
        <v>5121</v>
      </c>
      <c r="U562">
        <v>4187</v>
      </c>
      <c r="V562">
        <v>3</v>
      </c>
      <c r="W562" t="s">
        <v>42</v>
      </c>
      <c r="X562" t="s">
        <v>43</v>
      </c>
      <c r="Y562" t="str">
        <f t="shared" si="57"/>
        <v>No</v>
      </c>
      <c r="Z562">
        <v>14</v>
      </c>
      <c r="AA562">
        <v>3</v>
      </c>
      <c r="AB562">
        <v>3</v>
      </c>
      <c r="AC562">
        <v>80</v>
      </c>
      <c r="AD562">
        <v>1</v>
      </c>
      <c r="AE562" s="5">
        <v>7</v>
      </c>
      <c r="AF562" t="str">
        <f t="shared" si="58"/>
        <v>6-15</v>
      </c>
      <c r="AG562">
        <v>3</v>
      </c>
      <c r="AH562">
        <v>3</v>
      </c>
      <c r="AI562" s="5">
        <v>0</v>
      </c>
      <c r="AJ562">
        <v>0</v>
      </c>
      <c r="AK562">
        <v>0</v>
      </c>
      <c r="AL562">
        <v>0</v>
      </c>
      <c r="AM562" t="str">
        <f t="shared" si="59"/>
        <v>Below Avg</v>
      </c>
      <c r="AN562" s="21">
        <f t="shared" si="60"/>
        <v>28.320526893523599</v>
      </c>
      <c r="AO562" t="str">
        <f t="shared" ca="1" si="61"/>
        <v>No</v>
      </c>
      <c r="AP562" t="str">
        <f t="shared" si="62"/>
        <v>Low Risk</v>
      </c>
    </row>
    <row r="563" spans="1:42" x14ac:dyDescent="0.3">
      <c r="A563" s="5">
        <v>52</v>
      </c>
      <c r="B563" s="5" t="s">
        <v>43</v>
      </c>
      <c r="C563" s="5" t="str">
        <f t="shared" si="56"/>
        <v>No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 s="5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 s="5">
        <v>16856</v>
      </c>
      <c r="U563">
        <v>10084</v>
      </c>
      <c r="V563">
        <v>1</v>
      </c>
      <c r="W563" t="s">
        <v>42</v>
      </c>
      <c r="X563" t="s">
        <v>43</v>
      </c>
      <c r="Y563" t="str">
        <f t="shared" si="57"/>
        <v>No</v>
      </c>
      <c r="Z563">
        <v>11</v>
      </c>
      <c r="AA563">
        <v>3</v>
      </c>
      <c r="AB563">
        <v>1</v>
      </c>
      <c r="AC563">
        <v>80</v>
      </c>
      <c r="AD563">
        <v>0</v>
      </c>
      <c r="AE563" s="5">
        <v>34</v>
      </c>
      <c r="AF563" t="str">
        <f t="shared" si="58"/>
        <v>&gt;15</v>
      </c>
      <c r="AG563">
        <v>3</v>
      </c>
      <c r="AH563">
        <v>4</v>
      </c>
      <c r="AI563" s="5">
        <v>34</v>
      </c>
      <c r="AJ563">
        <v>6</v>
      </c>
      <c r="AK563">
        <v>1</v>
      </c>
      <c r="AL563">
        <v>16</v>
      </c>
      <c r="AM563" t="str">
        <f t="shared" si="59"/>
        <v>Ok</v>
      </c>
      <c r="AN563" s="21">
        <f t="shared" si="60"/>
        <v>28.241758241758241</v>
      </c>
      <c r="AO563" t="str">
        <f t="shared" ca="1" si="61"/>
        <v>No</v>
      </c>
      <c r="AP563" t="str">
        <f t="shared" si="62"/>
        <v>Low Risk</v>
      </c>
    </row>
    <row r="564" spans="1:42" x14ac:dyDescent="0.3">
      <c r="A564" s="5">
        <v>33</v>
      </c>
      <c r="B564" s="5" t="s">
        <v>35</v>
      </c>
      <c r="C564" s="5" t="str">
        <f t="shared" si="56"/>
        <v>Yes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 s="5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 s="5">
        <v>2686</v>
      </c>
      <c r="U564">
        <v>5207</v>
      </c>
      <c r="V564">
        <v>1</v>
      </c>
      <c r="W564" t="s">
        <v>42</v>
      </c>
      <c r="X564" t="s">
        <v>35</v>
      </c>
      <c r="Y564" t="str">
        <f t="shared" si="57"/>
        <v>Yes</v>
      </c>
      <c r="Z564">
        <v>13</v>
      </c>
      <c r="AA564">
        <v>3</v>
      </c>
      <c r="AB564">
        <v>3</v>
      </c>
      <c r="AC564">
        <v>80</v>
      </c>
      <c r="AD564">
        <v>0</v>
      </c>
      <c r="AE564" s="5">
        <v>10</v>
      </c>
      <c r="AF564" t="str">
        <f t="shared" si="58"/>
        <v>6-15</v>
      </c>
      <c r="AG564">
        <v>2</v>
      </c>
      <c r="AH564">
        <v>2</v>
      </c>
      <c r="AI564" s="5">
        <v>10</v>
      </c>
      <c r="AJ564">
        <v>9</v>
      </c>
      <c r="AK564">
        <v>7</v>
      </c>
      <c r="AL564">
        <v>8</v>
      </c>
      <c r="AM564" t="str">
        <f t="shared" si="59"/>
        <v>Below Avg</v>
      </c>
      <c r="AN564" s="21">
        <f t="shared" si="60"/>
        <v>28.272827282728276</v>
      </c>
      <c r="AO564" t="str">
        <f t="shared" ca="1" si="61"/>
        <v>No</v>
      </c>
      <c r="AP564" t="str">
        <f t="shared" si="62"/>
        <v>Low Risk</v>
      </c>
    </row>
    <row r="565" spans="1:42" x14ac:dyDescent="0.3">
      <c r="A565" s="5">
        <v>25</v>
      </c>
      <c r="B565" s="5" t="s">
        <v>43</v>
      </c>
      <c r="C565" s="5" t="str">
        <f t="shared" si="56"/>
        <v>No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 s="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 s="5">
        <v>6180</v>
      </c>
      <c r="U565">
        <v>22807</v>
      </c>
      <c r="V565">
        <v>1</v>
      </c>
      <c r="W565" t="s">
        <v>42</v>
      </c>
      <c r="X565" t="s">
        <v>43</v>
      </c>
      <c r="Y565" t="str">
        <f t="shared" si="57"/>
        <v>No</v>
      </c>
      <c r="Z565">
        <v>23</v>
      </c>
      <c r="AA565">
        <v>4</v>
      </c>
      <c r="AB565">
        <v>2</v>
      </c>
      <c r="AC565">
        <v>80</v>
      </c>
      <c r="AD565">
        <v>0</v>
      </c>
      <c r="AE565" s="5">
        <v>6</v>
      </c>
      <c r="AF565" t="str">
        <f t="shared" si="58"/>
        <v>6-15</v>
      </c>
      <c r="AG565">
        <v>5</v>
      </c>
      <c r="AH565">
        <v>2</v>
      </c>
      <c r="AI565" s="5">
        <v>6</v>
      </c>
      <c r="AJ565">
        <v>5</v>
      </c>
      <c r="AK565">
        <v>1</v>
      </c>
      <c r="AL565">
        <v>4</v>
      </c>
      <c r="AM565" t="str">
        <f t="shared" si="59"/>
        <v>Below Avg</v>
      </c>
      <c r="AN565" s="21">
        <f t="shared" si="60"/>
        <v>28.303964757709249</v>
      </c>
      <c r="AO565" t="str">
        <f t="shared" ca="1" si="61"/>
        <v>No</v>
      </c>
      <c r="AP565" t="str">
        <f t="shared" si="62"/>
        <v>Low Risk</v>
      </c>
    </row>
    <row r="566" spans="1:42" x14ac:dyDescent="0.3">
      <c r="A566" s="5">
        <v>45</v>
      </c>
      <c r="B566" s="5" t="s">
        <v>43</v>
      </c>
      <c r="C566" s="5" t="str">
        <f t="shared" si="56"/>
        <v>No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 s="5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 s="5">
        <v>6632</v>
      </c>
      <c r="U566">
        <v>12388</v>
      </c>
      <c r="V566">
        <v>0</v>
      </c>
      <c r="W566" t="s">
        <v>42</v>
      </c>
      <c r="X566" t="s">
        <v>43</v>
      </c>
      <c r="Y566" t="str">
        <f t="shared" si="57"/>
        <v>No</v>
      </c>
      <c r="Z566">
        <v>13</v>
      </c>
      <c r="AA566">
        <v>3</v>
      </c>
      <c r="AB566">
        <v>1</v>
      </c>
      <c r="AC566">
        <v>80</v>
      </c>
      <c r="AD566">
        <v>0</v>
      </c>
      <c r="AE566" s="5">
        <v>9</v>
      </c>
      <c r="AF566" t="str">
        <f t="shared" si="58"/>
        <v>6-15</v>
      </c>
      <c r="AG566">
        <v>3</v>
      </c>
      <c r="AH566">
        <v>3</v>
      </c>
      <c r="AI566" s="5">
        <v>8</v>
      </c>
      <c r="AJ566">
        <v>7</v>
      </c>
      <c r="AK566">
        <v>3</v>
      </c>
      <c r="AL566">
        <v>1</v>
      </c>
      <c r="AM566" t="str">
        <f t="shared" si="59"/>
        <v>Below Avg</v>
      </c>
      <c r="AN566" s="21">
        <f t="shared" si="60"/>
        <v>28.224917309812568</v>
      </c>
      <c r="AO566" t="str">
        <f t="shared" ca="1" si="61"/>
        <v>No</v>
      </c>
      <c r="AP566" t="str">
        <f t="shared" si="62"/>
        <v>Low Risk</v>
      </c>
    </row>
    <row r="567" spans="1:42" x14ac:dyDescent="0.3">
      <c r="A567" s="5">
        <v>23</v>
      </c>
      <c r="B567" s="5" t="s">
        <v>43</v>
      </c>
      <c r="C567" s="5" t="str">
        <f t="shared" si="56"/>
        <v>No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 s="5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 s="5">
        <v>3505</v>
      </c>
      <c r="U567">
        <v>19630</v>
      </c>
      <c r="V567">
        <v>1</v>
      </c>
      <c r="W567" t="s">
        <v>42</v>
      </c>
      <c r="X567" t="s">
        <v>43</v>
      </c>
      <c r="Y567" t="str">
        <f t="shared" si="57"/>
        <v>No</v>
      </c>
      <c r="Z567">
        <v>18</v>
      </c>
      <c r="AA567">
        <v>3</v>
      </c>
      <c r="AB567">
        <v>4</v>
      </c>
      <c r="AC567">
        <v>80</v>
      </c>
      <c r="AD567">
        <v>0</v>
      </c>
      <c r="AE567" s="5">
        <v>2</v>
      </c>
      <c r="AF567" t="str">
        <f t="shared" si="58"/>
        <v>0-5</v>
      </c>
      <c r="AG567">
        <v>3</v>
      </c>
      <c r="AH567">
        <v>3</v>
      </c>
      <c r="AI567" s="5">
        <v>2</v>
      </c>
      <c r="AJ567">
        <v>2</v>
      </c>
      <c r="AK567">
        <v>0</v>
      </c>
      <c r="AL567">
        <v>2</v>
      </c>
      <c r="AM567" t="str">
        <f t="shared" si="59"/>
        <v>Below Avg</v>
      </c>
      <c r="AN567" s="21">
        <f t="shared" si="60"/>
        <v>28.256070640176599</v>
      </c>
      <c r="AO567" t="str">
        <f t="shared" ca="1" si="61"/>
        <v>No</v>
      </c>
      <c r="AP567" t="str">
        <f t="shared" si="62"/>
        <v>Low Risk</v>
      </c>
    </row>
    <row r="568" spans="1:42" x14ac:dyDescent="0.3">
      <c r="A568" s="5">
        <v>47</v>
      </c>
      <c r="B568" s="5" t="s">
        <v>35</v>
      </c>
      <c r="C568" s="5" t="str">
        <f t="shared" si="56"/>
        <v>Yes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 s="5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 s="5">
        <v>6397</v>
      </c>
      <c r="U568">
        <v>10339</v>
      </c>
      <c r="V568">
        <v>4</v>
      </c>
      <c r="W568" t="s">
        <v>42</v>
      </c>
      <c r="X568" t="s">
        <v>35</v>
      </c>
      <c r="Y568" t="str">
        <f t="shared" si="57"/>
        <v>Yes</v>
      </c>
      <c r="Z568">
        <v>12</v>
      </c>
      <c r="AA568">
        <v>3</v>
      </c>
      <c r="AB568">
        <v>4</v>
      </c>
      <c r="AC568">
        <v>80</v>
      </c>
      <c r="AD568">
        <v>0</v>
      </c>
      <c r="AE568" s="5">
        <v>8</v>
      </c>
      <c r="AF568" t="str">
        <f t="shared" si="58"/>
        <v>6-15</v>
      </c>
      <c r="AG568">
        <v>2</v>
      </c>
      <c r="AH568">
        <v>3</v>
      </c>
      <c r="AI568" s="5">
        <v>5</v>
      </c>
      <c r="AJ568">
        <v>4</v>
      </c>
      <c r="AK568">
        <v>1</v>
      </c>
      <c r="AL568">
        <v>3</v>
      </c>
      <c r="AM568" t="str">
        <f t="shared" si="59"/>
        <v>Below Avg</v>
      </c>
      <c r="AN568" s="21">
        <f t="shared" si="60"/>
        <v>28.28729281767956</v>
      </c>
      <c r="AO568" t="str">
        <f t="shared" ca="1" si="61"/>
        <v>No</v>
      </c>
      <c r="AP568" t="str">
        <f t="shared" si="62"/>
        <v>Low Risk</v>
      </c>
    </row>
    <row r="569" spans="1:42" x14ac:dyDescent="0.3">
      <c r="A569" s="5">
        <v>34</v>
      </c>
      <c r="B569" s="5" t="s">
        <v>43</v>
      </c>
      <c r="C569" s="5" t="str">
        <f t="shared" si="56"/>
        <v>No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 s="5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 s="5">
        <v>6274</v>
      </c>
      <c r="U569">
        <v>18686</v>
      </c>
      <c r="V569">
        <v>1</v>
      </c>
      <c r="W569" t="s">
        <v>42</v>
      </c>
      <c r="X569" t="s">
        <v>43</v>
      </c>
      <c r="Y569" t="str">
        <f t="shared" si="57"/>
        <v>No</v>
      </c>
      <c r="Z569">
        <v>22</v>
      </c>
      <c r="AA569">
        <v>4</v>
      </c>
      <c r="AB569">
        <v>3</v>
      </c>
      <c r="AC569">
        <v>80</v>
      </c>
      <c r="AD569">
        <v>0</v>
      </c>
      <c r="AE569" s="5">
        <v>6</v>
      </c>
      <c r="AF569" t="str">
        <f t="shared" si="58"/>
        <v>6-15</v>
      </c>
      <c r="AG569">
        <v>5</v>
      </c>
      <c r="AH569">
        <v>3</v>
      </c>
      <c r="AI569" s="5">
        <v>6</v>
      </c>
      <c r="AJ569">
        <v>5</v>
      </c>
      <c r="AK569">
        <v>1</v>
      </c>
      <c r="AL569">
        <v>4</v>
      </c>
      <c r="AM569" t="str">
        <f t="shared" si="59"/>
        <v>Below Avg</v>
      </c>
      <c r="AN569" s="21">
        <f t="shared" si="60"/>
        <v>28.318584070796462</v>
      </c>
      <c r="AO569" t="str">
        <f t="shared" ca="1" si="61"/>
        <v>No</v>
      </c>
      <c r="AP569" t="str">
        <f t="shared" si="62"/>
        <v>Low Risk</v>
      </c>
    </row>
    <row r="570" spans="1:42" x14ac:dyDescent="0.3">
      <c r="A570" s="5">
        <v>55</v>
      </c>
      <c r="B570" s="5" t="s">
        <v>35</v>
      </c>
      <c r="C570" s="5" t="str">
        <f t="shared" si="56"/>
        <v>Yes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 s="5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 s="5">
        <v>19859</v>
      </c>
      <c r="U570">
        <v>21199</v>
      </c>
      <c r="V570">
        <v>5</v>
      </c>
      <c r="W570" t="s">
        <v>42</v>
      </c>
      <c r="X570" t="s">
        <v>35</v>
      </c>
      <c r="Y570" t="str">
        <f t="shared" si="57"/>
        <v>Yes</v>
      </c>
      <c r="Z570">
        <v>13</v>
      </c>
      <c r="AA570">
        <v>3</v>
      </c>
      <c r="AB570">
        <v>4</v>
      </c>
      <c r="AC570">
        <v>80</v>
      </c>
      <c r="AD570">
        <v>1</v>
      </c>
      <c r="AE570" s="5">
        <v>24</v>
      </c>
      <c r="AF570" t="str">
        <f t="shared" si="58"/>
        <v>&gt;15</v>
      </c>
      <c r="AG570">
        <v>2</v>
      </c>
      <c r="AH570">
        <v>3</v>
      </c>
      <c r="AI570" s="5">
        <v>5</v>
      </c>
      <c r="AJ570">
        <v>2</v>
      </c>
      <c r="AK570">
        <v>1</v>
      </c>
      <c r="AL570">
        <v>4</v>
      </c>
      <c r="AM570" t="str">
        <f t="shared" si="59"/>
        <v>Ok</v>
      </c>
      <c r="AN570" s="21">
        <f t="shared" si="60"/>
        <v>28.239202657807311</v>
      </c>
      <c r="AO570" t="str">
        <f t="shared" ca="1" si="61"/>
        <v>No</v>
      </c>
      <c r="AP570" t="str">
        <f t="shared" si="62"/>
        <v>Low Risk</v>
      </c>
    </row>
    <row r="571" spans="1:42" x14ac:dyDescent="0.3">
      <c r="A571" s="5">
        <v>36</v>
      </c>
      <c r="B571" s="5" t="s">
        <v>43</v>
      </c>
      <c r="C571" s="5" t="str">
        <f t="shared" si="56"/>
        <v>No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 s="5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 s="5">
        <v>7587</v>
      </c>
      <c r="U571">
        <v>14229</v>
      </c>
      <c r="V571">
        <v>1</v>
      </c>
      <c r="W571" t="s">
        <v>42</v>
      </c>
      <c r="X571" t="s">
        <v>43</v>
      </c>
      <c r="Y571" t="str">
        <f t="shared" si="57"/>
        <v>No</v>
      </c>
      <c r="Z571">
        <v>15</v>
      </c>
      <c r="AA571">
        <v>3</v>
      </c>
      <c r="AB571">
        <v>2</v>
      </c>
      <c r="AC571">
        <v>80</v>
      </c>
      <c r="AD571">
        <v>0</v>
      </c>
      <c r="AE571" s="5">
        <v>10</v>
      </c>
      <c r="AF571" t="str">
        <f t="shared" si="58"/>
        <v>6-15</v>
      </c>
      <c r="AG571">
        <v>1</v>
      </c>
      <c r="AH571">
        <v>3</v>
      </c>
      <c r="AI571" s="5">
        <v>10</v>
      </c>
      <c r="AJ571">
        <v>7</v>
      </c>
      <c r="AK571">
        <v>0</v>
      </c>
      <c r="AL571">
        <v>9</v>
      </c>
      <c r="AM571" t="str">
        <f t="shared" si="59"/>
        <v>Ok</v>
      </c>
      <c r="AN571" s="21">
        <f t="shared" si="60"/>
        <v>28.270509977827054</v>
      </c>
      <c r="AO571" t="str">
        <f t="shared" ca="1" si="61"/>
        <v>No</v>
      </c>
      <c r="AP571" t="str">
        <f t="shared" si="62"/>
        <v>Low Risk</v>
      </c>
    </row>
    <row r="572" spans="1:42" x14ac:dyDescent="0.3">
      <c r="A572" s="5">
        <v>52</v>
      </c>
      <c r="B572" s="5" t="s">
        <v>43</v>
      </c>
      <c r="C572" s="5" t="str">
        <f t="shared" si="56"/>
        <v>No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 s="5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 s="5">
        <v>4258</v>
      </c>
      <c r="U572">
        <v>26589</v>
      </c>
      <c r="V572">
        <v>0</v>
      </c>
      <c r="W572" t="s">
        <v>42</v>
      </c>
      <c r="X572" t="s">
        <v>43</v>
      </c>
      <c r="Y572" t="str">
        <f t="shared" si="57"/>
        <v>No</v>
      </c>
      <c r="Z572">
        <v>18</v>
      </c>
      <c r="AA572">
        <v>3</v>
      </c>
      <c r="AB572">
        <v>1</v>
      </c>
      <c r="AC572">
        <v>80</v>
      </c>
      <c r="AD572">
        <v>1</v>
      </c>
      <c r="AE572" s="5">
        <v>5</v>
      </c>
      <c r="AF572" t="str">
        <f t="shared" si="58"/>
        <v>0-5</v>
      </c>
      <c r="AG572">
        <v>3</v>
      </c>
      <c r="AH572">
        <v>3</v>
      </c>
      <c r="AI572" s="5">
        <v>4</v>
      </c>
      <c r="AJ572">
        <v>3</v>
      </c>
      <c r="AK572">
        <v>1</v>
      </c>
      <c r="AL572">
        <v>2</v>
      </c>
      <c r="AM572" t="str">
        <f t="shared" si="59"/>
        <v>Below Avg</v>
      </c>
      <c r="AN572" s="21">
        <f t="shared" si="60"/>
        <v>28.190899001109877</v>
      </c>
      <c r="AO572" t="str">
        <f t="shared" ca="1" si="61"/>
        <v>No</v>
      </c>
      <c r="AP572" t="str">
        <f t="shared" si="62"/>
        <v>Low Risk</v>
      </c>
    </row>
    <row r="573" spans="1:42" x14ac:dyDescent="0.3">
      <c r="A573" s="5">
        <v>26</v>
      </c>
      <c r="B573" s="5" t="s">
        <v>43</v>
      </c>
      <c r="C573" s="5" t="str">
        <f t="shared" si="56"/>
        <v>No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 s="5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 s="5">
        <v>4364</v>
      </c>
      <c r="U573">
        <v>5288</v>
      </c>
      <c r="V573">
        <v>3</v>
      </c>
      <c r="W573" t="s">
        <v>42</v>
      </c>
      <c r="X573" t="s">
        <v>43</v>
      </c>
      <c r="Y573" t="str">
        <f t="shared" si="57"/>
        <v>No</v>
      </c>
      <c r="Z573">
        <v>14</v>
      </c>
      <c r="AA573">
        <v>3</v>
      </c>
      <c r="AB573">
        <v>1</v>
      </c>
      <c r="AC573">
        <v>80</v>
      </c>
      <c r="AD573">
        <v>1</v>
      </c>
      <c r="AE573" s="5">
        <v>5</v>
      </c>
      <c r="AF573" t="str">
        <f t="shared" si="58"/>
        <v>0-5</v>
      </c>
      <c r="AG573">
        <v>2</v>
      </c>
      <c r="AH573">
        <v>3</v>
      </c>
      <c r="AI573" s="5">
        <v>2</v>
      </c>
      <c r="AJ573">
        <v>2</v>
      </c>
      <c r="AK573">
        <v>2</v>
      </c>
      <c r="AL573">
        <v>0</v>
      </c>
      <c r="AM573" t="str">
        <f t="shared" si="59"/>
        <v>Below Avg</v>
      </c>
      <c r="AN573" s="21">
        <f t="shared" si="60"/>
        <v>28.222222222222221</v>
      </c>
      <c r="AO573" t="str">
        <f t="shared" ca="1" si="61"/>
        <v>No</v>
      </c>
      <c r="AP573" t="str">
        <f t="shared" si="62"/>
        <v>Low Risk</v>
      </c>
    </row>
    <row r="574" spans="1:42" x14ac:dyDescent="0.3">
      <c r="A574" s="5">
        <v>29</v>
      </c>
      <c r="B574" s="5" t="s">
        <v>43</v>
      </c>
      <c r="C574" s="5" t="str">
        <f t="shared" si="56"/>
        <v>No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 s="5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 s="5">
        <v>4335</v>
      </c>
      <c r="U574">
        <v>25549</v>
      </c>
      <c r="V574">
        <v>4</v>
      </c>
      <c r="W574" t="s">
        <v>42</v>
      </c>
      <c r="X574" t="s">
        <v>43</v>
      </c>
      <c r="Y574" t="str">
        <f t="shared" si="57"/>
        <v>No</v>
      </c>
      <c r="Z574">
        <v>12</v>
      </c>
      <c r="AA574">
        <v>3</v>
      </c>
      <c r="AB574">
        <v>1</v>
      </c>
      <c r="AC574">
        <v>80</v>
      </c>
      <c r="AD574">
        <v>1</v>
      </c>
      <c r="AE574" s="5">
        <v>11</v>
      </c>
      <c r="AF574" t="str">
        <f t="shared" si="58"/>
        <v>6-15</v>
      </c>
      <c r="AG574">
        <v>3</v>
      </c>
      <c r="AH574">
        <v>2</v>
      </c>
      <c r="AI574" s="5">
        <v>8</v>
      </c>
      <c r="AJ574">
        <v>7</v>
      </c>
      <c r="AK574">
        <v>1</v>
      </c>
      <c r="AL574">
        <v>1</v>
      </c>
      <c r="AM574" t="str">
        <f t="shared" si="59"/>
        <v>Below Avg</v>
      </c>
      <c r="AN574" s="21">
        <f t="shared" si="60"/>
        <v>28.253615127919911</v>
      </c>
      <c r="AO574" t="str">
        <f t="shared" ca="1" si="61"/>
        <v>No</v>
      </c>
      <c r="AP574" t="str">
        <f t="shared" si="62"/>
        <v>Low Risk</v>
      </c>
    </row>
    <row r="575" spans="1:42" x14ac:dyDescent="0.3">
      <c r="A575" s="5">
        <v>26</v>
      </c>
      <c r="B575" s="5" t="s">
        <v>35</v>
      </c>
      <c r="C575" s="5" t="str">
        <f t="shared" si="56"/>
        <v>Yes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 s="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 s="5">
        <v>5326</v>
      </c>
      <c r="U575">
        <v>3064</v>
      </c>
      <c r="V575">
        <v>6</v>
      </c>
      <c r="W575" t="s">
        <v>42</v>
      </c>
      <c r="X575" t="s">
        <v>43</v>
      </c>
      <c r="Y575" t="str">
        <f t="shared" si="57"/>
        <v>No</v>
      </c>
      <c r="Z575">
        <v>17</v>
      </c>
      <c r="AA575">
        <v>3</v>
      </c>
      <c r="AB575">
        <v>3</v>
      </c>
      <c r="AC575">
        <v>80</v>
      </c>
      <c r="AD575">
        <v>0</v>
      </c>
      <c r="AE575" s="5">
        <v>6</v>
      </c>
      <c r="AF575" t="str">
        <f t="shared" si="58"/>
        <v>6-15</v>
      </c>
      <c r="AG575">
        <v>2</v>
      </c>
      <c r="AH575">
        <v>2</v>
      </c>
      <c r="AI575" s="5">
        <v>4</v>
      </c>
      <c r="AJ575">
        <v>3</v>
      </c>
      <c r="AK575">
        <v>1</v>
      </c>
      <c r="AL575">
        <v>2</v>
      </c>
      <c r="AM575" t="str">
        <f t="shared" si="59"/>
        <v>Below Avg</v>
      </c>
      <c r="AN575" s="21">
        <f t="shared" si="60"/>
        <v>28.285077951002229</v>
      </c>
      <c r="AO575" t="str">
        <f t="shared" ca="1" si="61"/>
        <v>No</v>
      </c>
      <c r="AP575" t="str">
        <f t="shared" si="62"/>
        <v>Low Risk</v>
      </c>
    </row>
    <row r="576" spans="1:42" x14ac:dyDescent="0.3">
      <c r="A576" s="5">
        <v>34</v>
      </c>
      <c r="B576" s="5" t="s">
        <v>43</v>
      </c>
      <c r="C576" s="5" t="str">
        <f t="shared" si="56"/>
        <v>No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 s="5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 s="5">
        <v>3280</v>
      </c>
      <c r="U576">
        <v>13551</v>
      </c>
      <c r="V576">
        <v>2</v>
      </c>
      <c r="W576" t="s">
        <v>42</v>
      </c>
      <c r="X576" t="s">
        <v>43</v>
      </c>
      <c r="Y576" t="str">
        <f t="shared" si="57"/>
        <v>No</v>
      </c>
      <c r="Z576">
        <v>16</v>
      </c>
      <c r="AA576">
        <v>3</v>
      </c>
      <c r="AB576">
        <v>3</v>
      </c>
      <c r="AC576">
        <v>80</v>
      </c>
      <c r="AD576">
        <v>0</v>
      </c>
      <c r="AE576" s="5">
        <v>10</v>
      </c>
      <c r="AF576" t="str">
        <f t="shared" si="58"/>
        <v>6-15</v>
      </c>
      <c r="AG576">
        <v>2</v>
      </c>
      <c r="AH576">
        <v>3</v>
      </c>
      <c r="AI576" s="5">
        <v>4</v>
      </c>
      <c r="AJ576">
        <v>2</v>
      </c>
      <c r="AK576">
        <v>1</v>
      </c>
      <c r="AL576">
        <v>3</v>
      </c>
      <c r="AM576" t="str">
        <f t="shared" si="59"/>
        <v>Below Avg</v>
      </c>
      <c r="AN576" s="21">
        <f t="shared" si="60"/>
        <v>28.316610925306581</v>
      </c>
      <c r="AO576" t="str">
        <f t="shared" ca="1" si="61"/>
        <v>No</v>
      </c>
      <c r="AP576" t="str">
        <f t="shared" si="62"/>
        <v>Low Risk</v>
      </c>
    </row>
    <row r="577" spans="1:42" x14ac:dyDescent="0.3">
      <c r="A577" s="5">
        <v>54</v>
      </c>
      <c r="B577" s="5" t="s">
        <v>43</v>
      </c>
      <c r="C577" s="5" t="str">
        <f t="shared" si="56"/>
        <v>No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 s="5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 s="5">
        <v>5485</v>
      </c>
      <c r="U577">
        <v>22670</v>
      </c>
      <c r="V577">
        <v>9</v>
      </c>
      <c r="W577" t="s">
        <v>42</v>
      </c>
      <c r="X577" t="s">
        <v>35</v>
      </c>
      <c r="Y577" t="str">
        <f t="shared" si="57"/>
        <v>Yes</v>
      </c>
      <c r="Z577">
        <v>11</v>
      </c>
      <c r="AA577">
        <v>3</v>
      </c>
      <c r="AB577">
        <v>2</v>
      </c>
      <c r="AC577">
        <v>80</v>
      </c>
      <c r="AD577">
        <v>2</v>
      </c>
      <c r="AE577" s="5">
        <v>9</v>
      </c>
      <c r="AF577" t="str">
        <f t="shared" si="58"/>
        <v>6-15</v>
      </c>
      <c r="AG577">
        <v>4</v>
      </c>
      <c r="AH577">
        <v>3</v>
      </c>
      <c r="AI577" s="5">
        <v>5</v>
      </c>
      <c r="AJ577">
        <v>3</v>
      </c>
      <c r="AK577">
        <v>1</v>
      </c>
      <c r="AL577">
        <v>4</v>
      </c>
      <c r="AM577" t="str">
        <f t="shared" si="59"/>
        <v>Below Avg</v>
      </c>
      <c r="AN577" s="21">
        <f t="shared" si="60"/>
        <v>28.348214285714285</v>
      </c>
      <c r="AO577" t="str">
        <f t="shared" ca="1" si="61"/>
        <v>No</v>
      </c>
      <c r="AP577" t="str">
        <f t="shared" si="62"/>
        <v>Low Risk</v>
      </c>
    </row>
    <row r="578" spans="1:42" x14ac:dyDescent="0.3">
      <c r="A578" s="5">
        <v>27</v>
      </c>
      <c r="B578" s="5" t="s">
        <v>43</v>
      </c>
      <c r="C578" s="5" t="str">
        <f t="shared" si="56"/>
        <v>No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 s="5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 s="5">
        <v>4342</v>
      </c>
      <c r="U578">
        <v>24008</v>
      </c>
      <c r="V578">
        <v>0</v>
      </c>
      <c r="W578" t="s">
        <v>42</v>
      </c>
      <c r="X578" t="s">
        <v>43</v>
      </c>
      <c r="Y578" t="str">
        <f t="shared" si="57"/>
        <v>No</v>
      </c>
      <c r="Z578">
        <v>19</v>
      </c>
      <c r="AA578">
        <v>3</v>
      </c>
      <c r="AB578">
        <v>2</v>
      </c>
      <c r="AC578">
        <v>80</v>
      </c>
      <c r="AD578">
        <v>1</v>
      </c>
      <c r="AE578" s="5">
        <v>5</v>
      </c>
      <c r="AF578" t="str">
        <f t="shared" si="58"/>
        <v>0-5</v>
      </c>
      <c r="AG578">
        <v>3</v>
      </c>
      <c r="AH578">
        <v>3</v>
      </c>
      <c r="AI578" s="5">
        <v>4</v>
      </c>
      <c r="AJ578">
        <v>2</v>
      </c>
      <c r="AK578">
        <v>1</v>
      </c>
      <c r="AL578">
        <v>1</v>
      </c>
      <c r="AM578" t="str">
        <f t="shared" si="59"/>
        <v>Below Avg</v>
      </c>
      <c r="AN578" s="21">
        <f t="shared" si="60"/>
        <v>28.379888268156421</v>
      </c>
      <c r="AO578" t="str">
        <f t="shared" ca="1" si="61"/>
        <v>No</v>
      </c>
      <c r="AP578" t="str">
        <f t="shared" si="62"/>
        <v>Low Risk</v>
      </c>
    </row>
    <row r="579" spans="1:42" x14ac:dyDescent="0.3">
      <c r="A579" s="5">
        <v>37</v>
      </c>
      <c r="B579" s="5" t="s">
        <v>43</v>
      </c>
      <c r="C579" s="5" t="str">
        <f t="shared" ref="C579:C642" si="63">IF(LOWER(B579)="yes","Yes","No")</f>
        <v>No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 s="5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 s="5">
        <v>2782</v>
      </c>
      <c r="U579">
        <v>19905</v>
      </c>
      <c r="V579">
        <v>0</v>
      </c>
      <c r="W579" t="s">
        <v>42</v>
      </c>
      <c r="X579" t="s">
        <v>35</v>
      </c>
      <c r="Y579" t="str">
        <f t="shared" ref="Y579:Y642" si="64">IF(LOWER(X579)="yes","Yes","No")</f>
        <v>Yes</v>
      </c>
      <c r="Z579">
        <v>13</v>
      </c>
      <c r="AA579">
        <v>3</v>
      </c>
      <c r="AB579">
        <v>2</v>
      </c>
      <c r="AC579">
        <v>80</v>
      </c>
      <c r="AD579">
        <v>2</v>
      </c>
      <c r="AE579" s="5">
        <v>6</v>
      </c>
      <c r="AF579" t="str">
        <f t="shared" ref="AF579:AF642" si="65">IF(AE579&lt;=5,"0-5",IF(AE579&lt;=15,"6-15","&gt;15"))</f>
        <v>6-15</v>
      </c>
      <c r="AG579">
        <v>3</v>
      </c>
      <c r="AH579">
        <v>2</v>
      </c>
      <c r="AI579" s="5">
        <v>5</v>
      </c>
      <c r="AJ579">
        <v>3</v>
      </c>
      <c r="AK579">
        <v>4</v>
      </c>
      <c r="AL579">
        <v>3</v>
      </c>
      <c r="AM579" t="str">
        <f t="shared" ref="AM579:AM642" si="66">IF(T579&lt;AVERAGEIF($F578:$F2048,F579,$T578:$T2048),"Below Avg","Ok")</f>
        <v>Below Avg</v>
      </c>
      <c r="AN579" s="21">
        <f t="shared" ref="AN579:AN642" si="67">COUNTIF(X578:X2048,"Yes")/COUNTA(X578:X2048)*100</f>
        <v>28.299776286353467</v>
      </c>
      <c r="AO579" t="str">
        <f t="shared" ref="AO579:AO642" ca="1" si="68">IF(AND(AA579&gt;=4,Z579&lt;AVERAGEIF($F578:$F2048,F579,$Z579:$Z2048)),"Yes","No")</f>
        <v>No</v>
      </c>
      <c r="AP579" t="str">
        <f t="shared" ref="AP579:AP642" si="69">IF(AND(AI579&lt;2,C579="Yes"),"High Risk","Low Risk")</f>
        <v>Low Risk</v>
      </c>
    </row>
    <row r="580" spans="1:42" x14ac:dyDescent="0.3">
      <c r="A580" s="5">
        <v>38</v>
      </c>
      <c r="B580" s="5" t="s">
        <v>43</v>
      </c>
      <c r="C580" s="5" t="str">
        <f t="shared" si="63"/>
        <v>No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 s="5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 s="5">
        <v>5980</v>
      </c>
      <c r="U580">
        <v>26085</v>
      </c>
      <c r="V580">
        <v>6</v>
      </c>
      <c r="W580" t="s">
        <v>42</v>
      </c>
      <c r="X580" t="s">
        <v>35</v>
      </c>
      <c r="Y580" t="str">
        <f t="shared" si="64"/>
        <v>Yes</v>
      </c>
      <c r="Z580">
        <v>12</v>
      </c>
      <c r="AA580">
        <v>3</v>
      </c>
      <c r="AB580">
        <v>4</v>
      </c>
      <c r="AC580">
        <v>80</v>
      </c>
      <c r="AD580">
        <v>0</v>
      </c>
      <c r="AE580" s="5">
        <v>17</v>
      </c>
      <c r="AF580" t="str">
        <f t="shared" si="65"/>
        <v>&gt;15</v>
      </c>
      <c r="AG580">
        <v>2</v>
      </c>
      <c r="AH580">
        <v>3</v>
      </c>
      <c r="AI580" s="5">
        <v>15</v>
      </c>
      <c r="AJ580">
        <v>7</v>
      </c>
      <c r="AK580">
        <v>4</v>
      </c>
      <c r="AL580">
        <v>12</v>
      </c>
      <c r="AM580" t="str">
        <f t="shared" si="66"/>
        <v>Below Avg</v>
      </c>
      <c r="AN580" s="21">
        <f t="shared" si="67"/>
        <v>28.331466965285557</v>
      </c>
      <c r="AO580" t="str">
        <f t="shared" ca="1" si="68"/>
        <v>No</v>
      </c>
      <c r="AP580" t="str">
        <f t="shared" si="69"/>
        <v>Low Risk</v>
      </c>
    </row>
    <row r="581" spans="1:42" x14ac:dyDescent="0.3">
      <c r="A581" s="5">
        <v>34</v>
      </c>
      <c r="B581" s="5" t="s">
        <v>43</v>
      </c>
      <c r="C581" s="5" t="str">
        <f t="shared" si="63"/>
        <v>No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 s="5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 s="5">
        <v>4381</v>
      </c>
      <c r="U581">
        <v>7530</v>
      </c>
      <c r="V581">
        <v>1</v>
      </c>
      <c r="W581" t="s">
        <v>42</v>
      </c>
      <c r="X581" t="s">
        <v>43</v>
      </c>
      <c r="Y581" t="str">
        <f t="shared" si="64"/>
        <v>No</v>
      </c>
      <c r="Z581">
        <v>11</v>
      </c>
      <c r="AA581">
        <v>3</v>
      </c>
      <c r="AB581">
        <v>3</v>
      </c>
      <c r="AC581">
        <v>80</v>
      </c>
      <c r="AD581">
        <v>0</v>
      </c>
      <c r="AE581" s="5">
        <v>6</v>
      </c>
      <c r="AF581" t="str">
        <f t="shared" si="65"/>
        <v>6-15</v>
      </c>
      <c r="AG581">
        <v>3</v>
      </c>
      <c r="AH581">
        <v>3</v>
      </c>
      <c r="AI581" s="5">
        <v>6</v>
      </c>
      <c r="AJ581">
        <v>5</v>
      </c>
      <c r="AK581">
        <v>1</v>
      </c>
      <c r="AL581">
        <v>3</v>
      </c>
      <c r="AM581" t="str">
        <f t="shared" si="66"/>
        <v>Below Avg</v>
      </c>
      <c r="AN581" s="21">
        <f t="shared" si="67"/>
        <v>28.251121076233183</v>
      </c>
      <c r="AO581" t="str">
        <f t="shared" ca="1" si="68"/>
        <v>No</v>
      </c>
      <c r="AP581" t="str">
        <f t="shared" si="69"/>
        <v>Low Risk</v>
      </c>
    </row>
    <row r="582" spans="1:42" x14ac:dyDescent="0.3">
      <c r="A582" s="5">
        <v>35</v>
      </c>
      <c r="B582" s="5" t="s">
        <v>43</v>
      </c>
      <c r="C582" s="5" t="str">
        <f t="shared" si="63"/>
        <v>No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 s="5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 s="5">
        <v>2572</v>
      </c>
      <c r="U582">
        <v>20317</v>
      </c>
      <c r="V582">
        <v>1</v>
      </c>
      <c r="W582" t="s">
        <v>42</v>
      </c>
      <c r="X582" t="s">
        <v>43</v>
      </c>
      <c r="Y582" t="str">
        <f t="shared" si="64"/>
        <v>No</v>
      </c>
      <c r="Z582">
        <v>16</v>
      </c>
      <c r="AA582">
        <v>3</v>
      </c>
      <c r="AB582">
        <v>2</v>
      </c>
      <c r="AC582">
        <v>80</v>
      </c>
      <c r="AD582">
        <v>1</v>
      </c>
      <c r="AE582" s="5">
        <v>3</v>
      </c>
      <c r="AF582" t="str">
        <f t="shared" si="65"/>
        <v>0-5</v>
      </c>
      <c r="AG582">
        <v>1</v>
      </c>
      <c r="AH582">
        <v>2</v>
      </c>
      <c r="AI582" s="5">
        <v>3</v>
      </c>
      <c r="AJ582">
        <v>2</v>
      </c>
      <c r="AK582">
        <v>0</v>
      </c>
      <c r="AL582">
        <v>2</v>
      </c>
      <c r="AM582" t="str">
        <f t="shared" si="66"/>
        <v>Below Avg</v>
      </c>
      <c r="AN582" s="21">
        <f t="shared" si="67"/>
        <v>28.170594837261504</v>
      </c>
      <c r="AO582" t="str">
        <f t="shared" ca="1" si="68"/>
        <v>No</v>
      </c>
      <c r="AP582" t="str">
        <f t="shared" si="69"/>
        <v>Low Risk</v>
      </c>
    </row>
    <row r="583" spans="1:42" x14ac:dyDescent="0.3">
      <c r="A583" s="5">
        <v>30</v>
      </c>
      <c r="B583" s="5" t="s">
        <v>43</v>
      </c>
      <c r="C583" s="5" t="str">
        <f t="shared" si="63"/>
        <v>No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 s="5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 s="5">
        <v>3833</v>
      </c>
      <c r="U583">
        <v>24375</v>
      </c>
      <c r="V583">
        <v>3</v>
      </c>
      <c r="W583" t="s">
        <v>42</v>
      </c>
      <c r="X583" t="s">
        <v>43</v>
      </c>
      <c r="Y583" t="str">
        <f t="shared" si="64"/>
        <v>No</v>
      </c>
      <c r="Z583">
        <v>21</v>
      </c>
      <c r="AA583">
        <v>4</v>
      </c>
      <c r="AB583">
        <v>3</v>
      </c>
      <c r="AC583">
        <v>80</v>
      </c>
      <c r="AD583">
        <v>2</v>
      </c>
      <c r="AE583" s="5">
        <v>7</v>
      </c>
      <c r="AF583" t="str">
        <f t="shared" si="65"/>
        <v>6-15</v>
      </c>
      <c r="AG583">
        <v>2</v>
      </c>
      <c r="AH583">
        <v>3</v>
      </c>
      <c r="AI583" s="5">
        <v>2</v>
      </c>
      <c r="AJ583">
        <v>2</v>
      </c>
      <c r="AK583">
        <v>0</v>
      </c>
      <c r="AL583">
        <v>2</v>
      </c>
      <c r="AM583" t="str">
        <f t="shared" si="66"/>
        <v>Below Avg</v>
      </c>
      <c r="AN583" s="21">
        <f t="shared" si="67"/>
        <v>28.202247191011239</v>
      </c>
      <c r="AO583" t="str">
        <f t="shared" ca="1" si="68"/>
        <v>No</v>
      </c>
      <c r="AP583" t="str">
        <f t="shared" si="69"/>
        <v>Low Risk</v>
      </c>
    </row>
    <row r="584" spans="1:42" x14ac:dyDescent="0.3">
      <c r="A584" s="5">
        <v>40</v>
      </c>
      <c r="B584" s="5" t="s">
        <v>43</v>
      </c>
      <c r="C584" s="5" t="str">
        <f t="shared" si="63"/>
        <v>No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 s="5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 s="5">
        <v>4244</v>
      </c>
      <c r="U584">
        <v>9931</v>
      </c>
      <c r="V584">
        <v>1</v>
      </c>
      <c r="W584" t="s">
        <v>42</v>
      </c>
      <c r="X584" t="s">
        <v>43</v>
      </c>
      <c r="Y584" t="str">
        <f t="shared" si="64"/>
        <v>No</v>
      </c>
      <c r="Z584">
        <v>24</v>
      </c>
      <c r="AA584">
        <v>4</v>
      </c>
      <c r="AB584">
        <v>4</v>
      </c>
      <c r="AC584">
        <v>80</v>
      </c>
      <c r="AD584">
        <v>1</v>
      </c>
      <c r="AE584" s="5">
        <v>8</v>
      </c>
      <c r="AF584" t="str">
        <f t="shared" si="65"/>
        <v>6-15</v>
      </c>
      <c r="AG584">
        <v>2</v>
      </c>
      <c r="AH584">
        <v>3</v>
      </c>
      <c r="AI584" s="5">
        <v>8</v>
      </c>
      <c r="AJ584">
        <v>7</v>
      </c>
      <c r="AK584">
        <v>3</v>
      </c>
      <c r="AL584">
        <v>7</v>
      </c>
      <c r="AM584" t="str">
        <f t="shared" si="66"/>
        <v>Below Avg</v>
      </c>
      <c r="AN584" s="21">
        <f t="shared" si="67"/>
        <v>28.23397075365579</v>
      </c>
      <c r="AO584" t="str">
        <f t="shared" ca="1" si="68"/>
        <v>No</v>
      </c>
      <c r="AP584" t="str">
        <f t="shared" si="69"/>
        <v>Low Risk</v>
      </c>
    </row>
    <row r="585" spans="1:42" x14ac:dyDescent="0.3">
      <c r="A585" s="5">
        <v>34</v>
      </c>
      <c r="B585" s="5" t="s">
        <v>43</v>
      </c>
      <c r="C585" s="5" t="str">
        <f t="shared" si="63"/>
        <v>No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 s="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 s="5">
        <v>6500</v>
      </c>
      <c r="U585">
        <v>13305</v>
      </c>
      <c r="V585">
        <v>5</v>
      </c>
      <c r="W585" t="s">
        <v>42</v>
      </c>
      <c r="X585" t="s">
        <v>43</v>
      </c>
      <c r="Y585" t="str">
        <f t="shared" si="64"/>
        <v>No</v>
      </c>
      <c r="Z585">
        <v>17</v>
      </c>
      <c r="AA585">
        <v>3</v>
      </c>
      <c r="AB585">
        <v>2</v>
      </c>
      <c r="AC585">
        <v>80</v>
      </c>
      <c r="AD585">
        <v>1</v>
      </c>
      <c r="AE585" s="5">
        <v>6</v>
      </c>
      <c r="AF585" t="str">
        <f t="shared" si="65"/>
        <v>6-15</v>
      </c>
      <c r="AG585">
        <v>1</v>
      </c>
      <c r="AH585">
        <v>3</v>
      </c>
      <c r="AI585" s="5">
        <v>3</v>
      </c>
      <c r="AJ585">
        <v>2</v>
      </c>
      <c r="AK585">
        <v>1</v>
      </c>
      <c r="AL585">
        <v>2</v>
      </c>
      <c r="AM585" t="str">
        <f t="shared" si="66"/>
        <v>Below Avg</v>
      </c>
      <c r="AN585" s="21">
        <f t="shared" si="67"/>
        <v>28.265765765765767</v>
      </c>
      <c r="AO585" t="str">
        <f t="shared" ca="1" si="68"/>
        <v>No</v>
      </c>
      <c r="AP585" t="str">
        <f t="shared" si="69"/>
        <v>Low Risk</v>
      </c>
    </row>
    <row r="586" spans="1:42" x14ac:dyDescent="0.3">
      <c r="A586" s="5">
        <v>42</v>
      </c>
      <c r="B586" s="5" t="s">
        <v>43</v>
      </c>
      <c r="C586" s="5" t="str">
        <f t="shared" si="63"/>
        <v>No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 s="5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 s="5">
        <v>18430</v>
      </c>
      <c r="U586">
        <v>16225</v>
      </c>
      <c r="V586">
        <v>1</v>
      </c>
      <c r="W586" t="s">
        <v>42</v>
      </c>
      <c r="X586" t="s">
        <v>43</v>
      </c>
      <c r="Y586" t="str">
        <f t="shared" si="64"/>
        <v>No</v>
      </c>
      <c r="Z586">
        <v>13</v>
      </c>
      <c r="AA586">
        <v>3</v>
      </c>
      <c r="AB586">
        <v>2</v>
      </c>
      <c r="AC586">
        <v>80</v>
      </c>
      <c r="AD586">
        <v>1</v>
      </c>
      <c r="AE586" s="5">
        <v>24</v>
      </c>
      <c r="AF586" t="str">
        <f t="shared" si="65"/>
        <v>&gt;15</v>
      </c>
      <c r="AG586">
        <v>4</v>
      </c>
      <c r="AH586">
        <v>2</v>
      </c>
      <c r="AI586" s="5">
        <v>24</v>
      </c>
      <c r="AJ586">
        <v>7</v>
      </c>
      <c r="AK586">
        <v>14</v>
      </c>
      <c r="AL586">
        <v>9</v>
      </c>
      <c r="AM586" t="str">
        <f t="shared" si="66"/>
        <v>Ok</v>
      </c>
      <c r="AN586" s="21">
        <f t="shared" si="67"/>
        <v>28.297632468996621</v>
      </c>
      <c r="AO586" t="str">
        <f t="shared" ca="1" si="68"/>
        <v>No</v>
      </c>
      <c r="AP586" t="str">
        <f t="shared" si="69"/>
        <v>Low Risk</v>
      </c>
    </row>
    <row r="587" spans="1:42" x14ac:dyDescent="0.3">
      <c r="A587" s="5">
        <v>23</v>
      </c>
      <c r="B587" s="5" t="s">
        <v>35</v>
      </c>
      <c r="C587" s="5" t="str">
        <f t="shared" si="63"/>
        <v>Yes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 s="5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 s="5">
        <v>1601</v>
      </c>
      <c r="U587">
        <v>3445</v>
      </c>
      <c r="V587">
        <v>1</v>
      </c>
      <c r="W587" t="s">
        <v>42</v>
      </c>
      <c r="X587" t="s">
        <v>35</v>
      </c>
      <c r="Y587" t="str">
        <f t="shared" si="64"/>
        <v>Yes</v>
      </c>
      <c r="Z587">
        <v>21</v>
      </c>
      <c r="AA587">
        <v>4</v>
      </c>
      <c r="AB587">
        <v>3</v>
      </c>
      <c r="AC587">
        <v>80</v>
      </c>
      <c r="AD587">
        <v>2</v>
      </c>
      <c r="AE587" s="5">
        <v>1</v>
      </c>
      <c r="AF587" t="str">
        <f t="shared" si="65"/>
        <v>0-5</v>
      </c>
      <c r="AG587">
        <v>2</v>
      </c>
      <c r="AH587">
        <v>3</v>
      </c>
      <c r="AI587" s="5">
        <v>0</v>
      </c>
      <c r="AJ587">
        <v>0</v>
      </c>
      <c r="AK587">
        <v>0</v>
      </c>
      <c r="AL587">
        <v>0</v>
      </c>
      <c r="AM587" t="str">
        <f t="shared" si="66"/>
        <v>Below Avg</v>
      </c>
      <c r="AN587" s="21">
        <f t="shared" si="67"/>
        <v>28.329571106094807</v>
      </c>
      <c r="AO587" t="str">
        <f t="shared" ca="1" si="68"/>
        <v>No</v>
      </c>
      <c r="AP587" t="str">
        <f t="shared" si="69"/>
        <v>High Risk</v>
      </c>
    </row>
    <row r="588" spans="1:42" x14ac:dyDescent="0.3">
      <c r="A588" s="5">
        <v>24</v>
      </c>
      <c r="B588" s="5" t="s">
        <v>43</v>
      </c>
      <c r="C588" s="5" t="str">
        <f t="shared" si="63"/>
        <v>No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 s="5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 s="5">
        <v>2694</v>
      </c>
      <c r="U588">
        <v>26551</v>
      </c>
      <c r="V588">
        <v>1</v>
      </c>
      <c r="W588" t="s">
        <v>42</v>
      </c>
      <c r="X588" t="s">
        <v>43</v>
      </c>
      <c r="Y588" t="str">
        <f t="shared" si="64"/>
        <v>No</v>
      </c>
      <c r="Z588">
        <v>11</v>
      </c>
      <c r="AA588">
        <v>3</v>
      </c>
      <c r="AB588">
        <v>3</v>
      </c>
      <c r="AC588">
        <v>80</v>
      </c>
      <c r="AD588">
        <v>3</v>
      </c>
      <c r="AE588" s="5">
        <v>1</v>
      </c>
      <c r="AF588" t="str">
        <f t="shared" si="65"/>
        <v>0-5</v>
      </c>
      <c r="AG588">
        <v>4</v>
      </c>
      <c r="AH588">
        <v>3</v>
      </c>
      <c r="AI588" s="5">
        <v>1</v>
      </c>
      <c r="AJ588">
        <v>0</v>
      </c>
      <c r="AK588">
        <v>0</v>
      </c>
      <c r="AL588">
        <v>0</v>
      </c>
      <c r="AM588" t="str">
        <f t="shared" si="66"/>
        <v>Below Avg</v>
      </c>
      <c r="AN588" s="21">
        <f t="shared" si="67"/>
        <v>28.361581920903955</v>
      </c>
      <c r="AO588" t="str">
        <f t="shared" ca="1" si="68"/>
        <v>No</v>
      </c>
      <c r="AP588" t="str">
        <f t="shared" si="69"/>
        <v>Low Risk</v>
      </c>
    </row>
    <row r="589" spans="1:42" x14ac:dyDescent="0.3">
      <c r="A589" s="5">
        <v>52</v>
      </c>
      <c r="B589" s="5" t="s">
        <v>43</v>
      </c>
      <c r="C589" s="5" t="str">
        <f t="shared" si="63"/>
        <v>No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 s="5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 s="5">
        <v>3149</v>
      </c>
      <c r="U589">
        <v>21821</v>
      </c>
      <c r="V589">
        <v>8</v>
      </c>
      <c r="W589" t="s">
        <v>42</v>
      </c>
      <c r="X589" t="s">
        <v>43</v>
      </c>
      <c r="Y589" t="str">
        <f t="shared" si="64"/>
        <v>No</v>
      </c>
      <c r="Z589">
        <v>20</v>
      </c>
      <c r="AA589">
        <v>4</v>
      </c>
      <c r="AB589">
        <v>2</v>
      </c>
      <c r="AC589">
        <v>80</v>
      </c>
      <c r="AD589">
        <v>1</v>
      </c>
      <c r="AE589" s="5">
        <v>9</v>
      </c>
      <c r="AF589" t="str">
        <f t="shared" si="65"/>
        <v>6-15</v>
      </c>
      <c r="AG589">
        <v>3</v>
      </c>
      <c r="AH589">
        <v>3</v>
      </c>
      <c r="AI589" s="5">
        <v>5</v>
      </c>
      <c r="AJ589">
        <v>2</v>
      </c>
      <c r="AK589">
        <v>1</v>
      </c>
      <c r="AL589">
        <v>4</v>
      </c>
      <c r="AM589" t="str">
        <f t="shared" si="66"/>
        <v>Below Avg</v>
      </c>
      <c r="AN589" s="21">
        <f t="shared" si="67"/>
        <v>28.280542986425338</v>
      </c>
      <c r="AO589" t="str">
        <f t="shared" ca="1" si="68"/>
        <v>No</v>
      </c>
      <c r="AP589" t="str">
        <f t="shared" si="69"/>
        <v>Low Risk</v>
      </c>
    </row>
    <row r="590" spans="1:42" x14ac:dyDescent="0.3">
      <c r="A590" s="5">
        <v>50</v>
      </c>
      <c r="B590" s="5" t="s">
        <v>43</v>
      </c>
      <c r="C590" s="5" t="str">
        <f t="shared" si="63"/>
        <v>No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 s="5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 s="5">
        <v>17639</v>
      </c>
      <c r="U590">
        <v>6881</v>
      </c>
      <c r="V590">
        <v>5</v>
      </c>
      <c r="W590" t="s">
        <v>42</v>
      </c>
      <c r="X590" t="s">
        <v>43</v>
      </c>
      <c r="Y590" t="str">
        <f t="shared" si="64"/>
        <v>No</v>
      </c>
      <c r="Z590">
        <v>16</v>
      </c>
      <c r="AA590">
        <v>3</v>
      </c>
      <c r="AB590">
        <v>4</v>
      </c>
      <c r="AC590">
        <v>80</v>
      </c>
      <c r="AD590">
        <v>0</v>
      </c>
      <c r="AE590" s="5">
        <v>30</v>
      </c>
      <c r="AF590" t="str">
        <f t="shared" si="65"/>
        <v>&gt;15</v>
      </c>
      <c r="AG590">
        <v>3</v>
      </c>
      <c r="AH590">
        <v>3</v>
      </c>
      <c r="AI590" s="5">
        <v>4</v>
      </c>
      <c r="AJ590">
        <v>3</v>
      </c>
      <c r="AK590">
        <v>0</v>
      </c>
      <c r="AL590">
        <v>3</v>
      </c>
      <c r="AM590" t="str">
        <f t="shared" si="66"/>
        <v>Ok</v>
      </c>
      <c r="AN590" s="21">
        <f t="shared" si="67"/>
        <v>28.312570781426956</v>
      </c>
      <c r="AO590" t="str">
        <f t="shared" ca="1" si="68"/>
        <v>No</v>
      </c>
      <c r="AP590" t="str">
        <f t="shared" si="69"/>
        <v>Low Risk</v>
      </c>
    </row>
    <row r="591" spans="1:42" x14ac:dyDescent="0.3">
      <c r="A591" s="5">
        <v>29</v>
      </c>
      <c r="B591" s="5" t="s">
        <v>35</v>
      </c>
      <c r="C591" s="5" t="str">
        <f t="shared" si="63"/>
        <v>Yes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 s="5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 s="5">
        <v>2319</v>
      </c>
      <c r="U591">
        <v>6689</v>
      </c>
      <c r="V591">
        <v>1</v>
      </c>
      <c r="W591" t="s">
        <v>42</v>
      </c>
      <c r="X591" t="s">
        <v>35</v>
      </c>
      <c r="Y591" t="str">
        <f t="shared" si="64"/>
        <v>Yes</v>
      </c>
      <c r="Z591">
        <v>11</v>
      </c>
      <c r="AA591">
        <v>3</v>
      </c>
      <c r="AB591">
        <v>4</v>
      </c>
      <c r="AC591">
        <v>80</v>
      </c>
      <c r="AD591">
        <v>1</v>
      </c>
      <c r="AE591" s="5">
        <v>1</v>
      </c>
      <c r="AF591" t="str">
        <f t="shared" si="65"/>
        <v>0-5</v>
      </c>
      <c r="AG591">
        <v>1</v>
      </c>
      <c r="AH591">
        <v>3</v>
      </c>
      <c r="AI591" s="5">
        <v>1</v>
      </c>
      <c r="AJ591">
        <v>0</v>
      </c>
      <c r="AK591">
        <v>0</v>
      </c>
      <c r="AL591">
        <v>0</v>
      </c>
      <c r="AM591" t="str">
        <f t="shared" si="66"/>
        <v>Below Avg</v>
      </c>
      <c r="AN591" s="21">
        <f t="shared" si="67"/>
        <v>28.344671201814059</v>
      </c>
      <c r="AO591" t="str">
        <f t="shared" ca="1" si="68"/>
        <v>No</v>
      </c>
      <c r="AP591" t="str">
        <f t="shared" si="69"/>
        <v>High Risk</v>
      </c>
    </row>
    <row r="592" spans="1:42" x14ac:dyDescent="0.3">
      <c r="A592" s="5">
        <v>33</v>
      </c>
      <c r="B592" s="5" t="s">
        <v>43</v>
      </c>
      <c r="C592" s="5" t="str">
        <f t="shared" si="63"/>
        <v>No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 s="5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 s="5">
        <v>11691</v>
      </c>
      <c r="U592">
        <v>25995</v>
      </c>
      <c r="V592">
        <v>0</v>
      </c>
      <c r="W592" t="s">
        <v>42</v>
      </c>
      <c r="X592" t="s">
        <v>43</v>
      </c>
      <c r="Y592" t="str">
        <f t="shared" si="64"/>
        <v>No</v>
      </c>
      <c r="Z592">
        <v>11</v>
      </c>
      <c r="AA592">
        <v>3</v>
      </c>
      <c r="AB592">
        <v>4</v>
      </c>
      <c r="AC592">
        <v>80</v>
      </c>
      <c r="AD592">
        <v>0</v>
      </c>
      <c r="AE592" s="5">
        <v>14</v>
      </c>
      <c r="AF592" t="str">
        <f t="shared" si="65"/>
        <v>6-15</v>
      </c>
      <c r="AG592">
        <v>3</v>
      </c>
      <c r="AH592">
        <v>4</v>
      </c>
      <c r="AI592" s="5">
        <v>13</v>
      </c>
      <c r="AJ592">
        <v>9</v>
      </c>
      <c r="AK592">
        <v>3</v>
      </c>
      <c r="AL592">
        <v>7</v>
      </c>
      <c r="AM592" t="str">
        <f t="shared" si="66"/>
        <v>Ok</v>
      </c>
      <c r="AN592" s="21">
        <f t="shared" si="67"/>
        <v>28.376844494892168</v>
      </c>
      <c r="AO592" t="str">
        <f t="shared" ca="1" si="68"/>
        <v>No</v>
      </c>
      <c r="AP592" t="str">
        <f t="shared" si="69"/>
        <v>Low Risk</v>
      </c>
    </row>
    <row r="593" spans="1:42" x14ac:dyDescent="0.3">
      <c r="A593" s="5">
        <v>33</v>
      </c>
      <c r="B593" s="5" t="s">
        <v>35</v>
      </c>
      <c r="C593" s="5" t="str">
        <f t="shared" si="63"/>
        <v>Yes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 s="5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 s="5">
        <v>5324</v>
      </c>
      <c r="U593">
        <v>26507</v>
      </c>
      <c r="V593">
        <v>5</v>
      </c>
      <c r="W593" t="s">
        <v>42</v>
      </c>
      <c r="X593" t="s">
        <v>43</v>
      </c>
      <c r="Y593" t="str">
        <f t="shared" si="64"/>
        <v>No</v>
      </c>
      <c r="Z593">
        <v>15</v>
      </c>
      <c r="AA593">
        <v>3</v>
      </c>
      <c r="AB593">
        <v>3</v>
      </c>
      <c r="AC593">
        <v>80</v>
      </c>
      <c r="AD593">
        <v>0</v>
      </c>
      <c r="AE593" s="5">
        <v>6</v>
      </c>
      <c r="AF593" t="str">
        <f t="shared" si="65"/>
        <v>6-15</v>
      </c>
      <c r="AG593">
        <v>3</v>
      </c>
      <c r="AH593">
        <v>3</v>
      </c>
      <c r="AI593" s="5">
        <v>3</v>
      </c>
      <c r="AJ593">
        <v>2</v>
      </c>
      <c r="AK593">
        <v>0</v>
      </c>
      <c r="AL593">
        <v>2</v>
      </c>
      <c r="AM593" t="str">
        <f t="shared" si="66"/>
        <v>Below Avg</v>
      </c>
      <c r="AN593" s="21">
        <f t="shared" si="67"/>
        <v>28.295454545454547</v>
      </c>
      <c r="AO593" t="str">
        <f t="shared" ca="1" si="68"/>
        <v>No</v>
      </c>
      <c r="AP593" t="str">
        <f t="shared" si="69"/>
        <v>Low Risk</v>
      </c>
    </row>
    <row r="594" spans="1:42" x14ac:dyDescent="0.3">
      <c r="A594" s="5">
        <v>47</v>
      </c>
      <c r="B594" s="5" t="s">
        <v>43</v>
      </c>
      <c r="C594" s="5" t="str">
        <f t="shared" si="63"/>
        <v>No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 s="5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 s="5">
        <v>16752</v>
      </c>
      <c r="U594">
        <v>12982</v>
      </c>
      <c r="V594">
        <v>1</v>
      </c>
      <c r="W594" t="s">
        <v>42</v>
      </c>
      <c r="X594" t="s">
        <v>35</v>
      </c>
      <c r="Y594" t="str">
        <f t="shared" si="64"/>
        <v>Yes</v>
      </c>
      <c r="Z594">
        <v>11</v>
      </c>
      <c r="AA594">
        <v>3</v>
      </c>
      <c r="AB594">
        <v>3</v>
      </c>
      <c r="AC594">
        <v>80</v>
      </c>
      <c r="AD594">
        <v>1</v>
      </c>
      <c r="AE594" s="5">
        <v>26</v>
      </c>
      <c r="AF594" t="str">
        <f t="shared" si="65"/>
        <v>&gt;15</v>
      </c>
      <c r="AG594">
        <v>3</v>
      </c>
      <c r="AH594">
        <v>2</v>
      </c>
      <c r="AI594" s="5">
        <v>26</v>
      </c>
      <c r="AJ594">
        <v>14</v>
      </c>
      <c r="AK594">
        <v>3</v>
      </c>
      <c r="AL594">
        <v>0</v>
      </c>
      <c r="AM594" t="str">
        <f t="shared" si="66"/>
        <v>Ok</v>
      </c>
      <c r="AN594" s="21">
        <f t="shared" si="67"/>
        <v>28.327645051194537</v>
      </c>
      <c r="AO594" t="str">
        <f t="shared" ca="1" si="68"/>
        <v>No</v>
      </c>
      <c r="AP594" t="str">
        <f t="shared" si="69"/>
        <v>Low Risk</v>
      </c>
    </row>
    <row r="595" spans="1:42" x14ac:dyDescent="0.3">
      <c r="A595" s="5">
        <v>36</v>
      </c>
      <c r="B595" s="5" t="s">
        <v>43</v>
      </c>
      <c r="C595" s="5" t="str">
        <f t="shared" si="63"/>
        <v>No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 s="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 s="5">
        <v>5228</v>
      </c>
      <c r="U595">
        <v>23361</v>
      </c>
      <c r="V595">
        <v>0</v>
      </c>
      <c r="W595" t="s">
        <v>42</v>
      </c>
      <c r="X595" t="s">
        <v>43</v>
      </c>
      <c r="Y595" t="str">
        <f t="shared" si="64"/>
        <v>No</v>
      </c>
      <c r="Z595">
        <v>15</v>
      </c>
      <c r="AA595">
        <v>3</v>
      </c>
      <c r="AB595">
        <v>1</v>
      </c>
      <c r="AC595">
        <v>80</v>
      </c>
      <c r="AD595">
        <v>1</v>
      </c>
      <c r="AE595" s="5">
        <v>10</v>
      </c>
      <c r="AF595" t="str">
        <f t="shared" si="65"/>
        <v>6-15</v>
      </c>
      <c r="AG595">
        <v>2</v>
      </c>
      <c r="AH595">
        <v>3</v>
      </c>
      <c r="AI595" s="5">
        <v>9</v>
      </c>
      <c r="AJ595">
        <v>7</v>
      </c>
      <c r="AK595">
        <v>0</v>
      </c>
      <c r="AL595">
        <v>5</v>
      </c>
      <c r="AM595" t="str">
        <f t="shared" si="66"/>
        <v>Below Avg</v>
      </c>
      <c r="AN595" s="21">
        <f t="shared" si="67"/>
        <v>28.359908883826879</v>
      </c>
      <c r="AO595" t="str">
        <f t="shared" ca="1" si="68"/>
        <v>No</v>
      </c>
      <c r="AP595" t="str">
        <f t="shared" si="69"/>
        <v>Low Risk</v>
      </c>
    </row>
    <row r="596" spans="1:42" x14ac:dyDescent="0.3">
      <c r="A596" s="5">
        <v>29</v>
      </c>
      <c r="B596" s="5" t="s">
        <v>43</v>
      </c>
      <c r="C596" s="5" t="str">
        <f t="shared" si="63"/>
        <v>No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 s="5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 s="5">
        <v>2700</v>
      </c>
      <c r="U596">
        <v>23779</v>
      </c>
      <c r="V596">
        <v>1</v>
      </c>
      <c r="W596" t="s">
        <v>42</v>
      </c>
      <c r="X596" t="s">
        <v>43</v>
      </c>
      <c r="Y596" t="str">
        <f t="shared" si="64"/>
        <v>No</v>
      </c>
      <c r="Z596">
        <v>24</v>
      </c>
      <c r="AA596">
        <v>4</v>
      </c>
      <c r="AB596">
        <v>3</v>
      </c>
      <c r="AC596">
        <v>80</v>
      </c>
      <c r="AD596">
        <v>1</v>
      </c>
      <c r="AE596" s="5">
        <v>10</v>
      </c>
      <c r="AF596" t="str">
        <f t="shared" si="65"/>
        <v>6-15</v>
      </c>
      <c r="AG596">
        <v>3</v>
      </c>
      <c r="AH596">
        <v>3</v>
      </c>
      <c r="AI596" s="5">
        <v>10</v>
      </c>
      <c r="AJ596">
        <v>7</v>
      </c>
      <c r="AK596">
        <v>0</v>
      </c>
      <c r="AL596">
        <v>7</v>
      </c>
      <c r="AM596" t="str">
        <f t="shared" si="66"/>
        <v>Below Avg</v>
      </c>
      <c r="AN596" s="21">
        <f t="shared" si="67"/>
        <v>28.278221208665904</v>
      </c>
      <c r="AO596" t="str">
        <f t="shared" ca="1" si="68"/>
        <v>No</v>
      </c>
      <c r="AP596" t="str">
        <f t="shared" si="69"/>
        <v>Low Risk</v>
      </c>
    </row>
    <row r="597" spans="1:42" x14ac:dyDescent="0.3">
      <c r="A597" s="5">
        <v>58</v>
      </c>
      <c r="B597" s="5" t="s">
        <v>35</v>
      </c>
      <c r="C597" s="5" t="str">
        <f t="shared" si="63"/>
        <v>Yes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 s="5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 s="5">
        <v>19246</v>
      </c>
      <c r="U597">
        <v>25761</v>
      </c>
      <c r="V597">
        <v>7</v>
      </c>
      <c r="W597" t="s">
        <v>42</v>
      </c>
      <c r="X597" t="s">
        <v>35</v>
      </c>
      <c r="Y597" t="str">
        <f t="shared" si="64"/>
        <v>Yes</v>
      </c>
      <c r="Z597">
        <v>12</v>
      </c>
      <c r="AA597">
        <v>3</v>
      </c>
      <c r="AB597">
        <v>4</v>
      </c>
      <c r="AC597">
        <v>80</v>
      </c>
      <c r="AD597">
        <v>0</v>
      </c>
      <c r="AE597" s="5">
        <v>40</v>
      </c>
      <c r="AF597" t="str">
        <f t="shared" si="65"/>
        <v>&gt;15</v>
      </c>
      <c r="AG597">
        <v>2</v>
      </c>
      <c r="AH597">
        <v>3</v>
      </c>
      <c r="AI597" s="5">
        <v>31</v>
      </c>
      <c r="AJ597">
        <v>15</v>
      </c>
      <c r="AK597">
        <v>13</v>
      </c>
      <c r="AL597">
        <v>8</v>
      </c>
      <c r="AM597" t="str">
        <f t="shared" si="66"/>
        <v>Ok</v>
      </c>
      <c r="AN597" s="21">
        <f t="shared" si="67"/>
        <v>28.31050228310502</v>
      </c>
      <c r="AO597" t="str">
        <f t="shared" ca="1" si="68"/>
        <v>No</v>
      </c>
      <c r="AP597" t="str">
        <f t="shared" si="69"/>
        <v>Low Risk</v>
      </c>
    </row>
    <row r="598" spans="1:42" x14ac:dyDescent="0.3">
      <c r="A598" s="5">
        <v>35</v>
      </c>
      <c r="B598" s="5" t="s">
        <v>43</v>
      </c>
      <c r="C598" s="5" t="str">
        <f t="shared" si="63"/>
        <v>No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 s="5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 s="5">
        <v>2506</v>
      </c>
      <c r="U598">
        <v>13301</v>
      </c>
      <c r="V598">
        <v>3</v>
      </c>
      <c r="W598" t="s">
        <v>42</v>
      </c>
      <c r="X598" t="s">
        <v>43</v>
      </c>
      <c r="Y598" t="str">
        <f t="shared" si="64"/>
        <v>No</v>
      </c>
      <c r="Z598">
        <v>13</v>
      </c>
      <c r="AA598">
        <v>3</v>
      </c>
      <c r="AB598">
        <v>3</v>
      </c>
      <c r="AC598">
        <v>80</v>
      </c>
      <c r="AD598">
        <v>0</v>
      </c>
      <c r="AE598" s="5">
        <v>7</v>
      </c>
      <c r="AF598" t="str">
        <f t="shared" si="65"/>
        <v>6-15</v>
      </c>
      <c r="AG598">
        <v>0</v>
      </c>
      <c r="AH598">
        <v>3</v>
      </c>
      <c r="AI598" s="5">
        <v>2</v>
      </c>
      <c r="AJ598">
        <v>2</v>
      </c>
      <c r="AK598">
        <v>2</v>
      </c>
      <c r="AL598">
        <v>2</v>
      </c>
      <c r="AM598" t="str">
        <f t="shared" si="66"/>
        <v>Below Avg</v>
      </c>
      <c r="AN598" s="21">
        <f t="shared" si="67"/>
        <v>28.342857142857142</v>
      </c>
      <c r="AO598" t="str">
        <f t="shared" ca="1" si="68"/>
        <v>No</v>
      </c>
      <c r="AP598" t="str">
        <f t="shared" si="69"/>
        <v>Low Risk</v>
      </c>
    </row>
    <row r="599" spans="1:42" x14ac:dyDescent="0.3">
      <c r="A599" s="5">
        <v>42</v>
      </c>
      <c r="B599" s="5" t="s">
        <v>43</v>
      </c>
      <c r="C599" s="5" t="str">
        <f t="shared" si="63"/>
        <v>No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 s="5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 s="5">
        <v>6062</v>
      </c>
      <c r="U599">
        <v>4051</v>
      </c>
      <c r="V599">
        <v>9</v>
      </c>
      <c r="W599" t="s">
        <v>42</v>
      </c>
      <c r="X599" t="s">
        <v>35</v>
      </c>
      <c r="Y599" t="str">
        <f t="shared" si="64"/>
        <v>Yes</v>
      </c>
      <c r="Z599">
        <v>13</v>
      </c>
      <c r="AA599">
        <v>3</v>
      </c>
      <c r="AB599">
        <v>4</v>
      </c>
      <c r="AC599">
        <v>80</v>
      </c>
      <c r="AD599">
        <v>1</v>
      </c>
      <c r="AE599" s="5">
        <v>8</v>
      </c>
      <c r="AF599" t="str">
        <f t="shared" si="65"/>
        <v>6-15</v>
      </c>
      <c r="AG599">
        <v>4</v>
      </c>
      <c r="AH599">
        <v>3</v>
      </c>
      <c r="AI599" s="5">
        <v>4</v>
      </c>
      <c r="AJ599">
        <v>3</v>
      </c>
      <c r="AK599">
        <v>0</v>
      </c>
      <c r="AL599">
        <v>2</v>
      </c>
      <c r="AM599" t="str">
        <f t="shared" si="66"/>
        <v>Below Avg</v>
      </c>
      <c r="AN599" s="21">
        <f t="shared" si="67"/>
        <v>28.260869565217391</v>
      </c>
      <c r="AO599" t="str">
        <f t="shared" ca="1" si="68"/>
        <v>No</v>
      </c>
      <c r="AP599" t="str">
        <f t="shared" si="69"/>
        <v>Low Risk</v>
      </c>
    </row>
    <row r="600" spans="1:42" x14ac:dyDescent="0.3">
      <c r="A600" s="5">
        <v>28</v>
      </c>
      <c r="B600" s="5" t="s">
        <v>35</v>
      </c>
      <c r="C600" s="5" t="str">
        <f t="shared" si="63"/>
        <v>Yes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 s="5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 s="5">
        <v>4382</v>
      </c>
      <c r="U600">
        <v>16374</v>
      </c>
      <c r="V600">
        <v>6</v>
      </c>
      <c r="W600" t="s">
        <v>42</v>
      </c>
      <c r="X600" t="s">
        <v>43</v>
      </c>
      <c r="Y600" t="str">
        <f t="shared" si="64"/>
        <v>No</v>
      </c>
      <c r="Z600">
        <v>17</v>
      </c>
      <c r="AA600">
        <v>3</v>
      </c>
      <c r="AB600">
        <v>4</v>
      </c>
      <c r="AC600">
        <v>80</v>
      </c>
      <c r="AD600">
        <v>0</v>
      </c>
      <c r="AE600" s="5">
        <v>5</v>
      </c>
      <c r="AF600" t="str">
        <f t="shared" si="65"/>
        <v>0-5</v>
      </c>
      <c r="AG600">
        <v>3</v>
      </c>
      <c r="AH600">
        <v>2</v>
      </c>
      <c r="AI600" s="5">
        <v>2</v>
      </c>
      <c r="AJ600">
        <v>2</v>
      </c>
      <c r="AK600">
        <v>2</v>
      </c>
      <c r="AL600">
        <v>1</v>
      </c>
      <c r="AM600" t="str">
        <f t="shared" si="66"/>
        <v>Below Avg</v>
      </c>
      <c r="AN600" s="21">
        <f t="shared" si="67"/>
        <v>28.29324169530355</v>
      </c>
      <c r="AO600" t="str">
        <f t="shared" ca="1" si="68"/>
        <v>No</v>
      </c>
      <c r="AP600" t="str">
        <f t="shared" si="69"/>
        <v>Low Risk</v>
      </c>
    </row>
    <row r="601" spans="1:42" x14ac:dyDescent="0.3">
      <c r="A601" s="5">
        <v>36</v>
      </c>
      <c r="B601" s="5" t="s">
        <v>43</v>
      </c>
      <c r="C601" s="5" t="str">
        <f t="shared" si="63"/>
        <v>No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 s="5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 s="5">
        <v>2143</v>
      </c>
      <c r="U601">
        <v>25527</v>
      </c>
      <c r="V601">
        <v>4</v>
      </c>
      <c r="W601" t="s">
        <v>42</v>
      </c>
      <c r="X601" t="s">
        <v>43</v>
      </c>
      <c r="Y601" t="str">
        <f t="shared" si="64"/>
        <v>No</v>
      </c>
      <c r="Z601">
        <v>13</v>
      </c>
      <c r="AA601">
        <v>3</v>
      </c>
      <c r="AB601">
        <v>2</v>
      </c>
      <c r="AC601">
        <v>80</v>
      </c>
      <c r="AD601">
        <v>1</v>
      </c>
      <c r="AE601" s="5">
        <v>8</v>
      </c>
      <c r="AF601" t="str">
        <f t="shared" si="65"/>
        <v>6-15</v>
      </c>
      <c r="AG601">
        <v>2</v>
      </c>
      <c r="AH601">
        <v>3</v>
      </c>
      <c r="AI601" s="5">
        <v>5</v>
      </c>
      <c r="AJ601">
        <v>2</v>
      </c>
      <c r="AK601">
        <v>0</v>
      </c>
      <c r="AL601">
        <v>4</v>
      </c>
      <c r="AM601" t="str">
        <f t="shared" si="66"/>
        <v>Below Avg</v>
      </c>
      <c r="AN601" s="21">
        <f t="shared" si="67"/>
        <v>28.211009174311926</v>
      </c>
      <c r="AO601" t="str">
        <f t="shared" ca="1" si="68"/>
        <v>No</v>
      </c>
      <c r="AP601" t="str">
        <f t="shared" si="69"/>
        <v>Low Risk</v>
      </c>
    </row>
    <row r="602" spans="1:42" x14ac:dyDescent="0.3">
      <c r="A602" s="5">
        <v>32</v>
      </c>
      <c r="B602" s="5" t="s">
        <v>43</v>
      </c>
      <c r="C602" s="5" t="str">
        <f t="shared" si="63"/>
        <v>No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 s="5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 s="5">
        <v>6162</v>
      </c>
      <c r="U602">
        <v>19124</v>
      </c>
      <c r="V602">
        <v>1</v>
      </c>
      <c r="W602" t="s">
        <v>42</v>
      </c>
      <c r="X602" t="s">
        <v>43</v>
      </c>
      <c r="Y602" t="str">
        <f t="shared" si="64"/>
        <v>No</v>
      </c>
      <c r="Z602">
        <v>12</v>
      </c>
      <c r="AA602">
        <v>3</v>
      </c>
      <c r="AB602">
        <v>3</v>
      </c>
      <c r="AC602">
        <v>80</v>
      </c>
      <c r="AD602">
        <v>1</v>
      </c>
      <c r="AE602" s="5">
        <v>14</v>
      </c>
      <c r="AF602" t="str">
        <f t="shared" si="65"/>
        <v>6-15</v>
      </c>
      <c r="AG602">
        <v>3</v>
      </c>
      <c r="AH602">
        <v>3</v>
      </c>
      <c r="AI602" s="5">
        <v>14</v>
      </c>
      <c r="AJ602">
        <v>13</v>
      </c>
      <c r="AK602">
        <v>6</v>
      </c>
      <c r="AL602">
        <v>8</v>
      </c>
      <c r="AM602" t="str">
        <f t="shared" si="66"/>
        <v>Below Avg</v>
      </c>
      <c r="AN602" s="21">
        <f t="shared" si="67"/>
        <v>28.243398392652125</v>
      </c>
      <c r="AO602" t="str">
        <f t="shared" ca="1" si="68"/>
        <v>No</v>
      </c>
      <c r="AP602" t="str">
        <f t="shared" si="69"/>
        <v>Low Risk</v>
      </c>
    </row>
    <row r="603" spans="1:42" x14ac:dyDescent="0.3">
      <c r="A603" s="5">
        <v>40</v>
      </c>
      <c r="B603" s="5" t="s">
        <v>43</v>
      </c>
      <c r="C603" s="5" t="str">
        <f t="shared" si="63"/>
        <v>No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 s="5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 s="5">
        <v>5094</v>
      </c>
      <c r="U603">
        <v>11983</v>
      </c>
      <c r="V603">
        <v>6</v>
      </c>
      <c r="W603" t="s">
        <v>42</v>
      </c>
      <c r="X603" t="s">
        <v>43</v>
      </c>
      <c r="Y603" t="str">
        <f t="shared" si="64"/>
        <v>No</v>
      </c>
      <c r="Z603">
        <v>14</v>
      </c>
      <c r="AA603">
        <v>3</v>
      </c>
      <c r="AB603">
        <v>4</v>
      </c>
      <c r="AC603">
        <v>80</v>
      </c>
      <c r="AD603">
        <v>0</v>
      </c>
      <c r="AE603" s="5">
        <v>10</v>
      </c>
      <c r="AF603" t="str">
        <f t="shared" si="65"/>
        <v>6-15</v>
      </c>
      <c r="AG603">
        <v>6</v>
      </c>
      <c r="AH603">
        <v>3</v>
      </c>
      <c r="AI603" s="5">
        <v>1</v>
      </c>
      <c r="AJ603">
        <v>0</v>
      </c>
      <c r="AK603">
        <v>0</v>
      </c>
      <c r="AL603">
        <v>0</v>
      </c>
      <c r="AM603" t="str">
        <f t="shared" si="66"/>
        <v>Below Avg</v>
      </c>
      <c r="AN603" s="21">
        <f t="shared" si="67"/>
        <v>28.27586206896552</v>
      </c>
      <c r="AO603" t="str">
        <f t="shared" ca="1" si="68"/>
        <v>No</v>
      </c>
      <c r="AP603" t="str">
        <f t="shared" si="69"/>
        <v>Low Risk</v>
      </c>
    </row>
    <row r="604" spans="1:42" x14ac:dyDescent="0.3">
      <c r="A604" s="5">
        <v>30</v>
      </c>
      <c r="B604" s="5" t="s">
        <v>43</v>
      </c>
      <c r="C604" s="5" t="str">
        <f t="shared" si="63"/>
        <v>No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 s="5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 s="5">
        <v>6877</v>
      </c>
      <c r="U604">
        <v>20234</v>
      </c>
      <c r="V604">
        <v>5</v>
      </c>
      <c r="W604" t="s">
        <v>42</v>
      </c>
      <c r="X604" t="s">
        <v>35</v>
      </c>
      <c r="Y604" t="str">
        <f t="shared" si="64"/>
        <v>Yes</v>
      </c>
      <c r="Z604">
        <v>24</v>
      </c>
      <c r="AA604">
        <v>4</v>
      </c>
      <c r="AB604">
        <v>2</v>
      </c>
      <c r="AC604">
        <v>80</v>
      </c>
      <c r="AD604">
        <v>0</v>
      </c>
      <c r="AE604" s="5">
        <v>12</v>
      </c>
      <c r="AF604" t="str">
        <f t="shared" si="65"/>
        <v>6-15</v>
      </c>
      <c r="AG604">
        <v>4</v>
      </c>
      <c r="AH604">
        <v>2</v>
      </c>
      <c r="AI604" s="5">
        <v>0</v>
      </c>
      <c r="AJ604">
        <v>0</v>
      </c>
      <c r="AK604">
        <v>0</v>
      </c>
      <c r="AL604">
        <v>0</v>
      </c>
      <c r="AM604" t="str">
        <f t="shared" si="66"/>
        <v>Ok</v>
      </c>
      <c r="AN604" s="21">
        <f t="shared" si="67"/>
        <v>28.308400460299193</v>
      </c>
      <c r="AO604" t="str">
        <f t="shared" ca="1" si="68"/>
        <v>No</v>
      </c>
      <c r="AP604" t="str">
        <f t="shared" si="69"/>
        <v>Low Risk</v>
      </c>
    </row>
    <row r="605" spans="1:42" x14ac:dyDescent="0.3">
      <c r="A605" s="5">
        <v>45</v>
      </c>
      <c r="B605" s="5" t="s">
        <v>43</v>
      </c>
      <c r="C605" s="5" t="str">
        <f t="shared" si="63"/>
        <v>No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 s="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 s="5">
        <v>2274</v>
      </c>
      <c r="U605">
        <v>6153</v>
      </c>
      <c r="V605">
        <v>1</v>
      </c>
      <c r="W605" t="s">
        <v>42</v>
      </c>
      <c r="X605" t="s">
        <v>43</v>
      </c>
      <c r="Y605" t="str">
        <f t="shared" si="64"/>
        <v>No</v>
      </c>
      <c r="Z605">
        <v>14</v>
      </c>
      <c r="AA605">
        <v>3</v>
      </c>
      <c r="AB605">
        <v>4</v>
      </c>
      <c r="AC605">
        <v>80</v>
      </c>
      <c r="AD605">
        <v>0</v>
      </c>
      <c r="AE605" s="5">
        <v>1</v>
      </c>
      <c r="AF605" t="str">
        <f t="shared" si="65"/>
        <v>0-5</v>
      </c>
      <c r="AG605">
        <v>3</v>
      </c>
      <c r="AH605">
        <v>3</v>
      </c>
      <c r="AI605" s="5">
        <v>1</v>
      </c>
      <c r="AJ605">
        <v>0</v>
      </c>
      <c r="AK605">
        <v>0</v>
      </c>
      <c r="AL605">
        <v>0</v>
      </c>
      <c r="AM605" t="str">
        <f t="shared" si="66"/>
        <v>Below Avg</v>
      </c>
      <c r="AN605" s="21">
        <f t="shared" si="67"/>
        <v>28.341013824884794</v>
      </c>
      <c r="AO605" t="str">
        <f t="shared" ca="1" si="68"/>
        <v>No</v>
      </c>
      <c r="AP605" t="str">
        <f t="shared" si="69"/>
        <v>Low Risk</v>
      </c>
    </row>
    <row r="606" spans="1:42" x14ac:dyDescent="0.3">
      <c r="A606" s="5">
        <v>42</v>
      </c>
      <c r="B606" s="5" t="s">
        <v>43</v>
      </c>
      <c r="C606" s="5" t="str">
        <f t="shared" si="63"/>
        <v>No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 s="5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 s="5">
        <v>4434</v>
      </c>
      <c r="U606">
        <v>11806</v>
      </c>
      <c r="V606">
        <v>1</v>
      </c>
      <c r="W606" t="s">
        <v>42</v>
      </c>
      <c r="X606" t="s">
        <v>43</v>
      </c>
      <c r="Y606" t="str">
        <f t="shared" si="64"/>
        <v>No</v>
      </c>
      <c r="Z606">
        <v>13</v>
      </c>
      <c r="AA606">
        <v>3</v>
      </c>
      <c r="AB606">
        <v>4</v>
      </c>
      <c r="AC606">
        <v>80</v>
      </c>
      <c r="AD606">
        <v>1</v>
      </c>
      <c r="AE606" s="5">
        <v>10</v>
      </c>
      <c r="AF606" t="str">
        <f t="shared" si="65"/>
        <v>6-15</v>
      </c>
      <c r="AG606">
        <v>3</v>
      </c>
      <c r="AH606">
        <v>2</v>
      </c>
      <c r="AI606" s="5">
        <v>9</v>
      </c>
      <c r="AJ606">
        <v>8</v>
      </c>
      <c r="AK606">
        <v>7</v>
      </c>
      <c r="AL606">
        <v>8</v>
      </c>
      <c r="AM606" t="str">
        <f t="shared" si="66"/>
        <v>Below Avg</v>
      </c>
      <c r="AN606" s="21">
        <f t="shared" si="67"/>
        <v>28.258362168396772</v>
      </c>
      <c r="AO606" t="str">
        <f t="shared" ca="1" si="68"/>
        <v>No</v>
      </c>
      <c r="AP606" t="str">
        <f t="shared" si="69"/>
        <v>Low Risk</v>
      </c>
    </row>
    <row r="607" spans="1:42" x14ac:dyDescent="0.3">
      <c r="A607" s="5">
        <v>38</v>
      </c>
      <c r="B607" s="5" t="s">
        <v>43</v>
      </c>
      <c r="C607" s="5" t="str">
        <f t="shared" si="63"/>
        <v>No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 s="5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 s="5">
        <v>6288</v>
      </c>
      <c r="U607">
        <v>4284</v>
      </c>
      <c r="V607">
        <v>2</v>
      </c>
      <c r="W607" t="s">
        <v>42</v>
      </c>
      <c r="X607" t="s">
        <v>43</v>
      </c>
      <c r="Y607" t="str">
        <f t="shared" si="64"/>
        <v>No</v>
      </c>
      <c r="Z607">
        <v>15</v>
      </c>
      <c r="AA607">
        <v>3</v>
      </c>
      <c r="AB607">
        <v>3</v>
      </c>
      <c r="AC607">
        <v>80</v>
      </c>
      <c r="AD607">
        <v>1</v>
      </c>
      <c r="AE607" s="5">
        <v>13</v>
      </c>
      <c r="AF607" t="str">
        <f t="shared" si="65"/>
        <v>6-15</v>
      </c>
      <c r="AG607">
        <v>3</v>
      </c>
      <c r="AH607">
        <v>2</v>
      </c>
      <c r="AI607" s="5">
        <v>4</v>
      </c>
      <c r="AJ607">
        <v>3</v>
      </c>
      <c r="AK607">
        <v>1</v>
      </c>
      <c r="AL607">
        <v>2</v>
      </c>
      <c r="AM607" t="str">
        <f t="shared" si="66"/>
        <v>Ok</v>
      </c>
      <c r="AN607" s="21">
        <f t="shared" si="67"/>
        <v>28.290993071593533</v>
      </c>
      <c r="AO607" t="str">
        <f t="shared" ca="1" si="68"/>
        <v>No</v>
      </c>
      <c r="AP607" t="str">
        <f t="shared" si="69"/>
        <v>Low Risk</v>
      </c>
    </row>
    <row r="608" spans="1:42" x14ac:dyDescent="0.3">
      <c r="A608" s="5">
        <v>34</v>
      </c>
      <c r="B608" s="5" t="s">
        <v>43</v>
      </c>
      <c r="C608" s="5" t="str">
        <f t="shared" si="63"/>
        <v>No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 s="5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 s="5">
        <v>2553</v>
      </c>
      <c r="U608">
        <v>8306</v>
      </c>
      <c r="V608">
        <v>1</v>
      </c>
      <c r="W608" t="s">
        <v>42</v>
      </c>
      <c r="X608" t="s">
        <v>43</v>
      </c>
      <c r="Y608" t="str">
        <f t="shared" si="64"/>
        <v>No</v>
      </c>
      <c r="Z608">
        <v>16</v>
      </c>
      <c r="AA608">
        <v>3</v>
      </c>
      <c r="AB608">
        <v>3</v>
      </c>
      <c r="AC608">
        <v>80</v>
      </c>
      <c r="AD608">
        <v>0</v>
      </c>
      <c r="AE608" s="5">
        <v>6</v>
      </c>
      <c r="AF608" t="str">
        <f t="shared" si="65"/>
        <v>6-15</v>
      </c>
      <c r="AG608">
        <v>3</v>
      </c>
      <c r="AH608">
        <v>3</v>
      </c>
      <c r="AI608" s="5">
        <v>5</v>
      </c>
      <c r="AJ608">
        <v>2</v>
      </c>
      <c r="AK608">
        <v>1</v>
      </c>
      <c r="AL608">
        <v>3</v>
      </c>
      <c r="AM608" t="str">
        <f t="shared" si="66"/>
        <v>Below Avg</v>
      </c>
      <c r="AN608" s="21">
        <f t="shared" si="67"/>
        <v>28.323699421965319</v>
      </c>
      <c r="AO608" t="str">
        <f t="shared" ca="1" si="68"/>
        <v>No</v>
      </c>
      <c r="AP608" t="str">
        <f t="shared" si="69"/>
        <v>Low Risk</v>
      </c>
    </row>
    <row r="609" spans="1:42" x14ac:dyDescent="0.3">
      <c r="A609" s="5">
        <v>49</v>
      </c>
      <c r="B609" s="5" t="s">
        <v>35</v>
      </c>
      <c r="C609" s="5" t="str">
        <f t="shared" si="63"/>
        <v>Yes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 s="5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 s="5">
        <v>7654</v>
      </c>
      <c r="U609">
        <v>5860</v>
      </c>
      <c r="V609">
        <v>1</v>
      </c>
      <c r="W609" t="s">
        <v>42</v>
      </c>
      <c r="X609" t="s">
        <v>43</v>
      </c>
      <c r="Y609" t="str">
        <f t="shared" si="64"/>
        <v>No</v>
      </c>
      <c r="Z609">
        <v>18</v>
      </c>
      <c r="AA609">
        <v>3</v>
      </c>
      <c r="AB609">
        <v>1</v>
      </c>
      <c r="AC609">
        <v>80</v>
      </c>
      <c r="AD609">
        <v>2</v>
      </c>
      <c r="AE609" s="5">
        <v>9</v>
      </c>
      <c r="AF609" t="str">
        <f t="shared" si="65"/>
        <v>6-15</v>
      </c>
      <c r="AG609">
        <v>3</v>
      </c>
      <c r="AH609">
        <v>4</v>
      </c>
      <c r="AI609" s="5">
        <v>9</v>
      </c>
      <c r="AJ609">
        <v>8</v>
      </c>
      <c r="AK609">
        <v>7</v>
      </c>
      <c r="AL609">
        <v>7</v>
      </c>
      <c r="AM609" t="str">
        <f t="shared" si="66"/>
        <v>Ok</v>
      </c>
      <c r="AN609" s="21">
        <f t="shared" si="67"/>
        <v>28.356481481481481</v>
      </c>
      <c r="AO609" t="str">
        <f t="shared" ca="1" si="68"/>
        <v>No</v>
      </c>
      <c r="AP609" t="str">
        <f t="shared" si="69"/>
        <v>Low Risk</v>
      </c>
    </row>
    <row r="610" spans="1:42" x14ac:dyDescent="0.3">
      <c r="A610" s="5">
        <v>55</v>
      </c>
      <c r="B610" s="5" t="s">
        <v>35</v>
      </c>
      <c r="C610" s="5" t="str">
        <f t="shared" si="63"/>
        <v>Yes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 s="5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 s="5">
        <v>5160</v>
      </c>
      <c r="U610">
        <v>21519</v>
      </c>
      <c r="V610">
        <v>4</v>
      </c>
      <c r="W610" t="s">
        <v>42</v>
      </c>
      <c r="X610" t="s">
        <v>43</v>
      </c>
      <c r="Y610" t="str">
        <f t="shared" si="64"/>
        <v>No</v>
      </c>
      <c r="Z610">
        <v>16</v>
      </c>
      <c r="AA610">
        <v>3</v>
      </c>
      <c r="AB610">
        <v>3</v>
      </c>
      <c r="AC610">
        <v>80</v>
      </c>
      <c r="AD610">
        <v>0</v>
      </c>
      <c r="AE610" s="5">
        <v>12</v>
      </c>
      <c r="AF610" t="str">
        <f t="shared" si="65"/>
        <v>6-15</v>
      </c>
      <c r="AG610">
        <v>3</v>
      </c>
      <c r="AH610">
        <v>2</v>
      </c>
      <c r="AI610" s="5">
        <v>9</v>
      </c>
      <c r="AJ610">
        <v>7</v>
      </c>
      <c r="AK610">
        <v>7</v>
      </c>
      <c r="AL610">
        <v>3</v>
      </c>
      <c r="AM610" t="str">
        <f t="shared" si="66"/>
        <v>Below Avg</v>
      </c>
      <c r="AN610" s="21">
        <f t="shared" si="67"/>
        <v>28.389339513325606</v>
      </c>
      <c r="AO610" t="str">
        <f t="shared" ca="1" si="68"/>
        <v>No</v>
      </c>
      <c r="AP610" t="str">
        <f t="shared" si="69"/>
        <v>Low Risk</v>
      </c>
    </row>
    <row r="611" spans="1:42" x14ac:dyDescent="0.3">
      <c r="A611" s="5">
        <v>43</v>
      </c>
      <c r="B611" s="5" t="s">
        <v>43</v>
      </c>
      <c r="C611" s="5" t="str">
        <f t="shared" si="63"/>
        <v>No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 s="5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 s="5">
        <v>17159</v>
      </c>
      <c r="U611">
        <v>5200</v>
      </c>
      <c r="V611">
        <v>6</v>
      </c>
      <c r="W611" t="s">
        <v>42</v>
      </c>
      <c r="X611" t="s">
        <v>43</v>
      </c>
      <c r="Y611" t="str">
        <f t="shared" si="64"/>
        <v>No</v>
      </c>
      <c r="Z611">
        <v>24</v>
      </c>
      <c r="AA611">
        <v>4</v>
      </c>
      <c r="AB611">
        <v>3</v>
      </c>
      <c r="AC611">
        <v>80</v>
      </c>
      <c r="AD611">
        <v>1</v>
      </c>
      <c r="AE611" s="5">
        <v>22</v>
      </c>
      <c r="AF611" t="str">
        <f t="shared" si="65"/>
        <v>&gt;15</v>
      </c>
      <c r="AG611">
        <v>3</v>
      </c>
      <c r="AH611">
        <v>3</v>
      </c>
      <c r="AI611" s="5">
        <v>4</v>
      </c>
      <c r="AJ611">
        <v>1</v>
      </c>
      <c r="AK611">
        <v>1</v>
      </c>
      <c r="AL611">
        <v>0</v>
      </c>
      <c r="AM611" t="str">
        <f t="shared" si="66"/>
        <v>Ok</v>
      </c>
      <c r="AN611" s="21">
        <f t="shared" si="67"/>
        <v>28.42227378190255</v>
      </c>
      <c r="AO611" t="str">
        <f t="shared" ca="1" si="68"/>
        <v>No</v>
      </c>
      <c r="AP611" t="str">
        <f t="shared" si="69"/>
        <v>Low Risk</v>
      </c>
    </row>
    <row r="612" spans="1:42" x14ac:dyDescent="0.3">
      <c r="A612" s="5">
        <v>27</v>
      </c>
      <c r="B612" s="5" t="s">
        <v>43</v>
      </c>
      <c r="C612" s="5" t="str">
        <f t="shared" si="63"/>
        <v>No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 s="5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 s="5">
        <v>12808</v>
      </c>
      <c r="U612">
        <v>8842</v>
      </c>
      <c r="V612">
        <v>1</v>
      </c>
      <c r="W612" t="s">
        <v>42</v>
      </c>
      <c r="X612" t="s">
        <v>35</v>
      </c>
      <c r="Y612" t="str">
        <f t="shared" si="64"/>
        <v>Yes</v>
      </c>
      <c r="Z612">
        <v>16</v>
      </c>
      <c r="AA612">
        <v>3</v>
      </c>
      <c r="AB612">
        <v>2</v>
      </c>
      <c r="AC612">
        <v>80</v>
      </c>
      <c r="AD612">
        <v>1</v>
      </c>
      <c r="AE612" s="5">
        <v>9</v>
      </c>
      <c r="AF612" t="str">
        <f t="shared" si="65"/>
        <v>6-15</v>
      </c>
      <c r="AG612">
        <v>3</v>
      </c>
      <c r="AH612">
        <v>3</v>
      </c>
      <c r="AI612" s="5">
        <v>9</v>
      </c>
      <c r="AJ612">
        <v>8</v>
      </c>
      <c r="AK612">
        <v>0</v>
      </c>
      <c r="AL612">
        <v>8</v>
      </c>
      <c r="AM612" t="str">
        <f t="shared" si="66"/>
        <v>Ok</v>
      </c>
      <c r="AN612" s="21">
        <f t="shared" si="67"/>
        <v>28.455284552845526</v>
      </c>
      <c r="AO612" t="str">
        <f t="shared" ca="1" si="68"/>
        <v>No</v>
      </c>
      <c r="AP612" t="str">
        <f t="shared" si="69"/>
        <v>Low Risk</v>
      </c>
    </row>
    <row r="613" spans="1:42" x14ac:dyDescent="0.3">
      <c r="A613" s="5">
        <v>35</v>
      </c>
      <c r="B613" s="5" t="s">
        <v>43</v>
      </c>
      <c r="C613" s="5" t="str">
        <f t="shared" si="63"/>
        <v>No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 s="5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 s="5">
        <v>10221</v>
      </c>
      <c r="U613">
        <v>18869</v>
      </c>
      <c r="V613">
        <v>3</v>
      </c>
      <c r="W613" t="s">
        <v>42</v>
      </c>
      <c r="X613" t="s">
        <v>43</v>
      </c>
      <c r="Y613" t="str">
        <f t="shared" si="64"/>
        <v>No</v>
      </c>
      <c r="Z613">
        <v>21</v>
      </c>
      <c r="AA613">
        <v>4</v>
      </c>
      <c r="AB613">
        <v>2</v>
      </c>
      <c r="AC613">
        <v>80</v>
      </c>
      <c r="AD613">
        <v>0</v>
      </c>
      <c r="AE613" s="5">
        <v>17</v>
      </c>
      <c r="AF613" t="str">
        <f t="shared" si="65"/>
        <v>&gt;15</v>
      </c>
      <c r="AG613">
        <v>3</v>
      </c>
      <c r="AH613">
        <v>4</v>
      </c>
      <c r="AI613" s="5">
        <v>8</v>
      </c>
      <c r="AJ613">
        <v>5</v>
      </c>
      <c r="AK613">
        <v>1</v>
      </c>
      <c r="AL613">
        <v>6</v>
      </c>
      <c r="AM613" t="str">
        <f t="shared" si="66"/>
        <v>Ok</v>
      </c>
      <c r="AN613" s="21">
        <f t="shared" si="67"/>
        <v>28.488372093023255</v>
      </c>
      <c r="AO613" t="str">
        <f t="shared" ca="1" si="68"/>
        <v>No</v>
      </c>
      <c r="AP613" t="str">
        <f t="shared" si="69"/>
        <v>Low Risk</v>
      </c>
    </row>
    <row r="614" spans="1:42" x14ac:dyDescent="0.3">
      <c r="A614" s="5">
        <v>28</v>
      </c>
      <c r="B614" s="5" t="s">
        <v>43</v>
      </c>
      <c r="C614" s="5" t="str">
        <f t="shared" si="63"/>
        <v>No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 s="5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 s="5">
        <v>4779</v>
      </c>
      <c r="U614">
        <v>3698</v>
      </c>
      <c r="V614">
        <v>1</v>
      </c>
      <c r="W614" t="s">
        <v>42</v>
      </c>
      <c r="X614" t="s">
        <v>35</v>
      </c>
      <c r="Y614" t="str">
        <f t="shared" si="64"/>
        <v>Yes</v>
      </c>
      <c r="Z614">
        <v>20</v>
      </c>
      <c r="AA614">
        <v>4</v>
      </c>
      <c r="AB614">
        <v>1</v>
      </c>
      <c r="AC614">
        <v>80</v>
      </c>
      <c r="AD614">
        <v>0</v>
      </c>
      <c r="AE614" s="5">
        <v>8</v>
      </c>
      <c r="AF614" t="str">
        <f t="shared" si="65"/>
        <v>6-15</v>
      </c>
      <c r="AG614">
        <v>2</v>
      </c>
      <c r="AH614">
        <v>3</v>
      </c>
      <c r="AI614" s="5">
        <v>8</v>
      </c>
      <c r="AJ614">
        <v>7</v>
      </c>
      <c r="AK614">
        <v>7</v>
      </c>
      <c r="AL614">
        <v>5</v>
      </c>
      <c r="AM614" t="str">
        <f t="shared" si="66"/>
        <v>Below Avg</v>
      </c>
      <c r="AN614" s="21">
        <f t="shared" si="67"/>
        <v>28.405122235157158</v>
      </c>
      <c r="AO614" t="str">
        <f t="shared" ca="1" si="68"/>
        <v>No</v>
      </c>
      <c r="AP614" t="str">
        <f t="shared" si="69"/>
        <v>Low Risk</v>
      </c>
    </row>
    <row r="615" spans="1:42" x14ac:dyDescent="0.3">
      <c r="A615" s="5">
        <v>34</v>
      </c>
      <c r="B615" s="5" t="s">
        <v>43</v>
      </c>
      <c r="C615" s="5" t="str">
        <f t="shared" si="63"/>
        <v>No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 s="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 s="5">
        <v>3737</v>
      </c>
      <c r="U615">
        <v>2243</v>
      </c>
      <c r="V615">
        <v>0</v>
      </c>
      <c r="W615" t="s">
        <v>42</v>
      </c>
      <c r="X615" t="s">
        <v>43</v>
      </c>
      <c r="Y615" t="str">
        <f t="shared" si="64"/>
        <v>No</v>
      </c>
      <c r="Z615">
        <v>19</v>
      </c>
      <c r="AA615">
        <v>3</v>
      </c>
      <c r="AB615">
        <v>3</v>
      </c>
      <c r="AC615">
        <v>80</v>
      </c>
      <c r="AD615">
        <v>1</v>
      </c>
      <c r="AE615" s="5">
        <v>4</v>
      </c>
      <c r="AF615" t="str">
        <f t="shared" si="65"/>
        <v>0-5</v>
      </c>
      <c r="AG615">
        <v>1</v>
      </c>
      <c r="AH615">
        <v>1</v>
      </c>
      <c r="AI615" s="5">
        <v>3</v>
      </c>
      <c r="AJ615">
        <v>2</v>
      </c>
      <c r="AK615">
        <v>0</v>
      </c>
      <c r="AL615">
        <v>2</v>
      </c>
      <c r="AM615" t="str">
        <f t="shared" si="66"/>
        <v>Below Avg</v>
      </c>
      <c r="AN615" s="21">
        <f t="shared" si="67"/>
        <v>28.438228438228435</v>
      </c>
      <c r="AO615" t="str">
        <f t="shared" ca="1" si="68"/>
        <v>No</v>
      </c>
      <c r="AP615" t="str">
        <f t="shared" si="69"/>
        <v>Low Risk</v>
      </c>
    </row>
    <row r="616" spans="1:42" x14ac:dyDescent="0.3">
      <c r="A616" s="5">
        <v>26</v>
      </c>
      <c r="B616" s="5" t="s">
        <v>35</v>
      </c>
      <c r="C616" s="5" t="str">
        <f t="shared" si="63"/>
        <v>Yes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 s="5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 s="5">
        <v>2366</v>
      </c>
      <c r="U616">
        <v>20898</v>
      </c>
      <c r="V616">
        <v>1</v>
      </c>
      <c r="W616" t="s">
        <v>42</v>
      </c>
      <c r="X616" t="s">
        <v>35</v>
      </c>
      <c r="Y616" t="str">
        <f t="shared" si="64"/>
        <v>Yes</v>
      </c>
      <c r="Z616">
        <v>14</v>
      </c>
      <c r="AA616">
        <v>3</v>
      </c>
      <c r="AB616">
        <v>1</v>
      </c>
      <c r="AC616">
        <v>80</v>
      </c>
      <c r="AD616">
        <v>1</v>
      </c>
      <c r="AE616" s="5">
        <v>8</v>
      </c>
      <c r="AF616" t="str">
        <f t="shared" si="65"/>
        <v>6-15</v>
      </c>
      <c r="AG616">
        <v>2</v>
      </c>
      <c r="AH616">
        <v>3</v>
      </c>
      <c r="AI616" s="5">
        <v>8</v>
      </c>
      <c r="AJ616">
        <v>7</v>
      </c>
      <c r="AK616">
        <v>1</v>
      </c>
      <c r="AL616">
        <v>7</v>
      </c>
      <c r="AM616" t="str">
        <f t="shared" si="66"/>
        <v>Below Avg</v>
      </c>
      <c r="AN616" s="21">
        <f t="shared" si="67"/>
        <v>28.354725787631274</v>
      </c>
      <c r="AO616" t="str">
        <f t="shared" ca="1" si="68"/>
        <v>No</v>
      </c>
      <c r="AP616" t="str">
        <f t="shared" si="69"/>
        <v>Low Risk</v>
      </c>
    </row>
    <row r="617" spans="1:42" x14ac:dyDescent="0.3">
      <c r="A617" s="5">
        <v>27</v>
      </c>
      <c r="B617" s="5" t="s">
        <v>43</v>
      </c>
      <c r="C617" s="5" t="str">
        <f t="shared" si="63"/>
        <v>No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 s="5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 s="5">
        <v>1706</v>
      </c>
      <c r="U617">
        <v>16571</v>
      </c>
      <c r="V617">
        <v>1</v>
      </c>
      <c r="W617" t="s">
        <v>42</v>
      </c>
      <c r="X617" t="s">
        <v>43</v>
      </c>
      <c r="Y617" t="str">
        <f t="shared" si="64"/>
        <v>No</v>
      </c>
      <c r="Z617">
        <v>11</v>
      </c>
      <c r="AA617">
        <v>3</v>
      </c>
      <c r="AB617">
        <v>3</v>
      </c>
      <c r="AC617">
        <v>80</v>
      </c>
      <c r="AD617">
        <v>3</v>
      </c>
      <c r="AE617" s="5">
        <v>0</v>
      </c>
      <c r="AF617" t="str">
        <f t="shared" si="65"/>
        <v>0-5</v>
      </c>
      <c r="AG617">
        <v>6</v>
      </c>
      <c r="AH617">
        <v>2</v>
      </c>
      <c r="AI617" s="5">
        <v>0</v>
      </c>
      <c r="AJ617">
        <v>0</v>
      </c>
      <c r="AK617">
        <v>0</v>
      </c>
      <c r="AL617">
        <v>0</v>
      </c>
      <c r="AM617" t="str">
        <f t="shared" si="66"/>
        <v>Below Avg</v>
      </c>
      <c r="AN617" s="21">
        <f t="shared" si="67"/>
        <v>28.38785046728972</v>
      </c>
      <c r="AO617" t="str">
        <f t="shared" ca="1" si="68"/>
        <v>No</v>
      </c>
      <c r="AP617" t="str">
        <f t="shared" si="69"/>
        <v>Low Risk</v>
      </c>
    </row>
    <row r="618" spans="1:42" x14ac:dyDescent="0.3">
      <c r="A618" s="5">
        <v>51</v>
      </c>
      <c r="B618" s="5" t="s">
        <v>43</v>
      </c>
      <c r="C618" s="5" t="str">
        <f t="shared" si="63"/>
        <v>No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 s="5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 s="5">
        <v>16307</v>
      </c>
      <c r="U618">
        <v>5594</v>
      </c>
      <c r="V618">
        <v>2</v>
      </c>
      <c r="W618" t="s">
        <v>42</v>
      </c>
      <c r="X618" t="s">
        <v>43</v>
      </c>
      <c r="Y618" t="str">
        <f t="shared" si="64"/>
        <v>No</v>
      </c>
      <c r="Z618">
        <v>14</v>
      </c>
      <c r="AA618">
        <v>3</v>
      </c>
      <c r="AB618">
        <v>3</v>
      </c>
      <c r="AC618">
        <v>80</v>
      </c>
      <c r="AD618">
        <v>1</v>
      </c>
      <c r="AE618" s="5">
        <v>29</v>
      </c>
      <c r="AF618" t="str">
        <f t="shared" si="65"/>
        <v>&gt;15</v>
      </c>
      <c r="AG618">
        <v>2</v>
      </c>
      <c r="AH618">
        <v>2</v>
      </c>
      <c r="AI618" s="5">
        <v>20</v>
      </c>
      <c r="AJ618">
        <v>6</v>
      </c>
      <c r="AK618">
        <v>4</v>
      </c>
      <c r="AL618">
        <v>17</v>
      </c>
      <c r="AM618" t="str">
        <f t="shared" si="66"/>
        <v>Ok</v>
      </c>
      <c r="AN618" s="21">
        <f t="shared" si="67"/>
        <v>28.30409356725146</v>
      </c>
      <c r="AO618" t="str">
        <f t="shared" ca="1" si="68"/>
        <v>No</v>
      </c>
      <c r="AP618" t="str">
        <f t="shared" si="69"/>
        <v>Low Risk</v>
      </c>
    </row>
    <row r="619" spans="1:42" x14ac:dyDescent="0.3">
      <c r="A619" s="5">
        <v>44</v>
      </c>
      <c r="B619" s="5" t="s">
        <v>43</v>
      </c>
      <c r="C619" s="5" t="str">
        <f t="shared" si="63"/>
        <v>No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 s="5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 s="5">
        <v>5933</v>
      </c>
      <c r="U619">
        <v>5197</v>
      </c>
      <c r="V619">
        <v>9</v>
      </c>
      <c r="W619" t="s">
        <v>42</v>
      </c>
      <c r="X619" t="s">
        <v>43</v>
      </c>
      <c r="Y619" t="str">
        <f t="shared" si="64"/>
        <v>No</v>
      </c>
      <c r="Z619">
        <v>12</v>
      </c>
      <c r="AA619">
        <v>3</v>
      </c>
      <c r="AB619">
        <v>4</v>
      </c>
      <c r="AC619">
        <v>80</v>
      </c>
      <c r="AD619">
        <v>0</v>
      </c>
      <c r="AE619" s="5">
        <v>10</v>
      </c>
      <c r="AF619" t="str">
        <f t="shared" si="65"/>
        <v>6-15</v>
      </c>
      <c r="AG619">
        <v>2</v>
      </c>
      <c r="AH619">
        <v>2</v>
      </c>
      <c r="AI619" s="5">
        <v>5</v>
      </c>
      <c r="AJ619">
        <v>2</v>
      </c>
      <c r="AK619">
        <v>2</v>
      </c>
      <c r="AL619">
        <v>3</v>
      </c>
      <c r="AM619" t="str">
        <f t="shared" si="66"/>
        <v>Below Avg</v>
      </c>
      <c r="AN619" s="21">
        <f t="shared" si="67"/>
        <v>28.337236533957842</v>
      </c>
      <c r="AO619" t="str">
        <f t="shared" ca="1" si="68"/>
        <v>No</v>
      </c>
      <c r="AP619" t="str">
        <f t="shared" si="69"/>
        <v>Low Risk</v>
      </c>
    </row>
    <row r="620" spans="1:42" x14ac:dyDescent="0.3">
      <c r="A620" s="5">
        <v>25</v>
      </c>
      <c r="B620" s="5" t="s">
        <v>43</v>
      </c>
      <c r="C620" s="5" t="str">
        <f t="shared" si="63"/>
        <v>No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 s="5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 s="5">
        <v>3424</v>
      </c>
      <c r="U620">
        <v>21632</v>
      </c>
      <c r="V620">
        <v>7</v>
      </c>
      <c r="W620" t="s">
        <v>42</v>
      </c>
      <c r="X620" t="s">
        <v>43</v>
      </c>
      <c r="Y620" t="str">
        <f t="shared" si="64"/>
        <v>No</v>
      </c>
      <c r="Z620">
        <v>13</v>
      </c>
      <c r="AA620">
        <v>3</v>
      </c>
      <c r="AB620">
        <v>3</v>
      </c>
      <c r="AC620">
        <v>80</v>
      </c>
      <c r="AD620">
        <v>0</v>
      </c>
      <c r="AE620" s="5">
        <v>6</v>
      </c>
      <c r="AF620" t="str">
        <f t="shared" si="65"/>
        <v>6-15</v>
      </c>
      <c r="AG620">
        <v>3</v>
      </c>
      <c r="AH620">
        <v>2</v>
      </c>
      <c r="AI620" s="5">
        <v>4</v>
      </c>
      <c r="AJ620">
        <v>3</v>
      </c>
      <c r="AK620">
        <v>0</v>
      </c>
      <c r="AL620">
        <v>1</v>
      </c>
      <c r="AM620" t="str">
        <f t="shared" si="66"/>
        <v>Below Avg</v>
      </c>
      <c r="AN620" s="21">
        <f t="shared" si="67"/>
        <v>28.370457209847601</v>
      </c>
      <c r="AO620" t="str">
        <f t="shared" ca="1" si="68"/>
        <v>No</v>
      </c>
      <c r="AP620" t="str">
        <f t="shared" si="69"/>
        <v>Low Risk</v>
      </c>
    </row>
    <row r="621" spans="1:42" x14ac:dyDescent="0.3">
      <c r="A621" s="5">
        <v>33</v>
      </c>
      <c r="B621" s="5" t="s">
        <v>43</v>
      </c>
      <c r="C621" s="5" t="str">
        <f t="shared" si="63"/>
        <v>No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 s="5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 s="5">
        <v>4037</v>
      </c>
      <c r="U621">
        <v>21816</v>
      </c>
      <c r="V621">
        <v>1</v>
      </c>
      <c r="W621" t="s">
        <v>42</v>
      </c>
      <c r="X621" t="s">
        <v>43</v>
      </c>
      <c r="Y621" t="str">
        <f t="shared" si="64"/>
        <v>No</v>
      </c>
      <c r="Z621">
        <v>22</v>
      </c>
      <c r="AA621">
        <v>4</v>
      </c>
      <c r="AB621">
        <v>1</v>
      </c>
      <c r="AC621">
        <v>80</v>
      </c>
      <c r="AD621">
        <v>1</v>
      </c>
      <c r="AE621" s="5">
        <v>9</v>
      </c>
      <c r="AF621" t="str">
        <f t="shared" si="65"/>
        <v>6-15</v>
      </c>
      <c r="AG621">
        <v>5</v>
      </c>
      <c r="AH621">
        <v>3</v>
      </c>
      <c r="AI621" s="5">
        <v>9</v>
      </c>
      <c r="AJ621">
        <v>8</v>
      </c>
      <c r="AK621">
        <v>0</v>
      </c>
      <c r="AL621">
        <v>8</v>
      </c>
      <c r="AM621" t="str">
        <f t="shared" si="66"/>
        <v>Below Avg</v>
      </c>
      <c r="AN621" s="21">
        <f t="shared" si="67"/>
        <v>28.4037558685446</v>
      </c>
      <c r="AO621" t="str">
        <f t="shared" ca="1" si="68"/>
        <v>No</v>
      </c>
      <c r="AP621" t="str">
        <f t="shared" si="69"/>
        <v>Low Risk</v>
      </c>
    </row>
    <row r="622" spans="1:42" x14ac:dyDescent="0.3">
      <c r="A622" s="5">
        <v>35</v>
      </c>
      <c r="B622" s="5" t="s">
        <v>43</v>
      </c>
      <c r="C622" s="5" t="str">
        <f t="shared" si="63"/>
        <v>No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 s="5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 s="5">
        <v>2559</v>
      </c>
      <c r="U622">
        <v>17852</v>
      </c>
      <c r="V622">
        <v>1</v>
      </c>
      <c r="W622" t="s">
        <v>42</v>
      </c>
      <c r="X622" t="s">
        <v>43</v>
      </c>
      <c r="Y622" t="str">
        <f t="shared" si="64"/>
        <v>No</v>
      </c>
      <c r="Z622">
        <v>11</v>
      </c>
      <c r="AA622">
        <v>3</v>
      </c>
      <c r="AB622">
        <v>4</v>
      </c>
      <c r="AC622">
        <v>80</v>
      </c>
      <c r="AD622">
        <v>0</v>
      </c>
      <c r="AE622" s="5">
        <v>6</v>
      </c>
      <c r="AF622" t="str">
        <f t="shared" si="65"/>
        <v>6-15</v>
      </c>
      <c r="AG622">
        <v>3</v>
      </c>
      <c r="AH622">
        <v>2</v>
      </c>
      <c r="AI622" s="5">
        <v>6</v>
      </c>
      <c r="AJ622">
        <v>5</v>
      </c>
      <c r="AK622">
        <v>1</v>
      </c>
      <c r="AL622">
        <v>1</v>
      </c>
      <c r="AM622" t="str">
        <f t="shared" si="66"/>
        <v>Below Avg</v>
      </c>
      <c r="AN622" s="21">
        <f t="shared" si="67"/>
        <v>28.437132784958873</v>
      </c>
      <c r="AO622" t="str">
        <f t="shared" ca="1" si="68"/>
        <v>No</v>
      </c>
      <c r="AP622" t="str">
        <f t="shared" si="69"/>
        <v>Low Risk</v>
      </c>
    </row>
    <row r="623" spans="1:42" x14ac:dyDescent="0.3">
      <c r="A623" s="5">
        <v>36</v>
      </c>
      <c r="B623" s="5" t="s">
        <v>43</v>
      </c>
      <c r="C623" s="5" t="str">
        <f t="shared" si="63"/>
        <v>No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 s="5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 s="5">
        <v>6201</v>
      </c>
      <c r="U623">
        <v>2823</v>
      </c>
      <c r="V623">
        <v>1</v>
      </c>
      <c r="W623" t="s">
        <v>42</v>
      </c>
      <c r="X623" t="s">
        <v>35</v>
      </c>
      <c r="Y623" t="str">
        <f t="shared" si="64"/>
        <v>Yes</v>
      </c>
      <c r="Z623">
        <v>14</v>
      </c>
      <c r="AA623">
        <v>3</v>
      </c>
      <c r="AB623">
        <v>4</v>
      </c>
      <c r="AC623">
        <v>80</v>
      </c>
      <c r="AD623">
        <v>1</v>
      </c>
      <c r="AE623" s="5">
        <v>18</v>
      </c>
      <c r="AF623" t="str">
        <f t="shared" si="65"/>
        <v>&gt;15</v>
      </c>
      <c r="AG623">
        <v>1</v>
      </c>
      <c r="AH623">
        <v>2</v>
      </c>
      <c r="AI623" s="5">
        <v>18</v>
      </c>
      <c r="AJ623">
        <v>14</v>
      </c>
      <c r="AK623">
        <v>4</v>
      </c>
      <c r="AL623">
        <v>11</v>
      </c>
      <c r="AM623" t="str">
        <f t="shared" si="66"/>
        <v>Below Avg</v>
      </c>
      <c r="AN623" s="21">
        <f t="shared" si="67"/>
        <v>28.47058823529412</v>
      </c>
      <c r="AO623" t="str">
        <f t="shared" ca="1" si="68"/>
        <v>No</v>
      </c>
      <c r="AP623" t="str">
        <f t="shared" si="69"/>
        <v>Low Risk</v>
      </c>
    </row>
    <row r="624" spans="1:42" x14ac:dyDescent="0.3">
      <c r="A624" s="5">
        <v>32</v>
      </c>
      <c r="B624" s="5" t="s">
        <v>43</v>
      </c>
      <c r="C624" s="5" t="str">
        <f t="shared" si="63"/>
        <v>No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 s="5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 s="5">
        <v>4403</v>
      </c>
      <c r="U624">
        <v>9250</v>
      </c>
      <c r="V624">
        <v>2</v>
      </c>
      <c r="W624" t="s">
        <v>42</v>
      </c>
      <c r="X624" t="s">
        <v>43</v>
      </c>
      <c r="Y624" t="str">
        <f t="shared" si="64"/>
        <v>No</v>
      </c>
      <c r="Z624">
        <v>11</v>
      </c>
      <c r="AA624">
        <v>3</v>
      </c>
      <c r="AB624">
        <v>3</v>
      </c>
      <c r="AC624">
        <v>80</v>
      </c>
      <c r="AD624">
        <v>1</v>
      </c>
      <c r="AE624" s="5">
        <v>8</v>
      </c>
      <c r="AF624" t="str">
        <f t="shared" si="65"/>
        <v>6-15</v>
      </c>
      <c r="AG624">
        <v>3</v>
      </c>
      <c r="AH624">
        <v>2</v>
      </c>
      <c r="AI624" s="5">
        <v>5</v>
      </c>
      <c r="AJ624">
        <v>2</v>
      </c>
      <c r="AK624">
        <v>0</v>
      </c>
      <c r="AL624">
        <v>3</v>
      </c>
      <c r="AM624" t="str">
        <f t="shared" si="66"/>
        <v>Below Avg</v>
      </c>
      <c r="AN624" s="21">
        <f t="shared" si="67"/>
        <v>28.504122497055363</v>
      </c>
      <c r="AO624" t="str">
        <f t="shared" ca="1" si="68"/>
        <v>No</v>
      </c>
      <c r="AP624" t="str">
        <f t="shared" si="69"/>
        <v>Low Risk</v>
      </c>
    </row>
    <row r="625" spans="1:42" x14ac:dyDescent="0.3">
      <c r="A625" s="5">
        <v>30</v>
      </c>
      <c r="B625" s="5" t="s">
        <v>43</v>
      </c>
      <c r="C625" s="5" t="str">
        <f t="shared" si="63"/>
        <v>No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 s="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 s="5">
        <v>3761</v>
      </c>
      <c r="U625">
        <v>2373</v>
      </c>
      <c r="V625">
        <v>9</v>
      </c>
      <c r="W625" t="s">
        <v>42</v>
      </c>
      <c r="X625" t="s">
        <v>43</v>
      </c>
      <c r="Y625" t="str">
        <f t="shared" si="64"/>
        <v>No</v>
      </c>
      <c r="Z625">
        <v>12</v>
      </c>
      <c r="AA625">
        <v>3</v>
      </c>
      <c r="AB625">
        <v>2</v>
      </c>
      <c r="AC625">
        <v>80</v>
      </c>
      <c r="AD625">
        <v>1</v>
      </c>
      <c r="AE625" s="5">
        <v>10</v>
      </c>
      <c r="AF625" t="str">
        <f t="shared" si="65"/>
        <v>6-15</v>
      </c>
      <c r="AG625">
        <v>3</v>
      </c>
      <c r="AH625">
        <v>2</v>
      </c>
      <c r="AI625" s="5">
        <v>5</v>
      </c>
      <c r="AJ625">
        <v>4</v>
      </c>
      <c r="AK625">
        <v>0</v>
      </c>
      <c r="AL625">
        <v>3</v>
      </c>
      <c r="AM625" t="str">
        <f t="shared" si="66"/>
        <v>Below Avg</v>
      </c>
      <c r="AN625" s="21">
        <f t="shared" si="67"/>
        <v>28.419811320754718</v>
      </c>
      <c r="AO625" t="str">
        <f t="shared" ca="1" si="68"/>
        <v>No</v>
      </c>
      <c r="AP625" t="str">
        <f t="shared" si="69"/>
        <v>Low Risk</v>
      </c>
    </row>
    <row r="626" spans="1:42" x14ac:dyDescent="0.3">
      <c r="A626" s="5">
        <v>53</v>
      </c>
      <c r="B626" s="5" t="s">
        <v>43</v>
      </c>
      <c r="C626" s="5" t="str">
        <f t="shared" si="63"/>
        <v>No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 s="5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 s="5">
        <v>10934</v>
      </c>
      <c r="U626">
        <v>20715</v>
      </c>
      <c r="V626">
        <v>7</v>
      </c>
      <c r="W626" t="s">
        <v>42</v>
      </c>
      <c r="X626" t="s">
        <v>35</v>
      </c>
      <c r="Y626" t="str">
        <f t="shared" si="64"/>
        <v>Yes</v>
      </c>
      <c r="Z626">
        <v>18</v>
      </c>
      <c r="AA626">
        <v>3</v>
      </c>
      <c r="AB626">
        <v>4</v>
      </c>
      <c r="AC626">
        <v>80</v>
      </c>
      <c r="AD626">
        <v>1</v>
      </c>
      <c r="AE626" s="5">
        <v>35</v>
      </c>
      <c r="AF626" t="str">
        <f t="shared" si="65"/>
        <v>&gt;15</v>
      </c>
      <c r="AG626">
        <v>3</v>
      </c>
      <c r="AH626">
        <v>3</v>
      </c>
      <c r="AI626" s="5">
        <v>5</v>
      </c>
      <c r="AJ626">
        <v>2</v>
      </c>
      <c r="AK626">
        <v>0</v>
      </c>
      <c r="AL626">
        <v>4</v>
      </c>
      <c r="AM626" t="str">
        <f t="shared" si="66"/>
        <v>Ok</v>
      </c>
      <c r="AN626" s="21">
        <f t="shared" si="67"/>
        <v>28.45336481700118</v>
      </c>
      <c r="AO626" t="str">
        <f t="shared" ca="1" si="68"/>
        <v>No</v>
      </c>
      <c r="AP626" t="str">
        <f t="shared" si="69"/>
        <v>Low Risk</v>
      </c>
    </row>
    <row r="627" spans="1:42" x14ac:dyDescent="0.3">
      <c r="A627" s="5">
        <v>45</v>
      </c>
      <c r="B627" s="5" t="s">
        <v>43</v>
      </c>
      <c r="C627" s="5" t="str">
        <f t="shared" si="63"/>
        <v>No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 s="5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 s="5">
        <v>10761</v>
      </c>
      <c r="U627">
        <v>19239</v>
      </c>
      <c r="V627">
        <v>4</v>
      </c>
      <c r="W627" t="s">
        <v>42</v>
      </c>
      <c r="X627" t="s">
        <v>35</v>
      </c>
      <c r="Y627" t="str">
        <f t="shared" si="64"/>
        <v>Yes</v>
      </c>
      <c r="Z627">
        <v>12</v>
      </c>
      <c r="AA627">
        <v>3</v>
      </c>
      <c r="AB627">
        <v>3</v>
      </c>
      <c r="AC627">
        <v>80</v>
      </c>
      <c r="AD627">
        <v>1</v>
      </c>
      <c r="AE627" s="5">
        <v>18</v>
      </c>
      <c r="AF627" t="str">
        <f t="shared" si="65"/>
        <v>&gt;15</v>
      </c>
      <c r="AG627">
        <v>2</v>
      </c>
      <c r="AH627">
        <v>3</v>
      </c>
      <c r="AI627" s="5">
        <v>5</v>
      </c>
      <c r="AJ627">
        <v>4</v>
      </c>
      <c r="AK627">
        <v>0</v>
      </c>
      <c r="AL627">
        <v>2</v>
      </c>
      <c r="AM627" t="str">
        <f t="shared" si="66"/>
        <v>Ok</v>
      </c>
      <c r="AN627" s="21">
        <f t="shared" si="67"/>
        <v>28.486997635933808</v>
      </c>
      <c r="AO627" t="str">
        <f t="shared" ca="1" si="68"/>
        <v>No</v>
      </c>
      <c r="AP627" t="str">
        <f t="shared" si="69"/>
        <v>Low Risk</v>
      </c>
    </row>
    <row r="628" spans="1:42" x14ac:dyDescent="0.3">
      <c r="A628" s="5">
        <v>32</v>
      </c>
      <c r="B628" s="5" t="s">
        <v>43</v>
      </c>
      <c r="C628" s="5" t="str">
        <f t="shared" si="63"/>
        <v>No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 s="5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 s="5">
        <v>5175</v>
      </c>
      <c r="U628">
        <v>22162</v>
      </c>
      <c r="V628">
        <v>5</v>
      </c>
      <c r="W628" t="s">
        <v>42</v>
      </c>
      <c r="X628" t="s">
        <v>43</v>
      </c>
      <c r="Y628" t="str">
        <f t="shared" si="64"/>
        <v>No</v>
      </c>
      <c r="Z628">
        <v>12</v>
      </c>
      <c r="AA628">
        <v>3</v>
      </c>
      <c r="AB628">
        <v>3</v>
      </c>
      <c r="AC628">
        <v>80</v>
      </c>
      <c r="AD628">
        <v>1</v>
      </c>
      <c r="AE628" s="5">
        <v>9</v>
      </c>
      <c r="AF628" t="str">
        <f t="shared" si="65"/>
        <v>6-15</v>
      </c>
      <c r="AG628">
        <v>3</v>
      </c>
      <c r="AH628">
        <v>2</v>
      </c>
      <c r="AI628" s="5">
        <v>5</v>
      </c>
      <c r="AJ628">
        <v>3</v>
      </c>
      <c r="AK628">
        <v>1</v>
      </c>
      <c r="AL628">
        <v>3</v>
      </c>
      <c r="AM628" t="str">
        <f t="shared" si="66"/>
        <v>Below Avg</v>
      </c>
      <c r="AN628" s="21">
        <f t="shared" si="67"/>
        <v>28.402366863905325</v>
      </c>
      <c r="AO628" t="str">
        <f t="shared" ca="1" si="68"/>
        <v>No</v>
      </c>
      <c r="AP628" t="str">
        <f t="shared" si="69"/>
        <v>Low Risk</v>
      </c>
    </row>
    <row r="629" spans="1:42" x14ac:dyDescent="0.3">
      <c r="A629" s="5">
        <v>52</v>
      </c>
      <c r="B629" s="5" t="s">
        <v>43</v>
      </c>
      <c r="C629" s="5" t="str">
        <f t="shared" si="63"/>
        <v>No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 s="5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 s="5">
        <v>13826</v>
      </c>
      <c r="U629">
        <v>19028</v>
      </c>
      <c r="V629">
        <v>3</v>
      </c>
      <c r="W629" t="s">
        <v>42</v>
      </c>
      <c r="X629" t="s">
        <v>43</v>
      </c>
      <c r="Y629" t="str">
        <f t="shared" si="64"/>
        <v>No</v>
      </c>
      <c r="Z629">
        <v>22</v>
      </c>
      <c r="AA629">
        <v>4</v>
      </c>
      <c r="AB629">
        <v>3</v>
      </c>
      <c r="AC629">
        <v>80</v>
      </c>
      <c r="AD629">
        <v>0</v>
      </c>
      <c r="AE629" s="5">
        <v>31</v>
      </c>
      <c r="AF629" t="str">
        <f t="shared" si="65"/>
        <v>&gt;15</v>
      </c>
      <c r="AG629">
        <v>3</v>
      </c>
      <c r="AH629">
        <v>3</v>
      </c>
      <c r="AI629" s="5">
        <v>9</v>
      </c>
      <c r="AJ629">
        <v>8</v>
      </c>
      <c r="AK629">
        <v>0</v>
      </c>
      <c r="AL629">
        <v>0</v>
      </c>
      <c r="AM629" t="str">
        <f t="shared" si="66"/>
        <v>Ok</v>
      </c>
      <c r="AN629" s="21">
        <f t="shared" si="67"/>
        <v>28.317535545023699</v>
      </c>
      <c r="AO629" t="str">
        <f t="shared" ca="1" si="68"/>
        <v>No</v>
      </c>
      <c r="AP629" t="str">
        <f t="shared" si="69"/>
        <v>Low Risk</v>
      </c>
    </row>
    <row r="630" spans="1:42" x14ac:dyDescent="0.3">
      <c r="A630" s="5">
        <v>37</v>
      </c>
      <c r="B630" s="5" t="s">
        <v>43</v>
      </c>
      <c r="C630" s="5" t="str">
        <f t="shared" si="63"/>
        <v>No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 s="5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 s="5">
        <v>6334</v>
      </c>
      <c r="U630">
        <v>24558</v>
      </c>
      <c r="V630">
        <v>4</v>
      </c>
      <c r="W630" t="s">
        <v>42</v>
      </c>
      <c r="X630" t="s">
        <v>43</v>
      </c>
      <c r="Y630" t="str">
        <f t="shared" si="64"/>
        <v>No</v>
      </c>
      <c r="Z630">
        <v>19</v>
      </c>
      <c r="AA630">
        <v>3</v>
      </c>
      <c r="AB630">
        <v>4</v>
      </c>
      <c r="AC630">
        <v>80</v>
      </c>
      <c r="AD630">
        <v>2</v>
      </c>
      <c r="AE630" s="5">
        <v>9</v>
      </c>
      <c r="AF630" t="str">
        <f t="shared" si="65"/>
        <v>6-15</v>
      </c>
      <c r="AG630">
        <v>2</v>
      </c>
      <c r="AH630">
        <v>3</v>
      </c>
      <c r="AI630" s="5">
        <v>1</v>
      </c>
      <c r="AJ630">
        <v>0</v>
      </c>
      <c r="AK630">
        <v>0</v>
      </c>
      <c r="AL630">
        <v>0</v>
      </c>
      <c r="AM630" t="str">
        <f t="shared" si="66"/>
        <v>Below Avg</v>
      </c>
      <c r="AN630" s="21">
        <f t="shared" si="67"/>
        <v>28.351126927639381</v>
      </c>
      <c r="AO630" t="str">
        <f t="shared" ca="1" si="68"/>
        <v>No</v>
      </c>
      <c r="AP630" t="str">
        <f t="shared" si="69"/>
        <v>Low Risk</v>
      </c>
    </row>
    <row r="631" spans="1:42" x14ac:dyDescent="0.3">
      <c r="A631" s="5">
        <v>28</v>
      </c>
      <c r="B631" s="5" t="s">
        <v>43</v>
      </c>
      <c r="C631" s="5" t="str">
        <f t="shared" si="63"/>
        <v>No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 s="5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 s="5">
        <v>4936</v>
      </c>
      <c r="U631">
        <v>23965</v>
      </c>
      <c r="V631">
        <v>1</v>
      </c>
      <c r="W631" t="s">
        <v>42</v>
      </c>
      <c r="X631" t="s">
        <v>43</v>
      </c>
      <c r="Y631" t="str">
        <f t="shared" si="64"/>
        <v>No</v>
      </c>
      <c r="Z631">
        <v>13</v>
      </c>
      <c r="AA631">
        <v>3</v>
      </c>
      <c r="AB631">
        <v>4</v>
      </c>
      <c r="AC631">
        <v>80</v>
      </c>
      <c r="AD631">
        <v>1</v>
      </c>
      <c r="AE631" s="5">
        <v>6</v>
      </c>
      <c r="AF631" t="str">
        <f t="shared" si="65"/>
        <v>6-15</v>
      </c>
      <c r="AG631">
        <v>6</v>
      </c>
      <c r="AH631">
        <v>3</v>
      </c>
      <c r="AI631" s="5">
        <v>5</v>
      </c>
      <c r="AJ631">
        <v>1</v>
      </c>
      <c r="AK631">
        <v>0</v>
      </c>
      <c r="AL631">
        <v>4</v>
      </c>
      <c r="AM631" t="str">
        <f t="shared" si="66"/>
        <v>Below Avg</v>
      </c>
      <c r="AN631" s="21">
        <f t="shared" si="67"/>
        <v>28.38479809976247</v>
      </c>
      <c r="AO631" t="str">
        <f t="shared" ca="1" si="68"/>
        <v>No</v>
      </c>
      <c r="AP631" t="str">
        <f t="shared" si="69"/>
        <v>Low Risk</v>
      </c>
    </row>
    <row r="632" spans="1:42" x14ac:dyDescent="0.3">
      <c r="A632" s="5">
        <v>22</v>
      </c>
      <c r="B632" s="5" t="s">
        <v>43</v>
      </c>
      <c r="C632" s="5" t="str">
        <f t="shared" si="63"/>
        <v>No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 s="5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 s="5">
        <v>4775</v>
      </c>
      <c r="U632">
        <v>19146</v>
      </c>
      <c r="V632">
        <v>6</v>
      </c>
      <c r="W632" t="s">
        <v>42</v>
      </c>
      <c r="X632" t="s">
        <v>43</v>
      </c>
      <c r="Y632" t="str">
        <f t="shared" si="64"/>
        <v>No</v>
      </c>
      <c r="Z632">
        <v>22</v>
      </c>
      <c r="AA632">
        <v>4</v>
      </c>
      <c r="AB632">
        <v>1</v>
      </c>
      <c r="AC632">
        <v>80</v>
      </c>
      <c r="AD632">
        <v>2</v>
      </c>
      <c r="AE632" s="5">
        <v>4</v>
      </c>
      <c r="AF632" t="str">
        <f t="shared" si="65"/>
        <v>0-5</v>
      </c>
      <c r="AG632">
        <v>2</v>
      </c>
      <c r="AH632">
        <v>1</v>
      </c>
      <c r="AI632" s="5">
        <v>2</v>
      </c>
      <c r="AJ632">
        <v>2</v>
      </c>
      <c r="AK632">
        <v>2</v>
      </c>
      <c r="AL632">
        <v>2</v>
      </c>
      <c r="AM632" t="str">
        <f t="shared" si="66"/>
        <v>Below Avg</v>
      </c>
      <c r="AN632" s="21">
        <f t="shared" si="67"/>
        <v>28.418549346016647</v>
      </c>
      <c r="AO632" t="str">
        <f t="shared" ca="1" si="68"/>
        <v>No</v>
      </c>
      <c r="AP632" t="str">
        <f t="shared" si="69"/>
        <v>Low Risk</v>
      </c>
    </row>
    <row r="633" spans="1:42" x14ac:dyDescent="0.3">
      <c r="A633" s="5">
        <v>44</v>
      </c>
      <c r="B633" s="5" t="s">
        <v>43</v>
      </c>
      <c r="C633" s="5" t="str">
        <f t="shared" si="63"/>
        <v>No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 s="5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 s="5">
        <v>2818</v>
      </c>
      <c r="U633">
        <v>5044</v>
      </c>
      <c r="V633">
        <v>2</v>
      </c>
      <c r="W633" t="s">
        <v>42</v>
      </c>
      <c r="X633" t="s">
        <v>35</v>
      </c>
      <c r="Y633" t="str">
        <f t="shared" si="64"/>
        <v>Yes</v>
      </c>
      <c r="Z633">
        <v>24</v>
      </c>
      <c r="AA633">
        <v>4</v>
      </c>
      <c r="AB633">
        <v>3</v>
      </c>
      <c r="AC633">
        <v>80</v>
      </c>
      <c r="AD633">
        <v>1</v>
      </c>
      <c r="AE633" s="5">
        <v>10</v>
      </c>
      <c r="AF633" t="str">
        <f t="shared" si="65"/>
        <v>6-15</v>
      </c>
      <c r="AG633">
        <v>2</v>
      </c>
      <c r="AH633">
        <v>2</v>
      </c>
      <c r="AI633" s="5">
        <v>3</v>
      </c>
      <c r="AJ633">
        <v>2</v>
      </c>
      <c r="AK633">
        <v>0</v>
      </c>
      <c r="AL633">
        <v>2</v>
      </c>
      <c r="AM633" t="str">
        <f t="shared" si="66"/>
        <v>Below Avg</v>
      </c>
      <c r="AN633" s="21">
        <f t="shared" si="67"/>
        <v>28.452380952380953</v>
      </c>
      <c r="AO633" t="str">
        <f t="shared" ca="1" si="68"/>
        <v>No</v>
      </c>
      <c r="AP633" t="str">
        <f t="shared" si="69"/>
        <v>Low Risk</v>
      </c>
    </row>
    <row r="634" spans="1:42" x14ac:dyDescent="0.3">
      <c r="A634" s="5">
        <v>42</v>
      </c>
      <c r="B634" s="5" t="s">
        <v>43</v>
      </c>
      <c r="C634" s="5" t="str">
        <f t="shared" si="63"/>
        <v>No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 s="5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 s="5">
        <v>2515</v>
      </c>
      <c r="U634">
        <v>9068</v>
      </c>
      <c r="V634">
        <v>5</v>
      </c>
      <c r="W634" t="s">
        <v>42</v>
      </c>
      <c r="X634" t="s">
        <v>35</v>
      </c>
      <c r="Y634" t="str">
        <f t="shared" si="64"/>
        <v>Yes</v>
      </c>
      <c r="Z634">
        <v>14</v>
      </c>
      <c r="AA634">
        <v>3</v>
      </c>
      <c r="AB634">
        <v>4</v>
      </c>
      <c r="AC634">
        <v>80</v>
      </c>
      <c r="AD634">
        <v>0</v>
      </c>
      <c r="AE634" s="5">
        <v>8</v>
      </c>
      <c r="AF634" t="str">
        <f t="shared" si="65"/>
        <v>6-15</v>
      </c>
      <c r="AG634">
        <v>2</v>
      </c>
      <c r="AH634">
        <v>3</v>
      </c>
      <c r="AI634" s="5">
        <v>2</v>
      </c>
      <c r="AJ634">
        <v>1</v>
      </c>
      <c r="AK634">
        <v>2</v>
      </c>
      <c r="AL634">
        <v>2</v>
      </c>
      <c r="AM634" t="str">
        <f t="shared" si="66"/>
        <v>Below Avg</v>
      </c>
      <c r="AN634" s="21">
        <f t="shared" si="67"/>
        <v>28.486293206197853</v>
      </c>
      <c r="AO634" t="str">
        <f t="shared" ca="1" si="68"/>
        <v>No</v>
      </c>
      <c r="AP634" t="str">
        <f t="shared" si="69"/>
        <v>Low Risk</v>
      </c>
    </row>
    <row r="635" spans="1:42" x14ac:dyDescent="0.3">
      <c r="A635" s="5">
        <v>36</v>
      </c>
      <c r="B635" s="5" t="s">
        <v>43</v>
      </c>
      <c r="C635" s="5" t="str">
        <f t="shared" si="63"/>
        <v>No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 s="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 s="5">
        <v>2342</v>
      </c>
      <c r="U635">
        <v>8635</v>
      </c>
      <c r="V635">
        <v>0</v>
      </c>
      <c r="W635" t="s">
        <v>42</v>
      </c>
      <c r="X635" t="s">
        <v>43</v>
      </c>
      <c r="Y635" t="str">
        <f t="shared" si="64"/>
        <v>No</v>
      </c>
      <c r="Z635">
        <v>21</v>
      </c>
      <c r="AA635">
        <v>4</v>
      </c>
      <c r="AB635">
        <v>3</v>
      </c>
      <c r="AC635">
        <v>80</v>
      </c>
      <c r="AD635">
        <v>0</v>
      </c>
      <c r="AE635" s="5">
        <v>6</v>
      </c>
      <c r="AF635" t="str">
        <f t="shared" si="65"/>
        <v>6-15</v>
      </c>
      <c r="AG635">
        <v>3</v>
      </c>
      <c r="AH635">
        <v>3</v>
      </c>
      <c r="AI635" s="5">
        <v>5</v>
      </c>
      <c r="AJ635">
        <v>4</v>
      </c>
      <c r="AK635">
        <v>0</v>
      </c>
      <c r="AL635">
        <v>3</v>
      </c>
      <c r="AM635" t="str">
        <f t="shared" si="66"/>
        <v>Below Avg</v>
      </c>
      <c r="AN635" s="21">
        <f t="shared" si="67"/>
        <v>28.400954653937948</v>
      </c>
      <c r="AO635" t="str">
        <f t="shared" ca="1" si="68"/>
        <v>No</v>
      </c>
      <c r="AP635" t="str">
        <f t="shared" si="69"/>
        <v>Low Risk</v>
      </c>
    </row>
    <row r="636" spans="1:42" x14ac:dyDescent="0.3">
      <c r="A636" s="5">
        <v>25</v>
      </c>
      <c r="B636" s="5" t="s">
        <v>43</v>
      </c>
      <c r="C636" s="5" t="str">
        <f t="shared" si="63"/>
        <v>No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 s="5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 s="5">
        <v>4194</v>
      </c>
      <c r="U636">
        <v>14363</v>
      </c>
      <c r="V636">
        <v>1</v>
      </c>
      <c r="W636" t="s">
        <v>42</v>
      </c>
      <c r="X636" t="s">
        <v>35</v>
      </c>
      <c r="Y636" t="str">
        <f t="shared" si="64"/>
        <v>Yes</v>
      </c>
      <c r="Z636">
        <v>18</v>
      </c>
      <c r="AA636">
        <v>3</v>
      </c>
      <c r="AB636">
        <v>4</v>
      </c>
      <c r="AC636">
        <v>80</v>
      </c>
      <c r="AD636">
        <v>0</v>
      </c>
      <c r="AE636" s="5">
        <v>5</v>
      </c>
      <c r="AF636" t="str">
        <f t="shared" si="65"/>
        <v>0-5</v>
      </c>
      <c r="AG636">
        <v>3</v>
      </c>
      <c r="AH636">
        <v>3</v>
      </c>
      <c r="AI636" s="5">
        <v>5</v>
      </c>
      <c r="AJ636">
        <v>3</v>
      </c>
      <c r="AK636">
        <v>0</v>
      </c>
      <c r="AL636">
        <v>3</v>
      </c>
      <c r="AM636" t="str">
        <f t="shared" si="66"/>
        <v>Below Avg</v>
      </c>
      <c r="AN636" s="21">
        <f t="shared" si="67"/>
        <v>28.31541218637993</v>
      </c>
      <c r="AO636" t="str">
        <f t="shared" ca="1" si="68"/>
        <v>No</v>
      </c>
      <c r="AP636" t="str">
        <f t="shared" si="69"/>
        <v>Low Risk</v>
      </c>
    </row>
    <row r="637" spans="1:42" x14ac:dyDescent="0.3">
      <c r="A637" s="5">
        <v>35</v>
      </c>
      <c r="B637" s="5" t="s">
        <v>43</v>
      </c>
      <c r="C637" s="5" t="str">
        <f t="shared" si="63"/>
        <v>No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 s="5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 s="5">
        <v>10685</v>
      </c>
      <c r="U637">
        <v>23457</v>
      </c>
      <c r="V637">
        <v>1</v>
      </c>
      <c r="W637" t="s">
        <v>42</v>
      </c>
      <c r="X637" t="s">
        <v>35</v>
      </c>
      <c r="Y637" t="str">
        <f t="shared" si="64"/>
        <v>Yes</v>
      </c>
      <c r="Z637">
        <v>20</v>
      </c>
      <c r="AA637">
        <v>4</v>
      </c>
      <c r="AB637">
        <v>2</v>
      </c>
      <c r="AC637">
        <v>80</v>
      </c>
      <c r="AD637">
        <v>1</v>
      </c>
      <c r="AE637" s="5">
        <v>17</v>
      </c>
      <c r="AF637" t="str">
        <f t="shared" si="65"/>
        <v>&gt;15</v>
      </c>
      <c r="AG637">
        <v>2</v>
      </c>
      <c r="AH637">
        <v>3</v>
      </c>
      <c r="AI637" s="5">
        <v>17</v>
      </c>
      <c r="AJ637">
        <v>14</v>
      </c>
      <c r="AK637">
        <v>5</v>
      </c>
      <c r="AL637">
        <v>15</v>
      </c>
      <c r="AM637" t="str">
        <f t="shared" si="66"/>
        <v>Ok</v>
      </c>
      <c r="AN637" s="21">
        <f t="shared" si="67"/>
        <v>28.349282296650717</v>
      </c>
      <c r="AO637" t="str">
        <f t="shared" ca="1" si="68"/>
        <v>No</v>
      </c>
      <c r="AP637" t="str">
        <f t="shared" si="69"/>
        <v>Low Risk</v>
      </c>
    </row>
    <row r="638" spans="1:42" x14ac:dyDescent="0.3">
      <c r="A638" s="5">
        <v>35</v>
      </c>
      <c r="B638" s="5" t="s">
        <v>35</v>
      </c>
      <c r="C638" s="5" t="str">
        <f t="shared" si="63"/>
        <v>Yes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 s="5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 s="5">
        <v>2022</v>
      </c>
      <c r="U638">
        <v>16612</v>
      </c>
      <c r="V638">
        <v>1</v>
      </c>
      <c r="W638" t="s">
        <v>42</v>
      </c>
      <c r="X638" t="s">
        <v>35</v>
      </c>
      <c r="Y638" t="str">
        <f t="shared" si="64"/>
        <v>Yes</v>
      </c>
      <c r="Z638">
        <v>19</v>
      </c>
      <c r="AA638">
        <v>3</v>
      </c>
      <c r="AB638">
        <v>1</v>
      </c>
      <c r="AC638">
        <v>80</v>
      </c>
      <c r="AD638">
        <v>1</v>
      </c>
      <c r="AE638" s="5">
        <v>10</v>
      </c>
      <c r="AF638" t="str">
        <f t="shared" si="65"/>
        <v>6-15</v>
      </c>
      <c r="AG638">
        <v>3</v>
      </c>
      <c r="AH638">
        <v>2</v>
      </c>
      <c r="AI638" s="5">
        <v>10</v>
      </c>
      <c r="AJ638">
        <v>2</v>
      </c>
      <c r="AK638">
        <v>7</v>
      </c>
      <c r="AL638">
        <v>8</v>
      </c>
      <c r="AM638" t="str">
        <f t="shared" si="66"/>
        <v>Below Avg</v>
      </c>
      <c r="AN638" s="21">
        <f t="shared" si="67"/>
        <v>28.263473053892213</v>
      </c>
      <c r="AO638" t="str">
        <f t="shared" ca="1" si="68"/>
        <v>No</v>
      </c>
      <c r="AP638" t="str">
        <f t="shared" si="69"/>
        <v>Low Risk</v>
      </c>
    </row>
    <row r="639" spans="1:42" x14ac:dyDescent="0.3">
      <c r="A639" s="5">
        <v>32</v>
      </c>
      <c r="B639" s="5" t="s">
        <v>43</v>
      </c>
      <c r="C639" s="5" t="str">
        <f t="shared" si="63"/>
        <v>No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 s="5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 s="5">
        <v>2314</v>
      </c>
      <c r="U639">
        <v>9148</v>
      </c>
      <c r="V639">
        <v>0</v>
      </c>
      <c r="W639" t="s">
        <v>42</v>
      </c>
      <c r="X639" t="s">
        <v>43</v>
      </c>
      <c r="Y639" t="str">
        <f t="shared" si="64"/>
        <v>No</v>
      </c>
      <c r="Z639">
        <v>12</v>
      </c>
      <c r="AA639">
        <v>3</v>
      </c>
      <c r="AB639">
        <v>2</v>
      </c>
      <c r="AC639">
        <v>80</v>
      </c>
      <c r="AD639">
        <v>1</v>
      </c>
      <c r="AE639" s="5">
        <v>4</v>
      </c>
      <c r="AF639" t="str">
        <f t="shared" si="65"/>
        <v>0-5</v>
      </c>
      <c r="AG639">
        <v>2</v>
      </c>
      <c r="AH639">
        <v>3</v>
      </c>
      <c r="AI639" s="5">
        <v>3</v>
      </c>
      <c r="AJ639">
        <v>0</v>
      </c>
      <c r="AK639">
        <v>0</v>
      </c>
      <c r="AL639">
        <v>2</v>
      </c>
      <c r="AM639" t="str">
        <f t="shared" si="66"/>
        <v>Below Avg</v>
      </c>
      <c r="AN639" s="21">
        <f t="shared" si="67"/>
        <v>28.177458033573146</v>
      </c>
      <c r="AO639" t="str">
        <f t="shared" ca="1" si="68"/>
        <v>No</v>
      </c>
      <c r="AP639" t="str">
        <f t="shared" si="69"/>
        <v>Low Risk</v>
      </c>
    </row>
    <row r="640" spans="1:42" x14ac:dyDescent="0.3">
      <c r="A640" s="5">
        <v>25</v>
      </c>
      <c r="B640" s="5" t="s">
        <v>43</v>
      </c>
      <c r="C640" s="5" t="str">
        <f t="shared" si="63"/>
        <v>No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 s="5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 s="5">
        <v>4256</v>
      </c>
      <c r="U640">
        <v>18154</v>
      </c>
      <c r="V640">
        <v>1</v>
      </c>
      <c r="W640" t="s">
        <v>42</v>
      </c>
      <c r="X640" t="s">
        <v>43</v>
      </c>
      <c r="Y640" t="str">
        <f t="shared" si="64"/>
        <v>No</v>
      </c>
      <c r="Z640">
        <v>12</v>
      </c>
      <c r="AA640">
        <v>3</v>
      </c>
      <c r="AB640">
        <v>1</v>
      </c>
      <c r="AC640">
        <v>80</v>
      </c>
      <c r="AD640">
        <v>0</v>
      </c>
      <c r="AE640" s="5">
        <v>5</v>
      </c>
      <c r="AF640" t="str">
        <f t="shared" si="65"/>
        <v>0-5</v>
      </c>
      <c r="AG640">
        <v>1</v>
      </c>
      <c r="AH640">
        <v>4</v>
      </c>
      <c r="AI640" s="5">
        <v>5</v>
      </c>
      <c r="AJ640">
        <v>2</v>
      </c>
      <c r="AK640">
        <v>0</v>
      </c>
      <c r="AL640">
        <v>3</v>
      </c>
      <c r="AM640" t="str">
        <f t="shared" si="66"/>
        <v>Below Avg</v>
      </c>
      <c r="AN640" s="21">
        <f t="shared" si="67"/>
        <v>28.091236494597837</v>
      </c>
      <c r="AO640" t="str">
        <f t="shared" ca="1" si="68"/>
        <v>No</v>
      </c>
      <c r="AP640" t="str">
        <f t="shared" si="69"/>
        <v>Low Risk</v>
      </c>
    </row>
    <row r="641" spans="1:42" x14ac:dyDescent="0.3">
      <c r="A641" s="5">
        <v>49</v>
      </c>
      <c r="B641" s="5" t="s">
        <v>43</v>
      </c>
      <c r="C641" s="5" t="str">
        <f t="shared" si="63"/>
        <v>No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 s="5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 s="5">
        <v>3580</v>
      </c>
      <c r="U641">
        <v>10554</v>
      </c>
      <c r="V641">
        <v>2</v>
      </c>
      <c r="W641" t="s">
        <v>42</v>
      </c>
      <c r="X641" t="s">
        <v>43</v>
      </c>
      <c r="Y641" t="str">
        <f t="shared" si="64"/>
        <v>No</v>
      </c>
      <c r="Z641">
        <v>16</v>
      </c>
      <c r="AA641">
        <v>3</v>
      </c>
      <c r="AB641">
        <v>2</v>
      </c>
      <c r="AC641">
        <v>80</v>
      </c>
      <c r="AD641">
        <v>1</v>
      </c>
      <c r="AE641" s="5">
        <v>7</v>
      </c>
      <c r="AF641" t="str">
        <f t="shared" si="65"/>
        <v>6-15</v>
      </c>
      <c r="AG641">
        <v>2</v>
      </c>
      <c r="AH641">
        <v>3</v>
      </c>
      <c r="AI641" s="5">
        <v>4</v>
      </c>
      <c r="AJ641">
        <v>2</v>
      </c>
      <c r="AK641">
        <v>0</v>
      </c>
      <c r="AL641">
        <v>2</v>
      </c>
      <c r="AM641" t="str">
        <f t="shared" si="66"/>
        <v>Below Avg</v>
      </c>
      <c r="AN641" s="21">
        <f t="shared" si="67"/>
        <v>28.125</v>
      </c>
      <c r="AO641" t="str">
        <f t="shared" ca="1" si="68"/>
        <v>No</v>
      </c>
      <c r="AP641" t="str">
        <f t="shared" si="69"/>
        <v>Low Risk</v>
      </c>
    </row>
    <row r="642" spans="1:42" x14ac:dyDescent="0.3">
      <c r="A642" s="5">
        <v>24</v>
      </c>
      <c r="B642" s="5" t="s">
        <v>43</v>
      </c>
      <c r="C642" s="5" t="str">
        <f t="shared" si="63"/>
        <v>No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 s="5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 s="5">
        <v>3162</v>
      </c>
      <c r="U642">
        <v>10778</v>
      </c>
      <c r="V642">
        <v>0</v>
      </c>
      <c r="W642" t="s">
        <v>42</v>
      </c>
      <c r="X642" t="s">
        <v>43</v>
      </c>
      <c r="Y642" t="str">
        <f t="shared" si="64"/>
        <v>No</v>
      </c>
      <c r="Z642">
        <v>17</v>
      </c>
      <c r="AA642">
        <v>3</v>
      </c>
      <c r="AB642">
        <v>4</v>
      </c>
      <c r="AC642">
        <v>80</v>
      </c>
      <c r="AD642">
        <v>0</v>
      </c>
      <c r="AE642" s="5">
        <v>6</v>
      </c>
      <c r="AF642" t="str">
        <f t="shared" si="65"/>
        <v>6-15</v>
      </c>
      <c r="AG642">
        <v>2</v>
      </c>
      <c r="AH642">
        <v>2</v>
      </c>
      <c r="AI642" s="5">
        <v>5</v>
      </c>
      <c r="AJ642">
        <v>2</v>
      </c>
      <c r="AK642">
        <v>3</v>
      </c>
      <c r="AL642">
        <v>4</v>
      </c>
      <c r="AM642" t="str">
        <f t="shared" si="66"/>
        <v>Below Avg</v>
      </c>
      <c r="AN642" s="21">
        <f t="shared" si="67"/>
        <v>28.158844765342963</v>
      </c>
      <c r="AO642" t="str">
        <f t="shared" ca="1" si="68"/>
        <v>No</v>
      </c>
      <c r="AP642" t="str">
        <f t="shared" si="69"/>
        <v>Low Risk</v>
      </c>
    </row>
    <row r="643" spans="1:42" x14ac:dyDescent="0.3">
      <c r="A643" s="5">
        <v>32</v>
      </c>
      <c r="B643" s="5" t="s">
        <v>43</v>
      </c>
      <c r="C643" s="5" t="str">
        <f t="shared" ref="C643:C706" si="70">IF(LOWER(B643)="yes","Yes","No")</f>
        <v>No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 s="5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 s="5">
        <v>6524</v>
      </c>
      <c r="U643">
        <v>8891</v>
      </c>
      <c r="V643">
        <v>1</v>
      </c>
      <c r="W643" t="s">
        <v>42</v>
      </c>
      <c r="X643" t="s">
        <v>43</v>
      </c>
      <c r="Y643" t="str">
        <f t="shared" ref="Y643:Y706" si="71">IF(LOWER(X643)="yes","Yes","No")</f>
        <v>No</v>
      </c>
      <c r="Z643">
        <v>14</v>
      </c>
      <c r="AA643">
        <v>3</v>
      </c>
      <c r="AB643">
        <v>4</v>
      </c>
      <c r="AC643">
        <v>80</v>
      </c>
      <c r="AD643">
        <v>1</v>
      </c>
      <c r="AE643" s="5">
        <v>10</v>
      </c>
      <c r="AF643" t="str">
        <f t="shared" ref="AF643:AF706" si="72">IF(AE643&lt;=5,"0-5",IF(AE643&lt;=15,"6-15","&gt;15"))</f>
        <v>6-15</v>
      </c>
      <c r="AG643">
        <v>3</v>
      </c>
      <c r="AH643">
        <v>3</v>
      </c>
      <c r="AI643" s="5">
        <v>10</v>
      </c>
      <c r="AJ643">
        <v>8</v>
      </c>
      <c r="AK643">
        <v>5</v>
      </c>
      <c r="AL643">
        <v>3</v>
      </c>
      <c r="AM643" t="str">
        <f t="shared" ref="AM643:AM706" si="73">IF(T643&lt;AVERAGEIF($F642:$F2112,F643,$T642:$T2112),"Below Avg","Ok")</f>
        <v>Below Avg</v>
      </c>
      <c r="AN643" s="21">
        <f t="shared" ref="AN643:AN706" si="74">COUNTIF(X642:X2112,"Yes")/COUNTA(X642:X2112)*100</f>
        <v>28.192771084337348</v>
      </c>
      <c r="AO643" t="str">
        <f t="shared" ref="AO643:AO706" ca="1" si="75">IF(AND(AA643&gt;=4,Z643&lt;AVERAGEIF($F642:$F2112,F643,$Z643:$Z2112)),"Yes","No")</f>
        <v>No</v>
      </c>
      <c r="AP643" t="str">
        <f t="shared" ref="AP643:AP706" si="76">IF(AND(AI643&lt;2,C643="Yes"),"High Risk","Low Risk")</f>
        <v>Low Risk</v>
      </c>
    </row>
    <row r="644" spans="1:42" x14ac:dyDescent="0.3">
      <c r="A644" s="5">
        <v>38</v>
      </c>
      <c r="B644" s="5" t="s">
        <v>43</v>
      </c>
      <c r="C644" s="5" t="str">
        <f t="shared" si="70"/>
        <v>No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 s="5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 s="5">
        <v>2899</v>
      </c>
      <c r="U644">
        <v>12102</v>
      </c>
      <c r="V644">
        <v>0</v>
      </c>
      <c r="W644" t="s">
        <v>42</v>
      </c>
      <c r="X644" t="s">
        <v>43</v>
      </c>
      <c r="Y644" t="str">
        <f t="shared" si="71"/>
        <v>No</v>
      </c>
      <c r="Z644">
        <v>19</v>
      </c>
      <c r="AA644">
        <v>3</v>
      </c>
      <c r="AB644">
        <v>4</v>
      </c>
      <c r="AC644">
        <v>80</v>
      </c>
      <c r="AD644">
        <v>1</v>
      </c>
      <c r="AE644" s="5">
        <v>3</v>
      </c>
      <c r="AF644" t="str">
        <f t="shared" si="72"/>
        <v>0-5</v>
      </c>
      <c r="AG644">
        <v>3</v>
      </c>
      <c r="AH644">
        <v>3</v>
      </c>
      <c r="AI644" s="5">
        <v>2</v>
      </c>
      <c r="AJ644">
        <v>2</v>
      </c>
      <c r="AK644">
        <v>1</v>
      </c>
      <c r="AL644">
        <v>2</v>
      </c>
      <c r="AM644" t="str">
        <f t="shared" si="73"/>
        <v>Below Avg</v>
      </c>
      <c r="AN644" s="21">
        <f t="shared" si="74"/>
        <v>28.22677925211098</v>
      </c>
      <c r="AO644" t="str">
        <f t="shared" ca="1" si="75"/>
        <v>No</v>
      </c>
      <c r="AP644" t="str">
        <f t="shared" si="76"/>
        <v>Low Risk</v>
      </c>
    </row>
    <row r="645" spans="1:42" x14ac:dyDescent="0.3">
      <c r="A645" s="5">
        <v>42</v>
      </c>
      <c r="B645" s="5" t="s">
        <v>43</v>
      </c>
      <c r="C645" s="5" t="str">
        <f t="shared" si="70"/>
        <v>No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 s="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 s="5">
        <v>5231</v>
      </c>
      <c r="U645">
        <v>23726</v>
      </c>
      <c r="V645">
        <v>2</v>
      </c>
      <c r="W645" t="s">
        <v>42</v>
      </c>
      <c r="X645" t="s">
        <v>35</v>
      </c>
      <c r="Y645" t="str">
        <f t="shared" si="71"/>
        <v>Yes</v>
      </c>
      <c r="Z645">
        <v>13</v>
      </c>
      <c r="AA645">
        <v>3</v>
      </c>
      <c r="AB645">
        <v>2</v>
      </c>
      <c r="AC645">
        <v>80</v>
      </c>
      <c r="AD645">
        <v>1</v>
      </c>
      <c r="AE645" s="5">
        <v>17</v>
      </c>
      <c r="AF645" t="str">
        <f t="shared" si="72"/>
        <v>&gt;15</v>
      </c>
      <c r="AG645">
        <v>1</v>
      </c>
      <c r="AH645">
        <v>2</v>
      </c>
      <c r="AI645" s="5">
        <v>5</v>
      </c>
      <c r="AJ645">
        <v>3</v>
      </c>
      <c r="AK645">
        <v>1</v>
      </c>
      <c r="AL645">
        <v>3</v>
      </c>
      <c r="AM645" t="str">
        <f t="shared" si="73"/>
        <v>Below Avg</v>
      </c>
      <c r="AN645" s="21">
        <f t="shared" si="74"/>
        <v>28.260869565217391</v>
      </c>
      <c r="AO645" t="str">
        <f t="shared" ca="1" si="75"/>
        <v>No</v>
      </c>
      <c r="AP645" t="str">
        <f t="shared" si="76"/>
        <v>Low Risk</v>
      </c>
    </row>
    <row r="646" spans="1:42" x14ac:dyDescent="0.3">
      <c r="A646" s="5">
        <v>31</v>
      </c>
      <c r="B646" s="5" t="s">
        <v>43</v>
      </c>
      <c r="C646" s="5" t="str">
        <f t="shared" si="70"/>
        <v>No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 s="5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 s="5">
        <v>2356</v>
      </c>
      <c r="U646">
        <v>14871</v>
      </c>
      <c r="V646">
        <v>3</v>
      </c>
      <c r="W646" t="s">
        <v>42</v>
      </c>
      <c r="X646" t="s">
        <v>35</v>
      </c>
      <c r="Y646" t="str">
        <f t="shared" si="71"/>
        <v>Yes</v>
      </c>
      <c r="Z646">
        <v>19</v>
      </c>
      <c r="AA646">
        <v>3</v>
      </c>
      <c r="AB646">
        <v>2</v>
      </c>
      <c r="AC646">
        <v>80</v>
      </c>
      <c r="AD646">
        <v>1</v>
      </c>
      <c r="AE646" s="5">
        <v>8</v>
      </c>
      <c r="AF646" t="str">
        <f t="shared" si="72"/>
        <v>6-15</v>
      </c>
      <c r="AG646">
        <v>2</v>
      </c>
      <c r="AH646">
        <v>3</v>
      </c>
      <c r="AI646" s="5">
        <v>6</v>
      </c>
      <c r="AJ646">
        <v>4</v>
      </c>
      <c r="AK646">
        <v>0</v>
      </c>
      <c r="AL646">
        <v>2</v>
      </c>
      <c r="AM646" t="str">
        <f t="shared" si="73"/>
        <v>Below Avg</v>
      </c>
      <c r="AN646" s="21">
        <f t="shared" si="74"/>
        <v>28.295042321644498</v>
      </c>
      <c r="AO646" t="str">
        <f t="shared" ca="1" si="75"/>
        <v>No</v>
      </c>
      <c r="AP646" t="str">
        <f t="shared" si="76"/>
        <v>Low Risk</v>
      </c>
    </row>
    <row r="647" spans="1:42" x14ac:dyDescent="0.3">
      <c r="A647" s="5">
        <v>29</v>
      </c>
      <c r="B647" s="5" t="s">
        <v>35</v>
      </c>
      <c r="C647" s="5" t="str">
        <f t="shared" si="70"/>
        <v>Yes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 s="5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 s="5">
        <v>2800</v>
      </c>
      <c r="U647">
        <v>23522</v>
      </c>
      <c r="V647">
        <v>6</v>
      </c>
      <c r="W647" t="s">
        <v>42</v>
      </c>
      <c r="X647" t="s">
        <v>35</v>
      </c>
      <c r="Y647" t="str">
        <f t="shared" si="71"/>
        <v>Yes</v>
      </c>
      <c r="Z647">
        <v>19</v>
      </c>
      <c r="AA647">
        <v>3</v>
      </c>
      <c r="AB647">
        <v>3</v>
      </c>
      <c r="AC647">
        <v>80</v>
      </c>
      <c r="AD647">
        <v>3</v>
      </c>
      <c r="AE647" s="5">
        <v>5</v>
      </c>
      <c r="AF647" t="str">
        <f t="shared" si="72"/>
        <v>0-5</v>
      </c>
      <c r="AG647">
        <v>3</v>
      </c>
      <c r="AH647">
        <v>3</v>
      </c>
      <c r="AI647" s="5">
        <v>3</v>
      </c>
      <c r="AJ647">
        <v>2</v>
      </c>
      <c r="AK647">
        <v>0</v>
      </c>
      <c r="AL647">
        <v>2</v>
      </c>
      <c r="AM647" t="str">
        <f t="shared" si="73"/>
        <v>Below Avg</v>
      </c>
      <c r="AN647" s="21">
        <f t="shared" si="74"/>
        <v>28.208232445520583</v>
      </c>
      <c r="AO647" t="str">
        <f t="shared" ca="1" si="75"/>
        <v>No</v>
      </c>
      <c r="AP647" t="str">
        <f t="shared" si="76"/>
        <v>Low Risk</v>
      </c>
    </row>
    <row r="648" spans="1:42" x14ac:dyDescent="0.3">
      <c r="A648" s="5">
        <v>53</v>
      </c>
      <c r="B648" s="5" t="s">
        <v>43</v>
      </c>
      <c r="C648" s="5" t="str">
        <f t="shared" si="70"/>
        <v>No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 s="5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 s="5">
        <v>11836</v>
      </c>
      <c r="U648">
        <v>22789</v>
      </c>
      <c r="V648">
        <v>5</v>
      </c>
      <c r="W648" t="s">
        <v>42</v>
      </c>
      <c r="X648" t="s">
        <v>43</v>
      </c>
      <c r="Y648" t="str">
        <f t="shared" si="71"/>
        <v>No</v>
      </c>
      <c r="Z648">
        <v>14</v>
      </c>
      <c r="AA648">
        <v>3</v>
      </c>
      <c r="AB648">
        <v>3</v>
      </c>
      <c r="AC648">
        <v>80</v>
      </c>
      <c r="AD648">
        <v>1</v>
      </c>
      <c r="AE648" s="5">
        <v>28</v>
      </c>
      <c r="AF648" t="str">
        <f t="shared" si="72"/>
        <v>&gt;15</v>
      </c>
      <c r="AG648">
        <v>3</v>
      </c>
      <c r="AH648">
        <v>3</v>
      </c>
      <c r="AI648" s="5">
        <v>2</v>
      </c>
      <c r="AJ648">
        <v>0</v>
      </c>
      <c r="AK648">
        <v>2</v>
      </c>
      <c r="AL648">
        <v>2</v>
      </c>
      <c r="AM648" t="str">
        <f t="shared" si="73"/>
        <v>Ok</v>
      </c>
      <c r="AN648" s="21">
        <f t="shared" si="74"/>
        <v>28.121212121212118</v>
      </c>
      <c r="AO648" t="str">
        <f t="shared" ca="1" si="75"/>
        <v>No</v>
      </c>
      <c r="AP648" t="str">
        <f t="shared" si="76"/>
        <v>Low Risk</v>
      </c>
    </row>
    <row r="649" spans="1:42" x14ac:dyDescent="0.3">
      <c r="A649" s="5">
        <v>35</v>
      </c>
      <c r="B649" s="5" t="s">
        <v>43</v>
      </c>
      <c r="C649" s="5" t="str">
        <f t="shared" si="70"/>
        <v>No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 s="5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 s="5">
        <v>10903</v>
      </c>
      <c r="U649">
        <v>9129</v>
      </c>
      <c r="V649">
        <v>3</v>
      </c>
      <c r="W649" t="s">
        <v>42</v>
      </c>
      <c r="X649" t="s">
        <v>43</v>
      </c>
      <c r="Y649" t="str">
        <f t="shared" si="71"/>
        <v>No</v>
      </c>
      <c r="Z649">
        <v>16</v>
      </c>
      <c r="AA649">
        <v>3</v>
      </c>
      <c r="AB649">
        <v>1</v>
      </c>
      <c r="AC649">
        <v>80</v>
      </c>
      <c r="AD649">
        <v>0</v>
      </c>
      <c r="AE649" s="5">
        <v>16</v>
      </c>
      <c r="AF649" t="str">
        <f t="shared" si="72"/>
        <v>&gt;15</v>
      </c>
      <c r="AG649">
        <v>2</v>
      </c>
      <c r="AH649">
        <v>3</v>
      </c>
      <c r="AI649" s="5">
        <v>13</v>
      </c>
      <c r="AJ649">
        <v>10</v>
      </c>
      <c r="AK649">
        <v>4</v>
      </c>
      <c r="AL649">
        <v>8</v>
      </c>
      <c r="AM649" t="str">
        <f t="shared" si="73"/>
        <v>Ok</v>
      </c>
      <c r="AN649" s="21">
        <f t="shared" si="74"/>
        <v>28.033980582524272</v>
      </c>
      <c r="AO649" t="str">
        <f t="shared" ca="1" si="75"/>
        <v>No</v>
      </c>
      <c r="AP649" t="str">
        <f t="shared" si="76"/>
        <v>Low Risk</v>
      </c>
    </row>
    <row r="650" spans="1:42" x14ac:dyDescent="0.3">
      <c r="A650" s="5">
        <v>37</v>
      </c>
      <c r="B650" s="5" t="s">
        <v>43</v>
      </c>
      <c r="C650" s="5" t="str">
        <f t="shared" si="70"/>
        <v>No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 s="5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 s="5">
        <v>2973</v>
      </c>
      <c r="U650">
        <v>21222</v>
      </c>
      <c r="V650">
        <v>5</v>
      </c>
      <c r="W650" t="s">
        <v>42</v>
      </c>
      <c r="X650" t="s">
        <v>43</v>
      </c>
      <c r="Y650" t="str">
        <f t="shared" si="71"/>
        <v>No</v>
      </c>
      <c r="Z650">
        <v>15</v>
      </c>
      <c r="AA650">
        <v>3</v>
      </c>
      <c r="AB650">
        <v>2</v>
      </c>
      <c r="AC650">
        <v>80</v>
      </c>
      <c r="AD650">
        <v>1</v>
      </c>
      <c r="AE650" s="5">
        <v>10</v>
      </c>
      <c r="AF650" t="str">
        <f t="shared" si="72"/>
        <v>6-15</v>
      </c>
      <c r="AG650">
        <v>3</v>
      </c>
      <c r="AH650">
        <v>3</v>
      </c>
      <c r="AI650" s="5">
        <v>5</v>
      </c>
      <c r="AJ650">
        <v>4</v>
      </c>
      <c r="AK650">
        <v>0</v>
      </c>
      <c r="AL650">
        <v>0</v>
      </c>
      <c r="AM650" t="str">
        <f t="shared" si="73"/>
        <v>Below Avg</v>
      </c>
      <c r="AN650" s="21">
        <f t="shared" si="74"/>
        <v>28.068043742405834</v>
      </c>
      <c r="AO650" t="str">
        <f t="shared" ca="1" si="75"/>
        <v>No</v>
      </c>
      <c r="AP650" t="str">
        <f t="shared" si="76"/>
        <v>Low Risk</v>
      </c>
    </row>
    <row r="651" spans="1:42" x14ac:dyDescent="0.3">
      <c r="A651" s="5">
        <v>53</v>
      </c>
      <c r="B651" s="5" t="s">
        <v>43</v>
      </c>
      <c r="C651" s="5" t="str">
        <f t="shared" si="70"/>
        <v>No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 s="5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 s="5">
        <v>14275</v>
      </c>
      <c r="U651">
        <v>20206</v>
      </c>
      <c r="V651">
        <v>6</v>
      </c>
      <c r="W651" t="s">
        <v>42</v>
      </c>
      <c r="X651" t="s">
        <v>43</v>
      </c>
      <c r="Y651" t="str">
        <f t="shared" si="71"/>
        <v>No</v>
      </c>
      <c r="Z651">
        <v>18</v>
      </c>
      <c r="AA651">
        <v>3</v>
      </c>
      <c r="AB651">
        <v>3</v>
      </c>
      <c r="AC651">
        <v>80</v>
      </c>
      <c r="AD651">
        <v>0</v>
      </c>
      <c r="AE651" s="5">
        <v>33</v>
      </c>
      <c r="AF651" t="str">
        <f t="shared" si="72"/>
        <v>&gt;15</v>
      </c>
      <c r="AG651">
        <v>0</v>
      </c>
      <c r="AH651">
        <v>3</v>
      </c>
      <c r="AI651" s="5">
        <v>12</v>
      </c>
      <c r="AJ651">
        <v>9</v>
      </c>
      <c r="AK651">
        <v>3</v>
      </c>
      <c r="AL651">
        <v>8</v>
      </c>
      <c r="AM651" t="str">
        <f t="shared" si="73"/>
        <v>Ok</v>
      </c>
      <c r="AN651" s="21">
        <f t="shared" si="74"/>
        <v>28.102189781021895</v>
      </c>
      <c r="AO651" t="str">
        <f t="shared" ca="1" si="75"/>
        <v>No</v>
      </c>
      <c r="AP651" t="str">
        <f t="shared" si="76"/>
        <v>Low Risk</v>
      </c>
    </row>
    <row r="652" spans="1:42" x14ac:dyDescent="0.3">
      <c r="A652" s="5">
        <v>43</v>
      </c>
      <c r="B652" s="5" t="s">
        <v>43</v>
      </c>
      <c r="C652" s="5" t="str">
        <f t="shared" si="70"/>
        <v>No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 s="5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 s="5">
        <v>5562</v>
      </c>
      <c r="U652">
        <v>21782</v>
      </c>
      <c r="V652">
        <v>4</v>
      </c>
      <c r="W652" t="s">
        <v>42</v>
      </c>
      <c r="X652" t="s">
        <v>43</v>
      </c>
      <c r="Y652" t="str">
        <f t="shared" si="71"/>
        <v>No</v>
      </c>
      <c r="Z652">
        <v>13</v>
      </c>
      <c r="AA652">
        <v>3</v>
      </c>
      <c r="AB652">
        <v>2</v>
      </c>
      <c r="AC652">
        <v>80</v>
      </c>
      <c r="AD652">
        <v>1</v>
      </c>
      <c r="AE652" s="5">
        <v>12</v>
      </c>
      <c r="AF652" t="str">
        <f t="shared" si="72"/>
        <v>6-15</v>
      </c>
      <c r="AG652">
        <v>2</v>
      </c>
      <c r="AH652">
        <v>2</v>
      </c>
      <c r="AI652" s="5">
        <v>5</v>
      </c>
      <c r="AJ652">
        <v>2</v>
      </c>
      <c r="AK652">
        <v>2</v>
      </c>
      <c r="AL652">
        <v>2</v>
      </c>
      <c r="AM652" t="str">
        <f t="shared" si="73"/>
        <v>Below Avg</v>
      </c>
      <c r="AN652" s="21">
        <f t="shared" si="74"/>
        <v>28.136419001218027</v>
      </c>
      <c r="AO652" t="str">
        <f t="shared" ca="1" si="75"/>
        <v>No</v>
      </c>
      <c r="AP652" t="str">
        <f t="shared" si="76"/>
        <v>Low Risk</v>
      </c>
    </row>
    <row r="653" spans="1:42" x14ac:dyDescent="0.3">
      <c r="A653" s="5">
        <v>47</v>
      </c>
      <c r="B653" s="5" t="s">
        <v>43</v>
      </c>
      <c r="C653" s="5" t="str">
        <f t="shared" si="70"/>
        <v>No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 s="5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 s="5">
        <v>4537</v>
      </c>
      <c r="U653">
        <v>17783</v>
      </c>
      <c r="V653">
        <v>0</v>
      </c>
      <c r="W653" t="s">
        <v>42</v>
      </c>
      <c r="X653" t="s">
        <v>35</v>
      </c>
      <c r="Y653" t="str">
        <f t="shared" si="71"/>
        <v>Yes</v>
      </c>
      <c r="Z653">
        <v>22</v>
      </c>
      <c r="AA653">
        <v>4</v>
      </c>
      <c r="AB653">
        <v>1</v>
      </c>
      <c r="AC653">
        <v>80</v>
      </c>
      <c r="AD653">
        <v>1</v>
      </c>
      <c r="AE653" s="5">
        <v>8</v>
      </c>
      <c r="AF653" t="str">
        <f t="shared" si="72"/>
        <v>6-15</v>
      </c>
      <c r="AG653">
        <v>2</v>
      </c>
      <c r="AH653">
        <v>3</v>
      </c>
      <c r="AI653" s="5">
        <v>7</v>
      </c>
      <c r="AJ653">
        <v>6</v>
      </c>
      <c r="AK653">
        <v>7</v>
      </c>
      <c r="AL653">
        <v>7</v>
      </c>
      <c r="AM653" t="str">
        <f t="shared" si="73"/>
        <v>Below Avg</v>
      </c>
      <c r="AN653" s="21">
        <f t="shared" si="74"/>
        <v>28.170731707317071</v>
      </c>
      <c r="AO653" t="str">
        <f t="shared" ca="1" si="75"/>
        <v>No</v>
      </c>
      <c r="AP653" t="str">
        <f t="shared" si="76"/>
        <v>Low Risk</v>
      </c>
    </row>
    <row r="654" spans="1:42" x14ac:dyDescent="0.3">
      <c r="A654" s="5">
        <v>37</v>
      </c>
      <c r="B654" s="5" t="s">
        <v>43</v>
      </c>
      <c r="C654" s="5" t="str">
        <f t="shared" si="70"/>
        <v>No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 s="5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 s="5">
        <v>7642</v>
      </c>
      <c r="U654">
        <v>4814</v>
      </c>
      <c r="V654">
        <v>1</v>
      </c>
      <c r="W654" t="s">
        <v>42</v>
      </c>
      <c r="X654" t="s">
        <v>35</v>
      </c>
      <c r="Y654" t="str">
        <f t="shared" si="71"/>
        <v>Yes</v>
      </c>
      <c r="Z654">
        <v>13</v>
      </c>
      <c r="AA654">
        <v>3</v>
      </c>
      <c r="AB654">
        <v>4</v>
      </c>
      <c r="AC654">
        <v>80</v>
      </c>
      <c r="AD654">
        <v>0</v>
      </c>
      <c r="AE654" s="5">
        <v>10</v>
      </c>
      <c r="AF654" t="str">
        <f t="shared" si="72"/>
        <v>6-15</v>
      </c>
      <c r="AG654">
        <v>2</v>
      </c>
      <c r="AH654">
        <v>3</v>
      </c>
      <c r="AI654" s="5">
        <v>10</v>
      </c>
      <c r="AJ654">
        <v>0</v>
      </c>
      <c r="AK654">
        <v>0</v>
      </c>
      <c r="AL654">
        <v>9</v>
      </c>
      <c r="AM654" t="str">
        <f t="shared" si="73"/>
        <v>Ok</v>
      </c>
      <c r="AN654" s="21">
        <f t="shared" si="74"/>
        <v>28.205128205128204</v>
      </c>
      <c r="AO654" t="str">
        <f t="shared" ca="1" si="75"/>
        <v>No</v>
      </c>
      <c r="AP654" t="str">
        <f t="shared" si="76"/>
        <v>Low Risk</v>
      </c>
    </row>
    <row r="655" spans="1:42" x14ac:dyDescent="0.3">
      <c r="A655" s="5">
        <v>50</v>
      </c>
      <c r="B655" s="5" t="s">
        <v>43</v>
      </c>
      <c r="C655" s="5" t="str">
        <f t="shared" si="70"/>
        <v>No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 s="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 s="5">
        <v>17924</v>
      </c>
      <c r="U655">
        <v>4544</v>
      </c>
      <c r="V655">
        <v>1</v>
      </c>
      <c r="W655" t="s">
        <v>42</v>
      </c>
      <c r="X655" t="s">
        <v>43</v>
      </c>
      <c r="Y655" t="str">
        <f t="shared" si="71"/>
        <v>No</v>
      </c>
      <c r="Z655">
        <v>11</v>
      </c>
      <c r="AA655">
        <v>3</v>
      </c>
      <c r="AB655">
        <v>4</v>
      </c>
      <c r="AC655">
        <v>80</v>
      </c>
      <c r="AD655">
        <v>1</v>
      </c>
      <c r="AE655" s="5">
        <v>31</v>
      </c>
      <c r="AF655" t="str">
        <f t="shared" si="72"/>
        <v>&gt;15</v>
      </c>
      <c r="AG655">
        <v>3</v>
      </c>
      <c r="AH655">
        <v>3</v>
      </c>
      <c r="AI655" s="5">
        <v>31</v>
      </c>
      <c r="AJ655">
        <v>6</v>
      </c>
      <c r="AK655">
        <v>14</v>
      </c>
      <c r="AL655">
        <v>7</v>
      </c>
      <c r="AM655" t="str">
        <f t="shared" si="73"/>
        <v>Ok</v>
      </c>
      <c r="AN655" s="21">
        <f t="shared" si="74"/>
        <v>28.117359413202937</v>
      </c>
      <c r="AO655" t="str">
        <f t="shared" ca="1" si="75"/>
        <v>No</v>
      </c>
      <c r="AP655" t="str">
        <f t="shared" si="76"/>
        <v>Low Risk</v>
      </c>
    </row>
    <row r="656" spans="1:42" x14ac:dyDescent="0.3">
      <c r="A656" s="5">
        <v>39</v>
      </c>
      <c r="B656" s="5" t="s">
        <v>43</v>
      </c>
      <c r="C656" s="5" t="str">
        <f t="shared" si="70"/>
        <v>No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 s="5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 s="5">
        <v>5204</v>
      </c>
      <c r="U656">
        <v>7790</v>
      </c>
      <c r="V656">
        <v>8</v>
      </c>
      <c r="W656" t="s">
        <v>42</v>
      </c>
      <c r="X656" t="s">
        <v>43</v>
      </c>
      <c r="Y656" t="str">
        <f t="shared" si="71"/>
        <v>No</v>
      </c>
      <c r="Z656">
        <v>11</v>
      </c>
      <c r="AA656">
        <v>3</v>
      </c>
      <c r="AB656">
        <v>3</v>
      </c>
      <c r="AC656">
        <v>80</v>
      </c>
      <c r="AD656">
        <v>2</v>
      </c>
      <c r="AE656" s="5">
        <v>13</v>
      </c>
      <c r="AF656" t="str">
        <f t="shared" si="72"/>
        <v>6-15</v>
      </c>
      <c r="AG656">
        <v>2</v>
      </c>
      <c r="AH656">
        <v>3</v>
      </c>
      <c r="AI656" s="5">
        <v>5</v>
      </c>
      <c r="AJ656">
        <v>4</v>
      </c>
      <c r="AK656">
        <v>0</v>
      </c>
      <c r="AL656">
        <v>4</v>
      </c>
      <c r="AM656" t="str">
        <f t="shared" si="73"/>
        <v>Below Avg</v>
      </c>
      <c r="AN656" s="21">
        <f t="shared" si="74"/>
        <v>28.02937576499388</v>
      </c>
      <c r="AO656" t="str">
        <f t="shared" ca="1" si="75"/>
        <v>No</v>
      </c>
      <c r="AP656" t="str">
        <f t="shared" si="76"/>
        <v>Low Risk</v>
      </c>
    </row>
    <row r="657" spans="1:42" x14ac:dyDescent="0.3">
      <c r="A657" s="5">
        <v>33</v>
      </c>
      <c r="B657" s="5" t="s">
        <v>43</v>
      </c>
      <c r="C657" s="5" t="str">
        <f t="shared" si="70"/>
        <v>No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 s="5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 s="5">
        <v>2277</v>
      </c>
      <c r="U657">
        <v>22650</v>
      </c>
      <c r="V657">
        <v>3</v>
      </c>
      <c r="W657" t="s">
        <v>42</v>
      </c>
      <c r="X657" t="s">
        <v>35</v>
      </c>
      <c r="Y657" t="str">
        <f t="shared" si="71"/>
        <v>Yes</v>
      </c>
      <c r="Z657">
        <v>11</v>
      </c>
      <c r="AA657">
        <v>3</v>
      </c>
      <c r="AB657">
        <v>3</v>
      </c>
      <c r="AC657">
        <v>80</v>
      </c>
      <c r="AD657">
        <v>1</v>
      </c>
      <c r="AE657" s="5">
        <v>7</v>
      </c>
      <c r="AF657" t="str">
        <f t="shared" si="72"/>
        <v>6-15</v>
      </c>
      <c r="AG657">
        <v>4</v>
      </c>
      <c r="AH657">
        <v>4</v>
      </c>
      <c r="AI657" s="5">
        <v>4</v>
      </c>
      <c r="AJ657">
        <v>3</v>
      </c>
      <c r="AK657">
        <v>0</v>
      </c>
      <c r="AL657">
        <v>3</v>
      </c>
      <c r="AM657" t="str">
        <f t="shared" si="73"/>
        <v>Below Avg</v>
      </c>
      <c r="AN657" s="21">
        <f t="shared" si="74"/>
        <v>28.063725490196077</v>
      </c>
      <c r="AO657" t="str">
        <f t="shared" ca="1" si="75"/>
        <v>No</v>
      </c>
      <c r="AP657" t="str">
        <f t="shared" si="76"/>
        <v>Low Risk</v>
      </c>
    </row>
    <row r="658" spans="1:42" x14ac:dyDescent="0.3">
      <c r="A658" s="5">
        <v>32</v>
      </c>
      <c r="B658" s="5" t="s">
        <v>35</v>
      </c>
      <c r="C658" s="5" t="str">
        <f t="shared" si="70"/>
        <v>Yes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 s="5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 s="5">
        <v>2795</v>
      </c>
      <c r="U658">
        <v>18016</v>
      </c>
      <c r="V658">
        <v>1</v>
      </c>
      <c r="W658" t="s">
        <v>42</v>
      </c>
      <c r="X658" t="s">
        <v>35</v>
      </c>
      <c r="Y658" t="str">
        <f t="shared" si="71"/>
        <v>Yes</v>
      </c>
      <c r="Z658">
        <v>24</v>
      </c>
      <c r="AA658">
        <v>4</v>
      </c>
      <c r="AB658">
        <v>3</v>
      </c>
      <c r="AC658">
        <v>80</v>
      </c>
      <c r="AD658">
        <v>0</v>
      </c>
      <c r="AE658" s="5">
        <v>1</v>
      </c>
      <c r="AF658" t="str">
        <f t="shared" si="72"/>
        <v>0-5</v>
      </c>
      <c r="AG658">
        <v>2</v>
      </c>
      <c r="AH658">
        <v>1</v>
      </c>
      <c r="AI658" s="5">
        <v>1</v>
      </c>
      <c r="AJ658">
        <v>0</v>
      </c>
      <c r="AK658">
        <v>0</v>
      </c>
      <c r="AL658">
        <v>1</v>
      </c>
      <c r="AM658" t="str">
        <f t="shared" si="73"/>
        <v>Below Avg</v>
      </c>
      <c r="AN658" s="21">
        <f t="shared" si="74"/>
        <v>28.098159509202453</v>
      </c>
      <c r="AO658" t="str">
        <f t="shared" ca="1" si="75"/>
        <v>No</v>
      </c>
      <c r="AP658" t="str">
        <f t="shared" si="76"/>
        <v>High Risk</v>
      </c>
    </row>
    <row r="659" spans="1:42" x14ac:dyDescent="0.3">
      <c r="A659" s="5">
        <v>29</v>
      </c>
      <c r="B659" s="5" t="s">
        <v>43</v>
      </c>
      <c r="C659" s="5" t="str">
        <f t="shared" si="70"/>
        <v>No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 s="5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 s="5">
        <v>2532</v>
      </c>
      <c r="U659">
        <v>6054</v>
      </c>
      <c r="V659">
        <v>6</v>
      </c>
      <c r="W659" t="s">
        <v>42</v>
      </c>
      <c r="X659" t="s">
        <v>43</v>
      </c>
      <c r="Y659" t="str">
        <f t="shared" si="71"/>
        <v>No</v>
      </c>
      <c r="Z659">
        <v>14</v>
      </c>
      <c r="AA659">
        <v>3</v>
      </c>
      <c r="AB659">
        <v>3</v>
      </c>
      <c r="AC659">
        <v>80</v>
      </c>
      <c r="AD659">
        <v>3</v>
      </c>
      <c r="AE659" s="5">
        <v>8</v>
      </c>
      <c r="AF659" t="str">
        <f t="shared" si="72"/>
        <v>6-15</v>
      </c>
      <c r="AG659">
        <v>5</v>
      </c>
      <c r="AH659">
        <v>3</v>
      </c>
      <c r="AI659" s="5">
        <v>4</v>
      </c>
      <c r="AJ659">
        <v>3</v>
      </c>
      <c r="AK659">
        <v>0</v>
      </c>
      <c r="AL659">
        <v>3</v>
      </c>
      <c r="AM659" t="str">
        <f t="shared" si="73"/>
        <v>Below Avg</v>
      </c>
      <c r="AN659" s="21">
        <f t="shared" si="74"/>
        <v>28.009828009828009</v>
      </c>
      <c r="AO659" t="str">
        <f t="shared" ca="1" si="75"/>
        <v>No</v>
      </c>
      <c r="AP659" t="str">
        <f t="shared" si="76"/>
        <v>Low Risk</v>
      </c>
    </row>
    <row r="660" spans="1:42" x14ac:dyDescent="0.3">
      <c r="A660" s="5">
        <v>44</v>
      </c>
      <c r="B660" s="5" t="s">
        <v>43</v>
      </c>
      <c r="C660" s="5" t="str">
        <f t="shared" si="70"/>
        <v>No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 s="5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 s="5">
        <v>2559</v>
      </c>
      <c r="U660">
        <v>7508</v>
      </c>
      <c r="V660">
        <v>1</v>
      </c>
      <c r="W660" t="s">
        <v>42</v>
      </c>
      <c r="X660" t="s">
        <v>35</v>
      </c>
      <c r="Y660" t="str">
        <f t="shared" si="71"/>
        <v>Yes</v>
      </c>
      <c r="Z660">
        <v>13</v>
      </c>
      <c r="AA660">
        <v>3</v>
      </c>
      <c r="AB660">
        <v>4</v>
      </c>
      <c r="AC660">
        <v>80</v>
      </c>
      <c r="AD660">
        <v>0</v>
      </c>
      <c r="AE660" s="5">
        <v>8</v>
      </c>
      <c r="AF660" t="str">
        <f t="shared" si="72"/>
        <v>6-15</v>
      </c>
      <c r="AG660">
        <v>0</v>
      </c>
      <c r="AH660">
        <v>3</v>
      </c>
      <c r="AI660" s="5">
        <v>8</v>
      </c>
      <c r="AJ660">
        <v>7</v>
      </c>
      <c r="AK660">
        <v>7</v>
      </c>
      <c r="AL660">
        <v>1</v>
      </c>
      <c r="AM660" t="str">
        <f t="shared" si="73"/>
        <v>Below Avg</v>
      </c>
      <c r="AN660" s="21">
        <f t="shared" si="74"/>
        <v>27.921279212792129</v>
      </c>
      <c r="AO660" t="str">
        <f t="shared" ca="1" si="75"/>
        <v>No</v>
      </c>
      <c r="AP660" t="str">
        <f t="shared" si="76"/>
        <v>Low Risk</v>
      </c>
    </row>
    <row r="661" spans="1:42" x14ac:dyDescent="0.3">
      <c r="A661" s="5">
        <v>28</v>
      </c>
      <c r="B661" s="5" t="s">
        <v>43</v>
      </c>
      <c r="C661" s="5" t="str">
        <f t="shared" si="70"/>
        <v>No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 s="5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 s="5">
        <v>4908</v>
      </c>
      <c r="U661">
        <v>24252</v>
      </c>
      <c r="V661">
        <v>1</v>
      </c>
      <c r="W661" t="s">
        <v>42</v>
      </c>
      <c r="X661" t="s">
        <v>43</v>
      </c>
      <c r="Y661" t="str">
        <f t="shared" si="71"/>
        <v>No</v>
      </c>
      <c r="Z661">
        <v>14</v>
      </c>
      <c r="AA661">
        <v>3</v>
      </c>
      <c r="AB661">
        <v>2</v>
      </c>
      <c r="AC661">
        <v>80</v>
      </c>
      <c r="AD661">
        <v>0</v>
      </c>
      <c r="AE661" s="5">
        <v>4</v>
      </c>
      <c r="AF661" t="str">
        <f t="shared" si="72"/>
        <v>0-5</v>
      </c>
      <c r="AG661">
        <v>3</v>
      </c>
      <c r="AH661">
        <v>3</v>
      </c>
      <c r="AI661" s="5">
        <v>4</v>
      </c>
      <c r="AJ661">
        <v>2</v>
      </c>
      <c r="AK661">
        <v>0</v>
      </c>
      <c r="AL661">
        <v>2</v>
      </c>
      <c r="AM661" t="str">
        <f t="shared" si="73"/>
        <v>Below Avg</v>
      </c>
      <c r="AN661" s="21">
        <f t="shared" si="74"/>
        <v>27.955665024630544</v>
      </c>
      <c r="AO661" t="str">
        <f t="shared" ca="1" si="75"/>
        <v>No</v>
      </c>
      <c r="AP661" t="str">
        <f t="shared" si="76"/>
        <v>Low Risk</v>
      </c>
    </row>
    <row r="662" spans="1:42" x14ac:dyDescent="0.3">
      <c r="A662" s="5">
        <v>58</v>
      </c>
      <c r="B662" s="5" t="s">
        <v>35</v>
      </c>
      <c r="C662" s="5" t="str">
        <f t="shared" si="70"/>
        <v>Yes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 s="5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 s="5">
        <v>2380</v>
      </c>
      <c r="U662">
        <v>13384</v>
      </c>
      <c r="V662">
        <v>9</v>
      </c>
      <c r="W662" t="s">
        <v>42</v>
      </c>
      <c r="X662" t="s">
        <v>35</v>
      </c>
      <c r="Y662" t="str">
        <f t="shared" si="71"/>
        <v>Yes</v>
      </c>
      <c r="Z662">
        <v>14</v>
      </c>
      <c r="AA662">
        <v>3</v>
      </c>
      <c r="AB662">
        <v>4</v>
      </c>
      <c r="AC662">
        <v>80</v>
      </c>
      <c r="AD662">
        <v>1</v>
      </c>
      <c r="AE662" s="5">
        <v>3</v>
      </c>
      <c r="AF662" t="str">
        <f t="shared" si="72"/>
        <v>0-5</v>
      </c>
      <c r="AG662">
        <v>3</v>
      </c>
      <c r="AH662">
        <v>2</v>
      </c>
      <c r="AI662" s="5">
        <v>1</v>
      </c>
      <c r="AJ662">
        <v>0</v>
      </c>
      <c r="AK662">
        <v>0</v>
      </c>
      <c r="AL662">
        <v>0</v>
      </c>
      <c r="AM662" t="str">
        <f t="shared" si="73"/>
        <v>Below Avg</v>
      </c>
      <c r="AN662" s="21">
        <f t="shared" si="74"/>
        <v>27.866831072749694</v>
      </c>
      <c r="AO662" t="str">
        <f t="shared" ca="1" si="75"/>
        <v>No</v>
      </c>
      <c r="AP662" t="str">
        <f t="shared" si="76"/>
        <v>High Risk</v>
      </c>
    </row>
    <row r="663" spans="1:42" x14ac:dyDescent="0.3">
      <c r="A663" s="5">
        <v>43</v>
      </c>
      <c r="B663" s="5" t="s">
        <v>43</v>
      </c>
      <c r="C663" s="5" t="str">
        <f t="shared" si="70"/>
        <v>No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 s="5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 s="5">
        <v>4765</v>
      </c>
      <c r="U663">
        <v>23814</v>
      </c>
      <c r="V663">
        <v>4</v>
      </c>
      <c r="W663" t="s">
        <v>42</v>
      </c>
      <c r="X663" t="s">
        <v>43</v>
      </c>
      <c r="Y663" t="str">
        <f t="shared" si="71"/>
        <v>No</v>
      </c>
      <c r="Z663">
        <v>21</v>
      </c>
      <c r="AA663">
        <v>4</v>
      </c>
      <c r="AB663">
        <v>3</v>
      </c>
      <c r="AC663">
        <v>80</v>
      </c>
      <c r="AD663">
        <v>1</v>
      </c>
      <c r="AE663" s="5">
        <v>4</v>
      </c>
      <c r="AF663" t="str">
        <f t="shared" si="72"/>
        <v>0-5</v>
      </c>
      <c r="AG663">
        <v>2</v>
      </c>
      <c r="AH663">
        <v>4</v>
      </c>
      <c r="AI663" s="5">
        <v>1</v>
      </c>
      <c r="AJ663">
        <v>0</v>
      </c>
      <c r="AK663">
        <v>0</v>
      </c>
      <c r="AL663">
        <v>0</v>
      </c>
      <c r="AM663" t="str">
        <f t="shared" si="73"/>
        <v>Below Avg</v>
      </c>
      <c r="AN663" s="21">
        <f t="shared" si="74"/>
        <v>27.901234567901234</v>
      </c>
      <c r="AO663" t="str">
        <f t="shared" ca="1" si="75"/>
        <v>No</v>
      </c>
      <c r="AP663" t="str">
        <f t="shared" si="76"/>
        <v>Low Risk</v>
      </c>
    </row>
    <row r="664" spans="1:42" x14ac:dyDescent="0.3">
      <c r="A664" s="5">
        <v>20</v>
      </c>
      <c r="B664" s="5" t="s">
        <v>35</v>
      </c>
      <c r="C664" s="5" t="str">
        <f t="shared" si="70"/>
        <v>Yes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 s="5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 s="5">
        <v>2044</v>
      </c>
      <c r="U664">
        <v>22052</v>
      </c>
      <c r="V664">
        <v>1</v>
      </c>
      <c r="W664" t="s">
        <v>42</v>
      </c>
      <c r="X664" t="s">
        <v>43</v>
      </c>
      <c r="Y664" t="str">
        <f t="shared" si="71"/>
        <v>No</v>
      </c>
      <c r="Z664">
        <v>13</v>
      </c>
      <c r="AA664">
        <v>3</v>
      </c>
      <c r="AB664">
        <v>4</v>
      </c>
      <c r="AC664">
        <v>80</v>
      </c>
      <c r="AD664">
        <v>0</v>
      </c>
      <c r="AE664" s="5">
        <v>2</v>
      </c>
      <c r="AF664" t="str">
        <f t="shared" si="72"/>
        <v>0-5</v>
      </c>
      <c r="AG664">
        <v>3</v>
      </c>
      <c r="AH664">
        <v>2</v>
      </c>
      <c r="AI664" s="5">
        <v>2</v>
      </c>
      <c r="AJ664">
        <v>2</v>
      </c>
      <c r="AK664">
        <v>0</v>
      </c>
      <c r="AL664">
        <v>2</v>
      </c>
      <c r="AM664" t="str">
        <f t="shared" si="73"/>
        <v>Below Avg</v>
      </c>
      <c r="AN664" s="21">
        <f t="shared" si="74"/>
        <v>27.812113720642767</v>
      </c>
      <c r="AO664" t="str">
        <f t="shared" ca="1" si="75"/>
        <v>No</v>
      </c>
      <c r="AP664" t="str">
        <f t="shared" si="76"/>
        <v>Low Risk</v>
      </c>
    </row>
    <row r="665" spans="1:42" x14ac:dyDescent="0.3">
      <c r="A665" s="5">
        <v>21</v>
      </c>
      <c r="B665" s="5" t="s">
        <v>35</v>
      </c>
      <c r="C665" s="5" t="str">
        <f t="shared" si="70"/>
        <v>Yes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 s="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 s="5">
        <v>2693</v>
      </c>
      <c r="U665">
        <v>8870</v>
      </c>
      <c r="V665">
        <v>1</v>
      </c>
      <c r="W665" t="s">
        <v>42</v>
      </c>
      <c r="X665" t="s">
        <v>43</v>
      </c>
      <c r="Y665" t="str">
        <f t="shared" si="71"/>
        <v>No</v>
      </c>
      <c r="Z665">
        <v>19</v>
      </c>
      <c r="AA665">
        <v>3</v>
      </c>
      <c r="AB665">
        <v>1</v>
      </c>
      <c r="AC665">
        <v>80</v>
      </c>
      <c r="AD665">
        <v>0</v>
      </c>
      <c r="AE665" s="5">
        <v>1</v>
      </c>
      <c r="AF665" t="str">
        <f t="shared" si="72"/>
        <v>0-5</v>
      </c>
      <c r="AG665">
        <v>3</v>
      </c>
      <c r="AH665">
        <v>2</v>
      </c>
      <c r="AI665" s="5">
        <v>1</v>
      </c>
      <c r="AJ665">
        <v>0</v>
      </c>
      <c r="AK665">
        <v>0</v>
      </c>
      <c r="AL665">
        <v>0</v>
      </c>
      <c r="AM665" t="str">
        <f t="shared" si="73"/>
        <v>Below Avg</v>
      </c>
      <c r="AN665" s="21">
        <f t="shared" si="74"/>
        <v>27.846534653465348</v>
      </c>
      <c r="AO665" t="str">
        <f t="shared" ca="1" si="75"/>
        <v>No</v>
      </c>
      <c r="AP665" t="str">
        <f t="shared" si="76"/>
        <v>High Risk</v>
      </c>
    </row>
    <row r="666" spans="1:42" x14ac:dyDescent="0.3">
      <c r="A666" s="5">
        <v>36</v>
      </c>
      <c r="B666" s="5" t="s">
        <v>43</v>
      </c>
      <c r="C666" s="5" t="str">
        <f t="shared" si="70"/>
        <v>No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 s="5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 s="5">
        <v>6586</v>
      </c>
      <c r="U666">
        <v>4821</v>
      </c>
      <c r="V666">
        <v>0</v>
      </c>
      <c r="W666" t="s">
        <v>42</v>
      </c>
      <c r="X666" t="s">
        <v>35</v>
      </c>
      <c r="Y666" t="str">
        <f t="shared" si="71"/>
        <v>Yes</v>
      </c>
      <c r="Z666">
        <v>17</v>
      </c>
      <c r="AA666">
        <v>3</v>
      </c>
      <c r="AB666">
        <v>1</v>
      </c>
      <c r="AC666">
        <v>80</v>
      </c>
      <c r="AD666">
        <v>1</v>
      </c>
      <c r="AE666" s="5">
        <v>17</v>
      </c>
      <c r="AF666" t="str">
        <f t="shared" si="72"/>
        <v>&gt;15</v>
      </c>
      <c r="AG666">
        <v>2</v>
      </c>
      <c r="AH666">
        <v>2</v>
      </c>
      <c r="AI666" s="5">
        <v>16</v>
      </c>
      <c r="AJ666">
        <v>8</v>
      </c>
      <c r="AK666">
        <v>4</v>
      </c>
      <c r="AL666">
        <v>11</v>
      </c>
      <c r="AM666" t="str">
        <f t="shared" si="73"/>
        <v>Ok</v>
      </c>
      <c r="AN666" s="21">
        <f t="shared" si="74"/>
        <v>27.881040892193308</v>
      </c>
      <c r="AO666" t="str">
        <f t="shared" ca="1" si="75"/>
        <v>No</v>
      </c>
      <c r="AP666" t="str">
        <f t="shared" si="76"/>
        <v>Low Risk</v>
      </c>
    </row>
    <row r="667" spans="1:42" x14ac:dyDescent="0.3">
      <c r="A667" s="5">
        <v>47</v>
      </c>
      <c r="B667" s="5" t="s">
        <v>43</v>
      </c>
      <c r="C667" s="5" t="str">
        <f t="shared" si="70"/>
        <v>No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 s="5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 s="5">
        <v>3294</v>
      </c>
      <c r="U667">
        <v>13137</v>
      </c>
      <c r="V667">
        <v>1</v>
      </c>
      <c r="W667" t="s">
        <v>42</v>
      </c>
      <c r="X667" t="s">
        <v>35</v>
      </c>
      <c r="Y667" t="str">
        <f t="shared" si="71"/>
        <v>Yes</v>
      </c>
      <c r="Z667">
        <v>18</v>
      </c>
      <c r="AA667">
        <v>3</v>
      </c>
      <c r="AB667">
        <v>1</v>
      </c>
      <c r="AC667">
        <v>80</v>
      </c>
      <c r="AD667">
        <v>0</v>
      </c>
      <c r="AE667" s="5">
        <v>3</v>
      </c>
      <c r="AF667" t="str">
        <f t="shared" si="72"/>
        <v>0-5</v>
      </c>
      <c r="AG667">
        <v>3</v>
      </c>
      <c r="AH667">
        <v>2</v>
      </c>
      <c r="AI667" s="5">
        <v>3</v>
      </c>
      <c r="AJ667">
        <v>2</v>
      </c>
      <c r="AK667">
        <v>1</v>
      </c>
      <c r="AL667">
        <v>2</v>
      </c>
      <c r="AM667" t="str">
        <f t="shared" si="73"/>
        <v>Below Avg</v>
      </c>
      <c r="AN667" s="21">
        <f t="shared" si="74"/>
        <v>27.915632754342433</v>
      </c>
      <c r="AO667" t="str">
        <f t="shared" ca="1" si="75"/>
        <v>No</v>
      </c>
      <c r="AP667" t="str">
        <f t="shared" si="76"/>
        <v>Low Risk</v>
      </c>
    </row>
    <row r="668" spans="1:42" x14ac:dyDescent="0.3">
      <c r="A668" s="5">
        <v>22</v>
      </c>
      <c r="B668" s="5" t="s">
        <v>35</v>
      </c>
      <c r="C668" s="5" t="str">
        <f t="shared" si="70"/>
        <v>Yes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 s="5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 s="5">
        <v>4171</v>
      </c>
      <c r="U668">
        <v>10022</v>
      </c>
      <c r="V668">
        <v>0</v>
      </c>
      <c r="W668" t="s">
        <v>42</v>
      </c>
      <c r="X668" t="s">
        <v>35</v>
      </c>
      <c r="Y668" t="str">
        <f t="shared" si="71"/>
        <v>Yes</v>
      </c>
      <c r="Z668">
        <v>19</v>
      </c>
      <c r="AA668">
        <v>3</v>
      </c>
      <c r="AB668">
        <v>1</v>
      </c>
      <c r="AC668">
        <v>80</v>
      </c>
      <c r="AD668">
        <v>1</v>
      </c>
      <c r="AE668" s="5">
        <v>4</v>
      </c>
      <c r="AF668" t="str">
        <f t="shared" si="72"/>
        <v>0-5</v>
      </c>
      <c r="AG668">
        <v>3</v>
      </c>
      <c r="AH668">
        <v>4</v>
      </c>
      <c r="AI668" s="5">
        <v>3</v>
      </c>
      <c r="AJ668">
        <v>2</v>
      </c>
      <c r="AK668">
        <v>0</v>
      </c>
      <c r="AL668">
        <v>2</v>
      </c>
      <c r="AM668" t="str">
        <f t="shared" si="73"/>
        <v>Below Avg</v>
      </c>
      <c r="AN668" s="21">
        <f t="shared" si="74"/>
        <v>27.826086956521738</v>
      </c>
      <c r="AO668" t="str">
        <f t="shared" ca="1" si="75"/>
        <v>No</v>
      </c>
      <c r="AP668" t="str">
        <f t="shared" si="76"/>
        <v>Low Risk</v>
      </c>
    </row>
    <row r="669" spans="1:42" x14ac:dyDescent="0.3">
      <c r="A669" s="5">
        <v>41</v>
      </c>
      <c r="B669" s="5" t="s">
        <v>35</v>
      </c>
      <c r="C669" s="5" t="str">
        <f t="shared" si="70"/>
        <v>Yes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 s="5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 s="5">
        <v>2778</v>
      </c>
      <c r="U669">
        <v>17725</v>
      </c>
      <c r="V669">
        <v>4</v>
      </c>
      <c r="W669" t="s">
        <v>42</v>
      </c>
      <c r="X669" t="s">
        <v>35</v>
      </c>
      <c r="Y669" t="str">
        <f t="shared" si="71"/>
        <v>Yes</v>
      </c>
      <c r="Z669">
        <v>13</v>
      </c>
      <c r="AA669">
        <v>3</v>
      </c>
      <c r="AB669">
        <v>3</v>
      </c>
      <c r="AC669">
        <v>80</v>
      </c>
      <c r="AD669">
        <v>1</v>
      </c>
      <c r="AE669" s="5">
        <v>10</v>
      </c>
      <c r="AF669" t="str">
        <f t="shared" si="72"/>
        <v>6-15</v>
      </c>
      <c r="AG669">
        <v>1</v>
      </c>
      <c r="AH669">
        <v>2</v>
      </c>
      <c r="AI669" s="5">
        <v>7</v>
      </c>
      <c r="AJ669">
        <v>7</v>
      </c>
      <c r="AK669">
        <v>1</v>
      </c>
      <c r="AL669">
        <v>0</v>
      </c>
      <c r="AM669" t="str">
        <f t="shared" si="73"/>
        <v>Below Avg</v>
      </c>
      <c r="AN669" s="21">
        <f t="shared" si="74"/>
        <v>27.736318407960198</v>
      </c>
      <c r="AO669" t="str">
        <f t="shared" ca="1" si="75"/>
        <v>No</v>
      </c>
      <c r="AP669" t="str">
        <f t="shared" si="76"/>
        <v>Low Risk</v>
      </c>
    </row>
    <row r="670" spans="1:42" x14ac:dyDescent="0.3">
      <c r="A670" s="5">
        <v>28</v>
      </c>
      <c r="B670" s="5" t="s">
        <v>43</v>
      </c>
      <c r="C670" s="5" t="str">
        <f t="shared" si="70"/>
        <v>No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 s="5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 s="5">
        <v>2377</v>
      </c>
      <c r="U670">
        <v>9834</v>
      </c>
      <c r="V670">
        <v>5</v>
      </c>
      <c r="W670" t="s">
        <v>42</v>
      </c>
      <c r="X670" t="s">
        <v>43</v>
      </c>
      <c r="Y670" t="str">
        <f t="shared" si="71"/>
        <v>No</v>
      </c>
      <c r="Z670">
        <v>18</v>
      </c>
      <c r="AA670">
        <v>3</v>
      </c>
      <c r="AB670">
        <v>2</v>
      </c>
      <c r="AC670">
        <v>80</v>
      </c>
      <c r="AD670">
        <v>1</v>
      </c>
      <c r="AE670" s="5">
        <v>6</v>
      </c>
      <c r="AF670" t="str">
        <f t="shared" si="72"/>
        <v>6-15</v>
      </c>
      <c r="AG670">
        <v>2</v>
      </c>
      <c r="AH670">
        <v>3</v>
      </c>
      <c r="AI670" s="5">
        <v>2</v>
      </c>
      <c r="AJ670">
        <v>2</v>
      </c>
      <c r="AK670">
        <v>2</v>
      </c>
      <c r="AL670">
        <v>2</v>
      </c>
      <c r="AM670" t="str">
        <f t="shared" si="73"/>
        <v>Below Avg</v>
      </c>
      <c r="AN670" s="21">
        <f t="shared" si="74"/>
        <v>27.646326276463263</v>
      </c>
      <c r="AO670" t="str">
        <f t="shared" ca="1" si="75"/>
        <v>No</v>
      </c>
      <c r="AP670" t="str">
        <f t="shared" si="76"/>
        <v>Low Risk</v>
      </c>
    </row>
    <row r="671" spans="1:42" x14ac:dyDescent="0.3">
      <c r="A671" s="5">
        <v>39</v>
      </c>
      <c r="B671" s="5" t="s">
        <v>35</v>
      </c>
      <c r="C671" s="5" t="str">
        <f t="shared" si="70"/>
        <v>Yes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 s="5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 s="5">
        <v>2404</v>
      </c>
      <c r="U671">
        <v>4303</v>
      </c>
      <c r="V671">
        <v>7</v>
      </c>
      <c r="W671" t="s">
        <v>42</v>
      </c>
      <c r="X671" t="s">
        <v>35</v>
      </c>
      <c r="Y671" t="str">
        <f t="shared" si="71"/>
        <v>Yes</v>
      </c>
      <c r="Z671">
        <v>21</v>
      </c>
      <c r="AA671">
        <v>4</v>
      </c>
      <c r="AB671">
        <v>4</v>
      </c>
      <c r="AC671">
        <v>80</v>
      </c>
      <c r="AD671">
        <v>0</v>
      </c>
      <c r="AE671" s="5">
        <v>8</v>
      </c>
      <c r="AF671" t="str">
        <f t="shared" si="72"/>
        <v>6-15</v>
      </c>
      <c r="AG671">
        <v>2</v>
      </c>
      <c r="AH671">
        <v>1</v>
      </c>
      <c r="AI671" s="5">
        <v>2</v>
      </c>
      <c r="AJ671">
        <v>2</v>
      </c>
      <c r="AK671">
        <v>2</v>
      </c>
      <c r="AL671">
        <v>2</v>
      </c>
      <c r="AM671" t="str">
        <f t="shared" si="73"/>
        <v>Below Avg</v>
      </c>
      <c r="AN671" s="21">
        <f t="shared" si="74"/>
        <v>27.556109725685786</v>
      </c>
      <c r="AO671" t="str">
        <f t="shared" ca="1" si="75"/>
        <v>No</v>
      </c>
      <c r="AP671" t="str">
        <f t="shared" si="76"/>
        <v>Low Risk</v>
      </c>
    </row>
    <row r="672" spans="1:42" x14ac:dyDescent="0.3">
      <c r="A672" s="5">
        <v>27</v>
      </c>
      <c r="B672" s="5" t="s">
        <v>43</v>
      </c>
      <c r="C672" s="5" t="str">
        <f t="shared" si="70"/>
        <v>No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 s="5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 s="5">
        <v>2318</v>
      </c>
      <c r="U672">
        <v>17808</v>
      </c>
      <c r="V672">
        <v>1</v>
      </c>
      <c r="W672" t="s">
        <v>42</v>
      </c>
      <c r="X672" t="s">
        <v>43</v>
      </c>
      <c r="Y672" t="str">
        <f t="shared" si="71"/>
        <v>No</v>
      </c>
      <c r="Z672">
        <v>19</v>
      </c>
      <c r="AA672">
        <v>3</v>
      </c>
      <c r="AB672">
        <v>3</v>
      </c>
      <c r="AC672">
        <v>80</v>
      </c>
      <c r="AD672">
        <v>0</v>
      </c>
      <c r="AE672" s="5">
        <v>1</v>
      </c>
      <c r="AF672" t="str">
        <f t="shared" si="72"/>
        <v>0-5</v>
      </c>
      <c r="AG672">
        <v>2</v>
      </c>
      <c r="AH672">
        <v>3</v>
      </c>
      <c r="AI672" s="5">
        <v>1</v>
      </c>
      <c r="AJ672">
        <v>1</v>
      </c>
      <c r="AK672">
        <v>0</v>
      </c>
      <c r="AL672">
        <v>0</v>
      </c>
      <c r="AM672" t="str">
        <f t="shared" si="73"/>
        <v>Below Avg</v>
      </c>
      <c r="AN672" s="21">
        <f t="shared" si="74"/>
        <v>27.590511860174782</v>
      </c>
      <c r="AO672" t="str">
        <f t="shared" ca="1" si="75"/>
        <v>No</v>
      </c>
      <c r="AP672" t="str">
        <f t="shared" si="76"/>
        <v>Low Risk</v>
      </c>
    </row>
    <row r="673" spans="1:42" x14ac:dyDescent="0.3">
      <c r="A673" s="5">
        <v>34</v>
      </c>
      <c r="B673" s="5" t="s">
        <v>43</v>
      </c>
      <c r="C673" s="5" t="str">
        <f t="shared" si="70"/>
        <v>No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 s="5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 s="5">
        <v>2008</v>
      </c>
      <c r="U673">
        <v>6896</v>
      </c>
      <c r="V673">
        <v>1</v>
      </c>
      <c r="W673" t="s">
        <v>42</v>
      </c>
      <c r="X673" t="s">
        <v>43</v>
      </c>
      <c r="Y673" t="str">
        <f t="shared" si="71"/>
        <v>No</v>
      </c>
      <c r="Z673">
        <v>14</v>
      </c>
      <c r="AA673">
        <v>3</v>
      </c>
      <c r="AB673">
        <v>2</v>
      </c>
      <c r="AC673">
        <v>80</v>
      </c>
      <c r="AD673">
        <v>2</v>
      </c>
      <c r="AE673" s="5">
        <v>1</v>
      </c>
      <c r="AF673" t="str">
        <f t="shared" si="72"/>
        <v>0-5</v>
      </c>
      <c r="AG673">
        <v>3</v>
      </c>
      <c r="AH673">
        <v>3</v>
      </c>
      <c r="AI673" s="5">
        <v>1</v>
      </c>
      <c r="AJ673">
        <v>0</v>
      </c>
      <c r="AK673">
        <v>1</v>
      </c>
      <c r="AL673">
        <v>0</v>
      </c>
      <c r="AM673" t="str">
        <f t="shared" si="73"/>
        <v>Below Avg</v>
      </c>
      <c r="AN673" s="21">
        <f t="shared" si="74"/>
        <v>27.500000000000004</v>
      </c>
      <c r="AO673" t="str">
        <f t="shared" ca="1" si="75"/>
        <v>No</v>
      </c>
      <c r="AP673" t="str">
        <f t="shared" si="76"/>
        <v>Low Risk</v>
      </c>
    </row>
    <row r="674" spans="1:42" x14ac:dyDescent="0.3">
      <c r="A674" s="5">
        <v>42</v>
      </c>
      <c r="B674" s="5" t="s">
        <v>43</v>
      </c>
      <c r="C674" s="5" t="str">
        <f t="shared" si="70"/>
        <v>No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 s="5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 s="5">
        <v>6244</v>
      </c>
      <c r="U674">
        <v>7824</v>
      </c>
      <c r="V674">
        <v>7</v>
      </c>
      <c r="W674" t="s">
        <v>42</v>
      </c>
      <c r="X674" t="s">
        <v>43</v>
      </c>
      <c r="Y674" t="str">
        <f t="shared" si="71"/>
        <v>No</v>
      </c>
      <c r="Z674">
        <v>17</v>
      </c>
      <c r="AA674">
        <v>3</v>
      </c>
      <c r="AB674">
        <v>1</v>
      </c>
      <c r="AC674">
        <v>80</v>
      </c>
      <c r="AD674">
        <v>0</v>
      </c>
      <c r="AE674" s="5">
        <v>10</v>
      </c>
      <c r="AF674" t="str">
        <f t="shared" si="72"/>
        <v>6-15</v>
      </c>
      <c r="AG674">
        <v>6</v>
      </c>
      <c r="AH674">
        <v>3</v>
      </c>
      <c r="AI674" s="5">
        <v>5</v>
      </c>
      <c r="AJ674">
        <v>4</v>
      </c>
      <c r="AK674">
        <v>0</v>
      </c>
      <c r="AL674">
        <v>3</v>
      </c>
      <c r="AM674" t="str">
        <f t="shared" si="73"/>
        <v>Below Avg</v>
      </c>
      <c r="AN674" s="21">
        <f t="shared" si="74"/>
        <v>27.534418022528161</v>
      </c>
      <c r="AO674" t="str">
        <f t="shared" ca="1" si="75"/>
        <v>No</v>
      </c>
      <c r="AP674" t="str">
        <f t="shared" si="76"/>
        <v>Low Risk</v>
      </c>
    </row>
    <row r="675" spans="1:42" x14ac:dyDescent="0.3">
      <c r="A675" s="5">
        <v>33</v>
      </c>
      <c r="B675" s="5" t="s">
        <v>43</v>
      </c>
      <c r="C675" s="5" t="str">
        <f t="shared" si="70"/>
        <v>No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 s="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 s="5">
        <v>2799</v>
      </c>
      <c r="U675">
        <v>3339</v>
      </c>
      <c r="V675">
        <v>3</v>
      </c>
      <c r="W675" t="s">
        <v>42</v>
      </c>
      <c r="X675" t="s">
        <v>35</v>
      </c>
      <c r="Y675" t="str">
        <f t="shared" si="71"/>
        <v>Yes</v>
      </c>
      <c r="Z675">
        <v>11</v>
      </c>
      <c r="AA675">
        <v>3</v>
      </c>
      <c r="AB675">
        <v>2</v>
      </c>
      <c r="AC675">
        <v>80</v>
      </c>
      <c r="AD675">
        <v>0</v>
      </c>
      <c r="AE675" s="5">
        <v>6</v>
      </c>
      <c r="AF675" t="str">
        <f t="shared" si="72"/>
        <v>6-15</v>
      </c>
      <c r="AG675">
        <v>1</v>
      </c>
      <c r="AH675">
        <v>3</v>
      </c>
      <c r="AI675" s="5">
        <v>3</v>
      </c>
      <c r="AJ675">
        <v>2</v>
      </c>
      <c r="AK675">
        <v>0</v>
      </c>
      <c r="AL675">
        <v>2</v>
      </c>
      <c r="AM675" t="str">
        <f t="shared" si="73"/>
        <v>Below Avg</v>
      </c>
      <c r="AN675" s="21">
        <f t="shared" si="74"/>
        <v>27.56892230576441</v>
      </c>
      <c r="AO675" t="str">
        <f t="shared" ca="1" si="75"/>
        <v>No</v>
      </c>
      <c r="AP675" t="str">
        <f t="shared" si="76"/>
        <v>Low Risk</v>
      </c>
    </row>
    <row r="676" spans="1:42" x14ac:dyDescent="0.3">
      <c r="A676" s="5">
        <v>58</v>
      </c>
      <c r="B676" s="5" t="s">
        <v>43</v>
      </c>
      <c r="C676" s="5" t="str">
        <f t="shared" si="70"/>
        <v>No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 s="5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 s="5">
        <v>10552</v>
      </c>
      <c r="U676">
        <v>9255</v>
      </c>
      <c r="V676">
        <v>2</v>
      </c>
      <c r="W676" t="s">
        <v>42</v>
      </c>
      <c r="X676" t="s">
        <v>35</v>
      </c>
      <c r="Y676" t="str">
        <f t="shared" si="71"/>
        <v>Yes</v>
      </c>
      <c r="Z676">
        <v>13</v>
      </c>
      <c r="AA676">
        <v>3</v>
      </c>
      <c r="AB676">
        <v>4</v>
      </c>
      <c r="AC676">
        <v>80</v>
      </c>
      <c r="AD676">
        <v>1</v>
      </c>
      <c r="AE676" s="5">
        <v>24</v>
      </c>
      <c r="AF676" t="str">
        <f t="shared" si="72"/>
        <v>&gt;15</v>
      </c>
      <c r="AG676">
        <v>3</v>
      </c>
      <c r="AH676">
        <v>3</v>
      </c>
      <c r="AI676" s="5">
        <v>6</v>
      </c>
      <c r="AJ676">
        <v>0</v>
      </c>
      <c r="AK676">
        <v>0</v>
      </c>
      <c r="AL676">
        <v>4</v>
      </c>
      <c r="AM676" t="str">
        <f t="shared" si="73"/>
        <v>Ok</v>
      </c>
      <c r="AN676" s="21">
        <f t="shared" si="74"/>
        <v>27.603513174404014</v>
      </c>
      <c r="AO676" t="str">
        <f t="shared" ca="1" si="75"/>
        <v>No</v>
      </c>
      <c r="AP676" t="str">
        <f t="shared" si="76"/>
        <v>Low Risk</v>
      </c>
    </row>
    <row r="677" spans="1:42" x14ac:dyDescent="0.3">
      <c r="A677" s="5">
        <v>31</v>
      </c>
      <c r="B677" s="5" t="s">
        <v>43</v>
      </c>
      <c r="C677" s="5" t="str">
        <f t="shared" si="70"/>
        <v>No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 s="5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 s="5">
        <v>2329</v>
      </c>
      <c r="U677">
        <v>11737</v>
      </c>
      <c r="V677">
        <v>3</v>
      </c>
      <c r="W677" t="s">
        <v>42</v>
      </c>
      <c r="X677" t="s">
        <v>43</v>
      </c>
      <c r="Y677" t="str">
        <f t="shared" si="71"/>
        <v>No</v>
      </c>
      <c r="Z677">
        <v>15</v>
      </c>
      <c r="AA677">
        <v>3</v>
      </c>
      <c r="AB677">
        <v>2</v>
      </c>
      <c r="AC677">
        <v>80</v>
      </c>
      <c r="AD677">
        <v>0</v>
      </c>
      <c r="AE677" s="5">
        <v>13</v>
      </c>
      <c r="AF677" t="str">
        <f t="shared" si="72"/>
        <v>6-15</v>
      </c>
      <c r="AG677">
        <v>2</v>
      </c>
      <c r="AH677">
        <v>4</v>
      </c>
      <c r="AI677" s="5">
        <v>7</v>
      </c>
      <c r="AJ677">
        <v>7</v>
      </c>
      <c r="AK677">
        <v>5</v>
      </c>
      <c r="AL677">
        <v>2</v>
      </c>
      <c r="AM677" t="str">
        <f t="shared" si="73"/>
        <v>Below Avg</v>
      </c>
      <c r="AN677" s="21">
        <f t="shared" si="74"/>
        <v>27.51256281407035</v>
      </c>
      <c r="AO677" t="str">
        <f t="shared" ca="1" si="75"/>
        <v>No</v>
      </c>
      <c r="AP677" t="str">
        <f t="shared" si="76"/>
        <v>Low Risk</v>
      </c>
    </row>
    <row r="678" spans="1:42" x14ac:dyDescent="0.3">
      <c r="A678" s="5">
        <v>35</v>
      </c>
      <c r="B678" s="5" t="s">
        <v>43</v>
      </c>
      <c r="C678" s="5" t="str">
        <f t="shared" si="70"/>
        <v>No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 s="5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 s="5">
        <v>4014</v>
      </c>
      <c r="U678">
        <v>19170</v>
      </c>
      <c r="V678">
        <v>1</v>
      </c>
      <c r="W678" t="s">
        <v>42</v>
      </c>
      <c r="X678" t="s">
        <v>35</v>
      </c>
      <c r="Y678" t="str">
        <f t="shared" si="71"/>
        <v>Yes</v>
      </c>
      <c r="Z678">
        <v>25</v>
      </c>
      <c r="AA678">
        <v>4</v>
      </c>
      <c r="AB678">
        <v>4</v>
      </c>
      <c r="AC678">
        <v>80</v>
      </c>
      <c r="AD678">
        <v>1</v>
      </c>
      <c r="AE678" s="5">
        <v>10</v>
      </c>
      <c r="AF678" t="str">
        <f t="shared" si="72"/>
        <v>6-15</v>
      </c>
      <c r="AG678">
        <v>2</v>
      </c>
      <c r="AH678">
        <v>1</v>
      </c>
      <c r="AI678" s="5">
        <v>10</v>
      </c>
      <c r="AJ678">
        <v>6</v>
      </c>
      <c r="AK678">
        <v>0</v>
      </c>
      <c r="AL678">
        <v>7</v>
      </c>
      <c r="AM678" t="str">
        <f t="shared" si="73"/>
        <v>Below Avg</v>
      </c>
      <c r="AN678" s="21">
        <f t="shared" si="74"/>
        <v>27.421383647798741</v>
      </c>
      <c r="AO678" t="str">
        <f t="shared" ca="1" si="75"/>
        <v>No</v>
      </c>
      <c r="AP678" t="str">
        <f t="shared" si="76"/>
        <v>Low Risk</v>
      </c>
    </row>
    <row r="679" spans="1:42" x14ac:dyDescent="0.3">
      <c r="A679" s="5">
        <v>49</v>
      </c>
      <c r="B679" s="5" t="s">
        <v>43</v>
      </c>
      <c r="C679" s="5" t="str">
        <f t="shared" si="70"/>
        <v>No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 s="5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 s="5">
        <v>7403</v>
      </c>
      <c r="U679">
        <v>22477</v>
      </c>
      <c r="V679">
        <v>4</v>
      </c>
      <c r="W679" t="s">
        <v>42</v>
      </c>
      <c r="X679" t="s">
        <v>43</v>
      </c>
      <c r="Y679" t="str">
        <f t="shared" si="71"/>
        <v>No</v>
      </c>
      <c r="Z679">
        <v>11</v>
      </c>
      <c r="AA679">
        <v>3</v>
      </c>
      <c r="AB679">
        <v>3</v>
      </c>
      <c r="AC679">
        <v>80</v>
      </c>
      <c r="AD679">
        <v>1</v>
      </c>
      <c r="AE679" s="5">
        <v>29</v>
      </c>
      <c r="AF679" t="str">
        <f t="shared" si="72"/>
        <v>&gt;15</v>
      </c>
      <c r="AG679">
        <v>3</v>
      </c>
      <c r="AH679">
        <v>2</v>
      </c>
      <c r="AI679" s="5">
        <v>26</v>
      </c>
      <c r="AJ679">
        <v>9</v>
      </c>
      <c r="AK679">
        <v>1</v>
      </c>
      <c r="AL679">
        <v>7</v>
      </c>
      <c r="AM679" t="str">
        <f t="shared" si="73"/>
        <v>Ok</v>
      </c>
      <c r="AN679" s="21">
        <f t="shared" si="74"/>
        <v>27.455919395465994</v>
      </c>
      <c r="AO679" t="str">
        <f t="shared" ca="1" si="75"/>
        <v>No</v>
      </c>
      <c r="AP679" t="str">
        <f t="shared" si="76"/>
        <v>Low Risk</v>
      </c>
    </row>
    <row r="680" spans="1:42" x14ac:dyDescent="0.3">
      <c r="A680" s="5">
        <v>48</v>
      </c>
      <c r="B680" s="5" t="s">
        <v>43</v>
      </c>
      <c r="C680" s="5" t="str">
        <f t="shared" si="70"/>
        <v>No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 s="5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 s="5">
        <v>2259</v>
      </c>
      <c r="U680">
        <v>5543</v>
      </c>
      <c r="V680">
        <v>4</v>
      </c>
      <c r="W680" t="s">
        <v>42</v>
      </c>
      <c r="X680" t="s">
        <v>43</v>
      </c>
      <c r="Y680" t="str">
        <f t="shared" si="71"/>
        <v>No</v>
      </c>
      <c r="Z680">
        <v>17</v>
      </c>
      <c r="AA680">
        <v>3</v>
      </c>
      <c r="AB680">
        <v>1</v>
      </c>
      <c r="AC680">
        <v>80</v>
      </c>
      <c r="AD680">
        <v>2</v>
      </c>
      <c r="AE680" s="5">
        <v>13</v>
      </c>
      <c r="AF680" t="str">
        <f t="shared" si="72"/>
        <v>6-15</v>
      </c>
      <c r="AG680">
        <v>2</v>
      </c>
      <c r="AH680">
        <v>2</v>
      </c>
      <c r="AI680" s="5">
        <v>0</v>
      </c>
      <c r="AJ680">
        <v>0</v>
      </c>
      <c r="AK680">
        <v>0</v>
      </c>
      <c r="AL680">
        <v>0</v>
      </c>
      <c r="AM680" t="str">
        <f t="shared" si="73"/>
        <v>Below Avg</v>
      </c>
      <c r="AN680" s="21">
        <f t="shared" si="74"/>
        <v>27.364438839848678</v>
      </c>
      <c r="AO680" t="str">
        <f t="shared" ca="1" si="75"/>
        <v>No</v>
      </c>
      <c r="AP680" t="str">
        <f t="shared" si="76"/>
        <v>Low Risk</v>
      </c>
    </row>
    <row r="681" spans="1:42" x14ac:dyDescent="0.3">
      <c r="A681" s="5">
        <v>31</v>
      </c>
      <c r="B681" s="5" t="s">
        <v>43</v>
      </c>
      <c r="C681" s="5" t="str">
        <f t="shared" si="70"/>
        <v>No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 s="5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 s="5">
        <v>6932</v>
      </c>
      <c r="U681">
        <v>24406</v>
      </c>
      <c r="V681">
        <v>1</v>
      </c>
      <c r="W681" t="s">
        <v>42</v>
      </c>
      <c r="X681" t="s">
        <v>43</v>
      </c>
      <c r="Y681" t="str">
        <f t="shared" si="71"/>
        <v>No</v>
      </c>
      <c r="Z681">
        <v>13</v>
      </c>
      <c r="AA681">
        <v>3</v>
      </c>
      <c r="AB681">
        <v>4</v>
      </c>
      <c r="AC681">
        <v>80</v>
      </c>
      <c r="AD681">
        <v>1</v>
      </c>
      <c r="AE681" s="5">
        <v>9</v>
      </c>
      <c r="AF681" t="str">
        <f t="shared" si="72"/>
        <v>6-15</v>
      </c>
      <c r="AG681">
        <v>2</v>
      </c>
      <c r="AH681">
        <v>2</v>
      </c>
      <c r="AI681" s="5">
        <v>9</v>
      </c>
      <c r="AJ681">
        <v>8</v>
      </c>
      <c r="AK681">
        <v>0</v>
      </c>
      <c r="AL681">
        <v>0</v>
      </c>
      <c r="AM681" t="str">
        <f t="shared" si="73"/>
        <v>Below Avg</v>
      </c>
      <c r="AN681" s="21">
        <f t="shared" si="74"/>
        <v>27.3989898989899</v>
      </c>
      <c r="AO681" t="str">
        <f t="shared" ca="1" si="75"/>
        <v>No</v>
      </c>
      <c r="AP681" t="str">
        <f t="shared" si="76"/>
        <v>Low Risk</v>
      </c>
    </row>
    <row r="682" spans="1:42" x14ac:dyDescent="0.3">
      <c r="A682" s="5">
        <v>36</v>
      </c>
      <c r="B682" s="5" t="s">
        <v>43</v>
      </c>
      <c r="C682" s="5" t="str">
        <f t="shared" si="70"/>
        <v>No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 s="5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 s="5">
        <v>4678</v>
      </c>
      <c r="U682">
        <v>23293</v>
      </c>
      <c r="V682">
        <v>2</v>
      </c>
      <c r="W682" t="s">
        <v>42</v>
      </c>
      <c r="X682" t="s">
        <v>43</v>
      </c>
      <c r="Y682" t="str">
        <f t="shared" si="71"/>
        <v>No</v>
      </c>
      <c r="Z682">
        <v>18</v>
      </c>
      <c r="AA682">
        <v>3</v>
      </c>
      <c r="AB682">
        <v>3</v>
      </c>
      <c r="AC682">
        <v>80</v>
      </c>
      <c r="AD682">
        <v>0</v>
      </c>
      <c r="AE682" s="5">
        <v>8</v>
      </c>
      <c r="AF682" t="str">
        <f t="shared" si="72"/>
        <v>6-15</v>
      </c>
      <c r="AG682">
        <v>6</v>
      </c>
      <c r="AH682">
        <v>3</v>
      </c>
      <c r="AI682" s="5">
        <v>6</v>
      </c>
      <c r="AJ682">
        <v>2</v>
      </c>
      <c r="AK682">
        <v>0</v>
      </c>
      <c r="AL682">
        <v>1</v>
      </c>
      <c r="AM682" t="str">
        <f t="shared" si="73"/>
        <v>Below Avg</v>
      </c>
      <c r="AN682" s="21">
        <f t="shared" si="74"/>
        <v>27.43362831858407</v>
      </c>
      <c r="AO682" t="str">
        <f t="shared" ca="1" si="75"/>
        <v>No</v>
      </c>
      <c r="AP682" t="str">
        <f t="shared" si="76"/>
        <v>Low Risk</v>
      </c>
    </row>
    <row r="683" spans="1:42" x14ac:dyDescent="0.3">
      <c r="A683" s="5">
        <v>38</v>
      </c>
      <c r="B683" s="5" t="s">
        <v>43</v>
      </c>
      <c r="C683" s="5" t="str">
        <f t="shared" si="70"/>
        <v>No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 s="5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 s="5">
        <v>13582</v>
      </c>
      <c r="U683">
        <v>16292</v>
      </c>
      <c r="V683">
        <v>1</v>
      </c>
      <c r="W683" t="s">
        <v>42</v>
      </c>
      <c r="X683" t="s">
        <v>43</v>
      </c>
      <c r="Y683" t="str">
        <f t="shared" si="71"/>
        <v>No</v>
      </c>
      <c r="Z683">
        <v>13</v>
      </c>
      <c r="AA683">
        <v>3</v>
      </c>
      <c r="AB683">
        <v>2</v>
      </c>
      <c r="AC683">
        <v>80</v>
      </c>
      <c r="AD683">
        <v>1</v>
      </c>
      <c r="AE683" s="5">
        <v>15</v>
      </c>
      <c r="AF683" t="str">
        <f t="shared" si="72"/>
        <v>6-15</v>
      </c>
      <c r="AG683">
        <v>3</v>
      </c>
      <c r="AH683">
        <v>3</v>
      </c>
      <c r="AI683" s="5">
        <v>15</v>
      </c>
      <c r="AJ683">
        <v>12</v>
      </c>
      <c r="AK683">
        <v>5</v>
      </c>
      <c r="AL683">
        <v>11</v>
      </c>
      <c r="AM683" t="str">
        <f t="shared" si="73"/>
        <v>Ok</v>
      </c>
      <c r="AN683" s="21">
        <f t="shared" si="74"/>
        <v>27.468354430379748</v>
      </c>
      <c r="AO683" t="str">
        <f t="shared" ca="1" si="75"/>
        <v>No</v>
      </c>
      <c r="AP683" t="str">
        <f t="shared" si="76"/>
        <v>Low Risk</v>
      </c>
    </row>
    <row r="684" spans="1:42" x14ac:dyDescent="0.3">
      <c r="A684" s="5">
        <v>32</v>
      </c>
      <c r="B684" s="5" t="s">
        <v>43</v>
      </c>
      <c r="C684" s="5" t="str">
        <f t="shared" si="70"/>
        <v>No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 s="5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 s="5">
        <v>2332</v>
      </c>
      <c r="U684">
        <v>3974</v>
      </c>
      <c r="V684">
        <v>6</v>
      </c>
      <c r="W684" t="s">
        <v>42</v>
      </c>
      <c r="X684" t="s">
        <v>43</v>
      </c>
      <c r="Y684" t="str">
        <f t="shared" si="71"/>
        <v>No</v>
      </c>
      <c r="Z684">
        <v>20</v>
      </c>
      <c r="AA684">
        <v>4</v>
      </c>
      <c r="AB684">
        <v>3</v>
      </c>
      <c r="AC684">
        <v>80</v>
      </c>
      <c r="AD684">
        <v>0</v>
      </c>
      <c r="AE684" s="5">
        <v>5</v>
      </c>
      <c r="AF684" t="str">
        <f t="shared" si="72"/>
        <v>0-5</v>
      </c>
      <c r="AG684">
        <v>3</v>
      </c>
      <c r="AH684">
        <v>3</v>
      </c>
      <c r="AI684" s="5">
        <v>3</v>
      </c>
      <c r="AJ684">
        <v>0</v>
      </c>
      <c r="AK684">
        <v>0</v>
      </c>
      <c r="AL684">
        <v>2</v>
      </c>
      <c r="AM684" t="str">
        <f t="shared" si="73"/>
        <v>Below Avg</v>
      </c>
      <c r="AN684" s="21">
        <f t="shared" si="74"/>
        <v>27.50316856780735</v>
      </c>
      <c r="AO684" t="str">
        <f t="shared" ca="1" si="75"/>
        <v>No</v>
      </c>
      <c r="AP684" t="str">
        <f t="shared" si="76"/>
        <v>Low Risk</v>
      </c>
    </row>
    <row r="685" spans="1:42" x14ac:dyDescent="0.3">
      <c r="A685" s="5">
        <v>25</v>
      </c>
      <c r="B685" s="5" t="s">
        <v>35</v>
      </c>
      <c r="C685" s="5" t="str">
        <f t="shared" si="70"/>
        <v>Yes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 s="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 s="5">
        <v>2413</v>
      </c>
      <c r="U685">
        <v>18798</v>
      </c>
      <c r="V685">
        <v>1</v>
      </c>
      <c r="W685" t="s">
        <v>42</v>
      </c>
      <c r="X685" t="s">
        <v>35</v>
      </c>
      <c r="Y685" t="str">
        <f t="shared" si="71"/>
        <v>Yes</v>
      </c>
      <c r="Z685">
        <v>18</v>
      </c>
      <c r="AA685">
        <v>3</v>
      </c>
      <c r="AB685">
        <v>3</v>
      </c>
      <c r="AC685">
        <v>80</v>
      </c>
      <c r="AD685">
        <v>3</v>
      </c>
      <c r="AE685" s="5">
        <v>1</v>
      </c>
      <c r="AF685" t="str">
        <f t="shared" si="72"/>
        <v>0-5</v>
      </c>
      <c r="AG685">
        <v>2</v>
      </c>
      <c r="AH685">
        <v>3</v>
      </c>
      <c r="AI685" s="5">
        <v>1</v>
      </c>
      <c r="AJ685">
        <v>0</v>
      </c>
      <c r="AK685">
        <v>0</v>
      </c>
      <c r="AL685">
        <v>0</v>
      </c>
      <c r="AM685" t="str">
        <f t="shared" si="73"/>
        <v>Below Avg</v>
      </c>
      <c r="AN685" s="21">
        <f t="shared" si="74"/>
        <v>27.53807106598985</v>
      </c>
      <c r="AO685" t="str">
        <f t="shared" ca="1" si="75"/>
        <v>No</v>
      </c>
      <c r="AP685" t="str">
        <f t="shared" si="76"/>
        <v>High Risk</v>
      </c>
    </row>
    <row r="686" spans="1:42" x14ac:dyDescent="0.3">
      <c r="A686" s="5">
        <v>40</v>
      </c>
      <c r="B686" s="5" t="s">
        <v>43</v>
      </c>
      <c r="C686" s="5" t="str">
        <f t="shared" si="70"/>
        <v>No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 s="5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 s="5">
        <v>9705</v>
      </c>
      <c r="U686">
        <v>20652</v>
      </c>
      <c r="V686">
        <v>2</v>
      </c>
      <c r="W686" t="s">
        <v>42</v>
      </c>
      <c r="X686" t="s">
        <v>43</v>
      </c>
      <c r="Y686" t="str">
        <f t="shared" si="71"/>
        <v>No</v>
      </c>
      <c r="Z686">
        <v>12</v>
      </c>
      <c r="AA686">
        <v>3</v>
      </c>
      <c r="AB686">
        <v>2</v>
      </c>
      <c r="AC686">
        <v>80</v>
      </c>
      <c r="AD686">
        <v>1</v>
      </c>
      <c r="AE686" s="5">
        <v>11</v>
      </c>
      <c r="AF686" t="str">
        <f t="shared" si="72"/>
        <v>6-15</v>
      </c>
      <c r="AG686">
        <v>2</v>
      </c>
      <c r="AH686">
        <v>2</v>
      </c>
      <c r="AI686" s="5">
        <v>1</v>
      </c>
      <c r="AJ686">
        <v>0</v>
      </c>
      <c r="AK686">
        <v>0</v>
      </c>
      <c r="AL686">
        <v>0</v>
      </c>
      <c r="AM686" t="str">
        <f t="shared" si="73"/>
        <v>Ok</v>
      </c>
      <c r="AN686" s="21">
        <f t="shared" si="74"/>
        <v>27.573062261753496</v>
      </c>
      <c r="AO686" t="str">
        <f t="shared" ca="1" si="75"/>
        <v>No</v>
      </c>
      <c r="AP686" t="str">
        <f t="shared" si="76"/>
        <v>Low Risk</v>
      </c>
    </row>
    <row r="687" spans="1:42" x14ac:dyDescent="0.3">
      <c r="A687" s="5">
        <v>26</v>
      </c>
      <c r="B687" s="5" t="s">
        <v>43</v>
      </c>
      <c r="C687" s="5" t="str">
        <f t="shared" si="70"/>
        <v>No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 s="5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 s="5">
        <v>4294</v>
      </c>
      <c r="U687">
        <v>11148</v>
      </c>
      <c r="V687">
        <v>1</v>
      </c>
      <c r="W687" t="s">
        <v>42</v>
      </c>
      <c r="X687" t="s">
        <v>43</v>
      </c>
      <c r="Y687" t="str">
        <f t="shared" si="71"/>
        <v>No</v>
      </c>
      <c r="Z687">
        <v>12</v>
      </c>
      <c r="AA687">
        <v>3</v>
      </c>
      <c r="AB687">
        <v>2</v>
      </c>
      <c r="AC687">
        <v>80</v>
      </c>
      <c r="AD687">
        <v>0</v>
      </c>
      <c r="AE687" s="5">
        <v>7</v>
      </c>
      <c r="AF687" t="str">
        <f t="shared" si="72"/>
        <v>6-15</v>
      </c>
      <c r="AG687">
        <v>2</v>
      </c>
      <c r="AH687">
        <v>3</v>
      </c>
      <c r="AI687" s="5">
        <v>7</v>
      </c>
      <c r="AJ687">
        <v>7</v>
      </c>
      <c r="AK687">
        <v>0</v>
      </c>
      <c r="AL687">
        <v>7</v>
      </c>
      <c r="AM687" t="str">
        <f t="shared" si="73"/>
        <v>Below Avg</v>
      </c>
      <c r="AN687" s="21">
        <f t="shared" si="74"/>
        <v>27.480916030534353</v>
      </c>
      <c r="AO687" t="str">
        <f t="shared" ca="1" si="75"/>
        <v>No</v>
      </c>
      <c r="AP687" t="str">
        <f t="shared" si="76"/>
        <v>Low Risk</v>
      </c>
    </row>
    <row r="688" spans="1:42" x14ac:dyDescent="0.3">
      <c r="A688" s="5">
        <v>41</v>
      </c>
      <c r="B688" s="5" t="s">
        <v>43</v>
      </c>
      <c r="C688" s="5" t="str">
        <f t="shared" si="70"/>
        <v>No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 s="5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 s="5">
        <v>4721</v>
      </c>
      <c r="U688">
        <v>3119</v>
      </c>
      <c r="V688">
        <v>2</v>
      </c>
      <c r="W688" t="s">
        <v>42</v>
      </c>
      <c r="X688" t="s">
        <v>35</v>
      </c>
      <c r="Y688" t="str">
        <f t="shared" si="71"/>
        <v>Yes</v>
      </c>
      <c r="Z688">
        <v>13</v>
      </c>
      <c r="AA688">
        <v>3</v>
      </c>
      <c r="AB688">
        <v>3</v>
      </c>
      <c r="AC688">
        <v>80</v>
      </c>
      <c r="AD688">
        <v>0</v>
      </c>
      <c r="AE688" s="5">
        <v>20</v>
      </c>
      <c r="AF688" t="str">
        <f t="shared" si="72"/>
        <v>&gt;15</v>
      </c>
      <c r="AG688">
        <v>3</v>
      </c>
      <c r="AH688">
        <v>3</v>
      </c>
      <c r="AI688" s="5">
        <v>18</v>
      </c>
      <c r="AJ688">
        <v>13</v>
      </c>
      <c r="AK688">
        <v>2</v>
      </c>
      <c r="AL688">
        <v>17</v>
      </c>
      <c r="AM688" t="str">
        <f t="shared" si="73"/>
        <v>Below Avg</v>
      </c>
      <c r="AN688" s="21">
        <f t="shared" si="74"/>
        <v>27.515923566878982</v>
      </c>
      <c r="AO688" t="str">
        <f t="shared" ca="1" si="75"/>
        <v>No</v>
      </c>
      <c r="AP688" t="str">
        <f t="shared" si="76"/>
        <v>Low Risk</v>
      </c>
    </row>
    <row r="689" spans="1:42" x14ac:dyDescent="0.3">
      <c r="A689" s="5">
        <v>36</v>
      </c>
      <c r="B689" s="5" t="s">
        <v>43</v>
      </c>
      <c r="C689" s="5" t="str">
        <f t="shared" si="70"/>
        <v>No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 s="5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 s="5">
        <v>2519</v>
      </c>
      <c r="U689">
        <v>12287</v>
      </c>
      <c r="V689">
        <v>4</v>
      </c>
      <c r="W689" t="s">
        <v>42</v>
      </c>
      <c r="X689" t="s">
        <v>43</v>
      </c>
      <c r="Y689" t="str">
        <f t="shared" si="71"/>
        <v>No</v>
      </c>
      <c r="Z689">
        <v>21</v>
      </c>
      <c r="AA689">
        <v>4</v>
      </c>
      <c r="AB689">
        <v>3</v>
      </c>
      <c r="AC689">
        <v>80</v>
      </c>
      <c r="AD689">
        <v>0</v>
      </c>
      <c r="AE689" s="5">
        <v>16</v>
      </c>
      <c r="AF689" t="str">
        <f t="shared" si="72"/>
        <v>&gt;15</v>
      </c>
      <c r="AG689">
        <v>6</v>
      </c>
      <c r="AH689">
        <v>3</v>
      </c>
      <c r="AI689" s="5">
        <v>11</v>
      </c>
      <c r="AJ689">
        <v>8</v>
      </c>
      <c r="AK689">
        <v>3</v>
      </c>
      <c r="AL689">
        <v>9</v>
      </c>
      <c r="AM689" t="str">
        <f t="shared" si="73"/>
        <v>Below Avg</v>
      </c>
      <c r="AN689" s="21">
        <f t="shared" si="74"/>
        <v>27.551020408163261</v>
      </c>
      <c r="AO689" t="str">
        <f t="shared" ca="1" si="75"/>
        <v>No</v>
      </c>
      <c r="AP689" t="str">
        <f t="shared" si="76"/>
        <v>Low Risk</v>
      </c>
    </row>
    <row r="690" spans="1:42" x14ac:dyDescent="0.3">
      <c r="A690" s="5">
        <v>19</v>
      </c>
      <c r="B690" s="5" t="s">
        <v>35</v>
      </c>
      <c r="C690" s="5" t="str">
        <f t="shared" si="70"/>
        <v>Yes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 s="5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 s="5">
        <v>2121</v>
      </c>
      <c r="U690">
        <v>9947</v>
      </c>
      <c r="V690">
        <v>1</v>
      </c>
      <c r="W690" t="s">
        <v>42</v>
      </c>
      <c r="X690" t="s">
        <v>35</v>
      </c>
      <c r="Y690" t="str">
        <f t="shared" si="71"/>
        <v>Yes</v>
      </c>
      <c r="Z690">
        <v>13</v>
      </c>
      <c r="AA690">
        <v>3</v>
      </c>
      <c r="AB690">
        <v>2</v>
      </c>
      <c r="AC690">
        <v>80</v>
      </c>
      <c r="AD690">
        <v>0</v>
      </c>
      <c r="AE690" s="5">
        <v>1</v>
      </c>
      <c r="AF690" t="str">
        <f t="shared" si="72"/>
        <v>0-5</v>
      </c>
      <c r="AG690">
        <v>3</v>
      </c>
      <c r="AH690">
        <v>4</v>
      </c>
      <c r="AI690" s="5">
        <v>1</v>
      </c>
      <c r="AJ690">
        <v>0</v>
      </c>
      <c r="AK690">
        <v>0</v>
      </c>
      <c r="AL690">
        <v>0</v>
      </c>
      <c r="AM690" t="str">
        <f t="shared" si="73"/>
        <v>Below Avg</v>
      </c>
      <c r="AN690" s="21">
        <f t="shared" si="74"/>
        <v>27.458492975734355</v>
      </c>
      <c r="AO690" t="str">
        <f t="shared" ca="1" si="75"/>
        <v>No</v>
      </c>
      <c r="AP690" t="str">
        <f t="shared" si="76"/>
        <v>High Risk</v>
      </c>
    </row>
    <row r="691" spans="1:42" x14ac:dyDescent="0.3">
      <c r="A691" s="5">
        <v>20</v>
      </c>
      <c r="B691" s="5" t="s">
        <v>35</v>
      </c>
      <c r="C691" s="5" t="str">
        <f t="shared" si="70"/>
        <v>Yes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 s="5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 s="5">
        <v>2973</v>
      </c>
      <c r="U691">
        <v>13008</v>
      </c>
      <c r="V691">
        <v>1</v>
      </c>
      <c r="W691" t="s">
        <v>42</v>
      </c>
      <c r="X691" t="s">
        <v>43</v>
      </c>
      <c r="Y691" t="str">
        <f t="shared" si="71"/>
        <v>No</v>
      </c>
      <c r="Z691">
        <v>19</v>
      </c>
      <c r="AA691">
        <v>3</v>
      </c>
      <c r="AB691">
        <v>2</v>
      </c>
      <c r="AC691">
        <v>80</v>
      </c>
      <c r="AD691">
        <v>0</v>
      </c>
      <c r="AE691" s="5">
        <v>1</v>
      </c>
      <c r="AF691" t="str">
        <f t="shared" si="72"/>
        <v>0-5</v>
      </c>
      <c r="AG691">
        <v>2</v>
      </c>
      <c r="AH691">
        <v>3</v>
      </c>
      <c r="AI691" s="5">
        <v>1</v>
      </c>
      <c r="AJ691">
        <v>0</v>
      </c>
      <c r="AK691">
        <v>0</v>
      </c>
      <c r="AL691">
        <v>0</v>
      </c>
      <c r="AM691" t="str">
        <f t="shared" si="73"/>
        <v>Below Avg</v>
      </c>
      <c r="AN691" s="21">
        <f t="shared" si="74"/>
        <v>27.493606138107417</v>
      </c>
      <c r="AO691" t="str">
        <f t="shared" ca="1" si="75"/>
        <v>No</v>
      </c>
      <c r="AP691" t="str">
        <f t="shared" si="76"/>
        <v>High Risk</v>
      </c>
    </row>
    <row r="692" spans="1:42" x14ac:dyDescent="0.3">
      <c r="A692" s="5">
        <v>31</v>
      </c>
      <c r="B692" s="5" t="s">
        <v>43</v>
      </c>
      <c r="C692" s="5" t="str">
        <f t="shared" si="70"/>
        <v>No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 s="5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 s="5">
        <v>5855</v>
      </c>
      <c r="U692">
        <v>17369</v>
      </c>
      <c r="V692">
        <v>0</v>
      </c>
      <c r="W692" t="s">
        <v>42</v>
      </c>
      <c r="X692" t="s">
        <v>35</v>
      </c>
      <c r="Y692" t="str">
        <f t="shared" si="71"/>
        <v>Yes</v>
      </c>
      <c r="Z692">
        <v>11</v>
      </c>
      <c r="AA692">
        <v>3</v>
      </c>
      <c r="AB692">
        <v>3</v>
      </c>
      <c r="AC692">
        <v>80</v>
      </c>
      <c r="AD692">
        <v>2</v>
      </c>
      <c r="AE692" s="5">
        <v>10</v>
      </c>
      <c r="AF692" t="str">
        <f t="shared" si="72"/>
        <v>6-15</v>
      </c>
      <c r="AG692">
        <v>2</v>
      </c>
      <c r="AH692">
        <v>1</v>
      </c>
      <c r="AI692" s="5">
        <v>9</v>
      </c>
      <c r="AJ692">
        <v>7</v>
      </c>
      <c r="AK692">
        <v>8</v>
      </c>
      <c r="AL692">
        <v>5</v>
      </c>
      <c r="AM692" t="str">
        <f t="shared" si="73"/>
        <v>Below Avg</v>
      </c>
      <c r="AN692" s="21">
        <f t="shared" si="74"/>
        <v>27.40076824583867</v>
      </c>
      <c r="AO692" t="str">
        <f t="shared" ca="1" si="75"/>
        <v>No</v>
      </c>
      <c r="AP692" t="str">
        <f t="shared" si="76"/>
        <v>Low Risk</v>
      </c>
    </row>
    <row r="693" spans="1:42" x14ac:dyDescent="0.3">
      <c r="A693" s="5">
        <v>40</v>
      </c>
      <c r="B693" s="5" t="s">
        <v>43</v>
      </c>
      <c r="C693" s="5" t="str">
        <f t="shared" si="70"/>
        <v>No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 s="5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 s="5">
        <v>3617</v>
      </c>
      <c r="U693">
        <v>25063</v>
      </c>
      <c r="V693">
        <v>8</v>
      </c>
      <c r="W693" t="s">
        <v>42</v>
      </c>
      <c r="X693" t="s">
        <v>35</v>
      </c>
      <c r="Y693" t="str">
        <f t="shared" si="71"/>
        <v>Yes</v>
      </c>
      <c r="Z693">
        <v>14</v>
      </c>
      <c r="AA693">
        <v>3</v>
      </c>
      <c r="AB693">
        <v>4</v>
      </c>
      <c r="AC693">
        <v>80</v>
      </c>
      <c r="AD693">
        <v>1</v>
      </c>
      <c r="AE693" s="5">
        <v>3</v>
      </c>
      <c r="AF693" t="str">
        <f t="shared" si="72"/>
        <v>0-5</v>
      </c>
      <c r="AG693">
        <v>2</v>
      </c>
      <c r="AH693">
        <v>3</v>
      </c>
      <c r="AI693" s="5">
        <v>1</v>
      </c>
      <c r="AJ693">
        <v>1</v>
      </c>
      <c r="AK693">
        <v>0</v>
      </c>
      <c r="AL693">
        <v>0</v>
      </c>
      <c r="AM693" t="str">
        <f t="shared" si="73"/>
        <v>Below Avg</v>
      </c>
      <c r="AN693" s="21">
        <f t="shared" si="74"/>
        <v>27.435897435897438</v>
      </c>
      <c r="AO693" t="str">
        <f t="shared" ca="1" si="75"/>
        <v>No</v>
      </c>
      <c r="AP693" t="str">
        <f t="shared" si="76"/>
        <v>Low Risk</v>
      </c>
    </row>
    <row r="694" spans="1:42" x14ac:dyDescent="0.3">
      <c r="A694" s="5">
        <v>32</v>
      </c>
      <c r="B694" s="5" t="s">
        <v>43</v>
      </c>
      <c r="C694" s="5" t="str">
        <f t="shared" si="70"/>
        <v>No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 s="5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 s="5">
        <v>6725</v>
      </c>
      <c r="U694">
        <v>13554</v>
      </c>
      <c r="V694">
        <v>1</v>
      </c>
      <c r="W694" t="s">
        <v>42</v>
      </c>
      <c r="X694" t="s">
        <v>43</v>
      </c>
      <c r="Y694" t="str">
        <f t="shared" si="71"/>
        <v>No</v>
      </c>
      <c r="Z694">
        <v>12</v>
      </c>
      <c r="AA694">
        <v>3</v>
      </c>
      <c r="AB694">
        <v>3</v>
      </c>
      <c r="AC694">
        <v>80</v>
      </c>
      <c r="AD694">
        <v>1</v>
      </c>
      <c r="AE694" s="5">
        <v>8</v>
      </c>
      <c r="AF694" t="str">
        <f t="shared" si="72"/>
        <v>6-15</v>
      </c>
      <c r="AG694">
        <v>2</v>
      </c>
      <c r="AH694">
        <v>4</v>
      </c>
      <c r="AI694" s="5">
        <v>8</v>
      </c>
      <c r="AJ694">
        <v>7</v>
      </c>
      <c r="AK694">
        <v>6</v>
      </c>
      <c r="AL694">
        <v>3</v>
      </c>
      <c r="AM694" t="str">
        <f t="shared" si="73"/>
        <v>Ok</v>
      </c>
      <c r="AN694" s="21">
        <f t="shared" si="74"/>
        <v>27.342747111681643</v>
      </c>
      <c r="AO694" t="str">
        <f t="shared" ca="1" si="75"/>
        <v>No</v>
      </c>
      <c r="AP694" t="str">
        <f t="shared" si="76"/>
        <v>Low Risk</v>
      </c>
    </row>
    <row r="695" spans="1:42" x14ac:dyDescent="0.3">
      <c r="A695" s="5">
        <v>36</v>
      </c>
      <c r="B695" s="5" t="s">
        <v>35</v>
      </c>
      <c r="C695" s="5" t="str">
        <f t="shared" si="70"/>
        <v>Yes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 s="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 s="5">
        <v>10325</v>
      </c>
      <c r="U695">
        <v>5518</v>
      </c>
      <c r="V695">
        <v>1</v>
      </c>
      <c r="W695" t="s">
        <v>42</v>
      </c>
      <c r="X695" t="s">
        <v>35</v>
      </c>
      <c r="Y695" t="str">
        <f t="shared" si="71"/>
        <v>Yes</v>
      </c>
      <c r="Z695">
        <v>11</v>
      </c>
      <c r="AA695">
        <v>3</v>
      </c>
      <c r="AB695">
        <v>1</v>
      </c>
      <c r="AC695">
        <v>80</v>
      </c>
      <c r="AD695">
        <v>1</v>
      </c>
      <c r="AE695" s="5">
        <v>16</v>
      </c>
      <c r="AF695" t="str">
        <f t="shared" si="72"/>
        <v>&gt;15</v>
      </c>
      <c r="AG695">
        <v>6</v>
      </c>
      <c r="AH695">
        <v>3</v>
      </c>
      <c r="AI695" s="5">
        <v>16</v>
      </c>
      <c r="AJ695">
        <v>7</v>
      </c>
      <c r="AK695">
        <v>3</v>
      </c>
      <c r="AL695">
        <v>7</v>
      </c>
      <c r="AM695" t="str">
        <f t="shared" si="73"/>
        <v>Ok</v>
      </c>
      <c r="AN695" s="21">
        <f t="shared" si="74"/>
        <v>27.249357326478147</v>
      </c>
      <c r="AO695" t="str">
        <f t="shared" ca="1" si="75"/>
        <v>No</v>
      </c>
      <c r="AP695" t="str">
        <f t="shared" si="76"/>
        <v>Low Risk</v>
      </c>
    </row>
    <row r="696" spans="1:42" x14ac:dyDescent="0.3">
      <c r="A696" s="5">
        <v>33</v>
      </c>
      <c r="B696" s="5" t="s">
        <v>43</v>
      </c>
      <c r="C696" s="5" t="str">
        <f t="shared" si="70"/>
        <v>No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 s="5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 s="5">
        <v>6949</v>
      </c>
      <c r="U696">
        <v>12291</v>
      </c>
      <c r="V696">
        <v>0</v>
      </c>
      <c r="W696" t="s">
        <v>42</v>
      </c>
      <c r="X696" t="s">
        <v>43</v>
      </c>
      <c r="Y696" t="str">
        <f t="shared" si="71"/>
        <v>No</v>
      </c>
      <c r="Z696">
        <v>14</v>
      </c>
      <c r="AA696">
        <v>3</v>
      </c>
      <c r="AB696">
        <v>1</v>
      </c>
      <c r="AC696">
        <v>80</v>
      </c>
      <c r="AD696">
        <v>0</v>
      </c>
      <c r="AE696" s="5">
        <v>6</v>
      </c>
      <c r="AF696" t="str">
        <f t="shared" si="72"/>
        <v>6-15</v>
      </c>
      <c r="AG696">
        <v>3</v>
      </c>
      <c r="AH696">
        <v>3</v>
      </c>
      <c r="AI696" s="5">
        <v>5</v>
      </c>
      <c r="AJ696">
        <v>0</v>
      </c>
      <c r="AK696">
        <v>1</v>
      </c>
      <c r="AL696">
        <v>4</v>
      </c>
      <c r="AM696" t="str">
        <f t="shared" si="73"/>
        <v>Ok</v>
      </c>
      <c r="AN696" s="21">
        <f t="shared" si="74"/>
        <v>27.284427284427281</v>
      </c>
      <c r="AO696" t="str">
        <f t="shared" ca="1" si="75"/>
        <v>No</v>
      </c>
      <c r="AP696" t="str">
        <f t="shared" si="76"/>
        <v>Low Risk</v>
      </c>
    </row>
    <row r="697" spans="1:42" x14ac:dyDescent="0.3">
      <c r="A697" s="5">
        <v>37</v>
      </c>
      <c r="B697" s="5" t="s">
        <v>35</v>
      </c>
      <c r="C697" s="5" t="str">
        <f t="shared" si="70"/>
        <v>Yes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 s="5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 s="5">
        <v>10609</v>
      </c>
      <c r="U697">
        <v>14922</v>
      </c>
      <c r="V697">
        <v>5</v>
      </c>
      <c r="W697" t="s">
        <v>42</v>
      </c>
      <c r="X697" t="s">
        <v>43</v>
      </c>
      <c r="Y697" t="str">
        <f t="shared" si="71"/>
        <v>No</v>
      </c>
      <c r="Z697">
        <v>11</v>
      </c>
      <c r="AA697">
        <v>3</v>
      </c>
      <c r="AB697">
        <v>3</v>
      </c>
      <c r="AC697">
        <v>80</v>
      </c>
      <c r="AD697">
        <v>0</v>
      </c>
      <c r="AE697" s="5">
        <v>17</v>
      </c>
      <c r="AF697" t="str">
        <f t="shared" si="72"/>
        <v>&gt;15</v>
      </c>
      <c r="AG697">
        <v>2</v>
      </c>
      <c r="AH697">
        <v>1</v>
      </c>
      <c r="AI697" s="5">
        <v>14</v>
      </c>
      <c r="AJ697">
        <v>1</v>
      </c>
      <c r="AK697">
        <v>11</v>
      </c>
      <c r="AL697">
        <v>7</v>
      </c>
      <c r="AM697" t="str">
        <f t="shared" si="73"/>
        <v>Ok</v>
      </c>
      <c r="AN697" s="21">
        <f t="shared" si="74"/>
        <v>27.190721649484534</v>
      </c>
      <c r="AO697" t="str">
        <f t="shared" ca="1" si="75"/>
        <v>No</v>
      </c>
      <c r="AP697" t="str">
        <f t="shared" si="76"/>
        <v>Low Risk</v>
      </c>
    </row>
    <row r="698" spans="1:42" x14ac:dyDescent="0.3">
      <c r="A698" s="5">
        <v>45</v>
      </c>
      <c r="B698" s="5" t="s">
        <v>43</v>
      </c>
      <c r="C698" s="5" t="str">
        <f t="shared" si="70"/>
        <v>No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 s="5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 s="5">
        <v>4447</v>
      </c>
      <c r="U698">
        <v>23163</v>
      </c>
      <c r="V698">
        <v>1</v>
      </c>
      <c r="W698" t="s">
        <v>42</v>
      </c>
      <c r="X698" t="s">
        <v>43</v>
      </c>
      <c r="Y698" t="str">
        <f t="shared" si="71"/>
        <v>No</v>
      </c>
      <c r="Z698">
        <v>12</v>
      </c>
      <c r="AA698">
        <v>3</v>
      </c>
      <c r="AB698">
        <v>2</v>
      </c>
      <c r="AC698">
        <v>80</v>
      </c>
      <c r="AD698">
        <v>0</v>
      </c>
      <c r="AE698" s="5">
        <v>9</v>
      </c>
      <c r="AF698" t="str">
        <f t="shared" si="72"/>
        <v>6-15</v>
      </c>
      <c r="AG698">
        <v>5</v>
      </c>
      <c r="AH698">
        <v>2</v>
      </c>
      <c r="AI698" s="5">
        <v>9</v>
      </c>
      <c r="AJ698">
        <v>7</v>
      </c>
      <c r="AK698">
        <v>0</v>
      </c>
      <c r="AL698">
        <v>8</v>
      </c>
      <c r="AM698" t="str">
        <f t="shared" si="73"/>
        <v>Below Avg</v>
      </c>
      <c r="AN698" s="21">
        <f t="shared" si="74"/>
        <v>27.225806451612904</v>
      </c>
      <c r="AO698" t="str">
        <f t="shared" ca="1" si="75"/>
        <v>No</v>
      </c>
      <c r="AP698" t="str">
        <f t="shared" si="76"/>
        <v>Low Risk</v>
      </c>
    </row>
    <row r="699" spans="1:42" x14ac:dyDescent="0.3">
      <c r="A699" s="5">
        <v>29</v>
      </c>
      <c r="B699" s="5" t="s">
        <v>43</v>
      </c>
      <c r="C699" s="5" t="str">
        <f t="shared" si="70"/>
        <v>No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 s="5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 s="5">
        <v>2157</v>
      </c>
      <c r="U699">
        <v>18203</v>
      </c>
      <c r="V699">
        <v>1</v>
      </c>
      <c r="W699" t="s">
        <v>42</v>
      </c>
      <c r="X699" t="s">
        <v>43</v>
      </c>
      <c r="Y699" t="str">
        <f t="shared" si="71"/>
        <v>No</v>
      </c>
      <c r="Z699">
        <v>15</v>
      </c>
      <c r="AA699">
        <v>3</v>
      </c>
      <c r="AB699">
        <v>2</v>
      </c>
      <c r="AC699">
        <v>80</v>
      </c>
      <c r="AD699">
        <v>1</v>
      </c>
      <c r="AE699" s="5">
        <v>3</v>
      </c>
      <c r="AF699" t="str">
        <f t="shared" si="72"/>
        <v>0-5</v>
      </c>
      <c r="AG699">
        <v>5</v>
      </c>
      <c r="AH699">
        <v>3</v>
      </c>
      <c r="AI699" s="5">
        <v>3</v>
      </c>
      <c r="AJ699">
        <v>1</v>
      </c>
      <c r="AK699">
        <v>0</v>
      </c>
      <c r="AL699">
        <v>2</v>
      </c>
      <c r="AM699" t="str">
        <f t="shared" si="73"/>
        <v>Below Avg</v>
      </c>
      <c r="AN699" s="21">
        <f t="shared" si="74"/>
        <v>27.260981912144704</v>
      </c>
      <c r="AO699" t="str">
        <f t="shared" ca="1" si="75"/>
        <v>No</v>
      </c>
      <c r="AP699" t="str">
        <f t="shared" si="76"/>
        <v>Low Risk</v>
      </c>
    </row>
    <row r="700" spans="1:42" x14ac:dyDescent="0.3">
      <c r="A700" s="5">
        <v>35</v>
      </c>
      <c r="B700" s="5" t="s">
        <v>43</v>
      </c>
      <c r="C700" s="5" t="str">
        <f t="shared" si="70"/>
        <v>No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 s="5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 s="5">
        <v>4601</v>
      </c>
      <c r="U700">
        <v>6179</v>
      </c>
      <c r="V700">
        <v>1</v>
      </c>
      <c r="W700" t="s">
        <v>42</v>
      </c>
      <c r="X700" t="s">
        <v>43</v>
      </c>
      <c r="Y700" t="str">
        <f t="shared" si="71"/>
        <v>No</v>
      </c>
      <c r="Z700">
        <v>16</v>
      </c>
      <c r="AA700">
        <v>3</v>
      </c>
      <c r="AB700">
        <v>2</v>
      </c>
      <c r="AC700">
        <v>80</v>
      </c>
      <c r="AD700">
        <v>0</v>
      </c>
      <c r="AE700" s="5">
        <v>5</v>
      </c>
      <c r="AF700" t="str">
        <f t="shared" si="72"/>
        <v>0-5</v>
      </c>
      <c r="AG700">
        <v>3</v>
      </c>
      <c r="AH700">
        <v>3</v>
      </c>
      <c r="AI700" s="5">
        <v>5</v>
      </c>
      <c r="AJ700">
        <v>2</v>
      </c>
      <c r="AK700">
        <v>1</v>
      </c>
      <c r="AL700">
        <v>0</v>
      </c>
      <c r="AM700" t="str">
        <f t="shared" si="73"/>
        <v>Below Avg</v>
      </c>
      <c r="AN700" s="21">
        <f t="shared" si="74"/>
        <v>27.296248382923672</v>
      </c>
      <c r="AO700" t="str">
        <f t="shared" ca="1" si="75"/>
        <v>No</v>
      </c>
      <c r="AP700" t="str">
        <f t="shared" si="76"/>
        <v>Low Risk</v>
      </c>
    </row>
    <row r="701" spans="1:42" x14ac:dyDescent="0.3">
      <c r="A701" s="5">
        <v>52</v>
      </c>
      <c r="B701" s="5" t="s">
        <v>43</v>
      </c>
      <c r="C701" s="5" t="str">
        <f t="shared" si="70"/>
        <v>No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 s="5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 s="5">
        <v>17099</v>
      </c>
      <c r="U701">
        <v>13829</v>
      </c>
      <c r="V701">
        <v>2</v>
      </c>
      <c r="W701" t="s">
        <v>42</v>
      </c>
      <c r="X701" t="s">
        <v>43</v>
      </c>
      <c r="Y701" t="str">
        <f t="shared" si="71"/>
        <v>No</v>
      </c>
      <c r="Z701">
        <v>15</v>
      </c>
      <c r="AA701">
        <v>3</v>
      </c>
      <c r="AB701">
        <v>2</v>
      </c>
      <c r="AC701">
        <v>80</v>
      </c>
      <c r="AD701">
        <v>1</v>
      </c>
      <c r="AE701" s="5">
        <v>26</v>
      </c>
      <c r="AF701" t="str">
        <f t="shared" si="72"/>
        <v>&gt;15</v>
      </c>
      <c r="AG701">
        <v>2</v>
      </c>
      <c r="AH701">
        <v>2</v>
      </c>
      <c r="AI701" s="5">
        <v>9</v>
      </c>
      <c r="AJ701">
        <v>8</v>
      </c>
      <c r="AK701">
        <v>7</v>
      </c>
      <c r="AL701">
        <v>8</v>
      </c>
      <c r="AM701" t="str">
        <f t="shared" si="73"/>
        <v>Ok</v>
      </c>
      <c r="AN701" s="21">
        <f t="shared" si="74"/>
        <v>27.331606217616581</v>
      </c>
      <c r="AO701" t="str">
        <f t="shared" ca="1" si="75"/>
        <v>No</v>
      </c>
      <c r="AP701" t="str">
        <f t="shared" si="76"/>
        <v>Low Risk</v>
      </c>
    </row>
    <row r="702" spans="1:42" x14ac:dyDescent="0.3">
      <c r="A702" s="5">
        <v>58</v>
      </c>
      <c r="B702" s="5" t="s">
        <v>35</v>
      </c>
      <c r="C702" s="5" t="str">
        <f t="shared" si="70"/>
        <v>Yes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 s="5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 s="5">
        <v>2479</v>
      </c>
      <c r="U702">
        <v>26227</v>
      </c>
      <c r="V702">
        <v>4</v>
      </c>
      <c r="W702" t="s">
        <v>42</v>
      </c>
      <c r="X702" t="s">
        <v>43</v>
      </c>
      <c r="Y702" t="str">
        <f t="shared" si="71"/>
        <v>No</v>
      </c>
      <c r="Z702">
        <v>24</v>
      </c>
      <c r="AA702">
        <v>4</v>
      </c>
      <c r="AB702">
        <v>1</v>
      </c>
      <c r="AC702">
        <v>80</v>
      </c>
      <c r="AD702">
        <v>0</v>
      </c>
      <c r="AE702" s="5">
        <v>7</v>
      </c>
      <c r="AF702" t="str">
        <f t="shared" si="72"/>
        <v>6-15</v>
      </c>
      <c r="AG702">
        <v>4</v>
      </c>
      <c r="AH702">
        <v>3</v>
      </c>
      <c r="AI702" s="5">
        <v>1</v>
      </c>
      <c r="AJ702">
        <v>0</v>
      </c>
      <c r="AK702">
        <v>0</v>
      </c>
      <c r="AL702">
        <v>0</v>
      </c>
      <c r="AM702" t="str">
        <f t="shared" si="73"/>
        <v>Below Avg</v>
      </c>
      <c r="AN702" s="21">
        <f t="shared" si="74"/>
        <v>27.367055771725035</v>
      </c>
      <c r="AO702" t="str">
        <f t="shared" ca="1" si="75"/>
        <v>No</v>
      </c>
      <c r="AP702" t="str">
        <f t="shared" si="76"/>
        <v>High Risk</v>
      </c>
    </row>
    <row r="703" spans="1:42" x14ac:dyDescent="0.3">
      <c r="A703" s="5">
        <v>53</v>
      </c>
      <c r="B703" s="5" t="s">
        <v>43</v>
      </c>
      <c r="C703" s="5" t="str">
        <f t="shared" si="70"/>
        <v>No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 s="5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 s="5">
        <v>14852</v>
      </c>
      <c r="U703">
        <v>13938</v>
      </c>
      <c r="V703">
        <v>6</v>
      </c>
      <c r="W703" t="s">
        <v>42</v>
      </c>
      <c r="X703" t="s">
        <v>43</v>
      </c>
      <c r="Y703" t="str">
        <f t="shared" si="71"/>
        <v>No</v>
      </c>
      <c r="Z703">
        <v>13</v>
      </c>
      <c r="AA703">
        <v>3</v>
      </c>
      <c r="AB703">
        <v>3</v>
      </c>
      <c r="AC703">
        <v>80</v>
      </c>
      <c r="AD703">
        <v>1</v>
      </c>
      <c r="AE703" s="5">
        <v>22</v>
      </c>
      <c r="AF703" t="str">
        <f t="shared" si="72"/>
        <v>&gt;15</v>
      </c>
      <c r="AG703">
        <v>3</v>
      </c>
      <c r="AH703">
        <v>4</v>
      </c>
      <c r="AI703" s="5">
        <v>17</v>
      </c>
      <c r="AJ703">
        <v>13</v>
      </c>
      <c r="AK703">
        <v>15</v>
      </c>
      <c r="AL703">
        <v>2</v>
      </c>
      <c r="AM703" t="str">
        <f t="shared" si="73"/>
        <v>Ok</v>
      </c>
      <c r="AN703" s="21">
        <f t="shared" si="74"/>
        <v>27.402597402597401</v>
      </c>
      <c r="AO703" t="str">
        <f t="shared" ca="1" si="75"/>
        <v>No</v>
      </c>
      <c r="AP703" t="str">
        <f t="shared" si="76"/>
        <v>Low Risk</v>
      </c>
    </row>
    <row r="704" spans="1:42" x14ac:dyDescent="0.3">
      <c r="A704" s="5">
        <v>30</v>
      </c>
      <c r="B704" s="5" t="s">
        <v>43</v>
      </c>
      <c r="C704" s="5" t="str">
        <f t="shared" si="70"/>
        <v>No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 s="5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 s="5">
        <v>7264</v>
      </c>
      <c r="U704">
        <v>9977</v>
      </c>
      <c r="V704">
        <v>5</v>
      </c>
      <c r="W704" t="s">
        <v>42</v>
      </c>
      <c r="X704" t="s">
        <v>43</v>
      </c>
      <c r="Y704" t="str">
        <f t="shared" si="71"/>
        <v>No</v>
      </c>
      <c r="Z704">
        <v>11</v>
      </c>
      <c r="AA704">
        <v>3</v>
      </c>
      <c r="AB704">
        <v>1</v>
      </c>
      <c r="AC704">
        <v>80</v>
      </c>
      <c r="AD704">
        <v>1</v>
      </c>
      <c r="AE704" s="5">
        <v>10</v>
      </c>
      <c r="AF704" t="str">
        <f t="shared" si="72"/>
        <v>6-15</v>
      </c>
      <c r="AG704">
        <v>2</v>
      </c>
      <c r="AH704">
        <v>4</v>
      </c>
      <c r="AI704" s="5">
        <v>8</v>
      </c>
      <c r="AJ704">
        <v>4</v>
      </c>
      <c r="AK704">
        <v>7</v>
      </c>
      <c r="AL704">
        <v>7</v>
      </c>
      <c r="AM704" t="str">
        <f t="shared" si="73"/>
        <v>Ok</v>
      </c>
      <c r="AN704" s="21">
        <f t="shared" si="74"/>
        <v>27.438231469440833</v>
      </c>
      <c r="AO704" t="str">
        <f t="shared" ca="1" si="75"/>
        <v>No</v>
      </c>
      <c r="AP704" t="str">
        <f t="shared" si="76"/>
        <v>Low Risk</v>
      </c>
    </row>
    <row r="705" spans="1:42" x14ac:dyDescent="0.3">
      <c r="A705" s="5">
        <v>38</v>
      </c>
      <c r="B705" s="5" t="s">
        <v>43</v>
      </c>
      <c r="C705" s="5" t="str">
        <f t="shared" si="70"/>
        <v>No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 s="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 s="5">
        <v>5666</v>
      </c>
      <c r="U705">
        <v>19899</v>
      </c>
      <c r="V705">
        <v>1</v>
      </c>
      <c r="W705" t="s">
        <v>42</v>
      </c>
      <c r="X705" t="s">
        <v>35</v>
      </c>
      <c r="Y705" t="str">
        <f t="shared" si="71"/>
        <v>Yes</v>
      </c>
      <c r="Z705">
        <v>13</v>
      </c>
      <c r="AA705">
        <v>3</v>
      </c>
      <c r="AB705">
        <v>2</v>
      </c>
      <c r="AC705">
        <v>80</v>
      </c>
      <c r="AD705">
        <v>0</v>
      </c>
      <c r="AE705" s="5">
        <v>6</v>
      </c>
      <c r="AF705" t="str">
        <f t="shared" si="72"/>
        <v>6-15</v>
      </c>
      <c r="AG705">
        <v>1</v>
      </c>
      <c r="AH705">
        <v>3</v>
      </c>
      <c r="AI705" s="5">
        <v>5</v>
      </c>
      <c r="AJ705">
        <v>3</v>
      </c>
      <c r="AK705">
        <v>1</v>
      </c>
      <c r="AL705">
        <v>3</v>
      </c>
      <c r="AM705" t="str">
        <f t="shared" si="73"/>
        <v>Below Avg</v>
      </c>
      <c r="AN705" s="21">
        <f t="shared" si="74"/>
        <v>27.473958333333332</v>
      </c>
      <c r="AO705" t="str">
        <f t="shared" ca="1" si="75"/>
        <v>No</v>
      </c>
      <c r="AP705" t="str">
        <f t="shared" si="76"/>
        <v>Low Risk</v>
      </c>
    </row>
    <row r="706" spans="1:42" x14ac:dyDescent="0.3">
      <c r="A706" s="5">
        <v>35</v>
      </c>
      <c r="B706" s="5" t="s">
        <v>43</v>
      </c>
      <c r="C706" s="5" t="str">
        <f t="shared" si="70"/>
        <v>No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 s="5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 s="5">
        <v>7823</v>
      </c>
      <c r="U706">
        <v>6812</v>
      </c>
      <c r="V706">
        <v>6</v>
      </c>
      <c r="W706" t="s">
        <v>42</v>
      </c>
      <c r="X706" t="s">
        <v>43</v>
      </c>
      <c r="Y706" t="str">
        <f t="shared" si="71"/>
        <v>No</v>
      </c>
      <c r="Z706">
        <v>13</v>
      </c>
      <c r="AA706">
        <v>3</v>
      </c>
      <c r="AB706">
        <v>2</v>
      </c>
      <c r="AC706">
        <v>80</v>
      </c>
      <c r="AD706">
        <v>1</v>
      </c>
      <c r="AE706" s="5">
        <v>12</v>
      </c>
      <c r="AF706" t="str">
        <f t="shared" si="72"/>
        <v>6-15</v>
      </c>
      <c r="AG706">
        <v>2</v>
      </c>
      <c r="AH706">
        <v>3</v>
      </c>
      <c r="AI706" s="5">
        <v>10</v>
      </c>
      <c r="AJ706">
        <v>9</v>
      </c>
      <c r="AK706">
        <v>0</v>
      </c>
      <c r="AL706">
        <v>8</v>
      </c>
      <c r="AM706" t="str">
        <f t="shared" si="73"/>
        <v>Ok</v>
      </c>
      <c r="AN706" s="21">
        <f t="shared" si="74"/>
        <v>27.509778357235987</v>
      </c>
      <c r="AO706" t="str">
        <f t="shared" ca="1" si="75"/>
        <v>No</v>
      </c>
      <c r="AP706" t="str">
        <f t="shared" si="76"/>
        <v>Low Risk</v>
      </c>
    </row>
    <row r="707" spans="1:42" x14ac:dyDescent="0.3">
      <c r="A707" s="5">
        <v>39</v>
      </c>
      <c r="B707" s="5" t="s">
        <v>43</v>
      </c>
      <c r="C707" s="5" t="str">
        <f t="shared" ref="C707:C770" si="77">IF(LOWER(B707)="yes","Yes","No")</f>
        <v>No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 s="5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 s="5">
        <v>7880</v>
      </c>
      <c r="U707">
        <v>2560</v>
      </c>
      <c r="V707">
        <v>0</v>
      </c>
      <c r="W707" t="s">
        <v>42</v>
      </c>
      <c r="X707" t="s">
        <v>43</v>
      </c>
      <c r="Y707" t="str">
        <f t="shared" ref="Y707:Y770" si="78">IF(LOWER(X707)="yes","Yes","No")</f>
        <v>No</v>
      </c>
      <c r="Z707">
        <v>18</v>
      </c>
      <c r="AA707">
        <v>3</v>
      </c>
      <c r="AB707">
        <v>4</v>
      </c>
      <c r="AC707">
        <v>80</v>
      </c>
      <c r="AD707">
        <v>0</v>
      </c>
      <c r="AE707" s="5">
        <v>9</v>
      </c>
      <c r="AF707" t="str">
        <f t="shared" ref="AF707:AF770" si="79">IF(AE707&lt;=5,"0-5",IF(AE707&lt;=15,"6-15","&gt;15"))</f>
        <v>6-15</v>
      </c>
      <c r="AG707">
        <v>3</v>
      </c>
      <c r="AH707">
        <v>3</v>
      </c>
      <c r="AI707" s="5">
        <v>8</v>
      </c>
      <c r="AJ707">
        <v>7</v>
      </c>
      <c r="AK707">
        <v>0</v>
      </c>
      <c r="AL707">
        <v>7</v>
      </c>
      <c r="AM707" t="str">
        <f t="shared" ref="AM707:AM770" si="80">IF(T707&lt;AVERAGEIF($F706:$F2176,F707,$T706:$T2176),"Below Avg","Ok")</f>
        <v>Ok</v>
      </c>
      <c r="AN707" s="21">
        <f t="shared" ref="AN707:AN770" si="81">COUNTIF(X706:X2176,"Yes")/COUNTA(X706:X2176)*100</f>
        <v>27.415143603133156</v>
      </c>
      <c r="AO707" t="str">
        <f t="shared" ref="AO707:AO770" ca="1" si="82">IF(AND(AA707&gt;=4,Z707&lt;AVERAGEIF($F706:$F2176,F707,$Z707:$Z2176)),"Yes","No")</f>
        <v>No</v>
      </c>
      <c r="AP707" t="str">
        <f t="shared" ref="AP707:AP770" si="83">IF(AND(AI707&lt;2,C707="Yes"),"High Risk","Low Risk")</f>
        <v>Low Risk</v>
      </c>
    </row>
    <row r="708" spans="1:42" x14ac:dyDescent="0.3">
      <c r="A708" s="5">
        <v>40</v>
      </c>
      <c r="B708" s="5" t="s">
        <v>35</v>
      </c>
      <c r="C708" s="5" t="str">
        <f t="shared" si="77"/>
        <v>Yes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 s="5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 s="5">
        <v>13194</v>
      </c>
      <c r="U708">
        <v>17071</v>
      </c>
      <c r="V708">
        <v>4</v>
      </c>
      <c r="W708" t="s">
        <v>42</v>
      </c>
      <c r="X708" t="s">
        <v>35</v>
      </c>
      <c r="Y708" t="str">
        <f t="shared" si="78"/>
        <v>Yes</v>
      </c>
      <c r="Z708">
        <v>16</v>
      </c>
      <c r="AA708">
        <v>3</v>
      </c>
      <c r="AB708">
        <v>4</v>
      </c>
      <c r="AC708">
        <v>80</v>
      </c>
      <c r="AD708">
        <v>0</v>
      </c>
      <c r="AE708" s="5">
        <v>22</v>
      </c>
      <c r="AF708" t="str">
        <f t="shared" si="79"/>
        <v>&gt;15</v>
      </c>
      <c r="AG708">
        <v>2</v>
      </c>
      <c r="AH708">
        <v>2</v>
      </c>
      <c r="AI708" s="5">
        <v>1</v>
      </c>
      <c r="AJ708">
        <v>0</v>
      </c>
      <c r="AK708">
        <v>0</v>
      </c>
      <c r="AL708">
        <v>0</v>
      </c>
      <c r="AM708" t="str">
        <f t="shared" si="80"/>
        <v>Ok</v>
      </c>
      <c r="AN708" s="21">
        <f t="shared" si="81"/>
        <v>27.450980392156865</v>
      </c>
      <c r="AO708" t="str">
        <f t="shared" ca="1" si="82"/>
        <v>No</v>
      </c>
      <c r="AP708" t="str">
        <f t="shared" si="83"/>
        <v>High Risk</v>
      </c>
    </row>
    <row r="709" spans="1:42" x14ac:dyDescent="0.3">
      <c r="A709" s="5">
        <v>47</v>
      </c>
      <c r="B709" s="5" t="s">
        <v>43</v>
      </c>
      <c r="C709" s="5" t="str">
        <f t="shared" si="77"/>
        <v>No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 s="5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 s="5">
        <v>5067</v>
      </c>
      <c r="U709">
        <v>6759</v>
      </c>
      <c r="V709">
        <v>1</v>
      </c>
      <c r="W709" t="s">
        <v>42</v>
      </c>
      <c r="X709" t="s">
        <v>35</v>
      </c>
      <c r="Y709" t="str">
        <f t="shared" si="78"/>
        <v>Yes</v>
      </c>
      <c r="Z709">
        <v>19</v>
      </c>
      <c r="AA709">
        <v>3</v>
      </c>
      <c r="AB709">
        <v>3</v>
      </c>
      <c r="AC709">
        <v>80</v>
      </c>
      <c r="AD709">
        <v>0</v>
      </c>
      <c r="AE709" s="5">
        <v>20</v>
      </c>
      <c r="AF709" t="str">
        <f t="shared" si="79"/>
        <v>&gt;15</v>
      </c>
      <c r="AG709">
        <v>3</v>
      </c>
      <c r="AH709">
        <v>4</v>
      </c>
      <c r="AI709" s="5">
        <v>19</v>
      </c>
      <c r="AJ709">
        <v>10</v>
      </c>
      <c r="AK709">
        <v>2</v>
      </c>
      <c r="AL709">
        <v>7</v>
      </c>
      <c r="AM709" t="str">
        <f t="shared" si="80"/>
        <v>Below Avg</v>
      </c>
      <c r="AN709" s="21">
        <f t="shared" si="81"/>
        <v>27.486910994764397</v>
      </c>
      <c r="AO709" t="str">
        <f t="shared" ca="1" si="82"/>
        <v>No</v>
      </c>
      <c r="AP709" t="str">
        <f t="shared" si="83"/>
        <v>Low Risk</v>
      </c>
    </row>
    <row r="710" spans="1:42" x14ac:dyDescent="0.3">
      <c r="A710" s="5">
        <v>36</v>
      </c>
      <c r="B710" s="5" t="s">
        <v>43</v>
      </c>
      <c r="C710" s="5" t="str">
        <f t="shared" si="77"/>
        <v>No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 s="5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 s="5">
        <v>5079</v>
      </c>
      <c r="U710">
        <v>25952</v>
      </c>
      <c r="V710">
        <v>4</v>
      </c>
      <c r="W710" t="s">
        <v>42</v>
      </c>
      <c r="X710" t="s">
        <v>43</v>
      </c>
      <c r="Y710" t="str">
        <f t="shared" si="78"/>
        <v>No</v>
      </c>
      <c r="Z710">
        <v>13</v>
      </c>
      <c r="AA710">
        <v>3</v>
      </c>
      <c r="AB710">
        <v>4</v>
      </c>
      <c r="AC710">
        <v>80</v>
      </c>
      <c r="AD710">
        <v>2</v>
      </c>
      <c r="AE710" s="5">
        <v>12</v>
      </c>
      <c r="AF710" t="str">
        <f t="shared" si="79"/>
        <v>6-15</v>
      </c>
      <c r="AG710">
        <v>3</v>
      </c>
      <c r="AH710">
        <v>3</v>
      </c>
      <c r="AI710" s="5">
        <v>7</v>
      </c>
      <c r="AJ710">
        <v>7</v>
      </c>
      <c r="AK710">
        <v>0</v>
      </c>
      <c r="AL710">
        <v>7</v>
      </c>
      <c r="AM710" t="str">
        <f t="shared" si="80"/>
        <v>Below Avg</v>
      </c>
      <c r="AN710" s="21">
        <f t="shared" si="81"/>
        <v>27.391874180865006</v>
      </c>
      <c r="AO710" t="str">
        <f t="shared" ca="1" si="82"/>
        <v>No</v>
      </c>
      <c r="AP710" t="str">
        <f t="shared" si="83"/>
        <v>Low Risk</v>
      </c>
    </row>
    <row r="711" spans="1:42" x14ac:dyDescent="0.3">
      <c r="A711" s="5">
        <v>31</v>
      </c>
      <c r="B711" s="5" t="s">
        <v>35</v>
      </c>
      <c r="C711" s="5" t="str">
        <f t="shared" si="77"/>
        <v>Yes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 s="5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 s="5">
        <v>2321</v>
      </c>
      <c r="U711">
        <v>10322</v>
      </c>
      <c r="V711">
        <v>0</v>
      </c>
      <c r="W711" t="s">
        <v>42</v>
      </c>
      <c r="X711" t="s">
        <v>35</v>
      </c>
      <c r="Y711" t="str">
        <f t="shared" si="78"/>
        <v>Yes</v>
      </c>
      <c r="Z711">
        <v>22</v>
      </c>
      <c r="AA711">
        <v>4</v>
      </c>
      <c r="AB711">
        <v>1</v>
      </c>
      <c r="AC711">
        <v>80</v>
      </c>
      <c r="AD711">
        <v>0</v>
      </c>
      <c r="AE711" s="5">
        <v>4</v>
      </c>
      <c r="AF711" t="str">
        <f t="shared" si="79"/>
        <v>0-5</v>
      </c>
      <c r="AG711">
        <v>0</v>
      </c>
      <c r="AH711">
        <v>3</v>
      </c>
      <c r="AI711" s="5">
        <v>3</v>
      </c>
      <c r="AJ711">
        <v>2</v>
      </c>
      <c r="AK711">
        <v>1</v>
      </c>
      <c r="AL711">
        <v>2</v>
      </c>
      <c r="AM711" t="str">
        <f t="shared" si="80"/>
        <v>Below Avg</v>
      </c>
      <c r="AN711" s="21">
        <f t="shared" si="81"/>
        <v>27.296587926509186</v>
      </c>
      <c r="AO711" t="str">
        <f t="shared" ca="1" si="82"/>
        <v>No</v>
      </c>
      <c r="AP711" t="str">
        <f t="shared" si="83"/>
        <v>Low Risk</v>
      </c>
    </row>
    <row r="712" spans="1:42" x14ac:dyDescent="0.3">
      <c r="A712" s="5">
        <v>33</v>
      </c>
      <c r="B712" s="5" t="s">
        <v>43</v>
      </c>
      <c r="C712" s="5" t="str">
        <f t="shared" si="77"/>
        <v>No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 s="5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 s="5">
        <v>17444</v>
      </c>
      <c r="U712">
        <v>20489</v>
      </c>
      <c r="V712">
        <v>1</v>
      </c>
      <c r="W712" t="s">
        <v>42</v>
      </c>
      <c r="X712" t="s">
        <v>43</v>
      </c>
      <c r="Y712" t="str">
        <f t="shared" si="78"/>
        <v>No</v>
      </c>
      <c r="Z712">
        <v>11</v>
      </c>
      <c r="AA712">
        <v>3</v>
      </c>
      <c r="AB712">
        <v>4</v>
      </c>
      <c r="AC712">
        <v>80</v>
      </c>
      <c r="AD712">
        <v>0</v>
      </c>
      <c r="AE712" s="5">
        <v>10</v>
      </c>
      <c r="AF712" t="str">
        <f t="shared" si="79"/>
        <v>6-15</v>
      </c>
      <c r="AG712">
        <v>2</v>
      </c>
      <c r="AH712">
        <v>3</v>
      </c>
      <c r="AI712" s="5">
        <v>10</v>
      </c>
      <c r="AJ712">
        <v>8</v>
      </c>
      <c r="AK712">
        <v>6</v>
      </c>
      <c r="AL712">
        <v>0</v>
      </c>
      <c r="AM712" t="str">
        <f t="shared" si="80"/>
        <v>Ok</v>
      </c>
      <c r="AN712" s="21">
        <f t="shared" si="81"/>
        <v>27.332457293035478</v>
      </c>
      <c r="AO712" t="str">
        <f t="shared" ca="1" si="82"/>
        <v>No</v>
      </c>
      <c r="AP712" t="str">
        <f t="shared" si="83"/>
        <v>Low Risk</v>
      </c>
    </row>
    <row r="713" spans="1:42" x14ac:dyDescent="0.3">
      <c r="A713" s="5">
        <v>29</v>
      </c>
      <c r="B713" s="5" t="s">
        <v>35</v>
      </c>
      <c r="C713" s="5" t="str">
        <f t="shared" si="77"/>
        <v>Yes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 s="5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 s="5">
        <v>2404</v>
      </c>
      <c r="U713">
        <v>11479</v>
      </c>
      <c r="V713">
        <v>6</v>
      </c>
      <c r="W713" t="s">
        <v>42</v>
      </c>
      <c r="X713" t="s">
        <v>35</v>
      </c>
      <c r="Y713" t="str">
        <f t="shared" si="78"/>
        <v>Yes</v>
      </c>
      <c r="Z713">
        <v>20</v>
      </c>
      <c r="AA713">
        <v>4</v>
      </c>
      <c r="AB713">
        <v>3</v>
      </c>
      <c r="AC713">
        <v>80</v>
      </c>
      <c r="AD713">
        <v>0</v>
      </c>
      <c r="AE713" s="5">
        <v>3</v>
      </c>
      <c r="AF713" t="str">
        <f t="shared" si="79"/>
        <v>0-5</v>
      </c>
      <c r="AG713">
        <v>5</v>
      </c>
      <c r="AH713">
        <v>3</v>
      </c>
      <c r="AI713" s="5">
        <v>0</v>
      </c>
      <c r="AJ713">
        <v>0</v>
      </c>
      <c r="AK713">
        <v>0</v>
      </c>
      <c r="AL713">
        <v>0</v>
      </c>
      <c r="AM713" t="str">
        <f t="shared" si="80"/>
        <v>Below Avg</v>
      </c>
      <c r="AN713" s="21">
        <f t="shared" si="81"/>
        <v>27.236842105263158</v>
      </c>
      <c r="AO713" t="str">
        <f t="shared" ca="1" si="82"/>
        <v>No</v>
      </c>
      <c r="AP713" t="str">
        <f t="shared" si="83"/>
        <v>High Risk</v>
      </c>
    </row>
    <row r="714" spans="1:42" x14ac:dyDescent="0.3">
      <c r="A714" s="5">
        <v>33</v>
      </c>
      <c r="B714" s="5" t="s">
        <v>43</v>
      </c>
      <c r="C714" s="5" t="str">
        <f t="shared" si="77"/>
        <v>No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 s="5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 s="5">
        <v>3452</v>
      </c>
      <c r="U714">
        <v>17241</v>
      </c>
      <c r="V714">
        <v>3</v>
      </c>
      <c r="W714" t="s">
        <v>42</v>
      </c>
      <c r="X714" t="s">
        <v>43</v>
      </c>
      <c r="Y714" t="str">
        <f t="shared" si="78"/>
        <v>No</v>
      </c>
      <c r="Z714">
        <v>18</v>
      </c>
      <c r="AA714">
        <v>3</v>
      </c>
      <c r="AB714">
        <v>1</v>
      </c>
      <c r="AC714">
        <v>80</v>
      </c>
      <c r="AD714">
        <v>0</v>
      </c>
      <c r="AE714" s="5">
        <v>5</v>
      </c>
      <c r="AF714" t="str">
        <f t="shared" si="79"/>
        <v>0-5</v>
      </c>
      <c r="AG714">
        <v>4</v>
      </c>
      <c r="AH714">
        <v>3</v>
      </c>
      <c r="AI714" s="5">
        <v>3</v>
      </c>
      <c r="AJ714">
        <v>2</v>
      </c>
      <c r="AK714">
        <v>0</v>
      </c>
      <c r="AL714">
        <v>2</v>
      </c>
      <c r="AM714" t="str">
        <f t="shared" si="80"/>
        <v>Below Avg</v>
      </c>
      <c r="AN714" s="21">
        <f t="shared" si="81"/>
        <v>27.27272727272727</v>
      </c>
      <c r="AO714" t="str">
        <f t="shared" ca="1" si="82"/>
        <v>No</v>
      </c>
      <c r="AP714" t="str">
        <f t="shared" si="83"/>
        <v>Low Risk</v>
      </c>
    </row>
    <row r="715" spans="1:42" x14ac:dyDescent="0.3">
      <c r="A715" s="5">
        <v>45</v>
      </c>
      <c r="B715" s="5" t="s">
        <v>43</v>
      </c>
      <c r="C715" s="5" t="str">
        <f t="shared" si="77"/>
        <v>No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 s="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 s="5">
        <v>2270</v>
      </c>
      <c r="U715">
        <v>11005</v>
      </c>
      <c r="V715">
        <v>3</v>
      </c>
      <c r="W715" t="s">
        <v>42</v>
      </c>
      <c r="X715" t="s">
        <v>43</v>
      </c>
      <c r="Y715" t="str">
        <f t="shared" si="78"/>
        <v>No</v>
      </c>
      <c r="Z715">
        <v>14</v>
      </c>
      <c r="AA715">
        <v>3</v>
      </c>
      <c r="AB715">
        <v>4</v>
      </c>
      <c r="AC715">
        <v>80</v>
      </c>
      <c r="AD715">
        <v>2</v>
      </c>
      <c r="AE715" s="5">
        <v>8</v>
      </c>
      <c r="AF715" t="str">
        <f t="shared" si="79"/>
        <v>6-15</v>
      </c>
      <c r="AG715">
        <v>2</v>
      </c>
      <c r="AH715">
        <v>3</v>
      </c>
      <c r="AI715" s="5">
        <v>5</v>
      </c>
      <c r="AJ715">
        <v>3</v>
      </c>
      <c r="AK715">
        <v>0</v>
      </c>
      <c r="AL715">
        <v>2</v>
      </c>
      <c r="AM715" t="str">
        <f t="shared" si="80"/>
        <v>Below Avg</v>
      </c>
      <c r="AN715" s="21">
        <f t="shared" si="81"/>
        <v>27.176781002638524</v>
      </c>
      <c r="AO715" t="str">
        <f t="shared" ca="1" si="82"/>
        <v>No</v>
      </c>
      <c r="AP715" t="str">
        <f t="shared" si="83"/>
        <v>Low Risk</v>
      </c>
    </row>
    <row r="716" spans="1:42" x14ac:dyDescent="0.3">
      <c r="A716" s="5">
        <v>50</v>
      </c>
      <c r="B716" s="5" t="s">
        <v>43</v>
      </c>
      <c r="C716" s="5" t="str">
        <f t="shared" si="77"/>
        <v>No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 s="5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 s="5">
        <v>17399</v>
      </c>
      <c r="U716">
        <v>6615</v>
      </c>
      <c r="V716">
        <v>9</v>
      </c>
      <c r="W716" t="s">
        <v>42</v>
      </c>
      <c r="X716" t="s">
        <v>43</v>
      </c>
      <c r="Y716" t="str">
        <f t="shared" si="78"/>
        <v>No</v>
      </c>
      <c r="Z716">
        <v>22</v>
      </c>
      <c r="AA716">
        <v>4</v>
      </c>
      <c r="AB716">
        <v>3</v>
      </c>
      <c r="AC716">
        <v>80</v>
      </c>
      <c r="AD716">
        <v>1</v>
      </c>
      <c r="AE716" s="5">
        <v>32</v>
      </c>
      <c r="AF716" t="str">
        <f t="shared" si="79"/>
        <v>&gt;15</v>
      </c>
      <c r="AG716">
        <v>1</v>
      </c>
      <c r="AH716">
        <v>2</v>
      </c>
      <c r="AI716" s="5">
        <v>5</v>
      </c>
      <c r="AJ716">
        <v>4</v>
      </c>
      <c r="AK716">
        <v>1</v>
      </c>
      <c r="AL716">
        <v>3</v>
      </c>
      <c r="AM716" t="str">
        <f t="shared" si="80"/>
        <v>Ok</v>
      </c>
      <c r="AN716" s="21">
        <f t="shared" si="81"/>
        <v>27.212681638044916</v>
      </c>
      <c r="AO716" t="str">
        <f t="shared" ca="1" si="82"/>
        <v>No</v>
      </c>
      <c r="AP716" t="str">
        <f t="shared" si="83"/>
        <v>Low Risk</v>
      </c>
    </row>
    <row r="717" spans="1:42" x14ac:dyDescent="0.3">
      <c r="A717" s="5">
        <v>33</v>
      </c>
      <c r="B717" s="5" t="s">
        <v>43</v>
      </c>
      <c r="C717" s="5" t="str">
        <f t="shared" si="77"/>
        <v>No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 s="5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 s="5">
        <v>5488</v>
      </c>
      <c r="U717">
        <v>20161</v>
      </c>
      <c r="V717">
        <v>1</v>
      </c>
      <c r="W717" t="s">
        <v>42</v>
      </c>
      <c r="X717" t="s">
        <v>35</v>
      </c>
      <c r="Y717" t="str">
        <f t="shared" si="78"/>
        <v>Yes</v>
      </c>
      <c r="Z717">
        <v>13</v>
      </c>
      <c r="AA717">
        <v>3</v>
      </c>
      <c r="AB717">
        <v>1</v>
      </c>
      <c r="AC717">
        <v>80</v>
      </c>
      <c r="AD717">
        <v>1</v>
      </c>
      <c r="AE717" s="5">
        <v>6</v>
      </c>
      <c r="AF717" t="str">
        <f t="shared" si="79"/>
        <v>6-15</v>
      </c>
      <c r="AG717">
        <v>2</v>
      </c>
      <c r="AH717">
        <v>3</v>
      </c>
      <c r="AI717" s="5">
        <v>6</v>
      </c>
      <c r="AJ717">
        <v>5</v>
      </c>
      <c r="AK717">
        <v>1</v>
      </c>
      <c r="AL717">
        <v>2</v>
      </c>
      <c r="AM717" t="str">
        <f t="shared" si="80"/>
        <v>Below Avg</v>
      </c>
      <c r="AN717" s="21">
        <f t="shared" si="81"/>
        <v>27.24867724867725</v>
      </c>
      <c r="AO717" t="str">
        <f t="shared" ca="1" si="82"/>
        <v>No</v>
      </c>
      <c r="AP717" t="str">
        <f t="shared" si="83"/>
        <v>Low Risk</v>
      </c>
    </row>
    <row r="718" spans="1:42" x14ac:dyDescent="0.3">
      <c r="A718" s="5">
        <v>41</v>
      </c>
      <c r="B718" s="5" t="s">
        <v>43</v>
      </c>
      <c r="C718" s="5" t="str">
        <f t="shared" si="77"/>
        <v>No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 s="5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 s="5">
        <v>19419</v>
      </c>
      <c r="U718">
        <v>3735</v>
      </c>
      <c r="V718">
        <v>2</v>
      </c>
      <c r="W718" t="s">
        <v>42</v>
      </c>
      <c r="X718" t="s">
        <v>43</v>
      </c>
      <c r="Y718" t="str">
        <f t="shared" si="78"/>
        <v>No</v>
      </c>
      <c r="Z718">
        <v>17</v>
      </c>
      <c r="AA718">
        <v>3</v>
      </c>
      <c r="AB718">
        <v>2</v>
      </c>
      <c r="AC718">
        <v>80</v>
      </c>
      <c r="AD718">
        <v>1</v>
      </c>
      <c r="AE718" s="5">
        <v>21</v>
      </c>
      <c r="AF718" t="str">
        <f t="shared" si="79"/>
        <v>&gt;15</v>
      </c>
      <c r="AG718">
        <v>2</v>
      </c>
      <c r="AH718">
        <v>4</v>
      </c>
      <c r="AI718" s="5">
        <v>18</v>
      </c>
      <c r="AJ718">
        <v>16</v>
      </c>
      <c r="AK718">
        <v>0</v>
      </c>
      <c r="AL718">
        <v>11</v>
      </c>
      <c r="AM718" t="str">
        <f t="shared" si="80"/>
        <v>Ok</v>
      </c>
      <c r="AN718" s="21">
        <f t="shared" si="81"/>
        <v>27.284768211920529</v>
      </c>
      <c r="AO718" t="str">
        <f t="shared" ca="1" si="82"/>
        <v>No</v>
      </c>
      <c r="AP718" t="str">
        <f t="shared" si="83"/>
        <v>Low Risk</v>
      </c>
    </row>
    <row r="719" spans="1:42" x14ac:dyDescent="0.3">
      <c r="A719" s="5">
        <v>27</v>
      </c>
      <c r="B719" s="5" t="s">
        <v>43</v>
      </c>
      <c r="C719" s="5" t="str">
        <f t="shared" si="77"/>
        <v>No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 s="5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 s="5">
        <v>2811</v>
      </c>
      <c r="U719">
        <v>12086</v>
      </c>
      <c r="V719">
        <v>9</v>
      </c>
      <c r="W719" t="s">
        <v>42</v>
      </c>
      <c r="X719" t="s">
        <v>43</v>
      </c>
      <c r="Y719" t="str">
        <f t="shared" si="78"/>
        <v>No</v>
      </c>
      <c r="Z719">
        <v>14</v>
      </c>
      <c r="AA719">
        <v>3</v>
      </c>
      <c r="AB719">
        <v>2</v>
      </c>
      <c r="AC719">
        <v>80</v>
      </c>
      <c r="AD719">
        <v>1</v>
      </c>
      <c r="AE719" s="5">
        <v>4</v>
      </c>
      <c r="AF719" t="str">
        <f t="shared" si="79"/>
        <v>0-5</v>
      </c>
      <c r="AG719">
        <v>2</v>
      </c>
      <c r="AH719">
        <v>3</v>
      </c>
      <c r="AI719" s="5">
        <v>2</v>
      </c>
      <c r="AJ719">
        <v>2</v>
      </c>
      <c r="AK719">
        <v>2</v>
      </c>
      <c r="AL719">
        <v>2</v>
      </c>
      <c r="AM719" t="str">
        <f t="shared" si="80"/>
        <v>Below Avg</v>
      </c>
      <c r="AN719" s="21">
        <f t="shared" si="81"/>
        <v>27.18832891246684</v>
      </c>
      <c r="AO719" t="str">
        <f t="shared" ca="1" si="82"/>
        <v>No</v>
      </c>
      <c r="AP719" t="str">
        <f t="shared" si="83"/>
        <v>Low Risk</v>
      </c>
    </row>
    <row r="720" spans="1:42" x14ac:dyDescent="0.3">
      <c r="A720" s="5">
        <v>45</v>
      </c>
      <c r="B720" s="5" t="s">
        <v>43</v>
      </c>
      <c r="C720" s="5" t="str">
        <f t="shared" si="77"/>
        <v>No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 s="5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 s="5">
        <v>3633</v>
      </c>
      <c r="U720">
        <v>14039</v>
      </c>
      <c r="V720">
        <v>1</v>
      </c>
      <c r="W720" t="s">
        <v>42</v>
      </c>
      <c r="X720" t="s">
        <v>35</v>
      </c>
      <c r="Y720" t="str">
        <f t="shared" si="78"/>
        <v>Yes</v>
      </c>
      <c r="Z720">
        <v>15</v>
      </c>
      <c r="AA720">
        <v>3</v>
      </c>
      <c r="AB720">
        <v>3</v>
      </c>
      <c r="AC720">
        <v>80</v>
      </c>
      <c r="AD720">
        <v>1</v>
      </c>
      <c r="AE720" s="5">
        <v>9</v>
      </c>
      <c r="AF720" t="str">
        <f t="shared" si="79"/>
        <v>6-15</v>
      </c>
      <c r="AG720">
        <v>2</v>
      </c>
      <c r="AH720">
        <v>3</v>
      </c>
      <c r="AI720" s="5">
        <v>9</v>
      </c>
      <c r="AJ720">
        <v>8</v>
      </c>
      <c r="AK720">
        <v>0</v>
      </c>
      <c r="AL720">
        <v>8</v>
      </c>
      <c r="AM720" t="str">
        <f t="shared" si="80"/>
        <v>Below Avg</v>
      </c>
      <c r="AN720" s="21">
        <f t="shared" si="81"/>
        <v>27.224435590969453</v>
      </c>
      <c r="AO720" t="str">
        <f t="shared" ca="1" si="82"/>
        <v>No</v>
      </c>
      <c r="AP720" t="str">
        <f t="shared" si="83"/>
        <v>Low Risk</v>
      </c>
    </row>
    <row r="721" spans="1:42" x14ac:dyDescent="0.3">
      <c r="A721" s="5">
        <v>47</v>
      </c>
      <c r="B721" s="5" t="s">
        <v>43</v>
      </c>
      <c r="C721" s="5" t="str">
        <f t="shared" si="77"/>
        <v>No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 s="5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 s="5">
        <v>4163</v>
      </c>
      <c r="U721">
        <v>8571</v>
      </c>
      <c r="V721">
        <v>1</v>
      </c>
      <c r="W721" t="s">
        <v>42</v>
      </c>
      <c r="X721" t="s">
        <v>35</v>
      </c>
      <c r="Y721" t="str">
        <f t="shared" si="78"/>
        <v>Yes</v>
      </c>
      <c r="Z721">
        <v>17</v>
      </c>
      <c r="AA721">
        <v>3</v>
      </c>
      <c r="AB721">
        <v>3</v>
      </c>
      <c r="AC721">
        <v>80</v>
      </c>
      <c r="AD721">
        <v>0</v>
      </c>
      <c r="AE721" s="5">
        <v>9</v>
      </c>
      <c r="AF721" t="str">
        <f t="shared" si="79"/>
        <v>6-15</v>
      </c>
      <c r="AG721">
        <v>0</v>
      </c>
      <c r="AH721">
        <v>3</v>
      </c>
      <c r="AI721" s="5">
        <v>9</v>
      </c>
      <c r="AJ721">
        <v>0</v>
      </c>
      <c r="AK721">
        <v>0</v>
      </c>
      <c r="AL721">
        <v>7</v>
      </c>
      <c r="AM721" t="str">
        <f t="shared" si="80"/>
        <v>Below Avg</v>
      </c>
      <c r="AN721" s="21">
        <f t="shared" si="81"/>
        <v>27.26063829787234</v>
      </c>
      <c r="AO721" t="str">
        <f t="shared" ca="1" si="82"/>
        <v>No</v>
      </c>
      <c r="AP721" t="str">
        <f t="shared" si="83"/>
        <v>Low Risk</v>
      </c>
    </row>
    <row r="722" spans="1:42" x14ac:dyDescent="0.3">
      <c r="A722" s="5">
        <v>30</v>
      </c>
      <c r="B722" s="5" t="s">
        <v>35</v>
      </c>
      <c r="C722" s="5" t="str">
        <f t="shared" si="77"/>
        <v>Yes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 s="5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 s="5">
        <v>2132</v>
      </c>
      <c r="U722">
        <v>11539</v>
      </c>
      <c r="V722">
        <v>4</v>
      </c>
      <c r="W722" t="s">
        <v>42</v>
      </c>
      <c r="X722" t="s">
        <v>35</v>
      </c>
      <c r="Y722" t="str">
        <f t="shared" si="78"/>
        <v>Yes</v>
      </c>
      <c r="Z722">
        <v>11</v>
      </c>
      <c r="AA722">
        <v>3</v>
      </c>
      <c r="AB722">
        <v>2</v>
      </c>
      <c r="AC722">
        <v>80</v>
      </c>
      <c r="AD722">
        <v>0</v>
      </c>
      <c r="AE722" s="5">
        <v>7</v>
      </c>
      <c r="AF722" t="str">
        <f t="shared" si="79"/>
        <v>6-15</v>
      </c>
      <c r="AG722">
        <v>2</v>
      </c>
      <c r="AH722">
        <v>3</v>
      </c>
      <c r="AI722" s="5">
        <v>5</v>
      </c>
      <c r="AJ722">
        <v>2</v>
      </c>
      <c r="AK722">
        <v>0</v>
      </c>
      <c r="AL722">
        <v>1</v>
      </c>
      <c r="AM722" t="str">
        <f t="shared" si="80"/>
        <v>Below Avg</v>
      </c>
      <c r="AN722" s="21">
        <f t="shared" si="81"/>
        <v>27.163781624500665</v>
      </c>
      <c r="AO722" t="str">
        <f t="shared" ca="1" si="82"/>
        <v>No</v>
      </c>
      <c r="AP722" t="str">
        <f t="shared" si="83"/>
        <v>Low Risk</v>
      </c>
    </row>
    <row r="723" spans="1:42" x14ac:dyDescent="0.3">
      <c r="A723" s="5">
        <v>50</v>
      </c>
      <c r="B723" s="5" t="s">
        <v>43</v>
      </c>
      <c r="C723" s="5" t="str">
        <f t="shared" si="77"/>
        <v>No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 s="5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 s="5">
        <v>13973</v>
      </c>
      <c r="U723">
        <v>4161</v>
      </c>
      <c r="V723">
        <v>3</v>
      </c>
      <c r="W723" t="s">
        <v>42</v>
      </c>
      <c r="X723" t="s">
        <v>35</v>
      </c>
      <c r="Y723" t="str">
        <f t="shared" si="78"/>
        <v>Yes</v>
      </c>
      <c r="Z723">
        <v>18</v>
      </c>
      <c r="AA723">
        <v>3</v>
      </c>
      <c r="AB723">
        <v>4</v>
      </c>
      <c r="AC723">
        <v>80</v>
      </c>
      <c r="AD723">
        <v>1</v>
      </c>
      <c r="AE723" s="5">
        <v>22</v>
      </c>
      <c r="AF723" t="str">
        <f t="shared" si="79"/>
        <v>&gt;15</v>
      </c>
      <c r="AG723">
        <v>2</v>
      </c>
      <c r="AH723">
        <v>3</v>
      </c>
      <c r="AI723" s="5">
        <v>12</v>
      </c>
      <c r="AJ723">
        <v>11</v>
      </c>
      <c r="AK723">
        <v>1</v>
      </c>
      <c r="AL723">
        <v>5</v>
      </c>
      <c r="AM723" t="str">
        <f t="shared" si="80"/>
        <v>Ok</v>
      </c>
      <c r="AN723" s="21">
        <f t="shared" si="81"/>
        <v>27.066666666666666</v>
      </c>
      <c r="AO723" t="str">
        <f t="shared" ca="1" si="82"/>
        <v>No</v>
      </c>
      <c r="AP723" t="str">
        <f t="shared" si="83"/>
        <v>Low Risk</v>
      </c>
    </row>
    <row r="724" spans="1:42" x14ac:dyDescent="0.3">
      <c r="A724" s="5">
        <v>38</v>
      </c>
      <c r="B724" s="5" t="s">
        <v>43</v>
      </c>
      <c r="C724" s="5" t="str">
        <f t="shared" si="77"/>
        <v>No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 s="5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 s="5">
        <v>2684</v>
      </c>
      <c r="U724">
        <v>12127</v>
      </c>
      <c r="V724">
        <v>0</v>
      </c>
      <c r="W724" t="s">
        <v>42</v>
      </c>
      <c r="X724" t="s">
        <v>43</v>
      </c>
      <c r="Y724" t="str">
        <f t="shared" si="78"/>
        <v>No</v>
      </c>
      <c r="Z724">
        <v>17</v>
      </c>
      <c r="AA724">
        <v>3</v>
      </c>
      <c r="AB724">
        <v>2</v>
      </c>
      <c r="AC724">
        <v>80</v>
      </c>
      <c r="AD724">
        <v>1</v>
      </c>
      <c r="AE724" s="5">
        <v>3</v>
      </c>
      <c r="AF724" t="str">
        <f t="shared" si="79"/>
        <v>0-5</v>
      </c>
      <c r="AG724">
        <v>0</v>
      </c>
      <c r="AH724">
        <v>2</v>
      </c>
      <c r="AI724" s="5">
        <v>2</v>
      </c>
      <c r="AJ724">
        <v>1</v>
      </c>
      <c r="AK724">
        <v>0</v>
      </c>
      <c r="AL724">
        <v>2</v>
      </c>
      <c r="AM724" t="str">
        <f t="shared" si="80"/>
        <v>Below Avg</v>
      </c>
      <c r="AN724" s="21">
        <f t="shared" si="81"/>
        <v>26.969292389853138</v>
      </c>
      <c r="AO724" t="str">
        <f t="shared" ca="1" si="82"/>
        <v>No</v>
      </c>
      <c r="AP724" t="str">
        <f t="shared" si="83"/>
        <v>Low Risk</v>
      </c>
    </row>
    <row r="725" spans="1:42" x14ac:dyDescent="0.3">
      <c r="A725" s="5">
        <v>46</v>
      </c>
      <c r="B725" s="5" t="s">
        <v>43</v>
      </c>
      <c r="C725" s="5" t="str">
        <f t="shared" si="77"/>
        <v>No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 s="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 s="5">
        <v>10845</v>
      </c>
      <c r="U725">
        <v>24208</v>
      </c>
      <c r="V725">
        <v>6</v>
      </c>
      <c r="W725" t="s">
        <v>42</v>
      </c>
      <c r="X725" t="s">
        <v>43</v>
      </c>
      <c r="Y725" t="str">
        <f t="shared" si="78"/>
        <v>No</v>
      </c>
      <c r="Z725">
        <v>13</v>
      </c>
      <c r="AA725">
        <v>3</v>
      </c>
      <c r="AB725">
        <v>2</v>
      </c>
      <c r="AC725">
        <v>80</v>
      </c>
      <c r="AD725">
        <v>1</v>
      </c>
      <c r="AE725" s="5">
        <v>13</v>
      </c>
      <c r="AF725" t="str">
        <f t="shared" si="79"/>
        <v>6-15</v>
      </c>
      <c r="AG725">
        <v>3</v>
      </c>
      <c r="AH725">
        <v>3</v>
      </c>
      <c r="AI725" s="5">
        <v>8</v>
      </c>
      <c r="AJ725">
        <v>7</v>
      </c>
      <c r="AK725">
        <v>0</v>
      </c>
      <c r="AL725">
        <v>7</v>
      </c>
      <c r="AM725" t="str">
        <f t="shared" si="80"/>
        <v>Ok</v>
      </c>
      <c r="AN725" s="21">
        <f t="shared" si="81"/>
        <v>26.871657754010698</v>
      </c>
      <c r="AO725" t="str">
        <f t="shared" ca="1" si="82"/>
        <v>No</v>
      </c>
      <c r="AP725" t="str">
        <f t="shared" si="83"/>
        <v>Low Risk</v>
      </c>
    </row>
    <row r="726" spans="1:42" x14ac:dyDescent="0.3">
      <c r="A726" s="5">
        <v>24</v>
      </c>
      <c r="B726" s="5" t="s">
        <v>43</v>
      </c>
      <c r="C726" s="5" t="str">
        <f t="shared" si="77"/>
        <v>No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 s="5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 s="5">
        <v>4377</v>
      </c>
      <c r="U726">
        <v>24117</v>
      </c>
      <c r="V726">
        <v>1</v>
      </c>
      <c r="W726" t="s">
        <v>42</v>
      </c>
      <c r="X726" t="s">
        <v>43</v>
      </c>
      <c r="Y726" t="str">
        <f t="shared" si="78"/>
        <v>No</v>
      </c>
      <c r="Z726">
        <v>15</v>
      </c>
      <c r="AA726">
        <v>3</v>
      </c>
      <c r="AB726">
        <v>2</v>
      </c>
      <c r="AC726">
        <v>80</v>
      </c>
      <c r="AD726">
        <v>2</v>
      </c>
      <c r="AE726" s="5">
        <v>5</v>
      </c>
      <c r="AF726" t="str">
        <f t="shared" si="79"/>
        <v>0-5</v>
      </c>
      <c r="AG726">
        <v>6</v>
      </c>
      <c r="AH726">
        <v>3</v>
      </c>
      <c r="AI726" s="5">
        <v>4</v>
      </c>
      <c r="AJ726">
        <v>2</v>
      </c>
      <c r="AK726">
        <v>3</v>
      </c>
      <c r="AL726">
        <v>2</v>
      </c>
      <c r="AM726" t="str">
        <f t="shared" si="80"/>
        <v>Below Avg</v>
      </c>
      <c r="AN726" s="21">
        <f t="shared" si="81"/>
        <v>26.907630522088354</v>
      </c>
      <c r="AO726" t="str">
        <f t="shared" ca="1" si="82"/>
        <v>No</v>
      </c>
      <c r="AP726" t="str">
        <f t="shared" si="83"/>
        <v>Low Risk</v>
      </c>
    </row>
    <row r="727" spans="1:42" x14ac:dyDescent="0.3">
      <c r="A727" s="5">
        <v>35</v>
      </c>
      <c r="B727" s="5" t="s">
        <v>35</v>
      </c>
      <c r="C727" s="5" t="str">
        <f t="shared" si="77"/>
        <v>Yes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 s="5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 s="5">
        <v>3743</v>
      </c>
      <c r="U727">
        <v>10074</v>
      </c>
      <c r="V727">
        <v>1</v>
      </c>
      <c r="W727" t="s">
        <v>42</v>
      </c>
      <c r="X727" t="s">
        <v>35</v>
      </c>
      <c r="Y727" t="str">
        <f t="shared" si="78"/>
        <v>Yes</v>
      </c>
      <c r="Z727">
        <v>24</v>
      </c>
      <c r="AA727">
        <v>4</v>
      </c>
      <c r="AB727">
        <v>4</v>
      </c>
      <c r="AC727">
        <v>80</v>
      </c>
      <c r="AD727">
        <v>1</v>
      </c>
      <c r="AE727" s="5">
        <v>5</v>
      </c>
      <c r="AF727" t="str">
        <f t="shared" si="79"/>
        <v>0-5</v>
      </c>
      <c r="AG727">
        <v>2</v>
      </c>
      <c r="AH727">
        <v>1</v>
      </c>
      <c r="AI727" s="5">
        <v>4</v>
      </c>
      <c r="AJ727">
        <v>2</v>
      </c>
      <c r="AK727">
        <v>0</v>
      </c>
      <c r="AL727">
        <v>2</v>
      </c>
      <c r="AM727" t="str">
        <f t="shared" si="80"/>
        <v>Below Avg</v>
      </c>
      <c r="AN727" s="21">
        <f t="shared" si="81"/>
        <v>26.943699731903486</v>
      </c>
      <c r="AO727" t="str">
        <f t="shared" ca="1" si="82"/>
        <v>No</v>
      </c>
      <c r="AP727" t="str">
        <f t="shared" si="83"/>
        <v>Low Risk</v>
      </c>
    </row>
    <row r="728" spans="1:42" x14ac:dyDescent="0.3">
      <c r="A728" s="5">
        <v>31</v>
      </c>
      <c r="B728" s="5" t="s">
        <v>43</v>
      </c>
      <c r="C728" s="5" t="str">
        <f t="shared" si="77"/>
        <v>No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 s="5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 s="5">
        <v>4148</v>
      </c>
      <c r="U728">
        <v>11275</v>
      </c>
      <c r="V728">
        <v>1</v>
      </c>
      <c r="W728" t="s">
        <v>42</v>
      </c>
      <c r="X728" t="s">
        <v>43</v>
      </c>
      <c r="Y728" t="str">
        <f t="shared" si="78"/>
        <v>No</v>
      </c>
      <c r="Z728">
        <v>12</v>
      </c>
      <c r="AA728">
        <v>3</v>
      </c>
      <c r="AB728">
        <v>3</v>
      </c>
      <c r="AC728">
        <v>80</v>
      </c>
      <c r="AD728">
        <v>1</v>
      </c>
      <c r="AE728" s="5">
        <v>4</v>
      </c>
      <c r="AF728" t="str">
        <f t="shared" si="79"/>
        <v>0-5</v>
      </c>
      <c r="AG728">
        <v>1</v>
      </c>
      <c r="AH728">
        <v>3</v>
      </c>
      <c r="AI728" s="5">
        <v>4</v>
      </c>
      <c r="AJ728">
        <v>3</v>
      </c>
      <c r="AK728">
        <v>0</v>
      </c>
      <c r="AL728">
        <v>3</v>
      </c>
      <c r="AM728" t="str">
        <f t="shared" si="80"/>
        <v>Below Avg</v>
      </c>
      <c r="AN728" s="21">
        <f t="shared" si="81"/>
        <v>26.979865771812079</v>
      </c>
      <c r="AO728" t="str">
        <f t="shared" ca="1" si="82"/>
        <v>No</v>
      </c>
      <c r="AP728" t="str">
        <f t="shared" si="83"/>
        <v>Low Risk</v>
      </c>
    </row>
    <row r="729" spans="1:42" x14ac:dyDescent="0.3">
      <c r="A729" s="5">
        <v>18</v>
      </c>
      <c r="B729" s="5" t="s">
        <v>43</v>
      </c>
      <c r="C729" s="5" t="str">
        <f t="shared" si="77"/>
        <v>No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 s="5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 s="5">
        <v>1051</v>
      </c>
      <c r="U729">
        <v>13493</v>
      </c>
      <c r="V729">
        <v>1</v>
      </c>
      <c r="W729" t="s">
        <v>42</v>
      </c>
      <c r="X729" t="s">
        <v>43</v>
      </c>
      <c r="Y729" t="str">
        <f t="shared" si="78"/>
        <v>No</v>
      </c>
      <c r="Z729">
        <v>15</v>
      </c>
      <c r="AA729">
        <v>3</v>
      </c>
      <c r="AB729">
        <v>4</v>
      </c>
      <c r="AC729">
        <v>80</v>
      </c>
      <c r="AD729">
        <v>0</v>
      </c>
      <c r="AE729" s="5">
        <v>0</v>
      </c>
      <c r="AF729" t="str">
        <f t="shared" si="79"/>
        <v>0-5</v>
      </c>
      <c r="AG729">
        <v>2</v>
      </c>
      <c r="AH729">
        <v>3</v>
      </c>
      <c r="AI729" s="5">
        <v>0</v>
      </c>
      <c r="AJ729">
        <v>0</v>
      </c>
      <c r="AK729">
        <v>0</v>
      </c>
      <c r="AL729">
        <v>0</v>
      </c>
      <c r="AM729" t="str">
        <f t="shared" si="80"/>
        <v>Below Avg</v>
      </c>
      <c r="AN729" s="21">
        <f t="shared" si="81"/>
        <v>26.881720430107524</v>
      </c>
      <c r="AO729" t="str">
        <f t="shared" ca="1" si="82"/>
        <v>No</v>
      </c>
      <c r="AP729" t="str">
        <f t="shared" si="83"/>
        <v>Low Risk</v>
      </c>
    </row>
    <row r="730" spans="1:42" x14ac:dyDescent="0.3">
      <c r="A730" s="5">
        <v>54</v>
      </c>
      <c r="B730" s="5" t="s">
        <v>43</v>
      </c>
      <c r="C730" s="5" t="str">
        <f t="shared" si="77"/>
        <v>No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 s="5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 s="5">
        <v>10739</v>
      </c>
      <c r="U730">
        <v>13943</v>
      </c>
      <c r="V730">
        <v>8</v>
      </c>
      <c r="W730" t="s">
        <v>42</v>
      </c>
      <c r="X730" t="s">
        <v>43</v>
      </c>
      <c r="Y730" t="str">
        <f t="shared" si="78"/>
        <v>No</v>
      </c>
      <c r="Z730">
        <v>11</v>
      </c>
      <c r="AA730">
        <v>3</v>
      </c>
      <c r="AB730">
        <v>3</v>
      </c>
      <c r="AC730">
        <v>80</v>
      </c>
      <c r="AD730">
        <v>1</v>
      </c>
      <c r="AE730" s="5">
        <v>22</v>
      </c>
      <c r="AF730" t="str">
        <f t="shared" si="79"/>
        <v>&gt;15</v>
      </c>
      <c r="AG730">
        <v>2</v>
      </c>
      <c r="AH730">
        <v>3</v>
      </c>
      <c r="AI730" s="5">
        <v>10</v>
      </c>
      <c r="AJ730">
        <v>7</v>
      </c>
      <c r="AK730">
        <v>0</v>
      </c>
      <c r="AL730">
        <v>8</v>
      </c>
      <c r="AM730" t="str">
        <f t="shared" si="80"/>
        <v>Ok</v>
      </c>
      <c r="AN730" s="21">
        <f t="shared" si="81"/>
        <v>26.917900403768506</v>
      </c>
      <c r="AO730" t="str">
        <f t="shared" ca="1" si="82"/>
        <v>No</v>
      </c>
      <c r="AP730" t="str">
        <f t="shared" si="83"/>
        <v>Low Risk</v>
      </c>
    </row>
    <row r="731" spans="1:42" x14ac:dyDescent="0.3">
      <c r="A731" s="5">
        <v>35</v>
      </c>
      <c r="B731" s="5" t="s">
        <v>43</v>
      </c>
      <c r="C731" s="5" t="str">
        <f t="shared" si="77"/>
        <v>No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 s="5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 s="5">
        <v>10388</v>
      </c>
      <c r="U731">
        <v>6975</v>
      </c>
      <c r="V731">
        <v>1</v>
      </c>
      <c r="W731" t="s">
        <v>42</v>
      </c>
      <c r="X731" t="s">
        <v>35</v>
      </c>
      <c r="Y731" t="str">
        <f t="shared" si="78"/>
        <v>Yes</v>
      </c>
      <c r="Z731">
        <v>11</v>
      </c>
      <c r="AA731">
        <v>3</v>
      </c>
      <c r="AB731">
        <v>3</v>
      </c>
      <c r="AC731">
        <v>80</v>
      </c>
      <c r="AD731">
        <v>1</v>
      </c>
      <c r="AE731" s="5">
        <v>16</v>
      </c>
      <c r="AF731" t="str">
        <f t="shared" si="79"/>
        <v>&gt;15</v>
      </c>
      <c r="AG731">
        <v>3</v>
      </c>
      <c r="AH731">
        <v>2</v>
      </c>
      <c r="AI731" s="5">
        <v>16</v>
      </c>
      <c r="AJ731">
        <v>10</v>
      </c>
      <c r="AK731">
        <v>10</v>
      </c>
      <c r="AL731">
        <v>1</v>
      </c>
      <c r="AM731" t="str">
        <f t="shared" si="80"/>
        <v>Ok</v>
      </c>
      <c r="AN731" s="21">
        <f t="shared" si="81"/>
        <v>26.954177897574123</v>
      </c>
      <c r="AO731" t="str">
        <f t="shared" ca="1" si="82"/>
        <v>No</v>
      </c>
      <c r="AP731" t="str">
        <f t="shared" si="83"/>
        <v>Low Risk</v>
      </c>
    </row>
    <row r="732" spans="1:42" x14ac:dyDescent="0.3">
      <c r="A732" s="5">
        <v>30</v>
      </c>
      <c r="B732" s="5" t="s">
        <v>43</v>
      </c>
      <c r="C732" s="5" t="str">
        <f t="shared" si="77"/>
        <v>No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 s="5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 s="5">
        <v>11416</v>
      </c>
      <c r="U732">
        <v>17802</v>
      </c>
      <c r="V732">
        <v>0</v>
      </c>
      <c r="W732" t="s">
        <v>42</v>
      </c>
      <c r="X732" t="s">
        <v>35</v>
      </c>
      <c r="Y732" t="str">
        <f t="shared" si="78"/>
        <v>Yes</v>
      </c>
      <c r="Z732">
        <v>12</v>
      </c>
      <c r="AA732">
        <v>3</v>
      </c>
      <c r="AB732">
        <v>3</v>
      </c>
      <c r="AC732">
        <v>80</v>
      </c>
      <c r="AD732">
        <v>3</v>
      </c>
      <c r="AE732" s="5">
        <v>9</v>
      </c>
      <c r="AF732" t="str">
        <f t="shared" si="79"/>
        <v>6-15</v>
      </c>
      <c r="AG732">
        <v>4</v>
      </c>
      <c r="AH732">
        <v>2</v>
      </c>
      <c r="AI732" s="5">
        <v>8</v>
      </c>
      <c r="AJ732">
        <v>7</v>
      </c>
      <c r="AK732">
        <v>1</v>
      </c>
      <c r="AL732">
        <v>7</v>
      </c>
      <c r="AM732" t="str">
        <f t="shared" si="80"/>
        <v>Ok</v>
      </c>
      <c r="AN732" s="21">
        <f t="shared" si="81"/>
        <v>26.990553306342779</v>
      </c>
      <c r="AO732" t="str">
        <f t="shared" ca="1" si="82"/>
        <v>No</v>
      </c>
      <c r="AP732" t="str">
        <f t="shared" si="83"/>
        <v>Low Risk</v>
      </c>
    </row>
    <row r="733" spans="1:42" x14ac:dyDescent="0.3">
      <c r="A733" s="5">
        <v>20</v>
      </c>
      <c r="B733" s="5" t="s">
        <v>35</v>
      </c>
      <c r="C733" s="5" t="str">
        <f t="shared" si="77"/>
        <v>Yes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 s="5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 s="5">
        <v>2600</v>
      </c>
      <c r="U733">
        <v>18275</v>
      </c>
      <c r="V733">
        <v>1</v>
      </c>
      <c r="W733" t="s">
        <v>42</v>
      </c>
      <c r="X733" t="s">
        <v>35</v>
      </c>
      <c r="Y733" t="str">
        <f t="shared" si="78"/>
        <v>Yes</v>
      </c>
      <c r="Z733">
        <v>15</v>
      </c>
      <c r="AA733">
        <v>3</v>
      </c>
      <c r="AB733">
        <v>1</v>
      </c>
      <c r="AC733">
        <v>80</v>
      </c>
      <c r="AD733">
        <v>0</v>
      </c>
      <c r="AE733" s="5">
        <v>1</v>
      </c>
      <c r="AF733" t="str">
        <f t="shared" si="79"/>
        <v>0-5</v>
      </c>
      <c r="AG733">
        <v>2</v>
      </c>
      <c r="AH733">
        <v>3</v>
      </c>
      <c r="AI733" s="5">
        <v>1</v>
      </c>
      <c r="AJ733">
        <v>0</v>
      </c>
      <c r="AK733">
        <v>0</v>
      </c>
      <c r="AL733">
        <v>0</v>
      </c>
      <c r="AM733" t="str">
        <f t="shared" si="80"/>
        <v>Below Avg</v>
      </c>
      <c r="AN733" s="21">
        <f t="shared" si="81"/>
        <v>26.891891891891888</v>
      </c>
      <c r="AO733" t="str">
        <f t="shared" ca="1" si="82"/>
        <v>No</v>
      </c>
      <c r="AP733" t="str">
        <f t="shared" si="83"/>
        <v>High Risk</v>
      </c>
    </row>
    <row r="734" spans="1:42" x14ac:dyDescent="0.3">
      <c r="A734" s="5">
        <v>30</v>
      </c>
      <c r="B734" s="5" t="s">
        <v>35</v>
      </c>
      <c r="C734" s="5" t="str">
        <f t="shared" si="77"/>
        <v>Yes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 s="5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 s="5">
        <v>2422</v>
      </c>
      <c r="U734">
        <v>25725</v>
      </c>
      <c r="V734">
        <v>0</v>
      </c>
      <c r="W734" t="s">
        <v>42</v>
      </c>
      <c r="X734" t="s">
        <v>43</v>
      </c>
      <c r="Y734" t="str">
        <f t="shared" si="78"/>
        <v>No</v>
      </c>
      <c r="Z734">
        <v>17</v>
      </c>
      <c r="AA734">
        <v>3</v>
      </c>
      <c r="AB734">
        <v>1</v>
      </c>
      <c r="AC734">
        <v>80</v>
      </c>
      <c r="AD734">
        <v>0</v>
      </c>
      <c r="AE734" s="5">
        <v>4</v>
      </c>
      <c r="AF734" t="str">
        <f t="shared" si="79"/>
        <v>0-5</v>
      </c>
      <c r="AG734">
        <v>3</v>
      </c>
      <c r="AH734">
        <v>3</v>
      </c>
      <c r="AI734" s="5">
        <v>3</v>
      </c>
      <c r="AJ734">
        <v>2</v>
      </c>
      <c r="AK734">
        <v>1</v>
      </c>
      <c r="AL734">
        <v>2</v>
      </c>
      <c r="AM734" t="str">
        <f t="shared" si="80"/>
        <v>Below Avg</v>
      </c>
      <c r="AN734" s="21">
        <f t="shared" si="81"/>
        <v>26.79296346414073</v>
      </c>
      <c r="AO734" t="str">
        <f t="shared" ca="1" si="82"/>
        <v>No</v>
      </c>
      <c r="AP734" t="str">
        <f t="shared" si="83"/>
        <v>Low Risk</v>
      </c>
    </row>
    <row r="735" spans="1:42" x14ac:dyDescent="0.3">
      <c r="A735" s="5">
        <v>26</v>
      </c>
      <c r="B735" s="5" t="s">
        <v>43</v>
      </c>
      <c r="C735" s="5" t="str">
        <f t="shared" si="77"/>
        <v>No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 s="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 s="5">
        <v>5472</v>
      </c>
      <c r="U735">
        <v>3334</v>
      </c>
      <c r="V735">
        <v>1</v>
      </c>
      <c r="W735" t="s">
        <v>42</v>
      </c>
      <c r="X735" t="s">
        <v>43</v>
      </c>
      <c r="Y735" t="str">
        <f t="shared" si="78"/>
        <v>No</v>
      </c>
      <c r="Z735">
        <v>12</v>
      </c>
      <c r="AA735">
        <v>3</v>
      </c>
      <c r="AB735">
        <v>2</v>
      </c>
      <c r="AC735">
        <v>80</v>
      </c>
      <c r="AD735">
        <v>0</v>
      </c>
      <c r="AE735" s="5">
        <v>8</v>
      </c>
      <c r="AF735" t="str">
        <f t="shared" si="79"/>
        <v>6-15</v>
      </c>
      <c r="AG735">
        <v>2</v>
      </c>
      <c r="AH735">
        <v>3</v>
      </c>
      <c r="AI735" s="5">
        <v>8</v>
      </c>
      <c r="AJ735">
        <v>7</v>
      </c>
      <c r="AK735">
        <v>1</v>
      </c>
      <c r="AL735">
        <v>3</v>
      </c>
      <c r="AM735" t="str">
        <f t="shared" si="80"/>
        <v>Below Avg</v>
      </c>
      <c r="AN735" s="21">
        <f t="shared" si="81"/>
        <v>26.693766937669377</v>
      </c>
      <c r="AO735" t="str">
        <f t="shared" ca="1" si="82"/>
        <v>No</v>
      </c>
      <c r="AP735" t="str">
        <f t="shared" si="83"/>
        <v>Low Risk</v>
      </c>
    </row>
    <row r="736" spans="1:42" x14ac:dyDescent="0.3">
      <c r="A736" s="5">
        <v>22</v>
      </c>
      <c r="B736" s="5" t="s">
        <v>43</v>
      </c>
      <c r="C736" s="5" t="str">
        <f t="shared" si="77"/>
        <v>No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 s="5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 s="5">
        <v>2451</v>
      </c>
      <c r="U736">
        <v>6881</v>
      </c>
      <c r="V736">
        <v>1</v>
      </c>
      <c r="W736" t="s">
        <v>42</v>
      </c>
      <c r="X736" t="s">
        <v>43</v>
      </c>
      <c r="Y736" t="str">
        <f t="shared" si="78"/>
        <v>No</v>
      </c>
      <c r="Z736">
        <v>15</v>
      </c>
      <c r="AA736">
        <v>3</v>
      </c>
      <c r="AB736">
        <v>1</v>
      </c>
      <c r="AC736">
        <v>80</v>
      </c>
      <c r="AD736">
        <v>1</v>
      </c>
      <c r="AE736" s="5">
        <v>4</v>
      </c>
      <c r="AF736" t="str">
        <f t="shared" si="79"/>
        <v>0-5</v>
      </c>
      <c r="AG736">
        <v>3</v>
      </c>
      <c r="AH736">
        <v>2</v>
      </c>
      <c r="AI736" s="5">
        <v>4</v>
      </c>
      <c r="AJ736">
        <v>3</v>
      </c>
      <c r="AK736">
        <v>1</v>
      </c>
      <c r="AL736">
        <v>1</v>
      </c>
      <c r="AM736" t="str">
        <f t="shared" si="80"/>
        <v>Below Avg</v>
      </c>
      <c r="AN736" s="21">
        <f t="shared" si="81"/>
        <v>26.72998643147897</v>
      </c>
      <c r="AO736" t="str">
        <f t="shared" ca="1" si="82"/>
        <v>No</v>
      </c>
      <c r="AP736" t="str">
        <f t="shared" si="83"/>
        <v>Low Risk</v>
      </c>
    </row>
    <row r="737" spans="1:42" x14ac:dyDescent="0.3">
      <c r="A737" s="5">
        <v>48</v>
      </c>
      <c r="B737" s="5" t="s">
        <v>43</v>
      </c>
      <c r="C737" s="5" t="str">
        <f t="shared" si="77"/>
        <v>No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 s="5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 s="5">
        <v>4240</v>
      </c>
      <c r="U737">
        <v>13119</v>
      </c>
      <c r="V737">
        <v>2</v>
      </c>
      <c r="W737" t="s">
        <v>42</v>
      </c>
      <c r="X737" t="s">
        <v>43</v>
      </c>
      <c r="Y737" t="str">
        <f t="shared" si="78"/>
        <v>No</v>
      </c>
      <c r="Z737">
        <v>13</v>
      </c>
      <c r="AA737">
        <v>3</v>
      </c>
      <c r="AB737">
        <v>4</v>
      </c>
      <c r="AC737">
        <v>80</v>
      </c>
      <c r="AD737">
        <v>0</v>
      </c>
      <c r="AE737" s="5">
        <v>19</v>
      </c>
      <c r="AF737" t="str">
        <f t="shared" si="79"/>
        <v>&gt;15</v>
      </c>
      <c r="AG737">
        <v>0</v>
      </c>
      <c r="AH737">
        <v>3</v>
      </c>
      <c r="AI737" s="5">
        <v>2</v>
      </c>
      <c r="AJ737">
        <v>2</v>
      </c>
      <c r="AK737">
        <v>2</v>
      </c>
      <c r="AL737">
        <v>2</v>
      </c>
      <c r="AM737" t="str">
        <f t="shared" si="80"/>
        <v>Below Avg</v>
      </c>
      <c r="AN737" s="21">
        <f t="shared" si="81"/>
        <v>26.766304347826086</v>
      </c>
      <c r="AO737" t="str">
        <f t="shared" ca="1" si="82"/>
        <v>No</v>
      </c>
      <c r="AP737" t="str">
        <f t="shared" si="83"/>
        <v>Low Risk</v>
      </c>
    </row>
    <row r="738" spans="1:42" x14ac:dyDescent="0.3">
      <c r="A738" s="5">
        <v>48</v>
      </c>
      <c r="B738" s="5" t="s">
        <v>43</v>
      </c>
      <c r="C738" s="5" t="str">
        <f t="shared" si="77"/>
        <v>No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 s="5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 s="5">
        <v>10999</v>
      </c>
      <c r="U738">
        <v>22245</v>
      </c>
      <c r="V738">
        <v>7</v>
      </c>
      <c r="W738" t="s">
        <v>42</v>
      </c>
      <c r="X738" t="s">
        <v>43</v>
      </c>
      <c r="Y738" t="str">
        <f t="shared" si="78"/>
        <v>No</v>
      </c>
      <c r="Z738">
        <v>14</v>
      </c>
      <c r="AA738">
        <v>3</v>
      </c>
      <c r="AB738">
        <v>2</v>
      </c>
      <c r="AC738">
        <v>80</v>
      </c>
      <c r="AD738">
        <v>0</v>
      </c>
      <c r="AE738" s="5">
        <v>27</v>
      </c>
      <c r="AF738" t="str">
        <f t="shared" si="79"/>
        <v>&gt;15</v>
      </c>
      <c r="AG738">
        <v>3</v>
      </c>
      <c r="AH738">
        <v>3</v>
      </c>
      <c r="AI738" s="5">
        <v>15</v>
      </c>
      <c r="AJ738">
        <v>11</v>
      </c>
      <c r="AK738">
        <v>4</v>
      </c>
      <c r="AL738">
        <v>8</v>
      </c>
      <c r="AM738" t="str">
        <f t="shared" si="80"/>
        <v>Ok</v>
      </c>
      <c r="AN738" s="21">
        <f t="shared" si="81"/>
        <v>26.802721088435373</v>
      </c>
      <c r="AO738" t="str">
        <f t="shared" ca="1" si="82"/>
        <v>No</v>
      </c>
      <c r="AP738" t="str">
        <f t="shared" si="83"/>
        <v>Low Risk</v>
      </c>
    </row>
    <row r="739" spans="1:42" x14ac:dyDescent="0.3">
      <c r="A739" s="5">
        <v>41</v>
      </c>
      <c r="B739" s="5" t="s">
        <v>43</v>
      </c>
      <c r="C739" s="5" t="str">
        <f t="shared" si="77"/>
        <v>No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 s="5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 s="5">
        <v>5003</v>
      </c>
      <c r="U739">
        <v>23371</v>
      </c>
      <c r="V739">
        <v>6</v>
      </c>
      <c r="W739" t="s">
        <v>42</v>
      </c>
      <c r="X739" t="s">
        <v>43</v>
      </c>
      <c r="Y739" t="str">
        <f t="shared" si="78"/>
        <v>No</v>
      </c>
      <c r="Z739">
        <v>14</v>
      </c>
      <c r="AA739">
        <v>3</v>
      </c>
      <c r="AB739">
        <v>2</v>
      </c>
      <c r="AC739">
        <v>80</v>
      </c>
      <c r="AD739">
        <v>0</v>
      </c>
      <c r="AE739" s="5">
        <v>8</v>
      </c>
      <c r="AF739" t="str">
        <f t="shared" si="79"/>
        <v>6-15</v>
      </c>
      <c r="AG739">
        <v>6</v>
      </c>
      <c r="AH739">
        <v>3</v>
      </c>
      <c r="AI739" s="5">
        <v>2</v>
      </c>
      <c r="AJ739">
        <v>2</v>
      </c>
      <c r="AK739">
        <v>2</v>
      </c>
      <c r="AL739">
        <v>1</v>
      </c>
      <c r="AM739" t="str">
        <f t="shared" si="80"/>
        <v>Below Avg</v>
      </c>
      <c r="AN739" s="21">
        <f t="shared" si="81"/>
        <v>26.839237057220711</v>
      </c>
      <c r="AO739" t="str">
        <f t="shared" ca="1" si="82"/>
        <v>No</v>
      </c>
      <c r="AP739" t="str">
        <f t="shared" si="83"/>
        <v>Low Risk</v>
      </c>
    </row>
    <row r="740" spans="1:42" x14ac:dyDescent="0.3">
      <c r="A740" s="5">
        <v>39</v>
      </c>
      <c r="B740" s="5" t="s">
        <v>43</v>
      </c>
      <c r="C740" s="5" t="str">
        <f t="shared" si="77"/>
        <v>No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 s="5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 s="5">
        <v>12742</v>
      </c>
      <c r="U740">
        <v>7060</v>
      </c>
      <c r="V740">
        <v>1</v>
      </c>
      <c r="W740" t="s">
        <v>42</v>
      </c>
      <c r="X740" t="s">
        <v>43</v>
      </c>
      <c r="Y740" t="str">
        <f t="shared" si="78"/>
        <v>No</v>
      </c>
      <c r="Z740">
        <v>16</v>
      </c>
      <c r="AA740">
        <v>3</v>
      </c>
      <c r="AB740">
        <v>3</v>
      </c>
      <c r="AC740">
        <v>80</v>
      </c>
      <c r="AD740">
        <v>1</v>
      </c>
      <c r="AE740" s="5">
        <v>21</v>
      </c>
      <c r="AF740" t="str">
        <f t="shared" si="79"/>
        <v>&gt;15</v>
      </c>
      <c r="AG740">
        <v>3</v>
      </c>
      <c r="AH740">
        <v>3</v>
      </c>
      <c r="AI740" s="5">
        <v>21</v>
      </c>
      <c r="AJ740">
        <v>6</v>
      </c>
      <c r="AK740">
        <v>11</v>
      </c>
      <c r="AL740">
        <v>8</v>
      </c>
      <c r="AM740" t="str">
        <f t="shared" si="80"/>
        <v>Ok</v>
      </c>
      <c r="AN740" s="21">
        <f t="shared" si="81"/>
        <v>26.875852660300136</v>
      </c>
      <c r="AO740" t="str">
        <f t="shared" ca="1" si="82"/>
        <v>No</v>
      </c>
      <c r="AP740" t="str">
        <f t="shared" si="83"/>
        <v>Low Risk</v>
      </c>
    </row>
    <row r="741" spans="1:42" x14ac:dyDescent="0.3">
      <c r="A741" s="5">
        <v>27</v>
      </c>
      <c r="B741" s="5" t="s">
        <v>43</v>
      </c>
      <c r="C741" s="5" t="str">
        <f t="shared" si="77"/>
        <v>No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 s="5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 s="5">
        <v>4227</v>
      </c>
      <c r="U741">
        <v>4658</v>
      </c>
      <c r="V741">
        <v>0</v>
      </c>
      <c r="W741" t="s">
        <v>42</v>
      </c>
      <c r="X741" t="s">
        <v>43</v>
      </c>
      <c r="Y741" t="str">
        <f t="shared" si="78"/>
        <v>No</v>
      </c>
      <c r="Z741">
        <v>18</v>
      </c>
      <c r="AA741">
        <v>3</v>
      </c>
      <c r="AB741">
        <v>2</v>
      </c>
      <c r="AC741">
        <v>80</v>
      </c>
      <c r="AD741">
        <v>1</v>
      </c>
      <c r="AE741" s="5">
        <v>4</v>
      </c>
      <c r="AF741" t="str">
        <f t="shared" si="79"/>
        <v>0-5</v>
      </c>
      <c r="AG741">
        <v>2</v>
      </c>
      <c r="AH741">
        <v>3</v>
      </c>
      <c r="AI741" s="5">
        <v>3</v>
      </c>
      <c r="AJ741">
        <v>2</v>
      </c>
      <c r="AK741">
        <v>2</v>
      </c>
      <c r="AL741">
        <v>2</v>
      </c>
      <c r="AM741" t="str">
        <f t="shared" si="80"/>
        <v>Below Avg</v>
      </c>
      <c r="AN741" s="21">
        <f t="shared" si="81"/>
        <v>26.912568306010932</v>
      </c>
      <c r="AO741" t="str">
        <f t="shared" ca="1" si="82"/>
        <v>No</v>
      </c>
      <c r="AP741" t="str">
        <f t="shared" si="83"/>
        <v>Low Risk</v>
      </c>
    </row>
    <row r="742" spans="1:42" x14ac:dyDescent="0.3">
      <c r="A742" s="5">
        <v>35</v>
      </c>
      <c r="B742" s="5" t="s">
        <v>43</v>
      </c>
      <c r="C742" s="5" t="str">
        <f t="shared" si="77"/>
        <v>No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 s="5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 s="5">
        <v>3917</v>
      </c>
      <c r="U742">
        <v>9541</v>
      </c>
      <c r="V742">
        <v>1</v>
      </c>
      <c r="W742" t="s">
        <v>42</v>
      </c>
      <c r="X742" t="s">
        <v>43</v>
      </c>
      <c r="Y742" t="str">
        <f t="shared" si="78"/>
        <v>No</v>
      </c>
      <c r="Z742">
        <v>20</v>
      </c>
      <c r="AA742">
        <v>4</v>
      </c>
      <c r="AB742">
        <v>1</v>
      </c>
      <c r="AC742">
        <v>80</v>
      </c>
      <c r="AD742">
        <v>1</v>
      </c>
      <c r="AE742" s="5">
        <v>3</v>
      </c>
      <c r="AF742" t="str">
        <f t="shared" si="79"/>
        <v>0-5</v>
      </c>
      <c r="AG742">
        <v>4</v>
      </c>
      <c r="AH742">
        <v>2</v>
      </c>
      <c r="AI742" s="5">
        <v>3</v>
      </c>
      <c r="AJ742">
        <v>2</v>
      </c>
      <c r="AK742">
        <v>1</v>
      </c>
      <c r="AL742">
        <v>2</v>
      </c>
      <c r="AM742" t="str">
        <f t="shared" si="80"/>
        <v>Below Avg</v>
      </c>
      <c r="AN742" s="21">
        <f t="shared" si="81"/>
        <v>26.949384404924757</v>
      </c>
      <c r="AO742" t="str">
        <f t="shared" ca="1" si="82"/>
        <v>No</v>
      </c>
      <c r="AP742" t="str">
        <f t="shared" si="83"/>
        <v>Low Risk</v>
      </c>
    </row>
    <row r="743" spans="1:42" x14ac:dyDescent="0.3">
      <c r="A743" s="5">
        <v>42</v>
      </c>
      <c r="B743" s="5" t="s">
        <v>43</v>
      </c>
      <c r="C743" s="5" t="str">
        <f t="shared" si="77"/>
        <v>No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 s="5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 s="5">
        <v>18303</v>
      </c>
      <c r="U743">
        <v>7770</v>
      </c>
      <c r="V743">
        <v>6</v>
      </c>
      <c r="W743" t="s">
        <v>42</v>
      </c>
      <c r="X743" t="s">
        <v>43</v>
      </c>
      <c r="Y743" t="str">
        <f t="shared" si="78"/>
        <v>No</v>
      </c>
      <c r="Z743">
        <v>13</v>
      </c>
      <c r="AA743">
        <v>3</v>
      </c>
      <c r="AB743">
        <v>2</v>
      </c>
      <c r="AC743">
        <v>80</v>
      </c>
      <c r="AD743">
        <v>0</v>
      </c>
      <c r="AE743" s="5">
        <v>21</v>
      </c>
      <c r="AF743" t="str">
        <f t="shared" si="79"/>
        <v>&gt;15</v>
      </c>
      <c r="AG743">
        <v>3</v>
      </c>
      <c r="AH743">
        <v>4</v>
      </c>
      <c r="AI743" s="5">
        <v>1</v>
      </c>
      <c r="AJ743">
        <v>0</v>
      </c>
      <c r="AK743">
        <v>0</v>
      </c>
      <c r="AL743">
        <v>0</v>
      </c>
      <c r="AM743" t="str">
        <f t="shared" si="80"/>
        <v>Ok</v>
      </c>
      <c r="AN743" s="21">
        <f t="shared" si="81"/>
        <v>26.986301369863014</v>
      </c>
      <c r="AO743" t="str">
        <f t="shared" ca="1" si="82"/>
        <v>No</v>
      </c>
      <c r="AP743" t="str">
        <f t="shared" si="83"/>
        <v>Low Risk</v>
      </c>
    </row>
    <row r="744" spans="1:42" x14ac:dyDescent="0.3">
      <c r="A744" s="5">
        <v>50</v>
      </c>
      <c r="B744" s="5" t="s">
        <v>43</v>
      </c>
      <c r="C744" s="5" t="str">
        <f t="shared" si="77"/>
        <v>No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 s="5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 s="5">
        <v>2380</v>
      </c>
      <c r="U744">
        <v>20165</v>
      </c>
      <c r="V744">
        <v>4</v>
      </c>
      <c r="W744" t="s">
        <v>42</v>
      </c>
      <c r="X744" t="s">
        <v>43</v>
      </c>
      <c r="Y744" t="str">
        <f t="shared" si="78"/>
        <v>No</v>
      </c>
      <c r="Z744">
        <v>18</v>
      </c>
      <c r="AA744">
        <v>3</v>
      </c>
      <c r="AB744">
        <v>2</v>
      </c>
      <c r="AC744">
        <v>80</v>
      </c>
      <c r="AD744">
        <v>0</v>
      </c>
      <c r="AE744" s="5">
        <v>8</v>
      </c>
      <c r="AF744" t="str">
        <f t="shared" si="79"/>
        <v>6-15</v>
      </c>
      <c r="AG744">
        <v>5</v>
      </c>
      <c r="AH744">
        <v>3</v>
      </c>
      <c r="AI744" s="5">
        <v>1</v>
      </c>
      <c r="AJ744">
        <v>0</v>
      </c>
      <c r="AK744">
        <v>0</v>
      </c>
      <c r="AL744">
        <v>0</v>
      </c>
      <c r="AM744" t="str">
        <f t="shared" si="80"/>
        <v>Below Avg</v>
      </c>
      <c r="AN744" s="21">
        <f t="shared" si="81"/>
        <v>27.023319615912207</v>
      </c>
      <c r="AO744" t="str">
        <f t="shared" ca="1" si="82"/>
        <v>No</v>
      </c>
      <c r="AP744" t="str">
        <f t="shared" si="83"/>
        <v>Low Risk</v>
      </c>
    </row>
    <row r="745" spans="1:42" x14ac:dyDescent="0.3">
      <c r="A745" s="5">
        <v>59</v>
      </c>
      <c r="B745" s="5" t="s">
        <v>43</v>
      </c>
      <c r="C745" s="5" t="str">
        <f t="shared" si="77"/>
        <v>No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 s="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 s="5">
        <v>13726</v>
      </c>
      <c r="U745">
        <v>21829</v>
      </c>
      <c r="V745">
        <v>3</v>
      </c>
      <c r="W745" t="s">
        <v>42</v>
      </c>
      <c r="X745" t="s">
        <v>35</v>
      </c>
      <c r="Y745" t="str">
        <f t="shared" si="78"/>
        <v>Yes</v>
      </c>
      <c r="Z745">
        <v>13</v>
      </c>
      <c r="AA745">
        <v>3</v>
      </c>
      <c r="AB745">
        <v>1</v>
      </c>
      <c r="AC745">
        <v>80</v>
      </c>
      <c r="AD745">
        <v>0</v>
      </c>
      <c r="AE745" s="5">
        <v>30</v>
      </c>
      <c r="AF745" t="str">
        <f t="shared" si="79"/>
        <v>&gt;15</v>
      </c>
      <c r="AG745">
        <v>4</v>
      </c>
      <c r="AH745">
        <v>3</v>
      </c>
      <c r="AI745" s="5">
        <v>5</v>
      </c>
      <c r="AJ745">
        <v>3</v>
      </c>
      <c r="AK745">
        <v>4</v>
      </c>
      <c r="AL745">
        <v>3</v>
      </c>
      <c r="AM745" t="str">
        <f t="shared" si="80"/>
        <v>Ok</v>
      </c>
      <c r="AN745" s="21">
        <f t="shared" si="81"/>
        <v>27.060439560439558</v>
      </c>
      <c r="AO745" t="str">
        <f t="shared" ca="1" si="82"/>
        <v>No</v>
      </c>
      <c r="AP745" t="str">
        <f t="shared" si="83"/>
        <v>Low Risk</v>
      </c>
    </row>
    <row r="746" spans="1:42" x14ac:dyDescent="0.3">
      <c r="A746" s="5">
        <v>37</v>
      </c>
      <c r="B746" s="5" t="s">
        <v>35</v>
      </c>
      <c r="C746" s="5" t="str">
        <f t="shared" si="77"/>
        <v>Yes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 s="5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 s="5">
        <v>4777</v>
      </c>
      <c r="U746">
        <v>14382</v>
      </c>
      <c r="V746">
        <v>5</v>
      </c>
      <c r="W746" t="s">
        <v>42</v>
      </c>
      <c r="X746" t="s">
        <v>43</v>
      </c>
      <c r="Y746" t="str">
        <f t="shared" si="78"/>
        <v>No</v>
      </c>
      <c r="Z746">
        <v>15</v>
      </c>
      <c r="AA746">
        <v>3</v>
      </c>
      <c r="AB746">
        <v>1</v>
      </c>
      <c r="AC746">
        <v>80</v>
      </c>
      <c r="AD746">
        <v>0</v>
      </c>
      <c r="AE746" s="5">
        <v>15</v>
      </c>
      <c r="AF746" t="str">
        <f t="shared" si="79"/>
        <v>6-15</v>
      </c>
      <c r="AG746">
        <v>2</v>
      </c>
      <c r="AH746">
        <v>1</v>
      </c>
      <c r="AI746" s="5">
        <v>1</v>
      </c>
      <c r="AJ746">
        <v>0</v>
      </c>
      <c r="AK746">
        <v>0</v>
      </c>
      <c r="AL746">
        <v>0</v>
      </c>
      <c r="AM746" t="str">
        <f t="shared" si="80"/>
        <v>Below Avg</v>
      </c>
      <c r="AN746" s="21">
        <f t="shared" si="81"/>
        <v>27.097661623108664</v>
      </c>
      <c r="AO746" t="str">
        <f t="shared" ca="1" si="82"/>
        <v>No</v>
      </c>
      <c r="AP746" t="str">
        <f t="shared" si="83"/>
        <v>High Risk</v>
      </c>
    </row>
    <row r="747" spans="1:42" x14ac:dyDescent="0.3">
      <c r="A747" s="5">
        <v>55</v>
      </c>
      <c r="B747" s="5" t="s">
        <v>43</v>
      </c>
      <c r="C747" s="5" t="str">
        <f t="shared" si="77"/>
        <v>No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 s="5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 s="5">
        <v>6385</v>
      </c>
      <c r="U747">
        <v>12992</v>
      </c>
      <c r="V747">
        <v>3</v>
      </c>
      <c r="W747" t="s">
        <v>42</v>
      </c>
      <c r="X747" t="s">
        <v>35</v>
      </c>
      <c r="Y747" t="str">
        <f t="shared" si="78"/>
        <v>Yes</v>
      </c>
      <c r="Z747">
        <v>14</v>
      </c>
      <c r="AA747">
        <v>3</v>
      </c>
      <c r="AB747">
        <v>4</v>
      </c>
      <c r="AC747">
        <v>80</v>
      </c>
      <c r="AD747">
        <v>2</v>
      </c>
      <c r="AE747" s="5">
        <v>17</v>
      </c>
      <c r="AF747" t="str">
        <f t="shared" si="79"/>
        <v>&gt;15</v>
      </c>
      <c r="AG747">
        <v>3</v>
      </c>
      <c r="AH747">
        <v>3</v>
      </c>
      <c r="AI747" s="5">
        <v>8</v>
      </c>
      <c r="AJ747">
        <v>7</v>
      </c>
      <c r="AK747">
        <v>6</v>
      </c>
      <c r="AL747">
        <v>7</v>
      </c>
      <c r="AM747" t="str">
        <f t="shared" si="80"/>
        <v>Ok</v>
      </c>
      <c r="AN747" s="21">
        <f t="shared" si="81"/>
        <v>26.997245179063363</v>
      </c>
      <c r="AO747" t="str">
        <f t="shared" ca="1" si="82"/>
        <v>No</v>
      </c>
      <c r="AP747" t="str">
        <f t="shared" si="83"/>
        <v>Low Risk</v>
      </c>
    </row>
    <row r="748" spans="1:42" x14ac:dyDescent="0.3">
      <c r="A748" s="5">
        <v>41</v>
      </c>
      <c r="B748" s="5" t="s">
        <v>43</v>
      </c>
      <c r="C748" s="5" t="str">
        <f t="shared" si="77"/>
        <v>No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 s="5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 s="5">
        <v>19973</v>
      </c>
      <c r="U748">
        <v>20284</v>
      </c>
      <c r="V748">
        <v>1</v>
      </c>
      <c r="W748" t="s">
        <v>42</v>
      </c>
      <c r="X748" t="s">
        <v>43</v>
      </c>
      <c r="Y748" t="str">
        <f t="shared" si="78"/>
        <v>No</v>
      </c>
      <c r="Z748">
        <v>22</v>
      </c>
      <c r="AA748">
        <v>4</v>
      </c>
      <c r="AB748">
        <v>2</v>
      </c>
      <c r="AC748">
        <v>80</v>
      </c>
      <c r="AD748">
        <v>2</v>
      </c>
      <c r="AE748" s="5">
        <v>21</v>
      </c>
      <c r="AF748" t="str">
        <f t="shared" si="79"/>
        <v>&gt;15</v>
      </c>
      <c r="AG748">
        <v>3</v>
      </c>
      <c r="AH748">
        <v>3</v>
      </c>
      <c r="AI748" s="5">
        <v>21</v>
      </c>
      <c r="AJ748">
        <v>16</v>
      </c>
      <c r="AK748">
        <v>5</v>
      </c>
      <c r="AL748">
        <v>10</v>
      </c>
      <c r="AM748" t="str">
        <f t="shared" si="80"/>
        <v>Ok</v>
      </c>
      <c r="AN748" s="21">
        <f t="shared" si="81"/>
        <v>27.034482758620687</v>
      </c>
      <c r="AO748" t="str">
        <f t="shared" ca="1" si="82"/>
        <v>No</v>
      </c>
      <c r="AP748" t="str">
        <f t="shared" si="83"/>
        <v>Low Risk</v>
      </c>
    </row>
    <row r="749" spans="1:42" x14ac:dyDescent="0.3">
      <c r="A749" s="5">
        <v>38</v>
      </c>
      <c r="B749" s="5" t="s">
        <v>43</v>
      </c>
      <c r="C749" s="5" t="str">
        <f t="shared" si="77"/>
        <v>No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 s="5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 s="5">
        <v>6861</v>
      </c>
      <c r="U749">
        <v>4981</v>
      </c>
      <c r="V749">
        <v>8</v>
      </c>
      <c r="W749" t="s">
        <v>42</v>
      </c>
      <c r="X749" t="s">
        <v>35</v>
      </c>
      <c r="Y749" t="str">
        <f t="shared" si="78"/>
        <v>Yes</v>
      </c>
      <c r="Z749">
        <v>12</v>
      </c>
      <c r="AA749">
        <v>3</v>
      </c>
      <c r="AB749">
        <v>3</v>
      </c>
      <c r="AC749">
        <v>80</v>
      </c>
      <c r="AD749">
        <v>0</v>
      </c>
      <c r="AE749" s="5">
        <v>19</v>
      </c>
      <c r="AF749" t="str">
        <f t="shared" si="79"/>
        <v>&gt;15</v>
      </c>
      <c r="AG749">
        <v>1</v>
      </c>
      <c r="AH749">
        <v>3</v>
      </c>
      <c r="AI749" s="5">
        <v>1</v>
      </c>
      <c r="AJ749">
        <v>0</v>
      </c>
      <c r="AK749">
        <v>0</v>
      </c>
      <c r="AL749">
        <v>0</v>
      </c>
      <c r="AM749" t="str">
        <f t="shared" si="80"/>
        <v>Below Avg</v>
      </c>
      <c r="AN749" s="21">
        <f t="shared" si="81"/>
        <v>26.933701657458563</v>
      </c>
      <c r="AO749" t="str">
        <f t="shared" ca="1" si="82"/>
        <v>No</v>
      </c>
      <c r="AP749" t="str">
        <f t="shared" si="83"/>
        <v>Low Risk</v>
      </c>
    </row>
    <row r="750" spans="1:42" x14ac:dyDescent="0.3">
      <c r="A750" s="5">
        <v>26</v>
      </c>
      <c r="B750" s="5" t="s">
        <v>35</v>
      </c>
      <c r="C750" s="5" t="str">
        <f t="shared" si="77"/>
        <v>Yes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 s="5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 s="5">
        <v>4969</v>
      </c>
      <c r="U750">
        <v>21813</v>
      </c>
      <c r="V750">
        <v>8</v>
      </c>
      <c r="W750" t="s">
        <v>42</v>
      </c>
      <c r="X750" t="s">
        <v>43</v>
      </c>
      <c r="Y750" t="str">
        <f t="shared" si="78"/>
        <v>No</v>
      </c>
      <c r="Z750">
        <v>18</v>
      </c>
      <c r="AA750">
        <v>3</v>
      </c>
      <c r="AB750">
        <v>4</v>
      </c>
      <c r="AC750">
        <v>80</v>
      </c>
      <c r="AD750">
        <v>0</v>
      </c>
      <c r="AE750" s="5">
        <v>7</v>
      </c>
      <c r="AF750" t="str">
        <f t="shared" si="79"/>
        <v>6-15</v>
      </c>
      <c r="AG750">
        <v>6</v>
      </c>
      <c r="AH750">
        <v>3</v>
      </c>
      <c r="AI750" s="5">
        <v>2</v>
      </c>
      <c r="AJ750">
        <v>2</v>
      </c>
      <c r="AK750">
        <v>2</v>
      </c>
      <c r="AL750">
        <v>2</v>
      </c>
      <c r="AM750" t="str">
        <f t="shared" si="80"/>
        <v>Below Avg</v>
      </c>
      <c r="AN750" s="21">
        <f t="shared" si="81"/>
        <v>26.970954356846473</v>
      </c>
      <c r="AO750" t="str">
        <f t="shared" ca="1" si="82"/>
        <v>No</v>
      </c>
      <c r="AP750" t="str">
        <f t="shared" si="83"/>
        <v>Low Risk</v>
      </c>
    </row>
    <row r="751" spans="1:42" x14ac:dyDescent="0.3">
      <c r="A751" s="5">
        <v>52</v>
      </c>
      <c r="B751" s="5" t="s">
        <v>35</v>
      </c>
      <c r="C751" s="5" t="str">
        <f t="shared" si="77"/>
        <v>Yes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 s="5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 s="5">
        <v>19845</v>
      </c>
      <c r="U751">
        <v>25846</v>
      </c>
      <c r="V751">
        <v>1</v>
      </c>
      <c r="W751" t="s">
        <v>42</v>
      </c>
      <c r="X751" t="s">
        <v>43</v>
      </c>
      <c r="Y751" t="str">
        <f t="shared" si="78"/>
        <v>No</v>
      </c>
      <c r="Z751">
        <v>15</v>
      </c>
      <c r="AA751">
        <v>3</v>
      </c>
      <c r="AB751">
        <v>4</v>
      </c>
      <c r="AC751">
        <v>80</v>
      </c>
      <c r="AD751">
        <v>1</v>
      </c>
      <c r="AE751" s="5">
        <v>33</v>
      </c>
      <c r="AF751" t="str">
        <f t="shared" si="79"/>
        <v>&gt;15</v>
      </c>
      <c r="AG751">
        <v>3</v>
      </c>
      <c r="AH751">
        <v>3</v>
      </c>
      <c r="AI751" s="5">
        <v>32</v>
      </c>
      <c r="AJ751">
        <v>14</v>
      </c>
      <c r="AK751">
        <v>6</v>
      </c>
      <c r="AL751">
        <v>9</v>
      </c>
      <c r="AM751" t="str">
        <f t="shared" si="80"/>
        <v>Ok</v>
      </c>
      <c r="AN751" s="21">
        <f t="shared" si="81"/>
        <v>26.869806094182824</v>
      </c>
      <c r="AO751" t="str">
        <f t="shared" ca="1" si="82"/>
        <v>No</v>
      </c>
      <c r="AP751" t="str">
        <f t="shared" si="83"/>
        <v>Low Risk</v>
      </c>
    </row>
    <row r="752" spans="1:42" x14ac:dyDescent="0.3">
      <c r="A752" s="5">
        <v>44</v>
      </c>
      <c r="B752" s="5" t="s">
        <v>43</v>
      </c>
      <c r="C752" s="5" t="str">
        <f t="shared" si="77"/>
        <v>No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 s="5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 s="5">
        <v>13320</v>
      </c>
      <c r="U752">
        <v>11737</v>
      </c>
      <c r="V752">
        <v>3</v>
      </c>
      <c r="W752" t="s">
        <v>42</v>
      </c>
      <c r="X752" t="s">
        <v>35</v>
      </c>
      <c r="Y752" t="str">
        <f t="shared" si="78"/>
        <v>Yes</v>
      </c>
      <c r="Z752">
        <v>18</v>
      </c>
      <c r="AA752">
        <v>3</v>
      </c>
      <c r="AB752">
        <v>3</v>
      </c>
      <c r="AC752">
        <v>80</v>
      </c>
      <c r="AD752">
        <v>1</v>
      </c>
      <c r="AE752" s="5">
        <v>23</v>
      </c>
      <c r="AF752" t="str">
        <f t="shared" si="79"/>
        <v>&gt;15</v>
      </c>
      <c r="AG752">
        <v>2</v>
      </c>
      <c r="AH752">
        <v>3</v>
      </c>
      <c r="AI752" s="5">
        <v>12</v>
      </c>
      <c r="AJ752">
        <v>11</v>
      </c>
      <c r="AK752">
        <v>11</v>
      </c>
      <c r="AL752">
        <v>11</v>
      </c>
      <c r="AM752" t="str">
        <f t="shared" si="80"/>
        <v>Ok</v>
      </c>
      <c r="AN752" s="21">
        <f t="shared" si="81"/>
        <v>26.907073509015255</v>
      </c>
      <c r="AO752" t="str">
        <f t="shared" ca="1" si="82"/>
        <v>No</v>
      </c>
      <c r="AP752" t="str">
        <f t="shared" si="83"/>
        <v>Low Risk</v>
      </c>
    </row>
    <row r="753" spans="1:42" x14ac:dyDescent="0.3">
      <c r="A753" s="5">
        <v>50</v>
      </c>
      <c r="B753" s="5" t="s">
        <v>43</v>
      </c>
      <c r="C753" s="5" t="str">
        <f t="shared" si="77"/>
        <v>No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 s="5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 s="5">
        <v>6347</v>
      </c>
      <c r="U753">
        <v>24920</v>
      </c>
      <c r="V753">
        <v>0</v>
      </c>
      <c r="W753" t="s">
        <v>42</v>
      </c>
      <c r="X753" t="s">
        <v>43</v>
      </c>
      <c r="Y753" t="str">
        <f t="shared" si="78"/>
        <v>No</v>
      </c>
      <c r="Z753">
        <v>12</v>
      </c>
      <c r="AA753">
        <v>3</v>
      </c>
      <c r="AB753">
        <v>1</v>
      </c>
      <c r="AC753">
        <v>80</v>
      </c>
      <c r="AD753">
        <v>1</v>
      </c>
      <c r="AE753" s="5">
        <v>19</v>
      </c>
      <c r="AF753" t="str">
        <f t="shared" si="79"/>
        <v>&gt;15</v>
      </c>
      <c r="AG753">
        <v>3</v>
      </c>
      <c r="AH753">
        <v>3</v>
      </c>
      <c r="AI753" s="5">
        <v>18</v>
      </c>
      <c r="AJ753">
        <v>7</v>
      </c>
      <c r="AK753">
        <v>0</v>
      </c>
      <c r="AL753">
        <v>13</v>
      </c>
      <c r="AM753" t="str">
        <f t="shared" si="80"/>
        <v>Below Avg</v>
      </c>
      <c r="AN753" s="21">
        <f t="shared" si="81"/>
        <v>26.944444444444443</v>
      </c>
      <c r="AO753" t="str">
        <f t="shared" ca="1" si="82"/>
        <v>No</v>
      </c>
      <c r="AP753" t="str">
        <f t="shared" si="83"/>
        <v>Low Risk</v>
      </c>
    </row>
    <row r="754" spans="1:42" x14ac:dyDescent="0.3">
      <c r="A754" s="5">
        <v>36</v>
      </c>
      <c r="B754" s="5" t="s">
        <v>35</v>
      </c>
      <c r="C754" s="5" t="str">
        <f t="shared" si="77"/>
        <v>Yes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 s="5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 s="5">
        <v>2743</v>
      </c>
      <c r="U754">
        <v>8269</v>
      </c>
      <c r="V754">
        <v>1</v>
      </c>
      <c r="W754" t="s">
        <v>42</v>
      </c>
      <c r="X754" t="s">
        <v>43</v>
      </c>
      <c r="Y754" t="str">
        <f t="shared" si="78"/>
        <v>No</v>
      </c>
      <c r="Z754">
        <v>16</v>
      </c>
      <c r="AA754">
        <v>3</v>
      </c>
      <c r="AB754">
        <v>3</v>
      </c>
      <c r="AC754">
        <v>80</v>
      </c>
      <c r="AD754">
        <v>0</v>
      </c>
      <c r="AE754" s="5">
        <v>18</v>
      </c>
      <c r="AF754" t="str">
        <f t="shared" si="79"/>
        <v>&gt;15</v>
      </c>
      <c r="AG754">
        <v>1</v>
      </c>
      <c r="AH754">
        <v>3</v>
      </c>
      <c r="AI754" s="5">
        <v>17</v>
      </c>
      <c r="AJ754">
        <v>13</v>
      </c>
      <c r="AK754">
        <v>15</v>
      </c>
      <c r="AL754">
        <v>14</v>
      </c>
      <c r="AM754" t="str">
        <f t="shared" si="80"/>
        <v>Below Avg</v>
      </c>
      <c r="AN754" s="21">
        <f t="shared" si="81"/>
        <v>26.842837273991655</v>
      </c>
      <c r="AO754" t="str">
        <f t="shared" ca="1" si="82"/>
        <v>No</v>
      </c>
      <c r="AP754" t="str">
        <f t="shared" si="83"/>
        <v>Low Risk</v>
      </c>
    </row>
    <row r="755" spans="1:42" x14ac:dyDescent="0.3">
      <c r="A755" s="5">
        <v>39</v>
      </c>
      <c r="B755" s="5" t="s">
        <v>43</v>
      </c>
      <c r="C755" s="5" t="str">
        <f t="shared" si="77"/>
        <v>No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 s="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 s="5">
        <v>10880</v>
      </c>
      <c r="U755">
        <v>5083</v>
      </c>
      <c r="V755">
        <v>1</v>
      </c>
      <c r="W755" t="s">
        <v>42</v>
      </c>
      <c r="X755" t="s">
        <v>35</v>
      </c>
      <c r="Y755" t="str">
        <f t="shared" si="78"/>
        <v>Yes</v>
      </c>
      <c r="Z755">
        <v>13</v>
      </c>
      <c r="AA755">
        <v>3</v>
      </c>
      <c r="AB755">
        <v>3</v>
      </c>
      <c r="AC755">
        <v>80</v>
      </c>
      <c r="AD755">
        <v>0</v>
      </c>
      <c r="AE755" s="5">
        <v>21</v>
      </c>
      <c r="AF755" t="str">
        <f t="shared" si="79"/>
        <v>&gt;15</v>
      </c>
      <c r="AG755">
        <v>2</v>
      </c>
      <c r="AH755">
        <v>3</v>
      </c>
      <c r="AI755" s="5">
        <v>21</v>
      </c>
      <c r="AJ755">
        <v>6</v>
      </c>
      <c r="AK755">
        <v>2</v>
      </c>
      <c r="AL755">
        <v>8</v>
      </c>
      <c r="AM755" t="str">
        <f t="shared" si="80"/>
        <v>Ok</v>
      </c>
      <c r="AN755" s="21">
        <f t="shared" si="81"/>
        <v>26.880222841225628</v>
      </c>
      <c r="AO755" t="str">
        <f t="shared" ca="1" si="82"/>
        <v>No</v>
      </c>
      <c r="AP755" t="str">
        <f t="shared" si="83"/>
        <v>Low Risk</v>
      </c>
    </row>
    <row r="756" spans="1:42" x14ac:dyDescent="0.3">
      <c r="A756" s="5">
        <v>33</v>
      </c>
      <c r="B756" s="5" t="s">
        <v>43</v>
      </c>
      <c r="C756" s="5" t="str">
        <f t="shared" si="77"/>
        <v>No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 s="5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 s="5">
        <v>2342</v>
      </c>
      <c r="U756">
        <v>21437</v>
      </c>
      <c r="V756">
        <v>0</v>
      </c>
      <c r="W756" t="s">
        <v>42</v>
      </c>
      <c r="X756" t="s">
        <v>43</v>
      </c>
      <c r="Y756" t="str">
        <f t="shared" si="78"/>
        <v>No</v>
      </c>
      <c r="Z756">
        <v>19</v>
      </c>
      <c r="AA756">
        <v>3</v>
      </c>
      <c r="AB756">
        <v>4</v>
      </c>
      <c r="AC756">
        <v>80</v>
      </c>
      <c r="AD756">
        <v>0</v>
      </c>
      <c r="AE756" s="5">
        <v>3</v>
      </c>
      <c r="AF756" t="str">
        <f t="shared" si="79"/>
        <v>0-5</v>
      </c>
      <c r="AG756">
        <v>2</v>
      </c>
      <c r="AH756">
        <v>2</v>
      </c>
      <c r="AI756" s="5">
        <v>2</v>
      </c>
      <c r="AJ756">
        <v>2</v>
      </c>
      <c r="AK756">
        <v>2</v>
      </c>
      <c r="AL756">
        <v>2</v>
      </c>
      <c r="AM756" t="str">
        <f t="shared" si="80"/>
        <v>Below Avg</v>
      </c>
      <c r="AN756" s="21">
        <f t="shared" si="81"/>
        <v>26.917712691771268</v>
      </c>
      <c r="AO756" t="str">
        <f t="shared" ca="1" si="82"/>
        <v>No</v>
      </c>
      <c r="AP756" t="str">
        <f t="shared" si="83"/>
        <v>Low Risk</v>
      </c>
    </row>
    <row r="757" spans="1:42" x14ac:dyDescent="0.3">
      <c r="A757" s="5">
        <v>45</v>
      </c>
      <c r="B757" s="5" t="s">
        <v>43</v>
      </c>
      <c r="C757" s="5" t="str">
        <f t="shared" si="77"/>
        <v>No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 s="5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 s="5">
        <v>17650</v>
      </c>
      <c r="U757">
        <v>5404</v>
      </c>
      <c r="V757">
        <v>3</v>
      </c>
      <c r="W757" t="s">
        <v>42</v>
      </c>
      <c r="X757" t="s">
        <v>43</v>
      </c>
      <c r="Y757" t="str">
        <f t="shared" si="78"/>
        <v>No</v>
      </c>
      <c r="Z757">
        <v>13</v>
      </c>
      <c r="AA757">
        <v>3</v>
      </c>
      <c r="AB757">
        <v>2</v>
      </c>
      <c r="AC757">
        <v>80</v>
      </c>
      <c r="AD757">
        <v>1</v>
      </c>
      <c r="AE757" s="5">
        <v>26</v>
      </c>
      <c r="AF757" t="str">
        <f t="shared" si="79"/>
        <v>&gt;15</v>
      </c>
      <c r="AG757">
        <v>4</v>
      </c>
      <c r="AH757">
        <v>4</v>
      </c>
      <c r="AI757" s="5">
        <v>9</v>
      </c>
      <c r="AJ757">
        <v>3</v>
      </c>
      <c r="AK757">
        <v>1</v>
      </c>
      <c r="AL757">
        <v>1</v>
      </c>
      <c r="AM757" t="str">
        <f t="shared" si="80"/>
        <v>Ok</v>
      </c>
      <c r="AN757" s="21">
        <f t="shared" si="81"/>
        <v>26.815642458100559</v>
      </c>
      <c r="AO757" t="str">
        <f t="shared" ca="1" si="82"/>
        <v>No</v>
      </c>
      <c r="AP757" t="str">
        <f t="shared" si="83"/>
        <v>Low Risk</v>
      </c>
    </row>
    <row r="758" spans="1:42" x14ac:dyDescent="0.3">
      <c r="A758" s="5">
        <v>32</v>
      </c>
      <c r="B758" s="5" t="s">
        <v>43</v>
      </c>
      <c r="C758" s="5" t="str">
        <f t="shared" si="77"/>
        <v>No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 s="5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 s="5">
        <v>4025</v>
      </c>
      <c r="U758">
        <v>11135</v>
      </c>
      <c r="V758">
        <v>9</v>
      </c>
      <c r="W758" t="s">
        <v>42</v>
      </c>
      <c r="X758" t="s">
        <v>43</v>
      </c>
      <c r="Y758" t="str">
        <f t="shared" si="78"/>
        <v>No</v>
      </c>
      <c r="Z758">
        <v>12</v>
      </c>
      <c r="AA758">
        <v>3</v>
      </c>
      <c r="AB758">
        <v>2</v>
      </c>
      <c r="AC758">
        <v>80</v>
      </c>
      <c r="AD758">
        <v>0</v>
      </c>
      <c r="AE758" s="5">
        <v>10</v>
      </c>
      <c r="AF758" t="str">
        <f t="shared" si="79"/>
        <v>6-15</v>
      </c>
      <c r="AG758">
        <v>2</v>
      </c>
      <c r="AH758">
        <v>3</v>
      </c>
      <c r="AI758" s="5">
        <v>8</v>
      </c>
      <c r="AJ758">
        <v>7</v>
      </c>
      <c r="AK758">
        <v>7</v>
      </c>
      <c r="AL758">
        <v>7</v>
      </c>
      <c r="AM758" t="str">
        <f t="shared" si="80"/>
        <v>Below Avg</v>
      </c>
      <c r="AN758" s="21">
        <f t="shared" si="81"/>
        <v>26.853146853146853</v>
      </c>
      <c r="AO758" t="str">
        <f t="shared" ca="1" si="82"/>
        <v>No</v>
      </c>
      <c r="AP758" t="str">
        <f t="shared" si="83"/>
        <v>Low Risk</v>
      </c>
    </row>
    <row r="759" spans="1:42" x14ac:dyDescent="0.3">
      <c r="A759" s="5">
        <v>34</v>
      </c>
      <c r="B759" s="5" t="s">
        <v>43</v>
      </c>
      <c r="C759" s="5" t="str">
        <f t="shared" si="77"/>
        <v>No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 s="5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 s="5">
        <v>9725</v>
      </c>
      <c r="U759">
        <v>12278</v>
      </c>
      <c r="V759">
        <v>0</v>
      </c>
      <c r="W759" t="s">
        <v>42</v>
      </c>
      <c r="X759" t="s">
        <v>43</v>
      </c>
      <c r="Y759" t="str">
        <f t="shared" si="78"/>
        <v>No</v>
      </c>
      <c r="Z759">
        <v>11</v>
      </c>
      <c r="AA759">
        <v>3</v>
      </c>
      <c r="AB759">
        <v>4</v>
      </c>
      <c r="AC759">
        <v>80</v>
      </c>
      <c r="AD759">
        <v>1</v>
      </c>
      <c r="AE759" s="5">
        <v>16</v>
      </c>
      <c r="AF759" t="str">
        <f t="shared" si="79"/>
        <v>&gt;15</v>
      </c>
      <c r="AG759">
        <v>2</v>
      </c>
      <c r="AH759">
        <v>2</v>
      </c>
      <c r="AI759" s="5">
        <v>15</v>
      </c>
      <c r="AJ759">
        <v>1</v>
      </c>
      <c r="AK759">
        <v>0</v>
      </c>
      <c r="AL759">
        <v>9</v>
      </c>
      <c r="AM759" t="str">
        <f t="shared" si="80"/>
        <v>Ok</v>
      </c>
      <c r="AN759" s="21">
        <f t="shared" si="81"/>
        <v>26.890756302521009</v>
      </c>
      <c r="AO759" t="str">
        <f t="shared" ca="1" si="82"/>
        <v>No</v>
      </c>
      <c r="AP759" t="str">
        <f t="shared" si="83"/>
        <v>Low Risk</v>
      </c>
    </row>
    <row r="760" spans="1:42" x14ac:dyDescent="0.3">
      <c r="A760" s="5">
        <v>59</v>
      </c>
      <c r="B760" s="5" t="s">
        <v>43</v>
      </c>
      <c r="C760" s="5" t="str">
        <f t="shared" si="77"/>
        <v>No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 s="5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 s="5">
        <v>11904</v>
      </c>
      <c r="U760">
        <v>11038</v>
      </c>
      <c r="V760">
        <v>3</v>
      </c>
      <c r="W760" t="s">
        <v>42</v>
      </c>
      <c r="X760" t="s">
        <v>35</v>
      </c>
      <c r="Y760" t="str">
        <f t="shared" si="78"/>
        <v>Yes</v>
      </c>
      <c r="Z760">
        <v>14</v>
      </c>
      <c r="AA760">
        <v>3</v>
      </c>
      <c r="AB760">
        <v>3</v>
      </c>
      <c r="AC760">
        <v>80</v>
      </c>
      <c r="AD760">
        <v>1</v>
      </c>
      <c r="AE760" s="5">
        <v>14</v>
      </c>
      <c r="AF760" t="str">
        <f t="shared" si="79"/>
        <v>6-15</v>
      </c>
      <c r="AG760">
        <v>1</v>
      </c>
      <c r="AH760">
        <v>1</v>
      </c>
      <c r="AI760" s="5">
        <v>6</v>
      </c>
      <c r="AJ760">
        <v>4</v>
      </c>
      <c r="AK760">
        <v>0</v>
      </c>
      <c r="AL760">
        <v>4</v>
      </c>
      <c r="AM760" t="str">
        <f t="shared" si="80"/>
        <v>Ok</v>
      </c>
      <c r="AN760" s="21">
        <f t="shared" si="81"/>
        <v>26.928471248246844</v>
      </c>
      <c r="AO760" t="str">
        <f t="shared" ca="1" si="82"/>
        <v>No</v>
      </c>
      <c r="AP760" t="str">
        <f t="shared" si="83"/>
        <v>Low Risk</v>
      </c>
    </row>
    <row r="761" spans="1:42" x14ac:dyDescent="0.3">
      <c r="A761" s="5">
        <v>45</v>
      </c>
      <c r="B761" s="5" t="s">
        <v>43</v>
      </c>
      <c r="C761" s="5" t="str">
        <f t="shared" si="77"/>
        <v>No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 s="5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 s="5">
        <v>2177</v>
      </c>
      <c r="U761">
        <v>8318</v>
      </c>
      <c r="V761">
        <v>1</v>
      </c>
      <c r="W761" t="s">
        <v>42</v>
      </c>
      <c r="X761" t="s">
        <v>43</v>
      </c>
      <c r="Y761" t="str">
        <f t="shared" si="78"/>
        <v>No</v>
      </c>
      <c r="Z761">
        <v>16</v>
      </c>
      <c r="AA761">
        <v>3</v>
      </c>
      <c r="AB761">
        <v>1</v>
      </c>
      <c r="AC761">
        <v>80</v>
      </c>
      <c r="AD761">
        <v>0</v>
      </c>
      <c r="AE761" s="5">
        <v>6</v>
      </c>
      <c r="AF761" t="str">
        <f t="shared" si="79"/>
        <v>6-15</v>
      </c>
      <c r="AG761">
        <v>3</v>
      </c>
      <c r="AH761">
        <v>3</v>
      </c>
      <c r="AI761" s="5">
        <v>6</v>
      </c>
      <c r="AJ761">
        <v>3</v>
      </c>
      <c r="AK761">
        <v>0</v>
      </c>
      <c r="AL761">
        <v>4</v>
      </c>
      <c r="AM761" t="str">
        <f t="shared" si="80"/>
        <v>Below Avg</v>
      </c>
      <c r="AN761" s="21">
        <f t="shared" si="81"/>
        <v>26.966292134831459</v>
      </c>
      <c r="AO761" t="str">
        <f t="shared" ca="1" si="82"/>
        <v>No</v>
      </c>
      <c r="AP761" t="str">
        <f t="shared" si="83"/>
        <v>Low Risk</v>
      </c>
    </row>
    <row r="762" spans="1:42" x14ac:dyDescent="0.3">
      <c r="A762" s="5">
        <v>53</v>
      </c>
      <c r="B762" s="5" t="s">
        <v>43</v>
      </c>
      <c r="C762" s="5" t="str">
        <f t="shared" si="77"/>
        <v>No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 s="5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 s="5">
        <v>7525</v>
      </c>
      <c r="U762">
        <v>23537</v>
      </c>
      <c r="V762">
        <v>2</v>
      </c>
      <c r="W762" t="s">
        <v>42</v>
      </c>
      <c r="X762" t="s">
        <v>43</v>
      </c>
      <c r="Y762" t="str">
        <f t="shared" si="78"/>
        <v>No</v>
      </c>
      <c r="Z762">
        <v>12</v>
      </c>
      <c r="AA762">
        <v>3</v>
      </c>
      <c r="AB762">
        <v>1</v>
      </c>
      <c r="AC762">
        <v>80</v>
      </c>
      <c r="AD762">
        <v>1</v>
      </c>
      <c r="AE762" s="5">
        <v>30</v>
      </c>
      <c r="AF762" t="str">
        <f t="shared" si="79"/>
        <v>&gt;15</v>
      </c>
      <c r="AG762">
        <v>2</v>
      </c>
      <c r="AH762">
        <v>3</v>
      </c>
      <c r="AI762" s="5">
        <v>15</v>
      </c>
      <c r="AJ762">
        <v>7</v>
      </c>
      <c r="AK762">
        <v>6</v>
      </c>
      <c r="AL762">
        <v>12</v>
      </c>
      <c r="AM762" t="str">
        <f t="shared" si="80"/>
        <v>Ok</v>
      </c>
      <c r="AN762" s="21">
        <f t="shared" si="81"/>
        <v>26.863572433192683</v>
      </c>
      <c r="AO762" t="str">
        <f t="shared" ca="1" si="82"/>
        <v>No</v>
      </c>
      <c r="AP762" t="str">
        <f t="shared" si="83"/>
        <v>Low Risk</v>
      </c>
    </row>
    <row r="763" spans="1:42" x14ac:dyDescent="0.3">
      <c r="A763" s="5">
        <v>36</v>
      </c>
      <c r="B763" s="5" t="s">
        <v>35</v>
      </c>
      <c r="C763" s="5" t="str">
        <f t="shared" si="77"/>
        <v>Yes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 s="5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 s="5">
        <v>4834</v>
      </c>
      <c r="U763">
        <v>7858</v>
      </c>
      <c r="V763">
        <v>7</v>
      </c>
      <c r="W763" t="s">
        <v>42</v>
      </c>
      <c r="X763" t="s">
        <v>43</v>
      </c>
      <c r="Y763" t="str">
        <f t="shared" si="78"/>
        <v>No</v>
      </c>
      <c r="Z763">
        <v>14</v>
      </c>
      <c r="AA763">
        <v>3</v>
      </c>
      <c r="AB763">
        <v>2</v>
      </c>
      <c r="AC763">
        <v>80</v>
      </c>
      <c r="AD763">
        <v>1</v>
      </c>
      <c r="AE763" s="5">
        <v>9</v>
      </c>
      <c r="AF763" t="str">
        <f t="shared" si="79"/>
        <v>6-15</v>
      </c>
      <c r="AG763">
        <v>3</v>
      </c>
      <c r="AH763">
        <v>2</v>
      </c>
      <c r="AI763" s="5">
        <v>1</v>
      </c>
      <c r="AJ763">
        <v>0</v>
      </c>
      <c r="AK763">
        <v>0</v>
      </c>
      <c r="AL763">
        <v>0</v>
      </c>
      <c r="AM763" t="str">
        <f t="shared" si="80"/>
        <v>Below Avg</v>
      </c>
      <c r="AN763" s="21">
        <f t="shared" si="81"/>
        <v>26.901408450704224</v>
      </c>
      <c r="AO763" t="str">
        <f t="shared" ca="1" si="82"/>
        <v>No</v>
      </c>
      <c r="AP763" t="str">
        <f t="shared" si="83"/>
        <v>High Risk</v>
      </c>
    </row>
    <row r="764" spans="1:42" x14ac:dyDescent="0.3">
      <c r="A764" s="5">
        <v>26</v>
      </c>
      <c r="B764" s="5" t="s">
        <v>35</v>
      </c>
      <c r="C764" s="5" t="str">
        <f t="shared" si="77"/>
        <v>Yes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 s="5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 s="5">
        <v>2042</v>
      </c>
      <c r="U764">
        <v>15346</v>
      </c>
      <c r="V764">
        <v>6</v>
      </c>
      <c r="W764" t="s">
        <v>42</v>
      </c>
      <c r="X764" t="s">
        <v>35</v>
      </c>
      <c r="Y764" t="str">
        <f t="shared" si="78"/>
        <v>Yes</v>
      </c>
      <c r="Z764">
        <v>14</v>
      </c>
      <c r="AA764">
        <v>3</v>
      </c>
      <c r="AB764">
        <v>2</v>
      </c>
      <c r="AC764">
        <v>80</v>
      </c>
      <c r="AD764">
        <v>1</v>
      </c>
      <c r="AE764" s="5">
        <v>6</v>
      </c>
      <c r="AF764" t="str">
        <f t="shared" si="79"/>
        <v>6-15</v>
      </c>
      <c r="AG764">
        <v>2</v>
      </c>
      <c r="AH764">
        <v>3</v>
      </c>
      <c r="AI764" s="5">
        <v>3</v>
      </c>
      <c r="AJ764">
        <v>2</v>
      </c>
      <c r="AK764">
        <v>1</v>
      </c>
      <c r="AL764">
        <v>2</v>
      </c>
      <c r="AM764" t="str">
        <f t="shared" si="80"/>
        <v>Below Avg</v>
      </c>
      <c r="AN764" s="21">
        <f t="shared" si="81"/>
        <v>26.939351198871652</v>
      </c>
      <c r="AO764" t="str">
        <f t="shared" ca="1" si="82"/>
        <v>No</v>
      </c>
      <c r="AP764" t="str">
        <f t="shared" si="83"/>
        <v>Low Risk</v>
      </c>
    </row>
    <row r="765" spans="1:42" x14ac:dyDescent="0.3">
      <c r="A765" s="5">
        <v>34</v>
      </c>
      <c r="B765" s="5" t="s">
        <v>43</v>
      </c>
      <c r="C765" s="5" t="str">
        <f t="shared" si="77"/>
        <v>No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 s="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 s="5">
        <v>2220</v>
      </c>
      <c r="U765">
        <v>18410</v>
      </c>
      <c r="V765">
        <v>1</v>
      </c>
      <c r="W765" t="s">
        <v>42</v>
      </c>
      <c r="X765" t="s">
        <v>35</v>
      </c>
      <c r="Y765" t="str">
        <f t="shared" si="78"/>
        <v>Yes</v>
      </c>
      <c r="Z765">
        <v>19</v>
      </c>
      <c r="AA765">
        <v>3</v>
      </c>
      <c r="AB765">
        <v>4</v>
      </c>
      <c r="AC765">
        <v>80</v>
      </c>
      <c r="AD765">
        <v>1</v>
      </c>
      <c r="AE765" s="5">
        <v>1</v>
      </c>
      <c r="AF765" t="str">
        <f t="shared" si="79"/>
        <v>0-5</v>
      </c>
      <c r="AG765">
        <v>2</v>
      </c>
      <c r="AH765">
        <v>3</v>
      </c>
      <c r="AI765" s="5">
        <v>1</v>
      </c>
      <c r="AJ765">
        <v>1</v>
      </c>
      <c r="AK765">
        <v>0</v>
      </c>
      <c r="AL765">
        <v>0</v>
      </c>
      <c r="AM765" t="str">
        <f t="shared" si="80"/>
        <v>Below Avg</v>
      </c>
      <c r="AN765" s="21">
        <f t="shared" si="81"/>
        <v>26.977401129943502</v>
      </c>
      <c r="AO765" t="str">
        <f t="shared" ca="1" si="82"/>
        <v>No</v>
      </c>
      <c r="AP765" t="str">
        <f t="shared" si="83"/>
        <v>Low Risk</v>
      </c>
    </row>
    <row r="766" spans="1:42" x14ac:dyDescent="0.3">
      <c r="A766" s="5">
        <v>28</v>
      </c>
      <c r="B766" s="5" t="s">
        <v>43</v>
      </c>
      <c r="C766" s="5" t="str">
        <f t="shared" si="77"/>
        <v>No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 s="5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 s="5">
        <v>1052</v>
      </c>
      <c r="U766">
        <v>23384</v>
      </c>
      <c r="V766">
        <v>1</v>
      </c>
      <c r="W766" t="s">
        <v>42</v>
      </c>
      <c r="X766" t="s">
        <v>43</v>
      </c>
      <c r="Y766" t="str">
        <f t="shared" si="78"/>
        <v>No</v>
      </c>
      <c r="Z766">
        <v>22</v>
      </c>
      <c r="AA766">
        <v>4</v>
      </c>
      <c r="AB766">
        <v>2</v>
      </c>
      <c r="AC766">
        <v>80</v>
      </c>
      <c r="AD766">
        <v>0</v>
      </c>
      <c r="AE766" s="5">
        <v>1</v>
      </c>
      <c r="AF766" t="str">
        <f t="shared" si="79"/>
        <v>0-5</v>
      </c>
      <c r="AG766">
        <v>5</v>
      </c>
      <c r="AH766">
        <v>3</v>
      </c>
      <c r="AI766" s="5">
        <v>1</v>
      </c>
      <c r="AJ766">
        <v>0</v>
      </c>
      <c r="AK766">
        <v>0</v>
      </c>
      <c r="AL766">
        <v>0</v>
      </c>
      <c r="AM766" t="str">
        <f t="shared" si="80"/>
        <v>Below Avg</v>
      </c>
      <c r="AN766" s="21">
        <f t="shared" si="81"/>
        <v>26.874115983026876</v>
      </c>
      <c r="AO766" t="str">
        <f t="shared" ca="1" si="82"/>
        <v>No</v>
      </c>
      <c r="AP766" t="str">
        <f t="shared" si="83"/>
        <v>Low Risk</v>
      </c>
    </row>
    <row r="767" spans="1:42" x14ac:dyDescent="0.3">
      <c r="A767" s="5">
        <v>38</v>
      </c>
      <c r="B767" s="5" t="s">
        <v>43</v>
      </c>
      <c r="C767" s="5" t="str">
        <f t="shared" si="77"/>
        <v>No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 s="5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 s="5">
        <v>2821</v>
      </c>
      <c r="U767">
        <v>2997</v>
      </c>
      <c r="V767">
        <v>3</v>
      </c>
      <c r="W767" t="s">
        <v>42</v>
      </c>
      <c r="X767" t="s">
        <v>43</v>
      </c>
      <c r="Y767" t="str">
        <f t="shared" si="78"/>
        <v>No</v>
      </c>
      <c r="Z767">
        <v>16</v>
      </c>
      <c r="AA767">
        <v>3</v>
      </c>
      <c r="AB767">
        <v>1</v>
      </c>
      <c r="AC767">
        <v>80</v>
      </c>
      <c r="AD767">
        <v>1</v>
      </c>
      <c r="AE767" s="5">
        <v>8</v>
      </c>
      <c r="AF767" t="str">
        <f t="shared" si="79"/>
        <v>6-15</v>
      </c>
      <c r="AG767">
        <v>2</v>
      </c>
      <c r="AH767">
        <v>3</v>
      </c>
      <c r="AI767" s="5">
        <v>2</v>
      </c>
      <c r="AJ767">
        <v>2</v>
      </c>
      <c r="AK767">
        <v>2</v>
      </c>
      <c r="AL767">
        <v>2</v>
      </c>
      <c r="AM767" t="str">
        <f t="shared" si="80"/>
        <v>Below Avg</v>
      </c>
      <c r="AN767" s="21">
        <f t="shared" si="81"/>
        <v>26.770538243626063</v>
      </c>
      <c r="AO767" t="str">
        <f t="shared" ca="1" si="82"/>
        <v>No</v>
      </c>
      <c r="AP767" t="str">
        <f t="shared" si="83"/>
        <v>Low Risk</v>
      </c>
    </row>
    <row r="768" spans="1:42" x14ac:dyDescent="0.3">
      <c r="A768" s="5">
        <v>50</v>
      </c>
      <c r="B768" s="5" t="s">
        <v>43</v>
      </c>
      <c r="C768" s="5" t="str">
        <f t="shared" si="77"/>
        <v>No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 s="5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 s="5">
        <v>19237</v>
      </c>
      <c r="U768">
        <v>12853</v>
      </c>
      <c r="V768">
        <v>2</v>
      </c>
      <c r="W768" t="s">
        <v>42</v>
      </c>
      <c r="X768" t="s">
        <v>35</v>
      </c>
      <c r="Y768" t="str">
        <f t="shared" si="78"/>
        <v>Yes</v>
      </c>
      <c r="Z768">
        <v>11</v>
      </c>
      <c r="AA768">
        <v>3</v>
      </c>
      <c r="AB768">
        <v>4</v>
      </c>
      <c r="AC768">
        <v>80</v>
      </c>
      <c r="AD768">
        <v>1</v>
      </c>
      <c r="AE768" s="5">
        <v>29</v>
      </c>
      <c r="AF768" t="str">
        <f t="shared" si="79"/>
        <v>&gt;15</v>
      </c>
      <c r="AG768">
        <v>2</v>
      </c>
      <c r="AH768">
        <v>2</v>
      </c>
      <c r="AI768" s="5">
        <v>8</v>
      </c>
      <c r="AJ768">
        <v>1</v>
      </c>
      <c r="AK768">
        <v>7</v>
      </c>
      <c r="AL768">
        <v>7</v>
      </c>
      <c r="AM768" t="str">
        <f t="shared" si="80"/>
        <v>Ok</v>
      </c>
      <c r="AN768" s="21">
        <f t="shared" si="81"/>
        <v>26.808510638297872</v>
      </c>
      <c r="AO768" t="str">
        <f t="shared" ca="1" si="82"/>
        <v>No</v>
      </c>
      <c r="AP768" t="str">
        <f t="shared" si="83"/>
        <v>Low Risk</v>
      </c>
    </row>
    <row r="769" spans="1:42" x14ac:dyDescent="0.3">
      <c r="A769" s="5">
        <v>37</v>
      </c>
      <c r="B769" s="5" t="s">
        <v>43</v>
      </c>
      <c r="C769" s="5" t="str">
        <f t="shared" si="77"/>
        <v>No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 s="5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 s="5">
        <v>4107</v>
      </c>
      <c r="U769">
        <v>13848</v>
      </c>
      <c r="V769">
        <v>3</v>
      </c>
      <c r="W769" t="s">
        <v>42</v>
      </c>
      <c r="X769" t="s">
        <v>43</v>
      </c>
      <c r="Y769" t="str">
        <f t="shared" si="78"/>
        <v>No</v>
      </c>
      <c r="Z769">
        <v>15</v>
      </c>
      <c r="AA769">
        <v>3</v>
      </c>
      <c r="AB769">
        <v>1</v>
      </c>
      <c r="AC769">
        <v>80</v>
      </c>
      <c r="AD769">
        <v>0</v>
      </c>
      <c r="AE769" s="5">
        <v>8</v>
      </c>
      <c r="AF769" t="str">
        <f t="shared" si="79"/>
        <v>6-15</v>
      </c>
      <c r="AG769">
        <v>3</v>
      </c>
      <c r="AH769">
        <v>2</v>
      </c>
      <c r="AI769" s="5">
        <v>4</v>
      </c>
      <c r="AJ769">
        <v>3</v>
      </c>
      <c r="AK769">
        <v>0</v>
      </c>
      <c r="AL769">
        <v>1</v>
      </c>
      <c r="AM769" t="str">
        <f t="shared" si="80"/>
        <v>Below Avg</v>
      </c>
      <c r="AN769" s="21">
        <f t="shared" si="81"/>
        <v>26.84659090909091</v>
      </c>
      <c r="AO769" t="str">
        <f t="shared" ca="1" si="82"/>
        <v>No</v>
      </c>
      <c r="AP769" t="str">
        <f t="shared" si="83"/>
        <v>Low Risk</v>
      </c>
    </row>
    <row r="770" spans="1:42" x14ac:dyDescent="0.3">
      <c r="A770" s="5">
        <v>40</v>
      </c>
      <c r="B770" s="5" t="s">
        <v>43</v>
      </c>
      <c r="C770" s="5" t="str">
        <f t="shared" si="77"/>
        <v>No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 s="5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 s="5">
        <v>8396</v>
      </c>
      <c r="U770">
        <v>22217</v>
      </c>
      <c r="V770">
        <v>1</v>
      </c>
      <c r="W770" t="s">
        <v>42</v>
      </c>
      <c r="X770" t="s">
        <v>43</v>
      </c>
      <c r="Y770" t="str">
        <f t="shared" si="78"/>
        <v>No</v>
      </c>
      <c r="Z770">
        <v>14</v>
      </c>
      <c r="AA770">
        <v>3</v>
      </c>
      <c r="AB770">
        <v>2</v>
      </c>
      <c r="AC770">
        <v>80</v>
      </c>
      <c r="AD770">
        <v>1</v>
      </c>
      <c r="AE770" s="5">
        <v>8</v>
      </c>
      <c r="AF770" t="str">
        <f t="shared" si="79"/>
        <v>6-15</v>
      </c>
      <c r="AG770">
        <v>3</v>
      </c>
      <c r="AH770">
        <v>2</v>
      </c>
      <c r="AI770" s="5">
        <v>7</v>
      </c>
      <c r="AJ770">
        <v>7</v>
      </c>
      <c r="AK770">
        <v>7</v>
      </c>
      <c r="AL770">
        <v>5</v>
      </c>
      <c r="AM770" t="str">
        <f t="shared" si="80"/>
        <v>Ok</v>
      </c>
      <c r="AN770" s="21">
        <f t="shared" si="81"/>
        <v>26.742532005689903</v>
      </c>
      <c r="AO770" t="str">
        <f t="shared" ca="1" si="82"/>
        <v>No</v>
      </c>
      <c r="AP770" t="str">
        <f t="shared" si="83"/>
        <v>Low Risk</v>
      </c>
    </row>
    <row r="771" spans="1:42" x14ac:dyDescent="0.3">
      <c r="A771" s="5">
        <v>26</v>
      </c>
      <c r="B771" s="5" t="s">
        <v>43</v>
      </c>
      <c r="C771" s="5" t="str">
        <f t="shared" ref="C771:C834" si="84">IF(LOWER(B771)="yes","Yes","No")</f>
        <v>No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 s="5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 s="5">
        <v>2007</v>
      </c>
      <c r="U771">
        <v>25265</v>
      </c>
      <c r="V771">
        <v>1</v>
      </c>
      <c r="W771" t="s">
        <v>42</v>
      </c>
      <c r="X771" t="s">
        <v>43</v>
      </c>
      <c r="Y771" t="str">
        <f t="shared" ref="Y771:Y834" si="85">IF(LOWER(X771)="yes","Yes","No")</f>
        <v>No</v>
      </c>
      <c r="Z771">
        <v>13</v>
      </c>
      <c r="AA771">
        <v>3</v>
      </c>
      <c r="AB771">
        <v>3</v>
      </c>
      <c r="AC771">
        <v>80</v>
      </c>
      <c r="AD771">
        <v>2</v>
      </c>
      <c r="AE771" s="5">
        <v>5</v>
      </c>
      <c r="AF771" t="str">
        <f t="shared" ref="AF771:AF834" si="86">IF(AE771&lt;=5,"0-5",IF(AE771&lt;=15,"6-15","&gt;15"))</f>
        <v>0-5</v>
      </c>
      <c r="AG771">
        <v>5</v>
      </c>
      <c r="AH771">
        <v>3</v>
      </c>
      <c r="AI771" s="5">
        <v>5</v>
      </c>
      <c r="AJ771">
        <v>3</v>
      </c>
      <c r="AK771">
        <v>1</v>
      </c>
      <c r="AL771">
        <v>3</v>
      </c>
      <c r="AM771" t="str">
        <f t="shared" ref="AM771:AM834" si="87">IF(T771&lt;AVERAGEIF($F770:$F2240,F771,$T770:$T2240),"Below Avg","Ok")</f>
        <v>Below Avg</v>
      </c>
      <c r="AN771" s="21">
        <f t="shared" ref="AN771:AN834" si="88">COUNTIF(X770:X2240,"Yes")/COUNTA(X770:X2240)*100</f>
        <v>26.780626780626783</v>
      </c>
      <c r="AO771" t="str">
        <f t="shared" ref="AO771:AO834" ca="1" si="89">IF(AND(AA771&gt;=4,Z771&lt;AVERAGEIF($F770:$F2240,F771,$Z771:$Z2240)),"Yes","No")</f>
        <v>No</v>
      </c>
      <c r="AP771" t="str">
        <f t="shared" ref="AP771:AP834" si="90">IF(AND(AI771&lt;2,C771="Yes"),"High Risk","Low Risk")</f>
        <v>Low Risk</v>
      </c>
    </row>
    <row r="772" spans="1:42" x14ac:dyDescent="0.3">
      <c r="A772" s="5">
        <v>46</v>
      </c>
      <c r="B772" s="5" t="s">
        <v>43</v>
      </c>
      <c r="C772" s="5" t="str">
        <f t="shared" si="84"/>
        <v>No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 s="5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 s="5">
        <v>19627</v>
      </c>
      <c r="U772">
        <v>21445</v>
      </c>
      <c r="V772">
        <v>9</v>
      </c>
      <c r="W772" t="s">
        <v>42</v>
      </c>
      <c r="X772" t="s">
        <v>43</v>
      </c>
      <c r="Y772" t="str">
        <f t="shared" si="85"/>
        <v>No</v>
      </c>
      <c r="Z772">
        <v>17</v>
      </c>
      <c r="AA772">
        <v>3</v>
      </c>
      <c r="AB772">
        <v>4</v>
      </c>
      <c r="AC772">
        <v>80</v>
      </c>
      <c r="AD772">
        <v>2</v>
      </c>
      <c r="AE772" s="5">
        <v>23</v>
      </c>
      <c r="AF772" t="str">
        <f t="shared" si="86"/>
        <v>&gt;15</v>
      </c>
      <c r="AG772">
        <v>0</v>
      </c>
      <c r="AH772">
        <v>3</v>
      </c>
      <c r="AI772" s="5">
        <v>2</v>
      </c>
      <c r="AJ772">
        <v>2</v>
      </c>
      <c r="AK772">
        <v>2</v>
      </c>
      <c r="AL772">
        <v>2</v>
      </c>
      <c r="AM772" t="str">
        <f t="shared" si="87"/>
        <v>Ok</v>
      </c>
      <c r="AN772" s="21">
        <f t="shared" si="88"/>
        <v>26.8188302425107</v>
      </c>
      <c r="AO772" t="str">
        <f t="shared" ca="1" si="89"/>
        <v>No</v>
      </c>
      <c r="AP772" t="str">
        <f t="shared" si="90"/>
        <v>Low Risk</v>
      </c>
    </row>
    <row r="773" spans="1:42" x14ac:dyDescent="0.3">
      <c r="A773" s="5">
        <v>54</v>
      </c>
      <c r="B773" s="5" t="s">
        <v>43</v>
      </c>
      <c r="C773" s="5" t="str">
        <f t="shared" si="84"/>
        <v>No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 s="5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 s="5">
        <v>10686</v>
      </c>
      <c r="U773">
        <v>8392</v>
      </c>
      <c r="V773">
        <v>6</v>
      </c>
      <c r="W773" t="s">
        <v>42</v>
      </c>
      <c r="X773" t="s">
        <v>43</v>
      </c>
      <c r="Y773" t="str">
        <f t="shared" si="85"/>
        <v>No</v>
      </c>
      <c r="Z773">
        <v>11</v>
      </c>
      <c r="AA773">
        <v>3</v>
      </c>
      <c r="AB773">
        <v>2</v>
      </c>
      <c r="AC773">
        <v>80</v>
      </c>
      <c r="AD773">
        <v>1</v>
      </c>
      <c r="AE773" s="5">
        <v>13</v>
      </c>
      <c r="AF773" t="str">
        <f t="shared" si="86"/>
        <v>6-15</v>
      </c>
      <c r="AG773">
        <v>4</v>
      </c>
      <c r="AH773">
        <v>3</v>
      </c>
      <c r="AI773" s="5">
        <v>9</v>
      </c>
      <c r="AJ773">
        <v>4</v>
      </c>
      <c r="AK773">
        <v>7</v>
      </c>
      <c r="AL773">
        <v>0</v>
      </c>
      <c r="AM773" t="str">
        <f t="shared" si="87"/>
        <v>Ok</v>
      </c>
      <c r="AN773" s="21">
        <f t="shared" si="88"/>
        <v>26.857142857142858</v>
      </c>
      <c r="AO773" t="str">
        <f t="shared" ca="1" si="89"/>
        <v>No</v>
      </c>
      <c r="AP773" t="str">
        <f t="shared" si="90"/>
        <v>Low Risk</v>
      </c>
    </row>
    <row r="774" spans="1:42" x14ac:dyDescent="0.3">
      <c r="A774" s="5">
        <v>56</v>
      </c>
      <c r="B774" s="5" t="s">
        <v>43</v>
      </c>
      <c r="C774" s="5" t="str">
        <f t="shared" si="84"/>
        <v>No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 s="5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 s="5">
        <v>2942</v>
      </c>
      <c r="U774">
        <v>12154</v>
      </c>
      <c r="V774">
        <v>2</v>
      </c>
      <c r="W774" t="s">
        <v>42</v>
      </c>
      <c r="X774" t="s">
        <v>43</v>
      </c>
      <c r="Y774" t="str">
        <f t="shared" si="85"/>
        <v>No</v>
      </c>
      <c r="Z774">
        <v>19</v>
      </c>
      <c r="AA774">
        <v>3</v>
      </c>
      <c r="AB774">
        <v>2</v>
      </c>
      <c r="AC774">
        <v>80</v>
      </c>
      <c r="AD774">
        <v>1</v>
      </c>
      <c r="AE774" s="5">
        <v>18</v>
      </c>
      <c r="AF774" t="str">
        <f t="shared" si="86"/>
        <v>&gt;15</v>
      </c>
      <c r="AG774">
        <v>4</v>
      </c>
      <c r="AH774">
        <v>3</v>
      </c>
      <c r="AI774" s="5">
        <v>5</v>
      </c>
      <c r="AJ774">
        <v>4</v>
      </c>
      <c r="AK774">
        <v>0</v>
      </c>
      <c r="AL774">
        <v>3</v>
      </c>
      <c r="AM774" t="str">
        <f t="shared" si="87"/>
        <v>Below Avg</v>
      </c>
      <c r="AN774" s="21">
        <f t="shared" si="88"/>
        <v>26.895565092989987</v>
      </c>
      <c r="AO774" t="str">
        <f t="shared" ca="1" si="89"/>
        <v>No</v>
      </c>
      <c r="AP774" t="str">
        <f t="shared" si="90"/>
        <v>Low Risk</v>
      </c>
    </row>
    <row r="775" spans="1:42" x14ac:dyDescent="0.3">
      <c r="A775" s="5">
        <v>36</v>
      </c>
      <c r="B775" s="5" t="s">
        <v>43</v>
      </c>
      <c r="C775" s="5" t="str">
        <f t="shared" si="84"/>
        <v>No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 s="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 s="5">
        <v>8858</v>
      </c>
      <c r="U775">
        <v>15669</v>
      </c>
      <c r="V775">
        <v>0</v>
      </c>
      <c r="W775" t="s">
        <v>42</v>
      </c>
      <c r="X775" t="s">
        <v>43</v>
      </c>
      <c r="Y775" t="str">
        <f t="shared" si="85"/>
        <v>No</v>
      </c>
      <c r="Z775">
        <v>11</v>
      </c>
      <c r="AA775">
        <v>3</v>
      </c>
      <c r="AB775">
        <v>2</v>
      </c>
      <c r="AC775">
        <v>80</v>
      </c>
      <c r="AD775">
        <v>0</v>
      </c>
      <c r="AE775" s="5">
        <v>15</v>
      </c>
      <c r="AF775" t="str">
        <f t="shared" si="86"/>
        <v>6-15</v>
      </c>
      <c r="AG775">
        <v>2</v>
      </c>
      <c r="AH775">
        <v>2</v>
      </c>
      <c r="AI775" s="5">
        <v>14</v>
      </c>
      <c r="AJ775">
        <v>8</v>
      </c>
      <c r="AK775">
        <v>7</v>
      </c>
      <c r="AL775">
        <v>8</v>
      </c>
      <c r="AM775" t="str">
        <f t="shared" si="87"/>
        <v>Ok</v>
      </c>
      <c r="AN775" s="21">
        <f t="shared" si="88"/>
        <v>26.93409742120344</v>
      </c>
      <c r="AO775" t="str">
        <f t="shared" ca="1" si="89"/>
        <v>No</v>
      </c>
      <c r="AP775" t="str">
        <f t="shared" si="90"/>
        <v>Low Risk</v>
      </c>
    </row>
    <row r="776" spans="1:42" x14ac:dyDescent="0.3">
      <c r="A776" s="5">
        <v>55</v>
      </c>
      <c r="B776" s="5" t="s">
        <v>43</v>
      </c>
      <c r="C776" s="5" t="str">
        <f t="shared" si="84"/>
        <v>No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 s="5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 s="5">
        <v>16756</v>
      </c>
      <c r="U776">
        <v>17323</v>
      </c>
      <c r="V776">
        <v>7</v>
      </c>
      <c r="W776" t="s">
        <v>42</v>
      </c>
      <c r="X776" t="s">
        <v>43</v>
      </c>
      <c r="Y776" t="str">
        <f t="shared" si="85"/>
        <v>No</v>
      </c>
      <c r="Z776">
        <v>15</v>
      </c>
      <c r="AA776">
        <v>3</v>
      </c>
      <c r="AB776">
        <v>2</v>
      </c>
      <c r="AC776">
        <v>80</v>
      </c>
      <c r="AD776">
        <v>0</v>
      </c>
      <c r="AE776" s="5">
        <v>31</v>
      </c>
      <c r="AF776" t="str">
        <f t="shared" si="86"/>
        <v>&gt;15</v>
      </c>
      <c r="AG776">
        <v>3</v>
      </c>
      <c r="AH776">
        <v>4</v>
      </c>
      <c r="AI776" s="5">
        <v>9</v>
      </c>
      <c r="AJ776">
        <v>7</v>
      </c>
      <c r="AK776">
        <v>6</v>
      </c>
      <c r="AL776">
        <v>2</v>
      </c>
      <c r="AM776" t="str">
        <f t="shared" si="87"/>
        <v>Ok</v>
      </c>
      <c r="AN776" s="21">
        <f t="shared" si="88"/>
        <v>26.97274031563845</v>
      </c>
      <c r="AO776" t="str">
        <f t="shared" ca="1" si="89"/>
        <v>No</v>
      </c>
      <c r="AP776" t="str">
        <f t="shared" si="90"/>
        <v>Low Risk</v>
      </c>
    </row>
    <row r="777" spans="1:42" x14ac:dyDescent="0.3">
      <c r="A777" s="5">
        <v>43</v>
      </c>
      <c r="B777" s="5" t="s">
        <v>43</v>
      </c>
      <c r="C777" s="5" t="str">
        <f t="shared" si="84"/>
        <v>No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 s="5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 s="5">
        <v>10798</v>
      </c>
      <c r="U777">
        <v>5268</v>
      </c>
      <c r="V777">
        <v>5</v>
      </c>
      <c r="W777" t="s">
        <v>42</v>
      </c>
      <c r="X777" t="s">
        <v>43</v>
      </c>
      <c r="Y777" t="str">
        <f t="shared" si="85"/>
        <v>No</v>
      </c>
      <c r="Z777">
        <v>13</v>
      </c>
      <c r="AA777">
        <v>3</v>
      </c>
      <c r="AB777">
        <v>3</v>
      </c>
      <c r="AC777">
        <v>80</v>
      </c>
      <c r="AD777">
        <v>1</v>
      </c>
      <c r="AE777" s="5">
        <v>18</v>
      </c>
      <c r="AF777" t="str">
        <f t="shared" si="86"/>
        <v>&gt;15</v>
      </c>
      <c r="AG777">
        <v>5</v>
      </c>
      <c r="AH777">
        <v>3</v>
      </c>
      <c r="AI777" s="5">
        <v>1</v>
      </c>
      <c r="AJ777">
        <v>0</v>
      </c>
      <c r="AK777">
        <v>0</v>
      </c>
      <c r="AL777">
        <v>0</v>
      </c>
      <c r="AM777" t="str">
        <f t="shared" si="87"/>
        <v>Ok</v>
      </c>
      <c r="AN777" s="21">
        <f t="shared" si="88"/>
        <v>27.011494252873565</v>
      </c>
      <c r="AO777" t="str">
        <f t="shared" ca="1" si="89"/>
        <v>No</v>
      </c>
      <c r="AP777" t="str">
        <f t="shared" si="90"/>
        <v>Low Risk</v>
      </c>
    </row>
    <row r="778" spans="1:42" x14ac:dyDescent="0.3">
      <c r="A778" s="5">
        <v>20</v>
      </c>
      <c r="B778" s="5" t="s">
        <v>35</v>
      </c>
      <c r="C778" s="5" t="str">
        <f t="shared" si="84"/>
        <v>Yes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 s="5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 s="5">
        <v>2323</v>
      </c>
      <c r="U778">
        <v>17205</v>
      </c>
      <c r="V778">
        <v>1</v>
      </c>
      <c r="W778" t="s">
        <v>42</v>
      </c>
      <c r="X778" t="s">
        <v>35</v>
      </c>
      <c r="Y778" t="str">
        <f t="shared" si="85"/>
        <v>Yes</v>
      </c>
      <c r="Z778">
        <v>14</v>
      </c>
      <c r="AA778">
        <v>3</v>
      </c>
      <c r="AB778">
        <v>2</v>
      </c>
      <c r="AC778">
        <v>80</v>
      </c>
      <c r="AD778">
        <v>0</v>
      </c>
      <c r="AE778" s="5">
        <v>2</v>
      </c>
      <c r="AF778" t="str">
        <f t="shared" si="86"/>
        <v>0-5</v>
      </c>
      <c r="AG778">
        <v>3</v>
      </c>
      <c r="AH778">
        <v>3</v>
      </c>
      <c r="AI778" s="5">
        <v>2</v>
      </c>
      <c r="AJ778">
        <v>2</v>
      </c>
      <c r="AK778">
        <v>0</v>
      </c>
      <c r="AL778">
        <v>2</v>
      </c>
      <c r="AM778" t="str">
        <f t="shared" si="87"/>
        <v>Below Avg</v>
      </c>
      <c r="AN778" s="21">
        <f t="shared" si="88"/>
        <v>27.050359712230215</v>
      </c>
      <c r="AO778" t="str">
        <f t="shared" ca="1" si="89"/>
        <v>No</v>
      </c>
      <c r="AP778" t="str">
        <f t="shared" si="90"/>
        <v>Low Risk</v>
      </c>
    </row>
    <row r="779" spans="1:42" x14ac:dyDescent="0.3">
      <c r="A779" s="5">
        <v>21</v>
      </c>
      <c r="B779" s="5" t="s">
        <v>35</v>
      </c>
      <c r="C779" s="5" t="str">
        <f t="shared" si="84"/>
        <v>Yes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 s="5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 s="5">
        <v>1416</v>
      </c>
      <c r="U779">
        <v>17258</v>
      </c>
      <c r="V779">
        <v>1</v>
      </c>
      <c r="W779" t="s">
        <v>42</v>
      </c>
      <c r="X779" t="s">
        <v>43</v>
      </c>
      <c r="Y779" t="str">
        <f t="shared" si="85"/>
        <v>No</v>
      </c>
      <c r="Z779">
        <v>13</v>
      </c>
      <c r="AA779">
        <v>3</v>
      </c>
      <c r="AB779">
        <v>1</v>
      </c>
      <c r="AC779">
        <v>80</v>
      </c>
      <c r="AD779">
        <v>0</v>
      </c>
      <c r="AE779" s="5">
        <v>1</v>
      </c>
      <c r="AF779" t="str">
        <f t="shared" si="86"/>
        <v>0-5</v>
      </c>
      <c r="AG779">
        <v>6</v>
      </c>
      <c r="AH779">
        <v>2</v>
      </c>
      <c r="AI779" s="5">
        <v>1</v>
      </c>
      <c r="AJ779">
        <v>0</v>
      </c>
      <c r="AK779">
        <v>1</v>
      </c>
      <c r="AL779">
        <v>0</v>
      </c>
      <c r="AM779" t="str">
        <f t="shared" si="87"/>
        <v>Below Avg</v>
      </c>
      <c r="AN779" s="21">
        <f t="shared" si="88"/>
        <v>27.089337175792505</v>
      </c>
      <c r="AO779" t="str">
        <f t="shared" ca="1" si="89"/>
        <v>No</v>
      </c>
      <c r="AP779" t="str">
        <f t="shared" si="90"/>
        <v>High Risk</v>
      </c>
    </row>
    <row r="780" spans="1:42" x14ac:dyDescent="0.3">
      <c r="A780" s="5">
        <v>46</v>
      </c>
      <c r="B780" s="5" t="s">
        <v>43</v>
      </c>
      <c r="C780" s="5" t="str">
        <f t="shared" si="84"/>
        <v>No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 s="5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 s="5">
        <v>4615</v>
      </c>
      <c r="U780">
        <v>21029</v>
      </c>
      <c r="V780">
        <v>8</v>
      </c>
      <c r="W780" t="s">
        <v>42</v>
      </c>
      <c r="X780" t="s">
        <v>35</v>
      </c>
      <c r="Y780" t="str">
        <f t="shared" si="85"/>
        <v>Yes</v>
      </c>
      <c r="Z780">
        <v>23</v>
      </c>
      <c r="AA780">
        <v>4</v>
      </c>
      <c r="AB780">
        <v>1</v>
      </c>
      <c r="AC780">
        <v>80</v>
      </c>
      <c r="AD780">
        <v>3</v>
      </c>
      <c r="AE780" s="5">
        <v>19</v>
      </c>
      <c r="AF780" t="str">
        <f t="shared" si="86"/>
        <v>&gt;15</v>
      </c>
      <c r="AG780">
        <v>2</v>
      </c>
      <c r="AH780">
        <v>3</v>
      </c>
      <c r="AI780" s="5">
        <v>16</v>
      </c>
      <c r="AJ780">
        <v>13</v>
      </c>
      <c r="AK780">
        <v>1</v>
      </c>
      <c r="AL780">
        <v>7</v>
      </c>
      <c r="AM780" t="str">
        <f t="shared" si="87"/>
        <v>Below Avg</v>
      </c>
      <c r="AN780" s="21">
        <f t="shared" si="88"/>
        <v>26.984126984126984</v>
      </c>
      <c r="AO780" t="str">
        <f t="shared" ca="1" si="89"/>
        <v>No</v>
      </c>
      <c r="AP780" t="str">
        <f t="shared" si="90"/>
        <v>Low Risk</v>
      </c>
    </row>
    <row r="781" spans="1:42" x14ac:dyDescent="0.3">
      <c r="A781" s="5">
        <v>51</v>
      </c>
      <c r="B781" s="5" t="s">
        <v>35</v>
      </c>
      <c r="C781" s="5" t="str">
        <f t="shared" si="84"/>
        <v>Yes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 s="5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 s="5">
        <v>2461</v>
      </c>
      <c r="U781">
        <v>10332</v>
      </c>
      <c r="V781">
        <v>9</v>
      </c>
      <c r="W781" t="s">
        <v>42</v>
      </c>
      <c r="X781" t="s">
        <v>35</v>
      </c>
      <c r="Y781" t="str">
        <f t="shared" si="85"/>
        <v>Yes</v>
      </c>
      <c r="Z781">
        <v>12</v>
      </c>
      <c r="AA781">
        <v>3</v>
      </c>
      <c r="AB781">
        <v>3</v>
      </c>
      <c r="AC781">
        <v>80</v>
      </c>
      <c r="AD781">
        <v>3</v>
      </c>
      <c r="AE781" s="5">
        <v>18</v>
      </c>
      <c r="AF781" t="str">
        <f t="shared" si="86"/>
        <v>&gt;15</v>
      </c>
      <c r="AG781">
        <v>2</v>
      </c>
      <c r="AH781">
        <v>4</v>
      </c>
      <c r="AI781" s="5">
        <v>10</v>
      </c>
      <c r="AJ781">
        <v>0</v>
      </c>
      <c r="AK781">
        <v>2</v>
      </c>
      <c r="AL781">
        <v>7</v>
      </c>
      <c r="AM781" t="str">
        <f t="shared" si="87"/>
        <v>Below Avg</v>
      </c>
      <c r="AN781" s="21">
        <f t="shared" si="88"/>
        <v>27.02312138728324</v>
      </c>
      <c r="AO781" t="str">
        <f t="shared" ca="1" si="89"/>
        <v>No</v>
      </c>
      <c r="AP781" t="str">
        <f t="shared" si="90"/>
        <v>Low Risk</v>
      </c>
    </row>
    <row r="782" spans="1:42" x14ac:dyDescent="0.3">
      <c r="A782" s="5">
        <v>28</v>
      </c>
      <c r="B782" s="5" t="s">
        <v>35</v>
      </c>
      <c r="C782" s="5" t="str">
        <f t="shared" si="84"/>
        <v>Yes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 s="5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 s="5">
        <v>8722</v>
      </c>
      <c r="U782">
        <v>12355</v>
      </c>
      <c r="V782">
        <v>1</v>
      </c>
      <c r="W782" t="s">
        <v>42</v>
      </c>
      <c r="X782" t="s">
        <v>43</v>
      </c>
      <c r="Y782" t="str">
        <f t="shared" si="85"/>
        <v>No</v>
      </c>
      <c r="Z782">
        <v>12</v>
      </c>
      <c r="AA782">
        <v>3</v>
      </c>
      <c r="AB782">
        <v>1</v>
      </c>
      <c r="AC782">
        <v>80</v>
      </c>
      <c r="AD782">
        <v>0</v>
      </c>
      <c r="AE782" s="5">
        <v>10</v>
      </c>
      <c r="AF782" t="str">
        <f t="shared" si="86"/>
        <v>6-15</v>
      </c>
      <c r="AG782">
        <v>2</v>
      </c>
      <c r="AH782">
        <v>2</v>
      </c>
      <c r="AI782" s="5">
        <v>10</v>
      </c>
      <c r="AJ782">
        <v>7</v>
      </c>
      <c r="AK782">
        <v>1</v>
      </c>
      <c r="AL782">
        <v>9</v>
      </c>
      <c r="AM782" t="str">
        <f t="shared" si="87"/>
        <v>Ok</v>
      </c>
      <c r="AN782" s="21">
        <f t="shared" si="88"/>
        <v>26.917510853835019</v>
      </c>
      <c r="AO782" t="str">
        <f t="shared" ca="1" si="89"/>
        <v>No</v>
      </c>
      <c r="AP782" t="str">
        <f t="shared" si="90"/>
        <v>Low Risk</v>
      </c>
    </row>
    <row r="783" spans="1:42" x14ac:dyDescent="0.3">
      <c r="A783" s="5">
        <v>26</v>
      </c>
      <c r="B783" s="5" t="s">
        <v>43</v>
      </c>
      <c r="C783" s="5" t="str">
        <f t="shared" si="84"/>
        <v>No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 s="5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 s="5">
        <v>3955</v>
      </c>
      <c r="U783">
        <v>11141</v>
      </c>
      <c r="V783">
        <v>1</v>
      </c>
      <c r="W783" t="s">
        <v>42</v>
      </c>
      <c r="X783" t="s">
        <v>43</v>
      </c>
      <c r="Y783" t="str">
        <f t="shared" si="85"/>
        <v>No</v>
      </c>
      <c r="Z783">
        <v>16</v>
      </c>
      <c r="AA783">
        <v>3</v>
      </c>
      <c r="AB783">
        <v>1</v>
      </c>
      <c r="AC783">
        <v>80</v>
      </c>
      <c r="AD783">
        <v>2</v>
      </c>
      <c r="AE783" s="5">
        <v>6</v>
      </c>
      <c r="AF783" t="str">
        <f t="shared" si="86"/>
        <v>6-15</v>
      </c>
      <c r="AG783">
        <v>2</v>
      </c>
      <c r="AH783">
        <v>3</v>
      </c>
      <c r="AI783" s="5">
        <v>5</v>
      </c>
      <c r="AJ783">
        <v>3</v>
      </c>
      <c r="AK783">
        <v>1</v>
      </c>
      <c r="AL783">
        <v>3</v>
      </c>
      <c r="AM783" t="str">
        <f t="shared" si="87"/>
        <v>Below Avg</v>
      </c>
      <c r="AN783" s="21">
        <f t="shared" si="88"/>
        <v>26.811594202898554</v>
      </c>
      <c r="AO783" t="str">
        <f t="shared" ca="1" si="89"/>
        <v>No</v>
      </c>
      <c r="AP783" t="str">
        <f t="shared" si="90"/>
        <v>Low Risk</v>
      </c>
    </row>
    <row r="784" spans="1:42" x14ac:dyDescent="0.3">
      <c r="A784" s="5">
        <v>30</v>
      </c>
      <c r="B784" s="5" t="s">
        <v>43</v>
      </c>
      <c r="C784" s="5" t="str">
        <f t="shared" si="84"/>
        <v>No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 s="5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 s="5">
        <v>9957</v>
      </c>
      <c r="U784">
        <v>9096</v>
      </c>
      <c r="V784">
        <v>0</v>
      </c>
      <c r="W784" t="s">
        <v>42</v>
      </c>
      <c r="X784" t="s">
        <v>43</v>
      </c>
      <c r="Y784" t="str">
        <f t="shared" si="85"/>
        <v>No</v>
      </c>
      <c r="Z784">
        <v>15</v>
      </c>
      <c r="AA784">
        <v>3</v>
      </c>
      <c r="AB784">
        <v>3</v>
      </c>
      <c r="AC784">
        <v>80</v>
      </c>
      <c r="AD784">
        <v>1</v>
      </c>
      <c r="AE784" s="5">
        <v>7</v>
      </c>
      <c r="AF784" t="str">
        <f t="shared" si="86"/>
        <v>6-15</v>
      </c>
      <c r="AG784">
        <v>1</v>
      </c>
      <c r="AH784">
        <v>2</v>
      </c>
      <c r="AI784" s="5">
        <v>6</v>
      </c>
      <c r="AJ784">
        <v>2</v>
      </c>
      <c r="AK784">
        <v>0</v>
      </c>
      <c r="AL784">
        <v>2</v>
      </c>
      <c r="AM784" t="str">
        <f t="shared" si="87"/>
        <v>Ok</v>
      </c>
      <c r="AN784" s="21">
        <f t="shared" si="88"/>
        <v>26.850507982583455</v>
      </c>
      <c r="AO784" t="str">
        <f t="shared" ca="1" si="89"/>
        <v>No</v>
      </c>
      <c r="AP784" t="str">
        <f t="shared" si="90"/>
        <v>Low Risk</v>
      </c>
    </row>
    <row r="785" spans="1:42" x14ac:dyDescent="0.3">
      <c r="A785" s="5">
        <v>41</v>
      </c>
      <c r="B785" s="5" t="s">
        <v>43</v>
      </c>
      <c r="C785" s="5" t="str">
        <f t="shared" si="84"/>
        <v>No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 s="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 s="5">
        <v>3376</v>
      </c>
      <c r="U785">
        <v>18863</v>
      </c>
      <c r="V785">
        <v>1</v>
      </c>
      <c r="W785" t="s">
        <v>42</v>
      </c>
      <c r="X785" t="s">
        <v>43</v>
      </c>
      <c r="Y785" t="str">
        <f t="shared" si="85"/>
        <v>No</v>
      </c>
      <c r="Z785">
        <v>13</v>
      </c>
      <c r="AA785">
        <v>3</v>
      </c>
      <c r="AB785">
        <v>3</v>
      </c>
      <c r="AC785">
        <v>80</v>
      </c>
      <c r="AD785">
        <v>0</v>
      </c>
      <c r="AE785" s="5">
        <v>10</v>
      </c>
      <c r="AF785" t="str">
        <f t="shared" si="86"/>
        <v>6-15</v>
      </c>
      <c r="AG785">
        <v>3</v>
      </c>
      <c r="AH785">
        <v>3</v>
      </c>
      <c r="AI785" s="5">
        <v>10</v>
      </c>
      <c r="AJ785">
        <v>6</v>
      </c>
      <c r="AK785">
        <v>0</v>
      </c>
      <c r="AL785">
        <v>8</v>
      </c>
      <c r="AM785" t="str">
        <f t="shared" si="87"/>
        <v>Below Avg</v>
      </c>
      <c r="AN785" s="21">
        <f t="shared" si="88"/>
        <v>26.889534883720927</v>
      </c>
      <c r="AO785" t="str">
        <f t="shared" ca="1" si="89"/>
        <v>No</v>
      </c>
      <c r="AP785" t="str">
        <f t="shared" si="90"/>
        <v>Low Risk</v>
      </c>
    </row>
    <row r="786" spans="1:42" x14ac:dyDescent="0.3">
      <c r="A786" s="5">
        <v>38</v>
      </c>
      <c r="B786" s="5" t="s">
        <v>43</v>
      </c>
      <c r="C786" s="5" t="str">
        <f t="shared" si="84"/>
        <v>No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 s="5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 s="5">
        <v>8823</v>
      </c>
      <c r="U786">
        <v>24608</v>
      </c>
      <c r="V786">
        <v>0</v>
      </c>
      <c r="W786" t="s">
        <v>42</v>
      </c>
      <c r="X786" t="s">
        <v>43</v>
      </c>
      <c r="Y786" t="str">
        <f t="shared" si="85"/>
        <v>No</v>
      </c>
      <c r="Z786">
        <v>18</v>
      </c>
      <c r="AA786">
        <v>3</v>
      </c>
      <c r="AB786">
        <v>1</v>
      </c>
      <c r="AC786">
        <v>80</v>
      </c>
      <c r="AD786">
        <v>1</v>
      </c>
      <c r="AE786" s="5">
        <v>20</v>
      </c>
      <c r="AF786" t="str">
        <f t="shared" si="86"/>
        <v>&gt;15</v>
      </c>
      <c r="AG786">
        <v>4</v>
      </c>
      <c r="AH786">
        <v>2</v>
      </c>
      <c r="AI786" s="5">
        <v>19</v>
      </c>
      <c r="AJ786">
        <v>9</v>
      </c>
      <c r="AK786">
        <v>1</v>
      </c>
      <c r="AL786">
        <v>9</v>
      </c>
      <c r="AM786" t="str">
        <f t="shared" si="87"/>
        <v>Ok</v>
      </c>
      <c r="AN786" s="21">
        <f t="shared" si="88"/>
        <v>26.92867540029112</v>
      </c>
      <c r="AO786" t="str">
        <f t="shared" ca="1" si="89"/>
        <v>No</v>
      </c>
      <c r="AP786" t="str">
        <f t="shared" si="90"/>
        <v>Low Risk</v>
      </c>
    </row>
    <row r="787" spans="1:42" x14ac:dyDescent="0.3">
      <c r="A787" s="5">
        <v>40</v>
      </c>
      <c r="B787" s="5" t="s">
        <v>43</v>
      </c>
      <c r="C787" s="5" t="str">
        <f t="shared" si="84"/>
        <v>No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 s="5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 s="5">
        <v>10322</v>
      </c>
      <c r="U787">
        <v>26542</v>
      </c>
      <c r="V787">
        <v>4</v>
      </c>
      <c r="W787" t="s">
        <v>42</v>
      </c>
      <c r="X787" t="s">
        <v>43</v>
      </c>
      <c r="Y787" t="str">
        <f t="shared" si="85"/>
        <v>No</v>
      </c>
      <c r="Z787">
        <v>20</v>
      </c>
      <c r="AA787">
        <v>4</v>
      </c>
      <c r="AB787">
        <v>4</v>
      </c>
      <c r="AC787">
        <v>80</v>
      </c>
      <c r="AD787">
        <v>1</v>
      </c>
      <c r="AE787" s="5">
        <v>14</v>
      </c>
      <c r="AF787" t="str">
        <f t="shared" si="86"/>
        <v>6-15</v>
      </c>
      <c r="AG787">
        <v>6</v>
      </c>
      <c r="AH787">
        <v>3</v>
      </c>
      <c r="AI787" s="5">
        <v>11</v>
      </c>
      <c r="AJ787">
        <v>10</v>
      </c>
      <c r="AK787">
        <v>11</v>
      </c>
      <c r="AL787">
        <v>1</v>
      </c>
      <c r="AM787" t="str">
        <f t="shared" si="87"/>
        <v>Ok</v>
      </c>
      <c r="AN787" s="21">
        <f t="shared" si="88"/>
        <v>26.96793002915452</v>
      </c>
      <c r="AO787" t="str">
        <f t="shared" ca="1" si="89"/>
        <v>No</v>
      </c>
      <c r="AP787" t="str">
        <f t="shared" si="90"/>
        <v>Low Risk</v>
      </c>
    </row>
    <row r="788" spans="1:42" x14ac:dyDescent="0.3">
      <c r="A788" s="5">
        <v>27</v>
      </c>
      <c r="B788" s="5" t="s">
        <v>43</v>
      </c>
      <c r="C788" s="5" t="str">
        <f t="shared" si="84"/>
        <v>No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 s="5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 s="5">
        <v>4621</v>
      </c>
      <c r="U788">
        <v>5869</v>
      </c>
      <c r="V788">
        <v>1</v>
      </c>
      <c r="W788" t="s">
        <v>42</v>
      </c>
      <c r="X788" t="s">
        <v>43</v>
      </c>
      <c r="Y788" t="str">
        <f t="shared" si="85"/>
        <v>No</v>
      </c>
      <c r="Z788">
        <v>19</v>
      </c>
      <c r="AA788">
        <v>3</v>
      </c>
      <c r="AB788">
        <v>4</v>
      </c>
      <c r="AC788">
        <v>80</v>
      </c>
      <c r="AD788">
        <v>3</v>
      </c>
      <c r="AE788" s="5">
        <v>3</v>
      </c>
      <c r="AF788" t="str">
        <f t="shared" si="86"/>
        <v>0-5</v>
      </c>
      <c r="AG788">
        <v>4</v>
      </c>
      <c r="AH788">
        <v>3</v>
      </c>
      <c r="AI788" s="5">
        <v>3</v>
      </c>
      <c r="AJ788">
        <v>2</v>
      </c>
      <c r="AK788">
        <v>1</v>
      </c>
      <c r="AL788">
        <v>2</v>
      </c>
      <c r="AM788" t="str">
        <f t="shared" si="87"/>
        <v>Below Avg</v>
      </c>
      <c r="AN788" s="21">
        <f t="shared" si="88"/>
        <v>27.007299270072991</v>
      </c>
      <c r="AO788" t="str">
        <f t="shared" ca="1" si="89"/>
        <v>No</v>
      </c>
      <c r="AP788" t="str">
        <f t="shared" si="90"/>
        <v>Low Risk</v>
      </c>
    </row>
    <row r="789" spans="1:42" x14ac:dyDescent="0.3">
      <c r="A789" s="5">
        <v>55</v>
      </c>
      <c r="B789" s="5" t="s">
        <v>43</v>
      </c>
      <c r="C789" s="5" t="str">
        <f t="shared" si="84"/>
        <v>No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 s="5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 s="5">
        <v>10976</v>
      </c>
      <c r="U789">
        <v>15813</v>
      </c>
      <c r="V789">
        <v>3</v>
      </c>
      <c r="W789" t="s">
        <v>42</v>
      </c>
      <c r="X789" t="s">
        <v>43</v>
      </c>
      <c r="Y789" t="str">
        <f t="shared" si="85"/>
        <v>No</v>
      </c>
      <c r="Z789">
        <v>18</v>
      </c>
      <c r="AA789">
        <v>3</v>
      </c>
      <c r="AB789">
        <v>2</v>
      </c>
      <c r="AC789">
        <v>80</v>
      </c>
      <c r="AD789">
        <v>1</v>
      </c>
      <c r="AE789" s="5">
        <v>23</v>
      </c>
      <c r="AF789" t="str">
        <f t="shared" si="86"/>
        <v>&gt;15</v>
      </c>
      <c r="AG789">
        <v>4</v>
      </c>
      <c r="AH789">
        <v>3</v>
      </c>
      <c r="AI789" s="5">
        <v>3</v>
      </c>
      <c r="AJ789">
        <v>2</v>
      </c>
      <c r="AK789">
        <v>1</v>
      </c>
      <c r="AL789">
        <v>2</v>
      </c>
      <c r="AM789" t="str">
        <f t="shared" si="87"/>
        <v>Ok</v>
      </c>
      <c r="AN789" s="21">
        <f t="shared" si="88"/>
        <v>27.046783625730995</v>
      </c>
      <c r="AO789" t="str">
        <f t="shared" ca="1" si="89"/>
        <v>No</v>
      </c>
      <c r="AP789" t="str">
        <f t="shared" si="90"/>
        <v>Low Risk</v>
      </c>
    </row>
    <row r="790" spans="1:42" x14ac:dyDescent="0.3">
      <c r="A790" s="5">
        <v>28</v>
      </c>
      <c r="B790" s="5" t="s">
        <v>43</v>
      </c>
      <c r="C790" s="5" t="str">
        <f t="shared" si="84"/>
        <v>No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 s="5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 s="5">
        <v>3660</v>
      </c>
      <c r="U790">
        <v>7909</v>
      </c>
      <c r="V790">
        <v>3</v>
      </c>
      <c r="W790" t="s">
        <v>42</v>
      </c>
      <c r="X790" t="s">
        <v>43</v>
      </c>
      <c r="Y790" t="str">
        <f t="shared" si="85"/>
        <v>No</v>
      </c>
      <c r="Z790">
        <v>13</v>
      </c>
      <c r="AA790">
        <v>3</v>
      </c>
      <c r="AB790">
        <v>4</v>
      </c>
      <c r="AC790">
        <v>80</v>
      </c>
      <c r="AD790">
        <v>0</v>
      </c>
      <c r="AE790" s="5">
        <v>10</v>
      </c>
      <c r="AF790" t="str">
        <f t="shared" si="86"/>
        <v>6-15</v>
      </c>
      <c r="AG790">
        <v>4</v>
      </c>
      <c r="AH790">
        <v>4</v>
      </c>
      <c r="AI790" s="5">
        <v>8</v>
      </c>
      <c r="AJ790">
        <v>7</v>
      </c>
      <c r="AK790">
        <v>1</v>
      </c>
      <c r="AL790">
        <v>7</v>
      </c>
      <c r="AM790" t="str">
        <f t="shared" si="87"/>
        <v>Below Avg</v>
      </c>
      <c r="AN790" s="21">
        <f t="shared" si="88"/>
        <v>27.086383601756953</v>
      </c>
      <c r="AO790" t="str">
        <f t="shared" ca="1" si="89"/>
        <v>No</v>
      </c>
      <c r="AP790" t="str">
        <f t="shared" si="90"/>
        <v>Low Risk</v>
      </c>
    </row>
    <row r="791" spans="1:42" x14ac:dyDescent="0.3">
      <c r="A791" s="5">
        <v>44</v>
      </c>
      <c r="B791" s="5" t="s">
        <v>35</v>
      </c>
      <c r="C791" s="5" t="str">
        <f t="shared" si="84"/>
        <v>Yes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 s="5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 s="5">
        <v>10482</v>
      </c>
      <c r="U791">
        <v>2326</v>
      </c>
      <c r="V791">
        <v>9</v>
      </c>
      <c r="W791" t="s">
        <v>42</v>
      </c>
      <c r="X791" t="s">
        <v>43</v>
      </c>
      <c r="Y791" t="str">
        <f t="shared" si="85"/>
        <v>No</v>
      </c>
      <c r="Z791">
        <v>14</v>
      </c>
      <c r="AA791">
        <v>3</v>
      </c>
      <c r="AB791">
        <v>4</v>
      </c>
      <c r="AC791">
        <v>80</v>
      </c>
      <c r="AD791">
        <v>1</v>
      </c>
      <c r="AE791" s="5">
        <v>24</v>
      </c>
      <c r="AF791" t="str">
        <f t="shared" si="86"/>
        <v>&gt;15</v>
      </c>
      <c r="AG791">
        <v>1</v>
      </c>
      <c r="AH791">
        <v>3</v>
      </c>
      <c r="AI791" s="5">
        <v>20</v>
      </c>
      <c r="AJ791">
        <v>6</v>
      </c>
      <c r="AK791">
        <v>3</v>
      </c>
      <c r="AL791">
        <v>6</v>
      </c>
      <c r="AM791" t="str">
        <f t="shared" si="87"/>
        <v>Ok</v>
      </c>
      <c r="AN791" s="21">
        <f t="shared" si="88"/>
        <v>27.126099706744867</v>
      </c>
      <c r="AO791" t="str">
        <f t="shared" ca="1" si="89"/>
        <v>No</v>
      </c>
      <c r="AP791" t="str">
        <f t="shared" si="90"/>
        <v>Low Risk</v>
      </c>
    </row>
    <row r="792" spans="1:42" x14ac:dyDescent="0.3">
      <c r="A792" s="5">
        <v>33</v>
      </c>
      <c r="B792" s="5" t="s">
        <v>43</v>
      </c>
      <c r="C792" s="5" t="str">
        <f t="shared" si="84"/>
        <v>No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 s="5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 s="5">
        <v>7119</v>
      </c>
      <c r="U792">
        <v>21214</v>
      </c>
      <c r="V792">
        <v>4</v>
      </c>
      <c r="W792" t="s">
        <v>42</v>
      </c>
      <c r="X792" t="s">
        <v>43</v>
      </c>
      <c r="Y792" t="str">
        <f t="shared" si="85"/>
        <v>No</v>
      </c>
      <c r="Z792">
        <v>15</v>
      </c>
      <c r="AA792">
        <v>3</v>
      </c>
      <c r="AB792">
        <v>3</v>
      </c>
      <c r="AC792">
        <v>80</v>
      </c>
      <c r="AD792">
        <v>1</v>
      </c>
      <c r="AE792" s="5">
        <v>9</v>
      </c>
      <c r="AF792" t="str">
        <f t="shared" si="86"/>
        <v>6-15</v>
      </c>
      <c r="AG792">
        <v>2</v>
      </c>
      <c r="AH792">
        <v>3</v>
      </c>
      <c r="AI792" s="5">
        <v>3</v>
      </c>
      <c r="AJ792">
        <v>2</v>
      </c>
      <c r="AK792">
        <v>1</v>
      </c>
      <c r="AL792">
        <v>2</v>
      </c>
      <c r="AM792" t="str">
        <f t="shared" si="87"/>
        <v>Ok</v>
      </c>
      <c r="AN792" s="21">
        <f t="shared" si="88"/>
        <v>27.165932452276063</v>
      </c>
      <c r="AO792" t="str">
        <f t="shared" ca="1" si="89"/>
        <v>No</v>
      </c>
      <c r="AP792" t="str">
        <f t="shared" si="90"/>
        <v>Low Risk</v>
      </c>
    </row>
    <row r="793" spans="1:42" x14ac:dyDescent="0.3">
      <c r="A793" s="5">
        <v>35</v>
      </c>
      <c r="B793" s="5" t="s">
        <v>35</v>
      </c>
      <c r="C793" s="5" t="str">
        <f t="shared" si="84"/>
        <v>Yes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 s="5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 s="5">
        <v>9582</v>
      </c>
      <c r="U793">
        <v>10333</v>
      </c>
      <c r="V793">
        <v>0</v>
      </c>
      <c r="W793" t="s">
        <v>42</v>
      </c>
      <c r="X793" t="s">
        <v>35</v>
      </c>
      <c r="Y793" t="str">
        <f t="shared" si="85"/>
        <v>Yes</v>
      </c>
      <c r="Z793">
        <v>22</v>
      </c>
      <c r="AA793">
        <v>4</v>
      </c>
      <c r="AB793">
        <v>1</v>
      </c>
      <c r="AC793">
        <v>80</v>
      </c>
      <c r="AD793">
        <v>0</v>
      </c>
      <c r="AE793" s="5">
        <v>9</v>
      </c>
      <c r="AF793" t="str">
        <f t="shared" si="86"/>
        <v>6-15</v>
      </c>
      <c r="AG793">
        <v>2</v>
      </c>
      <c r="AH793">
        <v>3</v>
      </c>
      <c r="AI793" s="5">
        <v>8</v>
      </c>
      <c r="AJ793">
        <v>7</v>
      </c>
      <c r="AK793">
        <v>4</v>
      </c>
      <c r="AL793">
        <v>7</v>
      </c>
      <c r="AM793" t="str">
        <f t="shared" si="87"/>
        <v>Ok</v>
      </c>
      <c r="AN793" s="21">
        <f t="shared" si="88"/>
        <v>27.205882352941174</v>
      </c>
      <c r="AO793" t="str">
        <f t="shared" ca="1" si="89"/>
        <v>No</v>
      </c>
      <c r="AP793" t="str">
        <f t="shared" si="90"/>
        <v>Low Risk</v>
      </c>
    </row>
    <row r="794" spans="1:42" x14ac:dyDescent="0.3">
      <c r="A794" s="5">
        <v>33</v>
      </c>
      <c r="B794" s="5" t="s">
        <v>35</v>
      </c>
      <c r="C794" s="5" t="str">
        <f t="shared" si="84"/>
        <v>Yes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 s="5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 s="5">
        <v>4508</v>
      </c>
      <c r="U794">
        <v>3129</v>
      </c>
      <c r="V794">
        <v>1</v>
      </c>
      <c r="W794" t="s">
        <v>42</v>
      </c>
      <c r="X794" t="s">
        <v>43</v>
      </c>
      <c r="Y794" t="str">
        <f t="shared" si="85"/>
        <v>No</v>
      </c>
      <c r="Z794">
        <v>22</v>
      </c>
      <c r="AA794">
        <v>4</v>
      </c>
      <c r="AB794">
        <v>2</v>
      </c>
      <c r="AC794">
        <v>80</v>
      </c>
      <c r="AD794">
        <v>0</v>
      </c>
      <c r="AE794" s="5">
        <v>14</v>
      </c>
      <c r="AF794" t="str">
        <f t="shared" si="86"/>
        <v>6-15</v>
      </c>
      <c r="AG794">
        <v>4</v>
      </c>
      <c r="AH794">
        <v>3</v>
      </c>
      <c r="AI794" s="5">
        <v>13</v>
      </c>
      <c r="AJ794">
        <v>7</v>
      </c>
      <c r="AK794">
        <v>3</v>
      </c>
      <c r="AL794">
        <v>8</v>
      </c>
      <c r="AM794" t="str">
        <f t="shared" si="87"/>
        <v>Below Avg</v>
      </c>
      <c r="AN794" s="21">
        <f t="shared" si="88"/>
        <v>27.245949926362297</v>
      </c>
      <c r="AO794" t="str">
        <f t="shared" ca="1" si="89"/>
        <v>No</v>
      </c>
      <c r="AP794" t="str">
        <f t="shared" si="90"/>
        <v>Low Risk</v>
      </c>
    </row>
    <row r="795" spans="1:42" x14ac:dyDescent="0.3">
      <c r="A795" s="5">
        <v>28</v>
      </c>
      <c r="B795" s="5" t="s">
        <v>43</v>
      </c>
      <c r="C795" s="5" t="str">
        <f t="shared" si="84"/>
        <v>No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 s="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 s="5">
        <v>2207</v>
      </c>
      <c r="U795">
        <v>22482</v>
      </c>
      <c r="V795">
        <v>1</v>
      </c>
      <c r="W795" t="s">
        <v>42</v>
      </c>
      <c r="X795" t="s">
        <v>43</v>
      </c>
      <c r="Y795" t="str">
        <f t="shared" si="85"/>
        <v>No</v>
      </c>
      <c r="Z795">
        <v>16</v>
      </c>
      <c r="AA795">
        <v>3</v>
      </c>
      <c r="AB795">
        <v>4</v>
      </c>
      <c r="AC795">
        <v>80</v>
      </c>
      <c r="AD795">
        <v>1</v>
      </c>
      <c r="AE795" s="5">
        <v>4</v>
      </c>
      <c r="AF795" t="str">
        <f t="shared" si="86"/>
        <v>0-5</v>
      </c>
      <c r="AG795">
        <v>5</v>
      </c>
      <c r="AH795">
        <v>2</v>
      </c>
      <c r="AI795" s="5">
        <v>4</v>
      </c>
      <c r="AJ795">
        <v>2</v>
      </c>
      <c r="AK795">
        <v>2</v>
      </c>
      <c r="AL795">
        <v>2</v>
      </c>
      <c r="AM795" t="str">
        <f t="shared" si="87"/>
        <v>Below Avg</v>
      </c>
      <c r="AN795" s="21">
        <f t="shared" si="88"/>
        <v>27.138643067846608</v>
      </c>
      <c r="AO795" t="str">
        <f t="shared" ca="1" si="89"/>
        <v>No</v>
      </c>
      <c r="AP795" t="str">
        <f t="shared" si="90"/>
        <v>Low Risk</v>
      </c>
    </row>
    <row r="796" spans="1:42" x14ac:dyDescent="0.3">
      <c r="A796" s="5">
        <v>34</v>
      </c>
      <c r="B796" s="5" t="s">
        <v>43</v>
      </c>
      <c r="C796" s="5" t="str">
        <f t="shared" si="84"/>
        <v>No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 s="5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 s="5">
        <v>7756</v>
      </c>
      <c r="U796">
        <v>22266</v>
      </c>
      <c r="V796">
        <v>0</v>
      </c>
      <c r="W796" t="s">
        <v>42</v>
      </c>
      <c r="X796" t="s">
        <v>43</v>
      </c>
      <c r="Y796" t="str">
        <f t="shared" si="85"/>
        <v>No</v>
      </c>
      <c r="Z796">
        <v>17</v>
      </c>
      <c r="AA796">
        <v>3</v>
      </c>
      <c r="AB796">
        <v>3</v>
      </c>
      <c r="AC796">
        <v>80</v>
      </c>
      <c r="AD796">
        <v>0</v>
      </c>
      <c r="AE796" s="5">
        <v>7</v>
      </c>
      <c r="AF796" t="str">
        <f t="shared" si="86"/>
        <v>6-15</v>
      </c>
      <c r="AG796">
        <v>1</v>
      </c>
      <c r="AH796">
        <v>2</v>
      </c>
      <c r="AI796" s="5">
        <v>6</v>
      </c>
      <c r="AJ796">
        <v>2</v>
      </c>
      <c r="AK796">
        <v>0</v>
      </c>
      <c r="AL796">
        <v>4</v>
      </c>
      <c r="AM796" t="str">
        <f t="shared" si="87"/>
        <v>Ok</v>
      </c>
      <c r="AN796" s="21">
        <f t="shared" si="88"/>
        <v>27.17872968980798</v>
      </c>
      <c r="AO796" t="str">
        <f t="shared" ca="1" si="89"/>
        <v>No</v>
      </c>
      <c r="AP796" t="str">
        <f t="shared" si="90"/>
        <v>Low Risk</v>
      </c>
    </row>
    <row r="797" spans="1:42" x14ac:dyDescent="0.3">
      <c r="A797" s="5">
        <v>37</v>
      </c>
      <c r="B797" s="5" t="s">
        <v>43</v>
      </c>
      <c r="C797" s="5" t="str">
        <f t="shared" si="84"/>
        <v>No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 s="5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 s="5">
        <v>6694</v>
      </c>
      <c r="U797">
        <v>24223</v>
      </c>
      <c r="V797">
        <v>2</v>
      </c>
      <c r="W797" t="s">
        <v>42</v>
      </c>
      <c r="X797" t="s">
        <v>35</v>
      </c>
      <c r="Y797" t="str">
        <f t="shared" si="85"/>
        <v>Yes</v>
      </c>
      <c r="Z797">
        <v>14</v>
      </c>
      <c r="AA797">
        <v>3</v>
      </c>
      <c r="AB797">
        <v>3</v>
      </c>
      <c r="AC797">
        <v>80</v>
      </c>
      <c r="AD797">
        <v>3</v>
      </c>
      <c r="AE797" s="5">
        <v>8</v>
      </c>
      <c r="AF797" t="str">
        <f t="shared" si="86"/>
        <v>6-15</v>
      </c>
      <c r="AG797">
        <v>5</v>
      </c>
      <c r="AH797">
        <v>3</v>
      </c>
      <c r="AI797" s="5">
        <v>1</v>
      </c>
      <c r="AJ797">
        <v>0</v>
      </c>
      <c r="AK797">
        <v>0</v>
      </c>
      <c r="AL797">
        <v>0</v>
      </c>
      <c r="AM797" t="str">
        <f t="shared" si="87"/>
        <v>Below Avg</v>
      </c>
      <c r="AN797" s="21">
        <f t="shared" si="88"/>
        <v>27.218934911242602</v>
      </c>
      <c r="AO797" t="str">
        <f t="shared" ca="1" si="89"/>
        <v>No</v>
      </c>
      <c r="AP797" t="str">
        <f t="shared" si="90"/>
        <v>Low Risk</v>
      </c>
    </row>
    <row r="798" spans="1:42" x14ac:dyDescent="0.3">
      <c r="A798" s="5">
        <v>25</v>
      </c>
      <c r="B798" s="5" t="s">
        <v>35</v>
      </c>
      <c r="C798" s="5" t="str">
        <f t="shared" si="84"/>
        <v>Yes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 s="5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 s="5">
        <v>3691</v>
      </c>
      <c r="U798">
        <v>4605</v>
      </c>
      <c r="V798">
        <v>1</v>
      </c>
      <c r="W798" t="s">
        <v>42</v>
      </c>
      <c r="X798" t="s">
        <v>35</v>
      </c>
      <c r="Y798" t="str">
        <f t="shared" si="85"/>
        <v>Yes</v>
      </c>
      <c r="Z798">
        <v>15</v>
      </c>
      <c r="AA798">
        <v>3</v>
      </c>
      <c r="AB798">
        <v>2</v>
      </c>
      <c r="AC798">
        <v>80</v>
      </c>
      <c r="AD798">
        <v>1</v>
      </c>
      <c r="AE798" s="5">
        <v>7</v>
      </c>
      <c r="AF798" t="str">
        <f t="shared" si="86"/>
        <v>6-15</v>
      </c>
      <c r="AG798">
        <v>3</v>
      </c>
      <c r="AH798">
        <v>4</v>
      </c>
      <c r="AI798" s="5">
        <v>7</v>
      </c>
      <c r="AJ798">
        <v>7</v>
      </c>
      <c r="AK798">
        <v>5</v>
      </c>
      <c r="AL798">
        <v>6</v>
      </c>
      <c r="AM798" t="str">
        <f t="shared" si="87"/>
        <v>Below Avg</v>
      </c>
      <c r="AN798" s="21">
        <f t="shared" si="88"/>
        <v>27.25925925925926</v>
      </c>
      <c r="AO798" t="str">
        <f t="shared" ca="1" si="89"/>
        <v>No</v>
      </c>
      <c r="AP798" t="str">
        <f t="shared" si="90"/>
        <v>Low Risk</v>
      </c>
    </row>
    <row r="799" spans="1:42" x14ac:dyDescent="0.3">
      <c r="A799" s="5">
        <v>26</v>
      </c>
      <c r="B799" s="5" t="s">
        <v>35</v>
      </c>
      <c r="C799" s="5" t="str">
        <f t="shared" si="84"/>
        <v>Yes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 s="5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 s="5">
        <v>2377</v>
      </c>
      <c r="U799">
        <v>19373</v>
      </c>
      <c r="V799">
        <v>1</v>
      </c>
      <c r="W799" t="s">
        <v>42</v>
      </c>
      <c r="X799" t="s">
        <v>43</v>
      </c>
      <c r="Y799" t="str">
        <f t="shared" si="85"/>
        <v>No</v>
      </c>
      <c r="Z799">
        <v>20</v>
      </c>
      <c r="AA799">
        <v>4</v>
      </c>
      <c r="AB799">
        <v>3</v>
      </c>
      <c r="AC799">
        <v>80</v>
      </c>
      <c r="AD799">
        <v>1</v>
      </c>
      <c r="AE799" s="5">
        <v>1</v>
      </c>
      <c r="AF799" t="str">
        <f t="shared" si="86"/>
        <v>0-5</v>
      </c>
      <c r="AG799">
        <v>0</v>
      </c>
      <c r="AH799">
        <v>2</v>
      </c>
      <c r="AI799" s="5">
        <v>1</v>
      </c>
      <c r="AJ799">
        <v>1</v>
      </c>
      <c r="AK799">
        <v>0</v>
      </c>
      <c r="AL799">
        <v>0</v>
      </c>
      <c r="AM799" t="str">
        <f t="shared" si="87"/>
        <v>Below Avg</v>
      </c>
      <c r="AN799" s="21">
        <f t="shared" si="88"/>
        <v>27.151335311572701</v>
      </c>
      <c r="AO799" t="str">
        <f t="shared" ca="1" si="89"/>
        <v>No</v>
      </c>
      <c r="AP799" t="str">
        <f t="shared" si="90"/>
        <v>High Risk</v>
      </c>
    </row>
    <row r="800" spans="1:42" x14ac:dyDescent="0.3">
      <c r="A800" s="5">
        <v>33</v>
      </c>
      <c r="B800" s="5" t="s">
        <v>35</v>
      </c>
      <c r="C800" s="5" t="str">
        <f t="shared" si="84"/>
        <v>Yes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 s="5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 s="5">
        <v>2313</v>
      </c>
      <c r="U800">
        <v>2993</v>
      </c>
      <c r="V800">
        <v>4</v>
      </c>
      <c r="W800" t="s">
        <v>42</v>
      </c>
      <c r="X800" t="s">
        <v>35</v>
      </c>
      <c r="Y800" t="str">
        <f t="shared" si="85"/>
        <v>Yes</v>
      </c>
      <c r="Z800">
        <v>20</v>
      </c>
      <c r="AA800">
        <v>4</v>
      </c>
      <c r="AB800">
        <v>2</v>
      </c>
      <c r="AC800">
        <v>80</v>
      </c>
      <c r="AD800">
        <v>0</v>
      </c>
      <c r="AE800" s="5">
        <v>5</v>
      </c>
      <c r="AF800" t="str">
        <f t="shared" si="86"/>
        <v>0-5</v>
      </c>
      <c r="AG800">
        <v>0</v>
      </c>
      <c r="AH800">
        <v>3</v>
      </c>
      <c r="AI800" s="5">
        <v>2</v>
      </c>
      <c r="AJ800">
        <v>2</v>
      </c>
      <c r="AK800">
        <v>2</v>
      </c>
      <c r="AL800">
        <v>2</v>
      </c>
      <c r="AM800" t="str">
        <f t="shared" si="87"/>
        <v>Below Avg</v>
      </c>
      <c r="AN800" s="21">
        <f t="shared" si="88"/>
        <v>27.043090638930163</v>
      </c>
      <c r="AO800" t="str">
        <f t="shared" ca="1" si="89"/>
        <v>No</v>
      </c>
      <c r="AP800" t="str">
        <f t="shared" si="90"/>
        <v>Low Risk</v>
      </c>
    </row>
    <row r="801" spans="1:42" x14ac:dyDescent="0.3">
      <c r="A801" s="5">
        <v>42</v>
      </c>
      <c r="B801" s="5" t="s">
        <v>43</v>
      </c>
      <c r="C801" s="5" t="str">
        <f t="shared" si="84"/>
        <v>No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 s="5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 s="5">
        <v>17665</v>
      </c>
      <c r="U801">
        <v>14399</v>
      </c>
      <c r="V801">
        <v>0</v>
      </c>
      <c r="W801" t="s">
        <v>42</v>
      </c>
      <c r="X801" t="s">
        <v>43</v>
      </c>
      <c r="Y801" t="str">
        <f t="shared" si="85"/>
        <v>No</v>
      </c>
      <c r="Z801">
        <v>17</v>
      </c>
      <c r="AA801">
        <v>3</v>
      </c>
      <c r="AB801">
        <v>4</v>
      </c>
      <c r="AC801">
        <v>80</v>
      </c>
      <c r="AD801">
        <v>1</v>
      </c>
      <c r="AE801" s="5">
        <v>23</v>
      </c>
      <c r="AF801" t="str">
        <f t="shared" si="86"/>
        <v>&gt;15</v>
      </c>
      <c r="AG801">
        <v>3</v>
      </c>
      <c r="AH801">
        <v>3</v>
      </c>
      <c r="AI801" s="5">
        <v>22</v>
      </c>
      <c r="AJ801">
        <v>6</v>
      </c>
      <c r="AK801">
        <v>13</v>
      </c>
      <c r="AL801">
        <v>7</v>
      </c>
      <c r="AM801" t="str">
        <f t="shared" si="87"/>
        <v>Ok</v>
      </c>
      <c r="AN801" s="21">
        <f t="shared" si="88"/>
        <v>27.083333333333332</v>
      </c>
      <c r="AO801" t="str">
        <f t="shared" ca="1" si="89"/>
        <v>No</v>
      </c>
      <c r="AP801" t="str">
        <f t="shared" si="90"/>
        <v>Low Risk</v>
      </c>
    </row>
    <row r="802" spans="1:42" x14ac:dyDescent="0.3">
      <c r="A802" s="5">
        <v>28</v>
      </c>
      <c r="B802" s="5" t="s">
        <v>35</v>
      </c>
      <c r="C802" s="5" t="str">
        <f t="shared" si="84"/>
        <v>Yes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 s="5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 s="5">
        <v>2596</v>
      </c>
      <c r="U802">
        <v>7160</v>
      </c>
      <c r="V802">
        <v>1</v>
      </c>
      <c r="W802" t="s">
        <v>42</v>
      </c>
      <c r="X802" t="s">
        <v>43</v>
      </c>
      <c r="Y802" t="str">
        <f t="shared" si="85"/>
        <v>No</v>
      </c>
      <c r="Z802">
        <v>15</v>
      </c>
      <c r="AA802">
        <v>3</v>
      </c>
      <c r="AB802">
        <v>1</v>
      </c>
      <c r="AC802">
        <v>80</v>
      </c>
      <c r="AD802">
        <v>2</v>
      </c>
      <c r="AE802" s="5">
        <v>1</v>
      </c>
      <c r="AF802" t="str">
        <f t="shared" si="86"/>
        <v>0-5</v>
      </c>
      <c r="AG802">
        <v>2</v>
      </c>
      <c r="AH802">
        <v>3</v>
      </c>
      <c r="AI802" s="5">
        <v>1</v>
      </c>
      <c r="AJ802">
        <v>0</v>
      </c>
      <c r="AK802">
        <v>0</v>
      </c>
      <c r="AL802">
        <v>0</v>
      </c>
      <c r="AM802" t="str">
        <f t="shared" si="87"/>
        <v>Below Avg</v>
      </c>
      <c r="AN802" s="21">
        <f t="shared" si="88"/>
        <v>26.974664679582709</v>
      </c>
      <c r="AO802" t="str">
        <f t="shared" ca="1" si="89"/>
        <v>No</v>
      </c>
      <c r="AP802" t="str">
        <f t="shared" si="90"/>
        <v>High Risk</v>
      </c>
    </row>
    <row r="803" spans="1:42" x14ac:dyDescent="0.3">
      <c r="A803" s="5">
        <v>50</v>
      </c>
      <c r="B803" s="5" t="s">
        <v>35</v>
      </c>
      <c r="C803" s="5" t="str">
        <f t="shared" si="84"/>
        <v>Yes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 s="5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 s="5">
        <v>4728</v>
      </c>
      <c r="U803">
        <v>17251</v>
      </c>
      <c r="V803">
        <v>3</v>
      </c>
      <c r="W803" t="s">
        <v>42</v>
      </c>
      <c r="X803" t="s">
        <v>35</v>
      </c>
      <c r="Y803" t="str">
        <f t="shared" si="85"/>
        <v>Yes</v>
      </c>
      <c r="Z803">
        <v>14</v>
      </c>
      <c r="AA803">
        <v>3</v>
      </c>
      <c r="AB803">
        <v>4</v>
      </c>
      <c r="AC803">
        <v>80</v>
      </c>
      <c r="AD803">
        <v>0</v>
      </c>
      <c r="AE803" s="5">
        <v>5</v>
      </c>
      <c r="AF803" t="str">
        <f t="shared" si="86"/>
        <v>0-5</v>
      </c>
      <c r="AG803">
        <v>4</v>
      </c>
      <c r="AH803">
        <v>3</v>
      </c>
      <c r="AI803" s="5">
        <v>0</v>
      </c>
      <c r="AJ803">
        <v>0</v>
      </c>
      <c r="AK803">
        <v>0</v>
      </c>
      <c r="AL803">
        <v>0</v>
      </c>
      <c r="AM803" t="str">
        <f t="shared" si="87"/>
        <v>Below Avg</v>
      </c>
      <c r="AN803" s="21">
        <f t="shared" si="88"/>
        <v>27.014925373134329</v>
      </c>
      <c r="AO803" t="str">
        <f t="shared" ca="1" si="89"/>
        <v>No</v>
      </c>
      <c r="AP803" t="str">
        <f t="shared" si="90"/>
        <v>High Risk</v>
      </c>
    </row>
    <row r="804" spans="1:42" x14ac:dyDescent="0.3">
      <c r="A804" s="5">
        <v>33</v>
      </c>
      <c r="B804" s="5" t="s">
        <v>43</v>
      </c>
      <c r="C804" s="5" t="str">
        <f t="shared" si="84"/>
        <v>No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 s="5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 s="5">
        <v>4302</v>
      </c>
      <c r="U804">
        <v>13401</v>
      </c>
      <c r="V804">
        <v>0</v>
      </c>
      <c r="W804" t="s">
        <v>42</v>
      </c>
      <c r="X804" t="s">
        <v>43</v>
      </c>
      <c r="Y804" t="str">
        <f t="shared" si="85"/>
        <v>No</v>
      </c>
      <c r="Z804">
        <v>17</v>
      </c>
      <c r="AA804">
        <v>3</v>
      </c>
      <c r="AB804">
        <v>3</v>
      </c>
      <c r="AC804">
        <v>80</v>
      </c>
      <c r="AD804">
        <v>1</v>
      </c>
      <c r="AE804" s="5">
        <v>4</v>
      </c>
      <c r="AF804" t="str">
        <f t="shared" si="86"/>
        <v>0-5</v>
      </c>
      <c r="AG804">
        <v>3</v>
      </c>
      <c r="AH804">
        <v>3</v>
      </c>
      <c r="AI804" s="5">
        <v>3</v>
      </c>
      <c r="AJ804">
        <v>2</v>
      </c>
      <c r="AK804">
        <v>0</v>
      </c>
      <c r="AL804">
        <v>2</v>
      </c>
      <c r="AM804" t="str">
        <f t="shared" si="87"/>
        <v>Below Avg</v>
      </c>
      <c r="AN804" s="21">
        <f t="shared" si="88"/>
        <v>27.055306427503741</v>
      </c>
      <c r="AO804" t="str">
        <f t="shared" ca="1" si="89"/>
        <v>No</v>
      </c>
      <c r="AP804" t="str">
        <f t="shared" si="90"/>
        <v>Low Risk</v>
      </c>
    </row>
    <row r="805" spans="1:42" x14ac:dyDescent="0.3">
      <c r="A805" s="5">
        <v>34</v>
      </c>
      <c r="B805" s="5" t="s">
        <v>43</v>
      </c>
      <c r="C805" s="5" t="str">
        <f t="shared" si="84"/>
        <v>No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 s="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 s="5">
        <v>2979</v>
      </c>
      <c r="U805">
        <v>22478</v>
      </c>
      <c r="V805">
        <v>3</v>
      </c>
      <c r="W805" t="s">
        <v>42</v>
      </c>
      <c r="X805" t="s">
        <v>43</v>
      </c>
      <c r="Y805" t="str">
        <f t="shared" si="85"/>
        <v>No</v>
      </c>
      <c r="Z805">
        <v>17</v>
      </c>
      <c r="AA805">
        <v>3</v>
      </c>
      <c r="AB805">
        <v>4</v>
      </c>
      <c r="AC805">
        <v>80</v>
      </c>
      <c r="AD805">
        <v>3</v>
      </c>
      <c r="AE805" s="5">
        <v>6</v>
      </c>
      <c r="AF805" t="str">
        <f t="shared" si="86"/>
        <v>6-15</v>
      </c>
      <c r="AG805">
        <v>2</v>
      </c>
      <c r="AH805">
        <v>3</v>
      </c>
      <c r="AI805" s="5">
        <v>0</v>
      </c>
      <c r="AJ805">
        <v>0</v>
      </c>
      <c r="AK805">
        <v>0</v>
      </c>
      <c r="AL805">
        <v>0</v>
      </c>
      <c r="AM805" t="str">
        <f t="shared" si="87"/>
        <v>Below Avg</v>
      </c>
      <c r="AN805" s="21">
        <f t="shared" si="88"/>
        <v>26.946107784431138</v>
      </c>
      <c r="AO805" t="str">
        <f t="shared" ca="1" si="89"/>
        <v>No</v>
      </c>
      <c r="AP805" t="str">
        <f t="shared" si="90"/>
        <v>Low Risk</v>
      </c>
    </row>
    <row r="806" spans="1:42" x14ac:dyDescent="0.3">
      <c r="A806" s="5">
        <v>48</v>
      </c>
      <c r="B806" s="5" t="s">
        <v>43</v>
      </c>
      <c r="C806" s="5" t="str">
        <f t="shared" si="84"/>
        <v>No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 s="5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 s="5">
        <v>16885</v>
      </c>
      <c r="U806">
        <v>16154</v>
      </c>
      <c r="V806">
        <v>2</v>
      </c>
      <c r="W806" t="s">
        <v>42</v>
      </c>
      <c r="X806" t="s">
        <v>43</v>
      </c>
      <c r="Y806" t="str">
        <f t="shared" si="85"/>
        <v>No</v>
      </c>
      <c r="Z806">
        <v>22</v>
      </c>
      <c r="AA806">
        <v>4</v>
      </c>
      <c r="AB806">
        <v>3</v>
      </c>
      <c r="AC806">
        <v>80</v>
      </c>
      <c r="AD806">
        <v>0</v>
      </c>
      <c r="AE806" s="5">
        <v>27</v>
      </c>
      <c r="AF806" t="str">
        <f t="shared" si="86"/>
        <v>&gt;15</v>
      </c>
      <c r="AG806">
        <v>3</v>
      </c>
      <c r="AH806">
        <v>2</v>
      </c>
      <c r="AI806" s="5">
        <v>5</v>
      </c>
      <c r="AJ806">
        <v>4</v>
      </c>
      <c r="AK806">
        <v>2</v>
      </c>
      <c r="AL806">
        <v>1</v>
      </c>
      <c r="AM806" t="str">
        <f t="shared" si="87"/>
        <v>Ok</v>
      </c>
      <c r="AN806" s="21">
        <f t="shared" si="88"/>
        <v>26.986506746626688</v>
      </c>
      <c r="AO806" t="str">
        <f t="shared" ca="1" si="89"/>
        <v>No</v>
      </c>
      <c r="AP806" t="str">
        <f t="shared" si="90"/>
        <v>Low Risk</v>
      </c>
    </row>
    <row r="807" spans="1:42" x14ac:dyDescent="0.3">
      <c r="A807" s="5">
        <v>45</v>
      </c>
      <c r="B807" s="5" t="s">
        <v>43</v>
      </c>
      <c r="C807" s="5" t="str">
        <f t="shared" si="84"/>
        <v>No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 s="5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 s="5">
        <v>5593</v>
      </c>
      <c r="U807">
        <v>17970</v>
      </c>
      <c r="V807">
        <v>1</v>
      </c>
      <c r="W807" t="s">
        <v>42</v>
      </c>
      <c r="X807" t="s">
        <v>43</v>
      </c>
      <c r="Y807" t="str">
        <f t="shared" si="85"/>
        <v>No</v>
      </c>
      <c r="Z807">
        <v>13</v>
      </c>
      <c r="AA807">
        <v>3</v>
      </c>
      <c r="AB807">
        <v>4</v>
      </c>
      <c r="AC807">
        <v>80</v>
      </c>
      <c r="AD807">
        <v>1</v>
      </c>
      <c r="AE807" s="5">
        <v>15</v>
      </c>
      <c r="AF807" t="str">
        <f t="shared" si="86"/>
        <v>6-15</v>
      </c>
      <c r="AG807">
        <v>2</v>
      </c>
      <c r="AH807">
        <v>3</v>
      </c>
      <c r="AI807" s="5">
        <v>15</v>
      </c>
      <c r="AJ807">
        <v>10</v>
      </c>
      <c r="AK807">
        <v>4</v>
      </c>
      <c r="AL807">
        <v>12</v>
      </c>
      <c r="AM807" t="str">
        <f t="shared" si="87"/>
        <v>Below Avg</v>
      </c>
      <c r="AN807" s="21">
        <f t="shared" si="88"/>
        <v>27.027027027027028</v>
      </c>
      <c r="AO807" t="str">
        <f t="shared" ca="1" si="89"/>
        <v>No</v>
      </c>
      <c r="AP807" t="str">
        <f t="shared" si="90"/>
        <v>Low Risk</v>
      </c>
    </row>
    <row r="808" spans="1:42" x14ac:dyDescent="0.3">
      <c r="A808" s="5">
        <v>52</v>
      </c>
      <c r="B808" s="5" t="s">
        <v>43</v>
      </c>
      <c r="C808" s="5" t="str">
        <f t="shared" si="84"/>
        <v>No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 s="5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 s="5">
        <v>10445</v>
      </c>
      <c r="U808">
        <v>15322</v>
      </c>
      <c r="V808">
        <v>7</v>
      </c>
      <c r="W808" t="s">
        <v>42</v>
      </c>
      <c r="X808" t="s">
        <v>43</v>
      </c>
      <c r="Y808" t="str">
        <f t="shared" si="85"/>
        <v>No</v>
      </c>
      <c r="Z808">
        <v>19</v>
      </c>
      <c r="AA808">
        <v>3</v>
      </c>
      <c r="AB808">
        <v>4</v>
      </c>
      <c r="AC808">
        <v>80</v>
      </c>
      <c r="AD808">
        <v>0</v>
      </c>
      <c r="AE808" s="5">
        <v>18</v>
      </c>
      <c r="AF808" t="str">
        <f t="shared" si="86"/>
        <v>&gt;15</v>
      </c>
      <c r="AG808">
        <v>4</v>
      </c>
      <c r="AH808">
        <v>3</v>
      </c>
      <c r="AI808" s="5">
        <v>8</v>
      </c>
      <c r="AJ808">
        <v>6</v>
      </c>
      <c r="AK808">
        <v>4</v>
      </c>
      <c r="AL808">
        <v>0</v>
      </c>
      <c r="AM808" t="str">
        <f t="shared" si="87"/>
        <v>Ok</v>
      </c>
      <c r="AN808" s="21">
        <f t="shared" si="88"/>
        <v>27.06766917293233</v>
      </c>
      <c r="AO808" t="str">
        <f t="shared" ca="1" si="89"/>
        <v>No</v>
      </c>
      <c r="AP808" t="str">
        <f t="shared" si="90"/>
        <v>Low Risk</v>
      </c>
    </row>
    <row r="809" spans="1:42" x14ac:dyDescent="0.3">
      <c r="A809" s="5">
        <v>38</v>
      </c>
      <c r="B809" s="5" t="s">
        <v>43</v>
      </c>
      <c r="C809" s="5" t="str">
        <f t="shared" si="84"/>
        <v>No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 s="5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 s="5">
        <v>8740</v>
      </c>
      <c r="U809">
        <v>5569</v>
      </c>
      <c r="V809">
        <v>0</v>
      </c>
      <c r="W809" t="s">
        <v>42</v>
      </c>
      <c r="X809" t="s">
        <v>35</v>
      </c>
      <c r="Y809" t="str">
        <f t="shared" si="85"/>
        <v>Yes</v>
      </c>
      <c r="Z809">
        <v>14</v>
      </c>
      <c r="AA809">
        <v>3</v>
      </c>
      <c r="AB809">
        <v>2</v>
      </c>
      <c r="AC809">
        <v>80</v>
      </c>
      <c r="AD809">
        <v>2</v>
      </c>
      <c r="AE809" s="5">
        <v>9</v>
      </c>
      <c r="AF809" t="str">
        <f t="shared" si="86"/>
        <v>6-15</v>
      </c>
      <c r="AG809">
        <v>2</v>
      </c>
      <c r="AH809">
        <v>3</v>
      </c>
      <c r="AI809" s="5">
        <v>8</v>
      </c>
      <c r="AJ809">
        <v>7</v>
      </c>
      <c r="AK809">
        <v>2</v>
      </c>
      <c r="AL809">
        <v>7</v>
      </c>
      <c r="AM809" t="str">
        <f t="shared" si="87"/>
        <v>Ok</v>
      </c>
      <c r="AN809" s="21">
        <f t="shared" si="88"/>
        <v>27.108433734939759</v>
      </c>
      <c r="AO809" t="str">
        <f t="shared" ca="1" si="89"/>
        <v>No</v>
      </c>
      <c r="AP809" t="str">
        <f t="shared" si="90"/>
        <v>Low Risk</v>
      </c>
    </row>
    <row r="810" spans="1:42" x14ac:dyDescent="0.3">
      <c r="A810" s="5">
        <v>29</v>
      </c>
      <c r="B810" s="5" t="s">
        <v>43</v>
      </c>
      <c r="C810" s="5" t="str">
        <f t="shared" si="84"/>
        <v>No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 s="5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 s="5">
        <v>2514</v>
      </c>
      <c r="U810">
        <v>26968</v>
      </c>
      <c r="V810">
        <v>4</v>
      </c>
      <c r="W810" t="s">
        <v>42</v>
      </c>
      <c r="X810" t="s">
        <v>43</v>
      </c>
      <c r="Y810" t="str">
        <f t="shared" si="85"/>
        <v>No</v>
      </c>
      <c r="Z810">
        <v>22</v>
      </c>
      <c r="AA810">
        <v>4</v>
      </c>
      <c r="AB810">
        <v>1</v>
      </c>
      <c r="AC810">
        <v>80</v>
      </c>
      <c r="AD810">
        <v>1</v>
      </c>
      <c r="AE810" s="5">
        <v>11</v>
      </c>
      <c r="AF810" t="str">
        <f t="shared" si="86"/>
        <v>6-15</v>
      </c>
      <c r="AG810">
        <v>1</v>
      </c>
      <c r="AH810">
        <v>3</v>
      </c>
      <c r="AI810" s="5">
        <v>7</v>
      </c>
      <c r="AJ810">
        <v>5</v>
      </c>
      <c r="AK810">
        <v>1</v>
      </c>
      <c r="AL810">
        <v>7</v>
      </c>
      <c r="AM810" t="str">
        <f t="shared" si="87"/>
        <v>Below Avg</v>
      </c>
      <c r="AN810" s="21">
        <f t="shared" si="88"/>
        <v>27.149321266968325</v>
      </c>
      <c r="AO810" t="str">
        <f t="shared" ca="1" si="89"/>
        <v>No</v>
      </c>
      <c r="AP810" t="str">
        <f t="shared" si="90"/>
        <v>Low Risk</v>
      </c>
    </row>
    <row r="811" spans="1:42" x14ac:dyDescent="0.3">
      <c r="A811" s="5">
        <v>28</v>
      </c>
      <c r="B811" s="5" t="s">
        <v>43</v>
      </c>
      <c r="C811" s="5" t="str">
        <f t="shared" si="84"/>
        <v>No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 s="5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 s="5">
        <v>7655</v>
      </c>
      <c r="U811">
        <v>8039</v>
      </c>
      <c r="V811">
        <v>0</v>
      </c>
      <c r="W811" t="s">
        <v>42</v>
      </c>
      <c r="X811" t="s">
        <v>43</v>
      </c>
      <c r="Y811" t="str">
        <f t="shared" si="85"/>
        <v>No</v>
      </c>
      <c r="Z811">
        <v>17</v>
      </c>
      <c r="AA811">
        <v>3</v>
      </c>
      <c r="AB811">
        <v>2</v>
      </c>
      <c r="AC811">
        <v>80</v>
      </c>
      <c r="AD811">
        <v>3</v>
      </c>
      <c r="AE811" s="5">
        <v>10</v>
      </c>
      <c r="AF811" t="str">
        <f t="shared" si="86"/>
        <v>6-15</v>
      </c>
      <c r="AG811">
        <v>3</v>
      </c>
      <c r="AH811">
        <v>2</v>
      </c>
      <c r="AI811" s="5">
        <v>9</v>
      </c>
      <c r="AJ811">
        <v>7</v>
      </c>
      <c r="AK811">
        <v>1</v>
      </c>
      <c r="AL811">
        <v>7</v>
      </c>
      <c r="AM811" t="str">
        <f t="shared" si="87"/>
        <v>Ok</v>
      </c>
      <c r="AN811" s="21">
        <f t="shared" si="88"/>
        <v>27.0392749244713</v>
      </c>
      <c r="AO811" t="str">
        <f t="shared" ca="1" si="89"/>
        <v>No</v>
      </c>
      <c r="AP811" t="str">
        <f t="shared" si="90"/>
        <v>Low Risk</v>
      </c>
    </row>
    <row r="812" spans="1:42" x14ac:dyDescent="0.3">
      <c r="A812" s="5">
        <v>46</v>
      </c>
      <c r="B812" s="5" t="s">
        <v>43</v>
      </c>
      <c r="C812" s="5" t="str">
        <f t="shared" si="84"/>
        <v>No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 s="5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 s="5">
        <v>17465</v>
      </c>
      <c r="U812">
        <v>15596</v>
      </c>
      <c r="V812">
        <v>3</v>
      </c>
      <c r="W812" t="s">
        <v>42</v>
      </c>
      <c r="X812" t="s">
        <v>43</v>
      </c>
      <c r="Y812" t="str">
        <f t="shared" si="85"/>
        <v>No</v>
      </c>
      <c r="Z812">
        <v>12</v>
      </c>
      <c r="AA812">
        <v>3</v>
      </c>
      <c r="AB812">
        <v>4</v>
      </c>
      <c r="AC812">
        <v>80</v>
      </c>
      <c r="AD812">
        <v>1</v>
      </c>
      <c r="AE812" s="5">
        <v>23</v>
      </c>
      <c r="AF812" t="str">
        <f t="shared" si="86"/>
        <v>&gt;15</v>
      </c>
      <c r="AG812">
        <v>3</v>
      </c>
      <c r="AH812">
        <v>3</v>
      </c>
      <c r="AI812" s="5">
        <v>12</v>
      </c>
      <c r="AJ812">
        <v>9</v>
      </c>
      <c r="AK812">
        <v>4</v>
      </c>
      <c r="AL812">
        <v>9</v>
      </c>
      <c r="AM812" t="str">
        <f t="shared" si="87"/>
        <v>Ok</v>
      </c>
      <c r="AN812" s="21">
        <f t="shared" si="88"/>
        <v>27.080181543116488</v>
      </c>
      <c r="AO812" t="str">
        <f t="shared" ca="1" si="89"/>
        <v>No</v>
      </c>
      <c r="AP812" t="str">
        <f t="shared" si="90"/>
        <v>Low Risk</v>
      </c>
    </row>
    <row r="813" spans="1:42" x14ac:dyDescent="0.3">
      <c r="A813" s="5">
        <v>38</v>
      </c>
      <c r="B813" s="5" t="s">
        <v>43</v>
      </c>
      <c r="C813" s="5" t="str">
        <f t="shared" si="84"/>
        <v>No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 s="5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 s="5">
        <v>7351</v>
      </c>
      <c r="U813">
        <v>20619</v>
      </c>
      <c r="V813">
        <v>7</v>
      </c>
      <c r="W813" t="s">
        <v>42</v>
      </c>
      <c r="X813" t="s">
        <v>43</v>
      </c>
      <c r="Y813" t="str">
        <f t="shared" si="85"/>
        <v>No</v>
      </c>
      <c r="Z813">
        <v>16</v>
      </c>
      <c r="AA813">
        <v>3</v>
      </c>
      <c r="AB813">
        <v>3</v>
      </c>
      <c r="AC813">
        <v>80</v>
      </c>
      <c r="AD813">
        <v>0</v>
      </c>
      <c r="AE813" s="5">
        <v>10</v>
      </c>
      <c r="AF813" t="str">
        <f t="shared" si="86"/>
        <v>6-15</v>
      </c>
      <c r="AG813">
        <v>2</v>
      </c>
      <c r="AH813">
        <v>3</v>
      </c>
      <c r="AI813" s="5">
        <v>1</v>
      </c>
      <c r="AJ813">
        <v>0</v>
      </c>
      <c r="AK813">
        <v>0</v>
      </c>
      <c r="AL813">
        <v>0</v>
      </c>
      <c r="AM813" t="str">
        <f t="shared" si="87"/>
        <v>Ok</v>
      </c>
      <c r="AN813" s="21">
        <f t="shared" si="88"/>
        <v>27.121212121212125</v>
      </c>
      <c r="AO813" t="str">
        <f t="shared" ca="1" si="89"/>
        <v>No</v>
      </c>
      <c r="AP813" t="str">
        <f t="shared" si="90"/>
        <v>Low Risk</v>
      </c>
    </row>
    <row r="814" spans="1:42" x14ac:dyDescent="0.3">
      <c r="A814" s="5">
        <v>43</v>
      </c>
      <c r="B814" s="5" t="s">
        <v>43</v>
      </c>
      <c r="C814" s="5" t="str">
        <f t="shared" si="84"/>
        <v>No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 s="5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 s="5">
        <v>10820</v>
      </c>
      <c r="U814">
        <v>11535</v>
      </c>
      <c r="V814">
        <v>8</v>
      </c>
      <c r="W814" t="s">
        <v>42</v>
      </c>
      <c r="X814" t="s">
        <v>43</v>
      </c>
      <c r="Y814" t="str">
        <f t="shared" si="85"/>
        <v>No</v>
      </c>
      <c r="Z814">
        <v>11</v>
      </c>
      <c r="AA814">
        <v>3</v>
      </c>
      <c r="AB814">
        <v>3</v>
      </c>
      <c r="AC814">
        <v>80</v>
      </c>
      <c r="AD814">
        <v>1</v>
      </c>
      <c r="AE814" s="5">
        <v>18</v>
      </c>
      <c r="AF814" t="str">
        <f t="shared" si="86"/>
        <v>&gt;15</v>
      </c>
      <c r="AG814">
        <v>1</v>
      </c>
      <c r="AH814">
        <v>3</v>
      </c>
      <c r="AI814" s="5">
        <v>8</v>
      </c>
      <c r="AJ814">
        <v>7</v>
      </c>
      <c r="AK814">
        <v>0</v>
      </c>
      <c r="AL814">
        <v>1</v>
      </c>
      <c r="AM814" t="str">
        <f t="shared" si="87"/>
        <v>Ok</v>
      </c>
      <c r="AN814" s="21">
        <f t="shared" si="88"/>
        <v>27.16236722306525</v>
      </c>
      <c r="AO814" t="str">
        <f t="shared" ca="1" si="89"/>
        <v>No</v>
      </c>
      <c r="AP814" t="str">
        <f t="shared" si="90"/>
        <v>Low Risk</v>
      </c>
    </row>
    <row r="815" spans="1:42" x14ac:dyDescent="0.3">
      <c r="A815" s="5">
        <v>39</v>
      </c>
      <c r="B815" s="5" t="s">
        <v>35</v>
      </c>
      <c r="C815" s="5" t="str">
        <f t="shared" si="84"/>
        <v>Yes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 s="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 s="5">
        <v>12169</v>
      </c>
      <c r="U815">
        <v>13547</v>
      </c>
      <c r="V815">
        <v>7</v>
      </c>
      <c r="W815" t="s">
        <v>42</v>
      </c>
      <c r="X815" t="s">
        <v>43</v>
      </c>
      <c r="Y815" t="str">
        <f t="shared" si="85"/>
        <v>No</v>
      </c>
      <c r="Z815">
        <v>11</v>
      </c>
      <c r="AA815">
        <v>3</v>
      </c>
      <c r="AB815">
        <v>4</v>
      </c>
      <c r="AC815">
        <v>80</v>
      </c>
      <c r="AD815">
        <v>3</v>
      </c>
      <c r="AE815" s="5">
        <v>21</v>
      </c>
      <c r="AF815" t="str">
        <f t="shared" si="86"/>
        <v>&gt;15</v>
      </c>
      <c r="AG815">
        <v>4</v>
      </c>
      <c r="AH815">
        <v>3</v>
      </c>
      <c r="AI815" s="5">
        <v>18</v>
      </c>
      <c r="AJ815">
        <v>7</v>
      </c>
      <c r="AK815">
        <v>11</v>
      </c>
      <c r="AL815">
        <v>5</v>
      </c>
      <c r="AM815" t="str">
        <f t="shared" si="87"/>
        <v>Ok</v>
      </c>
      <c r="AN815" s="21">
        <f t="shared" si="88"/>
        <v>27.203647416413375</v>
      </c>
      <c r="AO815" t="str">
        <f t="shared" ca="1" si="89"/>
        <v>No</v>
      </c>
      <c r="AP815" t="str">
        <f t="shared" si="90"/>
        <v>Low Risk</v>
      </c>
    </row>
    <row r="816" spans="1:42" x14ac:dyDescent="0.3">
      <c r="A816" s="5">
        <v>40</v>
      </c>
      <c r="B816" s="5" t="s">
        <v>43</v>
      </c>
      <c r="C816" s="5" t="str">
        <f t="shared" si="84"/>
        <v>No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 s="5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 s="5">
        <v>19626</v>
      </c>
      <c r="U816">
        <v>17544</v>
      </c>
      <c r="V816">
        <v>1</v>
      </c>
      <c r="W816" t="s">
        <v>42</v>
      </c>
      <c r="X816" t="s">
        <v>43</v>
      </c>
      <c r="Y816" t="str">
        <f t="shared" si="85"/>
        <v>No</v>
      </c>
      <c r="Z816">
        <v>14</v>
      </c>
      <c r="AA816">
        <v>3</v>
      </c>
      <c r="AB816">
        <v>1</v>
      </c>
      <c r="AC816">
        <v>80</v>
      </c>
      <c r="AD816">
        <v>0</v>
      </c>
      <c r="AE816" s="5">
        <v>21</v>
      </c>
      <c r="AF816" t="str">
        <f t="shared" si="86"/>
        <v>&gt;15</v>
      </c>
      <c r="AG816">
        <v>2</v>
      </c>
      <c r="AH816">
        <v>4</v>
      </c>
      <c r="AI816" s="5">
        <v>20</v>
      </c>
      <c r="AJ816">
        <v>7</v>
      </c>
      <c r="AK816">
        <v>4</v>
      </c>
      <c r="AL816">
        <v>9</v>
      </c>
      <c r="AM816" t="str">
        <f t="shared" si="87"/>
        <v>Ok</v>
      </c>
      <c r="AN816" s="21">
        <f t="shared" si="88"/>
        <v>27.24505327245053</v>
      </c>
      <c r="AO816" t="str">
        <f t="shared" ca="1" si="89"/>
        <v>No</v>
      </c>
      <c r="AP816" t="str">
        <f t="shared" si="90"/>
        <v>Low Risk</v>
      </c>
    </row>
    <row r="817" spans="1:42" x14ac:dyDescent="0.3">
      <c r="A817" s="5">
        <v>21</v>
      </c>
      <c r="B817" s="5" t="s">
        <v>43</v>
      </c>
      <c r="C817" s="5" t="str">
        <f t="shared" si="84"/>
        <v>No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 s="5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 s="5">
        <v>2070</v>
      </c>
      <c r="U817">
        <v>25326</v>
      </c>
      <c r="V817">
        <v>1</v>
      </c>
      <c r="W817" t="s">
        <v>42</v>
      </c>
      <c r="X817" t="s">
        <v>35</v>
      </c>
      <c r="Y817" t="str">
        <f t="shared" si="85"/>
        <v>Yes</v>
      </c>
      <c r="Z817">
        <v>11</v>
      </c>
      <c r="AA817">
        <v>3</v>
      </c>
      <c r="AB817">
        <v>3</v>
      </c>
      <c r="AC817">
        <v>80</v>
      </c>
      <c r="AD817">
        <v>0</v>
      </c>
      <c r="AE817" s="5">
        <v>2</v>
      </c>
      <c r="AF817" t="str">
        <f t="shared" si="86"/>
        <v>0-5</v>
      </c>
      <c r="AG817">
        <v>6</v>
      </c>
      <c r="AH817">
        <v>4</v>
      </c>
      <c r="AI817" s="5">
        <v>2</v>
      </c>
      <c r="AJ817">
        <v>2</v>
      </c>
      <c r="AK817">
        <v>2</v>
      </c>
      <c r="AL817">
        <v>2</v>
      </c>
      <c r="AM817" t="str">
        <f t="shared" si="87"/>
        <v>Below Avg</v>
      </c>
      <c r="AN817" s="21">
        <f t="shared" si="88"/>
        <v>27.286585365853661</v>
      </c>
      <c r="AO817" t="str">
        <f t="shared" ca="1" si="89"/>
        <v>No</v>
      </c>
      <c r="AP817" t="str">
        <f t="shared" si="90"/>
        <v>Low Risk</v>
      </c>
    </row>
    <row r="818" spans="1:42" x14ac:dyDescent="0.3">
      <c r="A818" s="5">
        <v>39</v>
      </c>
      <c r="B818" s="5" t="s">
        <v>43</v>
      </c>
      <c r="C818" s="5" t="str">
        <f t="shared" si="84"/>
        <v>No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 s="5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 s="5">
        <v>6782</v>
      </c>
      <c r="U818">
        <v>8770</v>
      </c>
      <c r="V818">
        <v>9</v>
      </c>
      <c r="W818" t="s">
        <v>42</v>
      </c>
      <c r="X818" t="s">
        <v>43</v>
      </c>
      <c r="Y818" t="str">
        <f t="shared" si="85"/>
        <v>No</v>
      </c>
      <c r="Z818">
        <v>15</v>
      </c>
      <c r="AA818">
        <v>3</v>
      </c>
      <c r="AB818">
        <v>3</v>
      </c>
      <c r="AC818">
        <v>80</v>
      </c>
      <c r="AD818">
        <v>0</v>
      </c>
      <c r="AE818" s="5">
        <v>9</v>
      </c>
      <c r="AF818" t="str">
        <f t="shared" si="86"/>
        <v>6-15</v>
      </c>
      <c r="AG818">
        <v>2</v>
      </c>
      <c r="AH818">
        <v>2</v>
      </c>
      <c r="AI818" s="5">
        <v>5</v>
      </c>
      <c r="AJ818">
        <v>4</v>
      </c>
      <c r="AK818">
        <v>0</v>
      </c>
      <c r="AL818">
        <v>3</v>
      </c>
      <c r="AM818" t="str">
        <f t="shared" si="87"/>
        <v>Ok</v>
      </c>
      <c r="AN818" s="21">
        <f t="shared" si="88"/>
        <v>27.328244274809162</v>
      </c>
      <c r="AO818" t="str">
        <f t="shared" ca="1" si="89"/>
        <v>No</v>
      </c>
      <c r="AP818" t="str">
        <f t="shared" si="90"/>
        <v>Low Risk</v>
      </c>
    </row>
    <row r="819" spans="1:42" x14ac:dyDescent="0.3">
      <c r="A819" s="5">
        <v>36</v>
      </c>
      <c r="B819" s="5" t="s">
        <v>43</v>
      </c>
      <c r="C819" s="5" t="str">
        <f t="shared" si="84"/>
        <v>No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 s="5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 s="5">
        <v>7779</v>
      </c>
      <c r="U819">
        <v>23238</v>
      </c>
      <c r="V819">
        <v>2</v>
      </c>
      <c r="W819" t="s">
        <v>42</v>
      </c>
      <c r="X819" t="s">
        <v>43</v>
      </c>
      <c r="Y819" t="str">
        <f t="shared" si="85"/>
        <v>No</v>
      </c>
      <c r="Z819">
        <v>20</v>
      </c>
      <c r="AA819">
        <v>4</v>
      </c>
      <c r="AB819">
        <v>1</v>
      </c>
      <c r="AC819">
        <v>80</v>
      </c>
      <c r="AD819">
        <v>0</v>
      </c>
      <c r="AE819" s="5">
        <v>18</v>
      </c>
      <c r="AF819" t="str">
        <f t="shared" si="86"/>
        <v>&gt;15</v>
      </c>
      <c r="AG819">
        <v>0</v>
      </c>
      <c r="AH819">
        <v>3</v>
      </c>
      <c r="AI819" s="5">
        <v>11</v>
      </c>
      <c r="AJ819">
        <v>9</v>
      </c>
      <c r="AK819">
        <v>0</v>
      </c>
      <c r="AL819">
        <v>9</v>
      </c>
      <c r="AM819" t="str">
        <f t="shared" si="87"/>
        <v>Ok</v>
      </c>
      <c r="AN819" s="21">
        <f t="shared" si="88"/>
        <v>27.217125382262996</v>
      </c>
      <c r="AO819" t="str">
        <f t="shared" ca="1" si="89"/>
        <v>No</v>
      </c>
      <c r="AP819" t="str">
        <f t="shared" si="90"/>
        <v>Low Risk</v>
      </c>
    </row>
    <row r="820" spans="1:42" x14ac:dyDescent="0.3">
      <c r="A820" s="5">
        <v>31</v>
      </c>
      <c r="B820" s="5" t="s">
        <v>43</v>
      </c>
      <c r="C820" s="5" t="str">
        <f t="shared" si="84"/>
        <v>No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 s="5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 s="5">
        <v>2791</v>
      </c>
      <c r="U820">
        <v>21981</v>
      </c>
      <c r="V820">
        <v>0</v>
      </c>
      <c r="W820" t="s">
        <v>42</v>
      </c>
      <c r="X820" t="s">
        <v>43</v>
      </c>
      <c r="Y820" t="str">
        <f t="shared" si="85"/>
        <v>No</v>
      </c>
      <c r="Z820">
        <v>12</v>
      </c>
      <c r="AA820">
        <v>3</v>
      </c>
      <c r="AB820">
        <v>1</v>
      </c>
      <c r="AC820">
        <v>80</v>
      </c>
      <c r="AD820">
        <v>1</v>
      </c>
      <c r="AE820" s="5">
        <v>3</v>
      </c>
      <c r="AF820" t="str">
        <f t="shared" si="86"/>
        <v>0-5</v>
      </c>
      <c r="AG820">
        <v>4</v>
      </c>
      <c r="AH820">
        <v>3</v>
      </c>
      <c r="AI820" s="5">
        <v>2</v>
      </c>
      <c r="AJ820">
        <v>2</v>
      </c>
      <c r="AK820">
        <v>2</v>
      </c>
      <c r="AL820">
        <v>2</v>
      </c>
      <c r="AM820" t="str">
        <f t="shared" si="87"/>
        <v>Below Avg</v>
      </c>
      <c r="AN820" s="21">
        <f t="shared" si="88"/>
        <v>27.258805513016842</v>
      </c>
      <c r="AO820" t="str">
        <f t="shared" ca="1" si="89"/>
        <v>No</v>
      </c>
      <c r="AP820" t="str">
        <f t="shared" si="90"/>
        <v>Low Risk</v>
      </c>
    </row>
    <row r="821" spans="1:42" x14ac:dyDescent="0.3">
      <c r="A821" s="5">
        <v>28</v>
      </c>
      <c r="B821" s="5" t="s">
        <v>43</v>
      </c>
      <c r="C821" s="5" t="str">
        <f t="shared" si="84"/>
        <v>No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 s="5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 s="5">
        <v>3201</v>
      </c>
      <c r="U821">
        <v>19911</v>
      </c>
      <c r="V821">
        <v>0</v>
      </c>
      <c r="W821" t="s">
        <v>42</v>
      </c>
      <c r="X821" t="s">
        <v>43</v>
      </c>
      <c r="Y821" t="str">
        <f t="shared" si="85"/>
        <v>No</v>
      </c>
      <c r="Z821">
        <v>17</v>
      </c>
      <c r="AA821">
        <v>3</v>
      </c>
      <c r="AB821">
        <v>1</v>
      </c>
      <c r="AC821">
        <v>80</v>
      </c>
      <c r="AD821">
        <v>0</v>
      </c>
      <c r="AE821" s="5">
        <v>6</v>
      </c>
      <c r="AF821" t="str">
        <f t="shared" si="86"/>
        <v>6-15</v>
      </c>
      <c r="AG821">
        <v>2</v>
      </c>
      <c r="AH821">
        <v>1</v>
      </c>
      <c r="AI821" s="5">
        <v>5</v>
      </c>
      <c r="AJ821">
        <v>3</v>
      </c>
      <c r="AK821">
        <v>0</v>
      </c>
      <c r="AL821">
        <v>4</v>
      </c>
      <c r="AM821" t="str">
        <f t="shared" si="87"/>
        <v>Below Avg</v>
      </c>
      <c r="AN821" s="21">
        <f t="shared" si="88"/>
        <v>27.300613496932513</v>
      </c>
      <c r="AO821" t="str">
        <f t="shared" ca="1" si="89"/>
        <v>No</v>
      </c>
      <c r="AP821" t="str">
        <f t="shared" si="90"/>
        <v>Low Risk</v>
      </c>
    </row>
    <row r="822" spans="1:42" x14ac:dyDescent="0.3">
      <c r="A822" s="5">
        <v>35</v>
      </c>
      <c r="B822" s="5" t="s">
        <v>43</v>
      </c>
      <c r="C822" s="5" t="str">
        <f t="shared" si="84"/>
        <v>No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 s="5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 s="5">
        <v>4968</v>
      </c>
      <c r="U822">
        <v>18500</v>
      </c>
      <c r="V822">
        <v>1</v>
      </c>
      <c r="W822" t="s">
        <v>42</v>
      </c>
      <c r="X822" t="s">
        <v>43</v>
      </c>
      <c r="Y822" t="str">
        <f t="shared" si="85"/>
        <v>No</v>
      </c>
      <c r="Z822">
        <v>11</v>
      </c>
      <c r="AA822">
        <v>3</v>
      </c>
      <c r="AB822">
        <v>4</v>
      </c>
      <c r="AC822">
        <v>80</v>
      </c>
      <c r="AD822">
        <v>1</v>
      </c>
      <c r="AE822" s="5">
        <v>5</v>
      </c>
      <c r="AF822" t="str">
        <f t="shared" si="86"/>
        <v>0-5</v>
      </c>
      <c r="AG822">
        <v>3</v>
      </c>
      <c r="AH822">
        <v>3</v>
      </c>
      <c r="AI822" s="5">
        <v>5</v>
      </c>
      <c r="AJ822">
        <v>2</v>
      </c>
      <c r="AK822">
        <v>0</v>
      </c>
      <c r="AL822">
        <v>2</v>
      </c>
      <c r="AM822" t="str">
        <f t="shared" si="87"/>
        <v>Below Avg</v>
      </c>
      <c r="AN822" s="21">
        <f t="shared" si="88"/>
        <v>27.342549923195087</v>
      </c>
      <c r="AO822" t="str">
        <f t="shared" ca="1" si="89"/>
        <v>No</v>
      </c>
      <c r="AP822" t="str">
        <f t="shared" si="90"/>
        <v>Low Risk</v>
      </c>
    </row>
    <row r="823" spans="1:42" x14ac:dyDescent="0.3">
      <c r="A823" s="5">
        <v>49</v>
      </c>
      <c r="B823" s="5" t="s">
        <v>43</v>
      </c>
      <c r="C823" s="5" t="str">
        <f t="shared" si="84"/>
        <v>No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 s="5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 s="5">
        <v>13120</v>
      </c>
      <c r="U823">
        <v>11879</v>
      </c>
      <c r="V823">
        <v>6</v>
      </c>
      <c r="W823" t="s">
        <v>42</v>
      </c>
      <c r="X823" t="s">
        <v>43</v>
      </c>
      <c r="Y823" t="str">
        <f t="shared" si="85"/>
        <v>No</v>
      </c>
      <c r="Z823">
        <v>17</v>
      </c>
      <c r="AA823">
        <v>3</v>
      </c>
      <c r="AB823">
        <v>2</v>
      </c>
      <c r="AC823">
        <v>80</v>
      </c>
      <c r="AD823">
        <v>1</v>
      </c>
      <c r="AE823" s="5">
        <v>22</v>
      </c>
      <c r="AF823" t="str">
        <f t="shared" si="86"/>
        <v>&gt;15</v>
      </c>
      <c r="AG823">
        <v>3</v>
      </c>
      <c r="AH823">
        <v>3</v>
      </c>
      <c r="AI823" s="5">
        <v>9</v>
      </c>
      <c r="AJ823">
        <v>8</v>
      </c>
      <c r="AK823">
        <v>2</v>
      </c>
      <c r="AL823">
        <v>3</v>
      </c>
      <c r="AM823" t="str">
        <f t="shared" si="87"/>
        <v>Ok</v>
      </c>
      <c r="AN823" s="21">
        <f t="shared" si="88"/>
        <v>27.384615384615387</v>
      </c>
      <c r="AO823" t="str">
        <f t="shared" ca="1" si="89"/>
        <v>No</v>
      </c>
      <c r="AP823" t="str">
        <f t="shared" si="90"/>
        <v>Low Risk</v>
      </c>
    </row>
    <row r="824" spans="1:42" x14ac:dyDescent="0.3">
      <c r="A824" s="5">
        <v>34</v>
      </c>
      <c r="B824" s="5" t="s">
        <v>43</v>
      </c>
      <c r="C824" s="5" t="str">
        <f t="shared" si="84"/>
        <v>No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 s="5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 s="5">
        <v>4033</v>
      </c>
      <c r="U824">
        <v>15834</v>
      </c>
      <c r="V824">
        <v>2</v>
      </c>
      <c r="W824" t="s">
        <v>42</v>
      </c>
      <c r="X824" t="s">
        <v>43</v>
      </c>
      <c r="Y824" t="str">
        <f t="shared" si="85"/>
        <v>No</v>
      </c>
      <c r="Z824">
        <v>11</v>
      </c>
      <c r="AA824">
        <v>3</v>
      </c>
      <c r="AB824">
        <v>4</v>
      </c>
      <c r="AC824">
        <v>80</v>
      </c>
      <c r="AD824">
        <v>0</v>
      </c>
      <c r="AE824" s="5">
        <v>5</v>
      </c>
      <c r="AF824" t="str">
        <f t="shared" si="86"/>
        <v>0-5</v>
      </c>
      <c r="AG824">
        <v>3</v>
      </c>
      <c r="AH824">
        <v>2</v>
      </c>
      <c r="AI824" s="5">
        <v>3</v>
      </c>
      <c r="AJ824">
        <v>2</v>
      </c>
      <c r="AK824">
        <v>0</v>
      </c>
      <c r="AL824">
        <v>2</v>
      </c>
      <c r="AM824" t="str">
        <f t="shared" si="87"/>
        <v>Below Avg</v>
      </c>
      <c r="AN824" s="21">
        <f t="shared" si="88"/>
        <v>27.426810477657938</v>
      </c>
      <c r="AO824" t="str">
        <f t="shared" ca="1" si="89"/>
        <v>No</v>
      </c>
      <c r="AP824" t="str">
        <f t="shared" si="90"/>
        <v>Low Risk</v>
      </c>
    </row>
    <row r="825" spans="1:42" x14ac:dyDescent="0.3">
      <c r="A825" s="5">
        <v>29</v>
      </c>
      <c r="B825" s="5" t="s">
        <v>43</v>
      </c>
      <c r="C825" s="5" t="str">
        <f t="shared" si="84"/>
        <v>No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 s="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 s="5">
        <v>3291</v>
      </c>
      <c r="U825">
        <v>17940</v>
      </c>
      <c r="V825">
        <v>0</v>
      </c>
      <c r="W825" t="s">
        <v>42</v>
      </c>
      <c r="X825" t="s">
        <v>43</v>
      </c>
      <c r="Y825" t="str">
        <f t="shared" si="85"/>
        <v>No</v>
      </c>
      <c r="Z825">
        <v>14</v>
      </c>
      <c r="AA825">
        <v>3</v>
      </c>
      <c r="AB825">
        <v>4</v>
      </c>
      <c r="AC825">
        <v>80</v>
      </c>
      <c r="AD825">
        <v>2</v>
      </c>
      <c r="AE825" s="5">
        <v>8</v>
      </c>
      <c r="AF825" t="str">
        <f t="shared" si="86"/>
        <v>6-15</v>
      </c>
      <c r="AG825">
        <v>2</v>
      </c>
      <c r="AH825">
        <v>2</v>
      </c>
      <c r="AI825" s="5">
        <v>7</v>
      </c>
      <c r="AJ825">
        <v>5</v>
      </c>
      <c r="AK825">
        <v>1</v>
      </c>
      <c r="AL825">
        <v>1</v>
      </c>
      <c r="AM825" t="str">
        <f t="shared" si="87"/>
        <v>Below Avg</v>
      </c>
      <c r="AN825" s="21">
        <f t="shared" si="88"/>
        <v>27.469135802469136</v>
      </c>
      <c r="AO825" t="str">
        <f t="shared" ca="1" si="89"/>
        <v>No</v>
      </c>
      <c r="AP825" t="str">
        <f t="shared" si="90"/>
        <v>Low Risk</v>
      </c>
    </row>
    <row r="826" spans="1:42" x14ac:dyDescent="0.3">
      <c r="A826" s="5">
        <v>42</v>
      </c>
      <c r="B826" s="5" t="s">
        <v>43</v>
      </c>
      <c r="C826" s="5" t="str">
        <f t="shared" si="84"/>
        <v>No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 s="5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 s="5">
        <v>4272</v>
      </c>
      <c r="U826">
        <v>9558</v>
      </c>
      <c r="V826">
        <v>4</v>
      </c>
      <c r="W826" t="s">
        <v>42</v>
      </c>
      <c r="X826" t="s">
        <v>43</v>
      </c>
      <c r="Y826" t="str">
        <f t="shared" si="85"/>
        <v>No</v>
      </c>
      <c r="Z826">
        <v>19</v>
      </c>
      <c r="AA826">
        <v>3</v>
      </c>
      <c r="AB826">
        <v>1</v>
      </c>
      <c r="AC826">
        <v>80</v>
      </c>
      <c r="AD826">
        <v>0</v>
      </c>
      <c r="AE826" s="5">
        <v>16</v>
      </c>
      <c r="AF826" t="str">
        <f t="shared" si="86"/>
        <v>&gt;15</v>
      </c>
      <c r="AG826">
        <v>3</v>
      </c>
      <c r="AH826">
        <v>3</v>
      </c>
      <c r="AI826" s="5">
        <v>1</v>
      </c>
      <c r="AJ826">
        <v>0</v>
      </c>
      <c r="AK826">
        <v>0</v>
      </c>
      <c r="AL826">
        <v>0</v>
      </c>
      <c r="AM826" t="str">
        <f t="shared" si="87"/>
        <v>Below Avg</v>
      </c>
      <c r="AN826" s="21">
        <f t="shared" si="88"/>
        <v>27.511591962905719</v>
      </c>
      <c r="AO826" t="str">
        <f t="shared" ca="1" si="89"/>
        <v>No</v>
      </c>
      <c r="AP826" t="str">
        <f t="shared" si="90"/>
        <v>Low Risk</v>
      </c>
    </row>
    <row r="827" spans="1:42" x14ac:dyDescent="0.3">
      <c r="A827" s="5">
        <v>29</v>
      </c>
      <c r="B827" s="5" t="s">
        <v>43</v>
      </c>
      <c r="C827" s="5" t="str">
        <f t="shared" si="84"/>
        <v>No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 s="5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 s="5">
        <v>5056</v>
      </c>
      <c r="U827">
        <v>17689</v>
      </c>
      <c r="V827">
        <v>1</v>
      </c>
      <c r="W827" t="s">
        <v>42</v>
      </c>
      <c r="X827" t="s">
        <v>35</v>
      </c>
      <c r="Y827" t="str">
        <f t="shared" si="85"/>
        <v>Yes</v>
      </c>
      <c r="Z827">
        <v>15</v>
      </c>
      <c r="AA827">
        <v>3</v>
      </c>
      <c r="AB827">
        <v>3</v>
      </c>
      <c r="AC827">
        <v>80</v>
      </c>
      <c r="AD827">
        <v>1</v>
      </c>
      <c r="AE827" s="5">
        <v>10</v>
      </c>
      <c r="AF827" t="str">
        <f t="shared" si="86"/>
        <v>6-15</v>
      </c>
      <c r="AG827">
        <v>2</v>
      </c>
      <c r="AH827">
        <v>2</v>
      </c>
      <c r="AI827" s="5">
        <v>10</v>
      </c>
      <c r="AJ827">
        <v>7</v>
      </c>
      <c r="AK827">
        <v>1</v>
      </c>
      <c r="AL827">
        <v>2</v>
      </c>
      <c r="AM827" t="str">
        <f t="shared" si="87"/>
        <v>Below Avg</v>
      </c>
      <c r="AN827" s="21">
        <f t="shared" si="88"/>
        <v>27.554179566563469</v>
      </c>
      <c r="AO827" t="str">
        <f t="shared" ca="1" si="89"/>
        <v>No</v>
      </c>
      <c r="AP827" t="str">
        <f t="shared" si="90"/>
        <v>Low Risk</v>
      </c>
    </row>
    <row r="828" spans="1:42" x14ac:dyDescent="0.3">
      <c r="A828" s="5">
        <v>38</v>
      </c>
      <c r="B828" s="5" t="s">
        <v>43</v>
      </c>
      <c r="C828" s="5" t="str">
        <f t="shared" si="84"/>
        <v>No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 s="5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 s="5">
        <v>2844</v>
      </c>
      <c r="U828">
        <v>6004</v>
      </c>
      <c r="V828">
        <v>1</v>
      </c>
      <c r="W828" t="s">
        <v>42</v>
      </c>
      <c r="X828" t="s">
        <v>43</v>
      </c>
      <c r="Y828" t="str">
        <f t="shared" si="85"/>
        <v>No</v>
      </c>
      <c r="Z828">
        <v>13</v>
      </c>
      <c r="AA828">
        <v>3</v>
      </c>
      <c r="AB828">
        <v>4</v>
      </c>
      <c r="AC828">
        <v>80</v>
      </c>
      <c r="AD828">
        <v>1</v>
      </c>
      <c r="AE828" s="5">
        <v>7</v>
      </c>
      <c r="AF828" t="str">
        <f t="shared" si="86"/>
        <v>6-15</v>
      </c>
      <c r="AG828">
        <v>2</v>
      </c>
      <c r="AH828">
        <v>4</v>
      </c>
      <c r="AI828" s="5">
        <v>7</v>
      </c>
      <c r="AJ828">
        <v>6</v>
      </c>
      <c r="AK828">
        <v>5</v>
      </c>
      <c r="AL828">
        <v>0</v>
      </c>
      <c r="AM828" t="str">
        <f t="shared" si="87"/>
        <v>Below Avg</v>
      </c>
      <c r="AN828" s="21">
        <f t="shared" si="88"/>
        <v>27.596899224806204</v>
      </c>
      <c r="AO828" t="str">
        <f t="shared" ca="1" si="89"/>
        <v>No</v>
      </c>
      <c r="AP828" t="str">
        <f t="shared" si="90"/>
        <v>Low Risk</v>
      </c>
    </row>
    <row r="829" spans="1:42" x14ac:dyDescent="0.3">
      <c r="A829" s="5">
        <v>28</v>
      </c>
      <c r="B829" s="5" t="s">
        <v>43</v>
      </c>
      <c r="C829" s="5" t="str">
        <f t="shared" si="84"/>
        <v>No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 s="5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 s="5">
        <v>2703</v>
      </c>
      <c r="U829">
        <v>22088</v>
      </c>
      <c r="V829">
        <v>1</v>
      </c>
      <c r="W829" t="s">
        <v>42</v>
      </c>
      <c r="X829" t="s">
        <v>35</v>
      </c>
      <c r="Y829" t="str">
        <f t="shared" si="85"/>
        <v>Yes</v>
      </c>
      <c r="Z829">
        <v>14</v>
      </c>
      <c r="AA829">
        <v>3</v>
      </c>
      <c r="AB829">
        <v>4</v>
      </c>
      <c r="AC829">
        <v>80</v>
      </c>
      <c r="AD829">
        <v>1</v>
      </c>
      <c r="AE829" s="5">
        <v>3</v>
      </c>
      <c r="AF829" t="str">
        <f t="shared" si="86"/>
        <v>0-5</v>
      </c>
      <c r="AG829">
        <v>2</v>
      </c>
      <c r="AH829">
        <v>3</v>
      </c>
      <c r="AI829" s="5">
        <v>3</v>
      </c>
      <c r="AJ829">
        <v>1</v>
      </c>
      <c r="AK829">
        <v>0</v>
      </c>
      <c r="AL829">
        <v>2</v>
      </c>
      <c r="AM829" t="str">
        <f t="shared" si="87"/>
        <v>Below Avg</v>
      </c>
      <c r="AN829" s="21">
        <f t="shared" si="88"/>
        <v>27.48447204968944</v>
      </c>
      <c r="AO829" t="str">
        <f t="shared" ca="1" si="89"/>
        <v>No</v>
      </c>
      <c r="AP829" t="str">
        <f t="shared" si="90"/>
        <v>Low Risk</v>
      </c>
    </row>
    <row r="830" spans="1:42" x14ac:dyDescent="0.3">
      <c r="A830" s="5">
        <v>18</v>
      </c>
      <c r="B830" s="5" t="s">
        <v>35</v>
      </c>
      <c r="C830" s="5" t="str">
        <f t="shared" si="84"/>
        <v>Yes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 s="5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 s="5">
        <v>1904</v>
      </c>
      <c r="U830">
        <v>13556</v>
      </c>
      <c r="V830">
        <v>1</v>
      </c>
      <c r="W830" t="s">
        <v>42</v>
      </c>
      <c r="X830" t="s">
        <v>43</v>
      </c>
      <c r="Y830" t="str">
        <f t="shared" si="85"/>
        <v>No</v>
      </c>
      <c r="Z830">
        <v>12</v>
      </c>
      <c r="AA830">
        <v>3</v>
      </c>
      <c r="AB830">
        <v>4</v>
      </c>
      <c r="AC830">
        <v>80</v>
      </c>
      <c r="AD830">
        <v>0</v>
      </c>
      <c r="AE830" s="5">
        <v>0</v>
      </c>
      <c r="AF830" t="str">
        <f t="shared" si="86"/>
        <v>0-5</v>
      </c>
      <c r="AG830">
        <v>0</v>
      </c>
      <c r="AH830">
        <v>3</v>
      </c>
      <c r="AI830" s="5">
        <v>0</v>
      </c>
      <c r="AJ830">
        <v>0</v>
      </c>
      <c r="AK830">
        <v>0</v>
      </c>
      <c r="AL830">
        <v>0</v>
      </c>
      <c r="AM830" t="str">
        <f t="shared" si="87"/>
        <v>Below Avg</v>
      </c>
      <c r="AN830" s="21">
        <f t="shared" si="88"/>
        <v>27.527216174183515</v>
      </c>
      <c r="AO830" t="str">
        <f t="shared" ca="1" si="89"/>
        <v>No</v>
      </c>
      <c r="AP830" t="str">
        <f t="shared" si="90"/>
        <v>High Risk</v>
      </c>
    </row>
    <row r="831" spans="1:42" x14ac:dyDescent="0.3">
      <c r="A831" s="5">
        <v>33</v>
      </c>
      <c r="B831" s="5" t="s">
        <v>35</v>
      </c>
      <c r="C831" s="5" t="str">
        <f t="shared" si="84"/>
        <v>Yes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 s="5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 s="5">
        <v>8224</v>
      </c>
      <c r="U831">
        <v>18385</v>
      </c>
      <c r="V831">
        <v>0</v>
      </c>
      <c r="W831" t="s">
        <v>42</v>
      </c>
      <c r="X831" t="s">
        <v>35</v>
      </c>
      <c r="Y831" t="str">
        <f t="shared" si="85"/>
        <v>Yes</v>
      </c>
      <c r="Z831">
        <v>17</v>
      </c>
      <c r="AA831">
        <v>3</v>
      </c>
      <c r="AB831">
        <v>1</v>
      </c>
      <c r="AC831">
        <v>80</v>
      </c>
      <c r="AD831">
        <v>0</v>
      </c>
      <c r="AE831" s="5">
        <v>6</v>
      </c>
      <c r="AF831" t="str">
        <f t="shared" si="86"/>
        <v>6-15</v>
      </c>
      <c r="AG831">
        <v>3</v>
      </c>
      <c r="AH831">
        <v>3</v>
      </c>
      <c r="AI831" s="5">
        <v>5</v>
      </c>
      <c r="AJ831">
        <v>2</v>
      </c>
      <c r="AK831">
        <v>0</v>
      </c>
      <c r="AL831">
        <v>3</v>
      </c>
      <c r="AM831" t="str">
        <f t="shared" si="87"/>
        <v>Ok</v>
      </c>
      <c r="AN831" s="21">
        <f t="shared" si="88"/>
        <v>27.414330218068532</v>
      </c>
      <c r="AO831" t="str">
        <f t="shared" ca="1" si="89"/>
        <v>No</v>
      </c>
      <c r="AP831" t="str">
        <f t="shared" si="90"/>
        <v>Low Risk</v>
      </c>
    </row>
    <row r="832" spans="1:42" x14ac:dyDescent="0.3">
      <c r="A832" s="5">
        <v>41</v>
      </c>
      <c r="B832" s="5" t="s">
        <v>43</v>
      </c>
      <c r="C832" s="5" t="str">
        <f t="shared" si="84"/>
        <v>No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 s="5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 s="5">
        <v>4766</v>
      </c>
      <c r="U832">
        <v>9051</v>
      </c>
      <c r="V832">
        <v>3</v>
      </c>
      <c r="W832" t="s">
        <v>42</v>
      </c>
      <c r="X832" t="s">
        <v>35</v>
      </c>
      <c r="Y832" t="str">
        <f t="shared" si="85"/>
        <v>Yes</v>
      </c>
      <c r="Z832">
        <v>11</v>
      </c>
      <c r="AA832">
        <v>3</v>
      </c>
      <c r="AB832">
        <v>1</v>
      </c>
      <c r="AC832">
        <v>80</v>
      </c>
      <c r="AD832">
        <v>1</v>
      </c>
      <c r="AE832" s="5">
        <v>6</v>
      </c>
      <c r="AF832" t="str">
        <f t="shared" si="86"/>
        <v>6-15</v>
      </c>
      <c r="AG832">
        <v>4</v>
      </c>
      <c r="AH832">
        <v>3</v>
      </c>
      <c r="AI832" s="5">
        <v>1</v>
      </c>
      <c r="AJ832">
        <v>0</v>
      </c>
      <c r="AK832">
        <v>0</v>
      </c>
      <c r="AL832">
        <v>0</v>
      </c>
      <c r="AM832" t="str">
        <f t="shared" si="87"/>
        <v>Below Avg</v>
      </c>
      <c r="AN832" s="21">
        <f t="shared" si="88"/>
        <v>27.457098283931359</v>
      </c>
      <c r="AO832" t="str">
        <f t="shared" ca="1" si="89"/>
        <v>No</v>
      </c>
      <c r="AP832" t="str">
        <f t="shared" si="90"/>
        <v>Low Risk</v>
      </c>
    </row>
    <row r="833" spans="1:42" x14ac:dyDescent="0.3">
      <c r="A833" s="5">
        <v>31</v>
      </c>
      <c r="B833" s="5" t="s">
        <v>35</v>
      </c>
      <c r="C833" s="5" t="str">
        <f t="shared" si="84"/>
        <v>Yes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 s="5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 s="5">
        <v>2610</v>
      </c>
      <c r="U833">
        <v>6233</v>
      </c>
      <c r="V833">
        <v>1</v>
      </c>
      <c r="W833" t="s">
        <v>42</v>
      </c>
      <c r="X833" t="s">
        <v>43</v>
      </c>
      <c r="Y833" t="str">
        <f t="shared" si="85"/>
        <v>No</v>
      </c>
      <c r="Z833">
        <v>12</v>
      </c>
      <c r="AA833">
        <v>3</v>
      </c>
      <c r="AB833">
        <v>3</v>
      </c>
      <c r="AC833">
        <v>80</v>
      </c>
      <c r="AD833">
        <v>1</v>
      </c>
      <c r="AE833" s="5">
        <v>2</v>
      </c>
      <c r="AF833" t="str">
        <f t="shared" si="86"/>
        <v>0-5</v>
      </c>
      <c r="AG833">
        <v>5</v>
      </c>
      <c r="AH833">
        <v>2</v>
      </c>
      <c r="AI833" s="5">
        <v>2</v>
      </c>
      <c r="AJ833">
        <v>2</v>
      </c>
      <c r="AK833">
        <v>2</v>
      </c>
      <c r="AL833">
        <v>2</v>
      </c>
      <c r="AM833" t="str">
        <f t="shared" si="87"/>
        <v>Below Avg</v>
      </c>
      <c r="AN833" s="21">
        <f t="shared" si="88"/>
        <v>27.34375</v>
      </c>
      <c r="AO833" t="str">
        <f t="shared" ca="1" si="89"/>
        <v>No</v>
      </c>
      <c r="AP833" t="str">
        <f t="shared" si="90"/>
        <v>Low Risk</v>
      </c>
    </row>
    <row r="834" spans="1:42" x14ac:dyDescent="0.3">
      <c r="A834" s="5">
        <v>37</v>
      </c>
      <c r="B834" s="5" t="s">
        <v>43</v>
      </c>
      <c r="C834" s="5" t="str">
        <f t="shared" si="84"/>
        <v>No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 s="5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 s="5">
        <v>5731</v>
      </c>
      <c r="U834">
        <v>17171</v>
      </c>
      <c r="V834">
        <v>7</v>
      </c>
      <c r="W834" t="s">
        <v>42</v>
      </c>
      <c r="X834" t="s">
        <v>43</v>
      </c>
      <c r="Y834" t="str">
        <f t="shared" si="85"/>
        <v>No</v>
      </c>
      <c r="Z834">
        <v>13</v>
      </c>
      <c r="AA834">
        <v>3</v>
      </c>
      <c r="AB834">
        <v>3</v>
      </c>
      <c r="AC834">
        <v>80</v>
      </c>
      <c r="AD834">
        <v>2</v>
      </c>
      <c r="AE834" s="5">
        <v>9</v>
      </c>
      <c r="AF834" t="str">
        <f t="shared" si="86"/>
        <v>6-15</v>
      </c>
      <c r="AG834">
        <v>2</v>
      </c>
      <c r="AH834">
        <v>3</v>
      </c>
      <c r="AI834" s="5">
        <v>6</v>
      </c>
      <c r="AJ834">
        <v>2</v>
      </c>
      <c r="AK834">
        <v>1</v>
      </c>
      <c r="AL834">
        <v>3</v>
      </c>
      <c r="AM834" t="str">
        <f t="shared" si="87"/>
        <v>Below Avg</v>
      </c>
      <c r="AN834" s="21">
        <f t="shared" si="88"/>
        <v>27.230046948356808</v>
      </c>
      <c r="AO834" t="str">
        <f t="shared" ca="1" si="89"/>
        <v>No</v>
      </c>
      <c r="AP834" t="str">
        <f t="shared" si="90"/>
        <v>Low Risk</v>
      </c>
    </row>
    <row r="835" spans="1:42" x14ac:dyDescent="0.3">
      <c r="A835" s="5">
        <v>27</v>
      </c>
      <c r="B835" s="5" t="s">
        <v>43</v>
      </c>
      <c r="C835" s="5" t="str">
        <f t="shared" ref="C835:C898" si="91">IF(LOWER(B835)="yes","Yes","No")</f>
        <v>No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 s="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 s="5">
        <v>2539</v>
      </c>
      <c r="U835">
        <v>7950</v>
      </c>
      <c r="V835">
        <v>1</v>
      </c>
      <c r="W835" t="s">
        <v>42</v>
      </c>
      <c r="X835" t="s">
        <v>43</v>
      </c>
      <c r="Y835" t="str">
        <f t="shared" ref="Y835:Y898" si="92">IF(LOWER(X835)="yes","Yes","No")</f>
        <v>No</v>
      </c>
      <c r="Z835">
        <v>13</v>
      </c>
      <c r="AA835">
        <v>3</v>
      </c>
      <c r="AB835">
        <v>3</v>
      </c>
      <c r="AC835">
        <v>80</v>
      </c>
      <c r="AD835">
        <v>1</v>
      </c>
      <c r="AE835" s="5">
        <v>4</v>
      </c>
      <c r="AF835" t="str">
        <f t="shared" ref="AF835:AF898" si="93">IF(AE835&lt;=5,"0-5",IF(AE835&lt;=15,"6-15","&gt;15"))</f>
        <v>0-5</v>
      </c>
      <c r="AG835">
        <v>0</v>
      </c>
      <c r="AH835">
        <v>3</v>
      </c>
      <c r="AI835" s="5">
        <v>4</v>
      </c>
      <c r="AJ835">
        <v>2</v>
      </c>
      <c r="AK835">
        <v>2</v>
      </c>
      <c r="AL835">
        <v>2</v>
      </c>
      <c r="AM835" t="str">
        <f t="shared" ref="AM835:AM898" si="94">IF(T835&lt;AVERAGEIF($F834:$F2304,F835,$T834:$T2304),"Below Avg","Ok")</f>
        <v>Below Avg</v>
      </c>
      <c r="AN835" s="21">
        <f t="shared" ref="AN835:AN898" si="95">COUNTIF(X834:X2304,"Yes")/COUNTA(X834:X2304)*100</f>
        <v>27.27272727272727</v>
      </c>
      <c r="AO835" t="str">
        <f t="shared" ref="AO835:AO898" ca="1" si="96">IF(AND(AA835&gt;=4,Z835&lt;AVERAGEIF($F834:$F2304,F835,$Z835:$Z2304)),"Yes","No")</f>
        <v>No</v>
      </c>
      <c r="AP835" t="str">
        <f t="shared" ref="AP835:AP898" si="97">IF(AND(AI835&lt;2,C835="Yes"),"High Risk","Low Risk")</f>
        <v>Low Risk</v>
      </c>
    </row>
    <row r="836" spans="1:42" x14ac:dyDescent="0.3">
      <c r="A836" s="5">
        <v>34</v>
      </c>
      <c r="B836" s="5" t="s">
        <v>43</v>
      </c>
      <c r="C836" s="5" t="str">
        <f t="shared" si="91"/>
        <v>No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 s="5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 s="5">
        <v>5714</v>
      </c>
      <c r="U836">
        <v>5829</v>
      </c>
      <c r="V836">
        <v>1</v>
      </c>
      <c r="W836" t="s">
        <v>42</v>
      </c>
      <c r="X836" t="s">
        <v>43</v>
      </c>
      <c r="Y836" t="str">
        <f t="shared" si="92"/>
        <v>No</v>
      </c>
      <c r="Z836">
        <v>20</v>
      </c>
      <c r="AA836">
        <v>4</v>
      </c>
      <c r="AB836">
        <v>1</v>
      </c>
      <c r="AC836">
        <v>80</v>
      </c>
      <c r="AD836">
        <v>0</v>
      </c>
      <c r="AE836" s="5">
        <v>6</v>
      </c>
      <c r="AF836" t="str">
        <f t="shared" si="93"/>
        <v>6-15</v>
      </c>
      <c r="AG836">
        <v>3</v>
      </c>
      <c r="AH836">
        <v>2</v>
      </c>
      <c r="AI836" s="5">
        <v>6</v>
      </c>
      <c r="AJ836">
        <v>5</v>
      </c>
      <c r="AK836">
        <v>1</v>
      </c>
      <c r="AL836">
        <v>3</v>
      </c>
      <c r="AM836" t="str">
        <f t="shared" si="94"/>
        <v>Below Avg</v>
      </c>
      <c r="AN836" s="21">
        <f t="shared" si="95"/>
        <v>27.315541601255887</v>
      </c>
      <c r="AO836" t="str">
        <f t="shared" ca="1" si="96"/>
        <v>No</v>
      </c>
      <c r="AP836" t="str">
        <f t="shared" si="97"/>
        <v>Low Risk</v>
      </c>
    </row>
    <row r="837" spans="1:42" x14ac:dyDescent="0.3">
      <c r="A837" s="5">
        <v>35</v>
      </c>
      <c r="B837" s="5" t="s">
        <v>43</v>
      </c>
      <c r="C837" s="5" t="str">
        <f t="shared" si="91"/>
        <v>No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 s="5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 s="5">
        <v>4323</v>
      </c>
      <c r="U837">
        <v>7108</v>
      </c>
      <c r="V837">
        <v>1</v>
      </c>
      <c r="W837" t="s">
        <v>42</v>
      </c>
      <c r="X837" t="s">
        <v>43</v>
      </c>
      <c r="Y837" t="str">
        <f t="shared" si="92"/>
        <v>No</v>
      </c>
      <c r="Z837">
        <v>17</v>
      </c>
      <c r="AA837">
        <v>3</v>
      </c>
      <c r="AB837">
        <v>2</v>
      </c>
      <c r="AC837">
        <v>80</v>
      </c>
      <c r="AD837">
        <v>0</v>
      </c>
      <c r="AE837" s="5">
        <v>6</v>
      </c>
      <c r="AF837" t="str">
        <f t="shared" si="93"/>
        <v>6-15</v>
      </c>
      <c r="AG837">
        <v>2</v>
      </c>
      <c r="AH837">
        <v>1</v>
      </c>
      <c r="AI837" s="5">
        <v>5</v>
      </c>
      <c r="AJ837">
        <v>4</v>
      </c>
      <c r="AK837">
        <v>1</v>
      </c>
      <c r="AL837">
        <v>4</v>
      </c>
      <c r="AM837" t="str">
        <f t="shared" si="94"/>
        <v>Below Avg</v>
      </c>
      <c r="AN837" s="21">
        <f t="shared" si="95"/>
        <v>27.358490566037734</v>
      </c>
      <c r="AO837" t="str">
        <f t="shared" ca="1" si="96"/>
        <v>No</v>
      </c>
      <c r="AP837" t="str">
        <f t="shared" si="97"/>
        <v>Low Risk</v>
      </c>
    </row>
    <row r="838" spans="1:42" x14ac:dyDescent="0.3">
      <c r="A838" s="5">
        <v>29</v>
      </c>
      <c r="B838" s="5" t="s">
        <v>35</v>
      </c>
      <c r="C838" s="5" t="str">
        <f t="shared" si="91"/>
        <v>Yes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 s="5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 s="5">
        <v>7336</v>
      </c>
      <c r="U838">
        <v>11162</v>
      </c>
      <c r="V838">
        <v>1</v>
      </c>
      <c r="W838" t="s">
        <v>42</v>
      </c>
      <c r="X838" t="s">
        <v>43</v>
      </c>
      <c r="Y838" t="str">
        <f t="shared" si="92"/>
        <v>No</v>
      </c>
      <c r="Z838">
        <v>13</v>
      </c>
      <c r="AA838">
        <v>3</v>
      </c>
      <c r="AB838">
        <v>1</v>
      </c>
      <c r="AC838">
        <v>80</v>
      </c>
      <c r="AD838">
        <v>1</v>
      </c>
      <c r="AE838" s="5">
        <v>11</v>
      </c>
      <c r="AF838" t="str">
        <f t="shared" si="93"/>
        <v>6-15</v>
      </c>
      <c r="AG838">
        <v>3</v>
      </c>
      <c r="AH838">
        <v>1</v>
      </c>
      <c r="AI838" s="5">
        <v>11</v>
      </c>
      <c r="AJ838">
        <v>8</v>
      </c>
      <c r="AK838">
        <v>3</v>
      </c>
      <c r="AL838">
        <v>10</v>
      </c>
      <c r="AM838" t="str">
        <f t="shared" si="94"/>
        <v>Ok</v>
      </c>
      <c r="AN838" s="21">
        <f t="shared" si="95"/>
        <v>27.401574803149607</v>
      </c>
      <c r="AO838" t="str">
        <f t="shared" ca="1" si="96"/>
        <v>No</v>
      </c>
      <c r="AP838" t="str">
        <f t="shared" si="97"/>
        <v>Low Risk</v>
      </c>
    </row>
    <row r="839" spans="1:42" x14ac:dyDescent="0.3">
      <c r="A839" s="5">
        <v>40</v>
      </c>
      <c r="B839" s="5" t="s">
        <v>43</v>
      </c>
      <c r="C839" s="5" t="str">
        <f t="shared" si="91"/>
        <v>No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 s="5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 s="5">
        <v>13499</v>
      </c>
      <c r="U839">
        <v>13782</v>
      </c>
      <c r="V839">
        <v>9</v>
      </c>
      <c r="W839" t="s">
        <v>42</v>
      </c>
      <c r="X839" t="s">
        <v>43</v>
      </c>
      <c r="Y839" t="str">
        <f t="shared" si="92"/>
        <v>No</v>
      </c>
      <c r="Z839">
        <v>17</v>
      </c>
      <c r="AA839">
        <v>3</v>
      </c>
      <c r="AB839">
        <v>3</v>
      </c>
      <c r="AC839">
        <v>80</v>
      </c>
      <c r="AD839">
        <v>0</v>
      </c>
      <c r="AE839" s="5">
        <v>20</v>
      </c>
      <c r="AF839" t="str">
        <f t="shared" si="93"/>
        <v>&gt;15</v>
      </c>
      <c r="AG839">
        <v>3</v>
      </c>
      <c r="AH839">
        <v>2</v>
      </c>
      <c r="AI839" s="5">
        <v>18</v>
      </c>
      <c r="AJ839">
        <v>7</v>
      </c>
      <c r="AK839">
        <v>2</v>
      </c>
      <c r="AL839">
        <v>13</v>
      </c>
      <c r="AM839" t="str">
        <f t="shared" si="94"/>
        <v>Ok</v>
      </c>
      <c r="AN839" s="21">
        <f t="shared" si="95"/>
        <v>27.444794952681388</v>
      </c>
      <c r="AO839" t="str">
        <f t="shared" ca="1" si="96"/>
        <v>No</v>
      </c>
      <c r="AP839" t="str">
        <f t="shared" si="97"/>
        <v>Low Risk</v>
      </c>
    </row>
    <row r="840" spans="1:42" x14ac:dyDescent="0.3">
      <c r="A840" s="5">
        <v>42</v>
      </c>
      <c r="B840" s="5" t="s">
        <v>35</v>
      </c>
      <c r="C840" s="5" t="str">
        <f t="shared" si="91"/>
        <v>Yes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 s="5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 s="5">
        <v>13758</v>
      </c>
      <c r="U840">
        <v>2447</v>
      </c>
      <c r="V840">
        <v>0</v>
      </c>
      <c r="W840" t="s">
        <v>42</v>
      </c>
      <c r="X840" t="s">
        <v>35</v>
      </c>
      <c r="Y840" t="str">
        <f t="shared" si="92"/>
        <v>Yes</v>
      </c>
      <c r="Z840">
        <v>12</v>
      </c>
      <c r="AA840">
        <v>3</v>
      </c>
      <c r="AB840">
        <v>2</v>
      </c>
      <c r="AC840">
        <v>80</v>
      </c>
      <c r="AD840">
        <v>0</v>
      </c>
      <c r="AE840" s="5">
        <v>22</v>
      </c>
      <c r="AF840" t="str">
        <f t="shared" si="93"/>
        <v>&gt;15</v>
      </c>
      <c r="AG840">
        <v>2</v>
      </c>
      <c r="AH840">
        <v>2</v>
      </c>
      <c r="AI840" s="5">
        <v>21</v>
      </c>
      <c r="AJ840">
        <v>9</v>
      </c>
      <c r="AK840">
        <v>13</v>
      </c>
      <c r="AL840">
        <v>14</v>
      </c>
      <c r="AM840" t="str">
        <f t="shared" si="94"/>
        <v>Ok</v>
      </c>
      <c r="AN840" s="21">
        <f t="shared" si="95"/>
        <v>27.488151658767773</v>
      </c>
      <c r="AO840" t="str">
        <f t="shared" ca="1" si="96"/>
        <v>No</v>
      </c>
      <c r="AP840" t="str">
        <f t="shared" si="97"/>
        <v>Low Risk</v>
      </c>
    </row>
    <row r="841" spans="1:42" x14ac:dyDescent="0.3">
      <c r="A841" s="5">
        <v>42</v>
      </c>
      <c r="B841" s="5" t="s">
        <v>43</v>
      </c>
      <c r="C841" s="5" t="str">
        <f t="shared" si="91"/>
        <v>No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 s="5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 s="5">
        <v>5155</v>
      </c>
      <c r="U841">
        <v>2253</v>
      </c>
      <c r="V841">
        <v>7</v>
      </c>
      <c r="W841" t="s">
        <v>42</v>
      </c>
      <c r="X841" t="s">
        <v>43</v>
      </c>
      <c r="Y841" t="str">
        <f t="shared" si="92"/>
        <v>No</v>
      </c>
      <c r="Z841">
        <v>13</v>
      </c>
      <c r="AA841">
        <v>3</v>
      </c>
      <c r="AB841">
        <v>4</v>
      </c>
      <c r="AC841">
        <v>80</v>
      </c>
      <c r="AD841">
        <v>0</v>
      </c>
      <c r="AE841" s="5">
        <v>9</v>
      </c>
      <c r="AF841" t="str">
        <f t="shared" si="93"/>
        <v>6-15</v>
      </c>
      <c r="AG841">
        <v>3</v>
      </c>
      <c r="AH841">
        <v>4</v>
      </c>
      <c r="AI841" s="5">
        <v>6</v>
      </c>
      <c r="AJ841">
        <v>4</v>
      </c>
      <c r="AK841">
        <v>1</v>
      </c>
      <c r="AL841">
        <v>5</v>
      </c>
      <c r="AM841" t="str">
        <f t="shared" si="94"/>
        <v>Below Avg</v>
      </c>
      <c r="AN841" s="21">
        <f t="shared" si="95"/>
        <v>27.531645569620256</v>
      </c>
      <c r="AO841" t="str">
        <f t="shared" ca="1" si="96"/>
        <v>No</v>
      </c>
      <c r="AP841" t="str">
        <f t="shared" si="97"/>
        <v>Low Risk</v>
      </c>
    </row>
    <row r="842" spans="1:42" x14ac:dyDescent="0.3">
      <c r="A842" s="5">
        <v>35</v>
      </c>
      <c r="B842" s="5" t="s">
        <v>43</v>
      </c>
      <c r="C842" s="5" t="str">
        <f t="shared" si="91"/>
        <v>No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 s="5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 s="5">
        <v>2258</v>
      </c>
      <c r="U842">
        <v>16340</v>
      </c>
      <c r="V842">
        <v>6</v>
      </c>
      <c r="W842" t="s">
        <v>42</v>
      </c>
      <c r="X842" t="s">
        <v>43</v>
      </c>
      <c r="Y842" t="str">
        <f t="shared" si="92"/>
        <v>No</v>
      </c>
      <c r="Z842">
        <v>12</v>
      </c>
      <c r="AA842">
        <v>3</v>
      </c>
      <c r="AB842">
        <v>2</v>
      </c>
      <c r="AC842">
        <v>80</v>
      </c>
      <c r="AD842">
        <v>1</v>
      </c>
      <c r="AE842" s="5">
        <v>10</v>
      </c>
      <c r="AF842" t="str">
        <f t="shared" si="93"/>
        <v>6-15</v>
      </c>
      <c r="AG842">
        <v>2</v>
      </c>
      <c r="AH842">
        <v>3</v>
      </c>
      <c r="AI842" s="5">
        <v>8</v>
      </c>
      <c r="AJ842">
        <v>0</v>
      </c>
      <c r="AK842">
        <v>1</v>
      </c>
      <c r="AL842">
        <v>7</v>
      </c>
      <c r="AM842" t="str">
        <f t="shared" si="94"/>
        <v>Below Avg</v>
      </c>
      <c r="AN842" s="21">
        <f t="shared" si="95"/>
        <v>27.416798732171156</v>
      </c>
      <c r="AO842" t="str">
        <f t="shared" ca="1" si="96"/>
        <v>No</v>
      </c>
      <c r="AP842" t="str">
        <f t="shared" si="97"/>
        <v>Low Risk</v>
      </c>
    </row>
    <row r="843" spans="1:42" x14ac:dyDescent="0.3">
      <c r="A843" s="5">
        <v>24</v>
      </c>
      <c r="B843" s="5" t="s">
        <v>43</v>
      </c>
      <c r="C843" s="5" t="str">
        <f t="shared" si="91"/>
        <v>No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 s="5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 s="5">
        <v>3597</v>
      </c>
      <c r="U843">
        <v>6409</v>
      </c>
      <c r="V843">
        <v>8</v>
      </c>
      <c r="W843" t="s">
        <v>42</v>
      </c>
      <c r="X843" t="s">
        <v>43</v>
      </c>
      <c r="Y843" t="str">
        <f t="shared" si="92"/>
        <v>No</v>
      </c>
      <c r="Z843">
        <v>22</v>
      </c>
      <c r="AA843">
        <v>4</v>
      </c>
      <c r="AB843">
        <v>4</v>
      </c>
      <c r="AC843">
        <v>80</v>
      </c>
      <c r="AD843">
        <v>0</v>
      </c>
      <c r="AE843" s="5">
        <v>6</v>
      </c>
      <c r="AF843" t="str">
        <f t="shared" si="93"/>
        <v>6-15</v>
      </c>
      <c r="AG843">
        <v>2</v>
      </c>
      <c r="AH843">
        <v>3</v>
      </c>
      <c r="AI843" s="5">
        <v>4</v>
      </c>
      <c r="AJ843">
        <v>3</v>
      </c>
      <c r="AK843">
        <v>1</v>
      </c>
      <c r="AL843">
        <v>2</v>
      </c>
      <c r="AM843" t="str">
        <f t="shared" si="94"/>
        <v>Below Avg</v>
      </c>
      <c r="AN843" s="21">
        <f t="shared" si="95"/>
        <v>27.460317460317462</v>
      </c>
      <c r="AO843" t="str">
        <f t="shared" ca="1" si="96"/>
        <v>No</v>
      </c>
      <c r="AP843" t="str">
        <f t="shared" si="97"/>
        <v>Low Risk</v>
      </c>
    </row>
    <row r="844" spans="1:42" x14ac:dyDescent="0.3">
      <c r="A844" s="5">
        <v>28</v>
      </c>
      <c r="B844" s="5" t="s">
        <v>35</v>
      </c>
      <c r="C844" s="5" t="str">
        <f t="shared" si="91"/>
        <v>Yes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 s="5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 s="5">
        <v>2515</v>
      </c>
      <c r="U844">
        <v>22955</v>
      </c>
      <c r="V844">
        <v>1</v>
      </c>
      <c r="W844" t="s">
        <v>42</v>
      </c>
      <c r="X844" t="s">
        <v>35</v>
      </c>
      <c r="Y844" t="str">
        <f t="shared" si="92"/>
        <v>Yes</v>
      </c>
      <c r="Z844">
        <v>11</v>
      </c>
      <c r="AA844">
        <v>3</v>
      </c>
      <c r="AB844">
        <v>4</v>
      </c>
      <c r="AC844">
        <v>80</v>
      </c>
      <c r="AD844">
        <v>0</v>
      </c>
      <c r="AE844" s="5">
        <v>1</v>
      </c>
      <c r="AF844" t="str">
        <f t="shared" si="93"/>
        <v>0-5</v>
      </c>
      <c r="AG844">
        <v>4</v>
      </c>
      <c r="AH844">
        <v>2</v>
      </c>
      <c r="AI844" s="5">
        <v>1</v>
      </c>
      <c r="AJ844">
        <v>1</v>
      </c>
      <c r="AK844">
        <v>0</v>
      </c>
      <c r="AL844">
        <v>0</v>
      </c>
      <c r="AM844" t="str">
        <f t="shared" si="94"/>
        <v>Below Avg</v>
      </c>
      <c r="AN844" s="21">
        <f t="shared" si="95"/>
        <v>27.503974562798096</v>
      </c>
      <c r="AO844" t="str">
        <f t="shared" ca="1" si="96"/>
        <v>No</v>
      </c>
      <c r="AP844" t="str">
        <f t="shared" si="97"/>
        <v>High Risk</v>
      </c>
    </row>
    <row r="845" spans="1:42" x14ac:dyDescent="0.3">
      <c r="A845" s="5">
        <v>26</v>
      </c>
      <c r="B845" s="5" t="s">
        <v>43</v>
      </c>
      <c r="C845" s="5" t="str">
        <f t="shared" si="91"/>
        <v>No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 s="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 s="5">
        <v>4420</v>
      </c>
      <c r="U845">
        <v>13421</v>
      </c>
      <c r="V845">
        <v>1</v>
      </c>
      <c r="W845" t="s">
        <v>42</v>
      </c>
      <c r="X845" t="s">
        <v>43</v>
      </c>
      <c r="Y845" t="str">
        <f t="shared" si="92"/>
        <v>No</v>
      </c>
      <c r="Z845">
        <v>22</v>
      </c>
      <c r="AA845">
        <v>4</v>
      </c>
      <c r="AB845">
        <v>2</v>
      </c>
      <c r="AC845">
        <v>80</v>
      </c>
      <c r="AD845">
        <v>1</v>
      </c>
      <c r="AE845" s="5">
        <v>8</v>
      </c>
      <c r="AF845" t="str">
        <f t="shared" si="93"/>
        <v>6-15</v>
      </c>
      <c r="AG845">
        <v>2</v>
      </c>
      <c r="AH845">
        <v>3</v>
      </c>
      <c r="AI845" s="5">
        <v>8</v>
      </c>
      <c r="AJ845">
        <v>7</v>
      </c>
      <c r="AK845">
        <v>0</v>
      </c>
      <c r="AL845">
        <v>7</v>
      </c>
      <c r="AM845" t="str">
        <f t="shared" si="94"/>
        <v>Below Avg</v>
      </c>
      <c r="AN845" s="21">
        <f t="shared" si="95"/>
        <v>27.547770700636942</v>
      </c>
      <c r="AO845" t="str">
        <f t="shared" ca="1" si="96"/>
        <v>No</v>
      </c>
      <c r="AP845" t="str">
        <f t="shared" si="97"/>
        <v>Low Risk</v>
      </c>
    </row>
    <row r="846" spans="1:42" x14ac:dyDescent="0.3">
      <c r="A846" s="5">
        <v>30</v>
      </c>
      <c r="B846" s="5" t="s">
        <v>43</v>
      </c>
      <c r="C846" s="5" t="str">
        <f t="shared" si="91"/>
        <v>No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 s="5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 s="5">
        <v>6578</v>
      </c>
      <c r="U846">
        <v>2706</v>
      </c>
      <c r="V846">
        <v>1</v>
      </c>
      <c r="W846" t="s">
        <v>42</v>
      </c>
      <c r="X846" t="s">
        <v>43</v>
      </c>
      <c r="Y846" t="str">
        <f t="shared" si="92"/>
        <v>No</v>
      </c>
      <c r="Z846">
        <v>18</v>
      </c>
      <c r="AA846">
        <v>3</v>
      </c>
      <c r="AB846">
        <v>1</v>
      </c>
      <c r="AC846">
        <v>80</v>
      </c>
      <c r="AD846">
        <v>1</v>
      </c>
      <c r="AE846" s="5">
        <v>10</v>
      </c>
      <c r="AF846" t="str">
        <f t="shared" si="93"/>
        <v>6-15</v>
      </c>
      <c r="AG846">
        <v>3</v>
      </c>
      <c r="AH846">
        <v>3</v>
      </c>
      <c r="AI846" s="5">
        <v>10</v>
      </c>
      <c r="AJ846">
        <v>3</v>
      </c>
      <c r="AK846">
        <v>1</v>
      </c>
      <c r="AL846">
        <v>4</v>
      </c>
      <c r="AM846" t="str">
        <f t="shared" si="94"/>
        <v>Below Avg</v>
      </c>
      <c r="AN846" s="21">
        <f t="shared" si="95"/>
        <v>27.432216905901118</v>
      </c>
      <c r="AO846" t="str">
        <f t="shared" ca="1" si="96"/>
        <v>No</v>
      </c>
      <c r="AP846" t="str">
        <f t="shared" si="97"/>
        <v>Low Risk</v>
      </c>
    </row>
    <row r="847" spans="1:42" x14ac:dyDescent="0.3">
      <c r="A847" s="5">
        <v>40</v>
      </c>
      <c r="B847" s="5" t="s">
        <v>43</v>
      </c>
      <c r="C847" s="5" t="str">
        <f t="shared" si="91"/>
        <v>No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 s="5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 s="5">
        <v>4422</v>
      </c>
      <c r="U847">
        <v>21203</v>
      </c>
      <c r="V847">
        <v>3</v>
      </c>
      <c r="W847" t="s">
        <v>42</v>
      </c>
      <c r="X847" t="s">
        <v>35</v>
      </c>
      <c r="Y847" t="str">
        <f t="shared" si="92"/>
        <v>Yes</v>
      </c>
      <c r="Z847">
        <v>13</v>
      </c>
      <c r="AA847">
        <v>3</v>
      </c>
      <c r="AB847">
        <v>4</v>
      </c>
      <c r="AC847">
        <v>80</v>
      </c>
      <c r="AD847">
        <v>1</v>
      </c>
      <c r="AE847" s="5">
        <v>16</v>
      </c>
      <c r="AF847" t="str">
        <f t="shared" si="93"/>
        <v>&gt;15</v>
      </c>
      <c r="AG847">
        <v>3</v>
      </c>
      <c r="AH847">
        <v>1</v>
      </c>
      <c r="AI847" s="5">
        <v>1</v>
      </c>
      <c r="AJ847">
        <v>1</v>
      </c>
      <c r="AK847">
        <v>0</v>
      </c>
      <c r="AL847">
        <v>0</v>
      </c>
      <c r="AM847" t="str">
        <f t="shared" si="94"/>
        <v>Below Avg</v>
      </c>
      <c r="AN847" s="21">
        <f t="shared" si="95"/>
        <v>27.476038338658149</v>
      </c>
      <c r="AO847" t="str">
        <f t="shared" ca="1" si="96"/>
        <v>No</v>
      </c>
      <c r="AP847" t="str">
        <f t="shared" si="97"/>
        <v>Low Risk</v>
      </c>
    </row>
    <row r="848" spans="1:42" x14ac:dyDescent="0.3">
      <c r="A848" s="5">
        <v>35</v>
      </c>
      <c r="B848" s="5" t="s">
        <v>43</v>
      </c>
      <c r="C848" s="5" t="str">
        <f t="shared" si="91"/>
        <v>No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 s="5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 s="5">
        <v>10274</v>
      </c>
      <c r="U848">
        <v>19588</v>
      </c>
      <c r="V848">
        <v>2</v>
      </c>
      <c r="W848" t="s">
        <v>42</v>
      </c>
      <c r="X848" t="s">
        <v>43</v>
      </c>
      <c r="Y848" t="str">
        <f t="shared" si="92"/>
        <v>No</v>
      </c>
      <c r="Z848">
        <v>18</v>
      </c>
      <c r="AA848">
        <v>3</v>
      </c>
      <c r="AB848">
        <v>2</v>
      </c>
      <c r="AC848">
        <v>80</v>
      </c>
      <c r="AD848">
        <v>1</v>
      </c>
      <c r="AE848" s="5">
        <v>15</v>
      </c>
      <c r="AF848" t="str">
        <f t="shared" si="93"/>
        <v>6-15</v>
      </c>
      <c r="AG848">
        <v>2</v>
      </c>
      <c r="AH848">
        <v>4</v>
      </c>
      <c r="AI848" s="5">
        <v>7</v>
      </c>
      <c r="AJ848">
        <v>7</v>
      </c>
      <c r="AK848">
        <v>6</v>
      </c>
      <c r="AL848">
        <v>4</v>
      </c>
      <c r="AM848" t="str">
        <f t="shared" si="94"/>
        <v>Ok</v>
      </c>
      <c r="AN848" s="21">
        <f t="shared" si="95"/>
        <v>27.52</v>
      </c>
      <c r="AO848" t="str">
        <f t="shared" ca="1" si="96"/>
        <v>No</v>
      </c>
      <c r="AP848" t="str">
        <f t="shared" si="97"/>
        <v>Low Risk</v>
      </c>
    </row>
    <row r="849" spans="1:42" x14ac:dyDescent="0.3">
      <c r="A849" s="5">
        <v>34</v>
      </c>
      <c r="B849" s="5" t="s">
        <v>43</v>
      </c>
      <c r="C849" s="5" t="str">
        <f t="shared" si="91"/>
        <v>No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 s="5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 s="5">
        <v>5343</v>
      </c>
      <c r="U849">
        <v>25755</v>
      </c>
      <c r="V849">
        <v>0</v>
      </c>
      <c r="W849" t="s">
        <v>42</v>
      </c>
      <c r="X849" t="s">
        <v>43</v>
      </c>
      <c r="Y849" t="str">
        <f t="shared" si="92"/>
        <v>No</v>
      </c>
      <c r="Z849">
        <v>20</v>
      </c>
      <c r="AA849">
        <v>4</v>
      </c>
      <c r="AB849">
        <v>3</v>
      </c>
      <c r="AC849">
        <v>80</v>
      </c>
      <c r="AD849">
        <v>0</v>
      </c>
      <c r="AE849" s="5">
        <v>14</v>
      </c>
      <c r="AF849" t="str">
        <f t="shared" si="93"/>
        <v>6-15</v>
      </c>
      <c r="AG849">
        <v>3</v>
      </c>
      <c r="AH849">
        <v>3</v>
      </c>
      <c r="AI849" s="5">
        <v>13</v>
      </c>
      <c r="AJ849">
        <v>9</v>
      </c>
      <c r="AK849">
        <v>4</v>
      </c>
      <c r="AL849">
        <v>9</v>
      </c>
      <c r="AM849" t="str">
        <f t="shared" si="94"/>
        <v>Below Avg</v>
      </c>
      <c r="AN849" s="21">
        <f t="shared" si="95"/>
        <v>27.403846153846157</v>
      </c>
      <c r="AO849" t="str">
        <f t="shared" ca="1" si="96"/>
        <v>No</v>
      </c>
      <c r="AP849" t="str">
        <f t="shared" si="97"/>
        <v>Low Risk</v>
      </c>
    </row>
    <row r="850" spans="1:42" x14ac:dyDescent="0.3">
      <c r="A850" s="5">
        <v>35</v>
      </c>
      <c r="B850" s="5" t="s">
        <v>43</v>
      </c>
      <c r="C850" s="5" t="str">
        <f t="shared" si="91"/>
        <v>No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 s="5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 s="5">
        <v>2376</v>
      </c>
      <c r="U850">
        <v>26537</v>
      </c>
      <c r="V850">
        <v>1</v>
      </c>
      <c r="W850" t="s">
        <v>42</v>
      </c>
      <c r="X850" t="s">
        <v>43</v>
      </c>
      <c r="Y850" t="str">
        <f t="shared" si="92"/>
        <v>No</v>
      </c>
      <c r="Z850">
        <v>13</v>
      </c>
      <c r="AA850">
        <v>3</v>
      </c>
      <c r="AB850">
        <v>2</v>
      </c>
      <c r="AC850">
        <v>80</v>
      </c>
      <c r="AD850">
        <v>1</v>
      </c>
      <c r="AE850" s="5">
        <v>2</v>
      </c>
      <c r="AF850" t="str">
        <f t="shared" si="93"/>
        <v>0-5</v>
      </c>
      <c r="AG850">
        <v>2</v>
      </c>
      <c r="AH850">
        <v>4</v>
      </c>
      <c r="AI850" s="5">
        <v>2</v>
      </c>
      <c r="AJ850">
        <v>2</v>
      </c>
      <c r="AK850">
        <v>2</v>
      </c>
      <c r="AL850">
        <v>2</v>
      </c>
      <c r="AM850" t="str">
        <f t="shared" si="94"/>
        <v>Below Avg</v>
      </c>
      <c r="AN850" s="21">
        <f t="shared" si="95"/>
        <v>27.447833065810595</v>
      </c>
      <c r="AO850" t="str">
        <f t="shared" ca="1" si="96"/>
        <v>No</v>
      </c>
      <c r="AP850" t="str">
        <f t="shared" si="97"/>
        <v>Low Risk</v>
      </c>
    </row>
    <row r="851" spans="1:42" x14ac:dyDescent="0.3">
      <c r="A851" s="5">
        <v>43</v>
      </c>
      <c r="B851" s="5" t="s">
        <v>35</v>
      </c>
      <c r="C851" s="5" t="str">
        <f t="shared" si="91"/>
        <v>Yes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 s="5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 s="5">
        <v>5346</v>
      </c>
      <c r="U851">
        <v>9489</v>
      </c>
      <c r="V851">
        <v>8</v>
      </c>
      <c r="W851" t="s">
        <v>42</v>
      </c>
      <c r="X851" t="s">
        <v>43</v>
      </c>
      <c r="Y851" t="str">
        <f t="shared" si="92"/>
        <v>No</v>
      </c>
      <c r="Z851">
        <v>13</v>
      </c>
      <c r="AA851">
        <v>3</v>
      </c>
      <c r="AB851">
        <v>2</v>
      </c>
      <c r="AC851">
        <v>80</v>
      </c>
      <c r="AD851">
        <v>0</v>
      </c>
      <c r="AE851" s="5">
        <v>7</v>
      </c>
      <c r="AF851" t="str">
        <f t="shared" si="93"/>
        <v>6-15</v>
      </c>
      <c r="AG851">
        <v>2</v>
      </c>
      <c r="AH851">
        <v>2</v>
      </c>
      <c r="AI851" s="5">
        <v>4</v>
      </c>
      <c r="AJ851">
        <v>3</v>
      </c>
      <c r="AK851">
        <v>1</v>
      </c>
      <c r="AL851">
        <v>3</v>
      </c>
      <c r="AM851" t="str">
        <f t="shared" si="94"/>
        <v>Below Avg</v>
      </c>
      <c r="AN851" s="21">
        <f t="shared" si="95"/>
        <v>27.491961414790993</v>
      </c>
      <c r="AO851" t="str">
        <f t="shared" ca="1" si="96"/>
        <v>No</v>
      </c>
      <c r="AP851" t="str">
        <f t="shared" si="97"/>
        <v>Low Risk</v>
      </c>
    </row>
    <row r="852" spans="1:42" x14ac:dyDescent="0.3">
      <c r="A852" s="5">
        <v>32</v>
      </c>
      <c r="B852" s="5" t="s">
        <v>43</v>
      </c>
      <c r="C852" s="5" t="str">
        <f t="shared" si="91"/>
        <v>No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 s="5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 s="5">
        <v>2827</v>
      </c>
      <c r="U852">
        <v>14947</v>
      </c>
      <c r="V852">
        <v>1</v>
      </c>
      <c r="W852" t="s">
        <v>42</v>
      </c>
      <c r="X852" t="s">
        <v>43</v>
      </c>
      <c r="Y852" t="str">
        <f t="shared" si="92"/>
        <v>No</v>
      </c>
      <c r="Z852">
        <v>12</v>
      </c>
      <c r="AA852">
        <v>3</v>
      </c>
      <c r="AB852">
        <v>3</v>
      </c>
      <c r="AC852">
        <v>80</v>
      </c>
      <c r="AD852">
        <v>3</v>
      </c>
      <c r="AE852" s="5">
        <v>1</v>
      </c>
      <c r="AF852" t="str">
        <f t="shared" si="93"/>
        <v>0-5</v>
      </c>
      <c r="AG852">
        <v>3</v>
      </c>
      <c r="AH852">
        <v>3</v>
      </c>
      <c r="AI852" s="5">
        <v>1</v>
      </c>
      <c r="AJ852">
        <v>0</v>
      </c>
      <c r="AK852">
        <v>0</v>
      </c>
      <c r="AL852">
        <v>0</v>
      </c>
      <c r="AM852" t="str">
        <f t="shared" si="94"/>
        <v>Below Avg</v>
      </c>
      <c r="AN852" s="21">
        <f t="shared" si="95"/>
        <v>27.536231884057973</v>
      </c>
      <c r="AO852" t="str">
        <f t="shared" ca="1" si="96"/>
        <v>No</v>
      </c>
      <c r="AP852" t="str">
        <f t="shared" si="97"/>
        <v>Low Risk</v>
      </c>
    </row>
    <row r="853" spans="1:42" x14ac:dyDescent="0.3">
      <c r="A853" s="5">
        <v>56</v>
      </c>
      <c r="B853" s="5" t="s">
        <v>43</v>
      </c>
      <c r="C853" s="5" t="str">
        <f t="shared" si="91"/>
        <v>No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 s="5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 s="5">
        <v>19943</v>
      </c>
      <c r="U853">
        <v>18575</v>
      </c>
      <c r="V853">
        <v>4</v>
      </c>
      <c r="W853" t="s">
        <v>42</v>
      </c>
      <c r="X853" t="s">
        <v>43</v>
      </c>
      <c r="Y853" t="str">
        <f t="shared" si="92"/>
        <v>No</v>
      </c>
      <c r="Z853">
        <v>13</v>
      </c>
      <c r="AA853">
        <v>3</v>
      </c>
      <c r="AB853">
        <v>4</v>
      </c>
      <c r="AC853">
        <v>80</v>
      </c>
      <c r="AD853">
        <v>1</v>
      </c>
      <c r="AE853" s="5">
        <v>28</v>
      </c>
      <c r="AF853" t="str">
        <f t="shared" si="93"/>
        <v>&gt;15</v>
      </c>
      <c r="AG853">
        <v>2</v>
      </c>
      <c r="AH853">
        <v>3</v>
      </c>
      <c r="AI853" s="5">
        <v>5</v>
      </c>
      <c r="AJ853">
        <v>2</v>
      </c>
      <c r="AK853">
        <v>4</v>
      </c>
      <c r="AL853">
        <v>2</v>
      </c>
      <c r="AM853" t="str">
        <f t="shared" si="94"/>
        <v>Ok</v>
      </c>
      <c r="AN853" s="21">
        <f t="shared" si="95"/>
        <v>27.580645161290324</v>
      </c>
      <c r="AO853" t="str">
        <f t="shared" ca="1" si="96"/>
        <v>No</v>
      </c>
      <c r="AP853" t="str">
        <f t="shared" si="97"/>
        <v>Low Risk</v>
      </c>
    </row>
    <row r="854" spans="1:42" x14ac:dyDescent="0.3">
      <c r="A854" s="5">
        <v>29</v>
      </c>
      <c r="B854" s="5" t="s">
        <v>43</v>
      </c>
      <c r="C854" s="5" t="str">
        <f t="shared" si="91"/>
        <v>No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 s="5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 s="5">
        <v>3131</v>
      </c>
      <c r="U854">
        <v>26342</v>
      </c>
      <c r="V854">
        <v>1</v>
      </c>
      <c r="W854" t="s">
        <v>42</v>
      </c>
      <c r="X854" t="s">
        <v>43</v>
      </c>
      <c r="Y854" t="str">
        <f t="shared" si="92"/>
        <v>No</v>
      </c>
      <c r="Z854">
        <v>13</v>
      </c>
      <c r="AA854">
        <v>3</v>
      </c>
      <c r="AB854">
        <v>1</v>
      </c>
      <c r="AC854">
        <v>80</v>
      </c>
      <c r="AD854">
        <v>1</v>
      </c>
      <c r="AE854" s="5">
        <v>10</v>
      </c>
      <c r="AF854" t="str">
        <f t="shared" si="93"/>
        <v>6-15</v>
      </c>
      <c r="AG854">
        <v>5</v>
      </c>
      <c r="AH854">
        <v>3</v>
      </c>
      <c r="AI854" s="5">
        <v>10</v>
      </c>
      <c r="AJ854">
        <v>8</v>
      </c>
      <c r="AK854">
        <v>0</v>
      </c>
      <c r="AL854">
        <v>8</v>
      </c>
      <c r="AM854" t="str">
        <f t="shared" si="94"/>
        <v>Below Avg</v>
      </c>
      <c r="AN854" s="21">
        <f t="shared" si="95"/>
        <v>27.625201938610662</v>
      </c>
      <c r="AO854" t="str">
        <f t="shared" ca="1" si="96"/>
        <v>No</v>
      </c>
      <c r="AP854" t="str">
        <f t="shared" si="97"/>
        <v>Low Risk</v>
      </c>
    </row>
    <row r="855" spans="1:42" x14ac:dyDescent="0.3">
      <c r="A855" s="5">
        <v>19</v>
      </c>
      <c r="B855" s="5" t="s">
        <v>43</v>
      </c>
      <c r="C855" s="5" t="str">
        <f t="shared" si="91"/>
        <v>No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 s="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 s="5">
        <v>2552</v>
      </c>
      <c r="U855">
        <v>7172</v>
      </c>
      <c r="V855">
        <v>1</v>
      </c>
      <c r="W855" t="s">
        <v>42</v>
      </c>
      <c r="X855" t="s">
        <v>43</v>
      </c>
      <c r="Y855" t="str">
        <f t="shared" si="92"/>
        <v>No</v>
      </c>
      <c r="Z855">
        <v>25</v>
      </c>
      <c r="AA855">
        <v>4</v>
      </c>
      <c r="AB855">
        <v>3</v>
      </c>
      <c r="AC855">
        <v>80</v>
      </c>
      <c r="AD855">
        <v>0</v>
      </c>
      <c r="AE855" s="5">
        <v>1</v>
      </c>
      <c r="AF855" t="str">
        <f t="shared" si="93"/>
        <v>0-5</v>
      </c>
      <c r="AG855">
        <v>4</v>
      </c>
      <c r="AH855">
        <v>3</v>
      </c>
      <c r="AI855" s="5">
        <v>1</v>
      </c>
      <c r="AJ855">
        <v>1</v>
      </c>
      <c r="AK855">
        <v>0</v>
      </c>
      <c r="AL855">
        <v>0</v>
      </c>
      <c r="AM855" t="str">
        <f t="shared" si="94"/>
        <v>Below Avg</v>
      </c>
      <c r="AN855" s="21">
        <f t="shared" si="95"/>
        <v>27.669902912621357</v>
      </c>
      <c r="AO855" t="str">
        <f t="shared" ca="1" si="96"/>
        <v>No</v>
      </c>
      <c r="AP855" t="str">
        <f t="shared" si="97"/>
        <v>Low Risk</v>
      </c>
    </row>
    <row r="856" spans="1:42" x14ac:dyDescent="0.3">
      <c r="A856" s="5">
        <v>45</v>
      </c>
      <c r="B856" s="5" t="s">
        <v>43</v>
      </c>
      <c r="C856" s="5" t="str">
        <f t="shared" si="91"/>
        <v>No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 s="5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 s="5">
        <v>4477</v>
      </c>
      <c r="U856">
        <v>20100</v>
      </c>
      <c r="V856">
        <v>4</v>
      </c>
      <c r="W856" t="s">
        <v>42</v>
      </c>
      <c r="X856" t="s">
        <v>35</v>
      </c>
      <c r="Y856" t="str">
        <f t="shared" si="92"/>
        <v>Yes</v>
      </c>
      <c r="Z856">
        <v>19</v>
      </c>
      <c r="AA856">
        <v>3</v>
      </c>
      <c r="AB856">
        <v>3</v>
      </c>
      <c r="AC856">
        <v>80</v>
      </c>
      <c r="AD856">
        <v>1</v>
      </c>
      <c r="AE856" s="5">
        <v>7</v>
      </c>
      <c r="AF856" t="str">
        <f t="shared" si="93"/>
        <v>6-15</v>
      </c>
      <c r="AG856">
        <v>2</v>
      </c>
      <c r="AH856">
        <v>2</v>
      </c>
      <c r="AI856" s="5">
        <v>3</v>
      </c>
      <c r="AJ856">
        <v>2</v>
      </c>
      <c r="AK856">
        <v>0</v>
      </c>
      <c r="AL856">
        <v>2</v>
      </c>
      <c r="AM856" t="str">
        <f t="shared" si="94"/>
        <v>Below Avg</v>
      </c>
      <c r="AN856" s="21">
        <f t="shared" si="95"/>
        <v>27.71474878444084</v>
      </c>
      <c r="AO856" t="str">
        <f t="shared" ca="1" si="96"/>
        <v>No</v>
      </c>
      <c r="AP856" t="str">
        <f t="shared" si="97"/>
        <v>Low Risk</v>
      </c>
    </row>
    <row r="857" spans="1:42" x14ac:dyDescent="0.3">
      <c r="A857" s="5">
        <v>37</v>
      </c>
      <c r="B857" s="5" t="s">
        <v>43</v>
      </c>
      <c r="C857" s="5" t="str">
        <f t="shared" si="91"/>
        <v>No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 s="5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 s="5">
        <v>6474</v>
      </c>
      <c r="U857">
        <v>9961</v>
      </c>
      <c r="V857">
        <v>1</v>
      </c>
      <c r="W857" t="s">
        <v>42</v>
      </c>
      <c r="X857" t="s">
        <v>43</v>
      </c>
      <c r="Y857" t="str">
        <f t="shared" si="92"/>
        <v>No</v>
      </c>
      <c r="Z857">
        <v>13</v>
      </c>
      <c r="AA857">
        <v>3</v>
      </c>
      <c r="AB857">
        <v>2</v>
      </c>
      <c r="AC857">
        <v>80</v>
      </c>
      <c r="AD857">
        <v>1</v>
      </c>
      <c r="AE857" s="5">
        <v>14</v>
      </c>
      <c r="AF857" t="str">
        <f t="shared" si="93"/>
        <v>6-15</v>
      </c>
      <c r="AG857">
        <v>2</v>
      </c>
      <c r="AH857">
        <v>2</v>
      </c>
      <c r="AI857" s="5">
        <v>14</v>
      </c>
      <c r="AJ857">
        <v>8</v>
      </c>
      <c r="AK857">
        <v>3</v>
      </c>
      <c r="AL857">
        <v>11</v>
      </c>
      <c r="AM857" t="str">
        <f t="shared" si="94"/>
        <v>Ok</v>
      </c>
      <c r="AN857" s="21">
        <f t="shared" si="95"/>
        <v>27.759740259740262</v>
      </c>
      <c r="AO857" t="str">
        <f t="shared" ca="1" si="96"/>
        <v>No</v>
      </c>
      <c r="AP857" t="str">
        <f t="shared" si="97"/>
        <v>Low Risk</v>
      </c>
    </row>
    <row r="858" spans="1:42" x14ac:dyDescent="0.3">
      <c r="A858" s="5">
        <v>20</v>
      </c>
      <c r="B858" s="5" t="s">
        <v>43</v>
      </c>
      <c r="C858" s="5" t="str">
        <f t="shared" si="91"/>
        <v>No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 s="5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 s="5">
        <v>3033</v>
      </c>
      <c r="U858">
        <v>12828</v>
      </c>
      <c r="V858">
        <v>1</v>
      </c>
      <c r="W858" t="s">
        <v>42</v>
      </c>
      <c r="X858" t="s">
        <v>43</v>
      </c>
      <c r="Y858" t="str">
        <f t="shared" si="92"/>
        <v>No</v>
      </c>
      <c r="Z858">
        <v>12</v>
      </c>
      <c r="AA858">
        <v>3</v>
      </c>
      <c r="AB858">
        <v>1</v>
      </c>
      <c r="AC858">
        <v>80</v>
      </c>
      <c r="AD858">
        <v>0</v>
      </c>
      <c r="AE858" s="5">
        <v>2</v>
      </c>
      <c r="AF858" t="str">
        <f t="shared" si="93"/>
        <v>0-5</v>
      </c>
      <c r="AG858">
        <v>2</v>
      </c>
      <c r="AH858">
        <v>2</v>
      </c>
      <c r="AI858" s="5">
        <v>2</v>
      </c>
      <c r="AJ858">
        <v>2</v>
      </c>
      <c r="AK858">
        <v>1</v>
      </c>
      <c r="AL858">
        <v>2</v>
      </c>
      <c r="AM858" t="str">
        <f t="shared" si="94"/>
        <v>Below Avg</v>
      </c>
      <c r="AN858" s="21">
        <f t="shared" si="95"/>
        <v>27.64227642276423</v>
      </c>
      <c r="AO858" t="str">
        <f t="shared" ca="1" si="96"/>
        <v>No</v>
      </c>
      <c r="AP858" t="str">
        <f t="shared" si="97"/>
        <v>Low Risk</v>
      </c>
    </row>
    <row r="859" spans="1:42" x14ac:dyDescent="0.3">
      <c r="A859" s="5">
        <v>44</v>
      </c>
      <c r="B859" s="5" t="s">
        <v>35</v>
      </c>
      <c r="C859" s="5" t="str">
        <f t="shared" si="91"/>
        <v>Yes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 s="5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 s="5">
        <v>2936</v>
      </c>
      <c r="U859">
        <v>10826</v>
      </c>
      <c r="V859">
        <v>1</v>
      </c>
      <c r="W859" t="s">
        <v>42</v>
      </c>
      <c r="X859" t="s">
        <v>35</v>
      </c>
      <c r="Y859" t="str">
        <f t="shared" si="92"/>
        <v>Yes</v>
      </c>
      <c r="Z859">
        <v>11</v>
      </c>
      <c r="AA859">
        <v>3</v>
      </c>
      <c r="AB859">
        <v>3</v>
      </c>
      <c r="AC859">
        <v>80</v>
      </c>
      <c r="AD859">
        <v>0</v>
      </c>
      <c r="AE859" s="5">
        <v>6</v>
      </c>
      <c r="AF859" t="str">
        <f t="shared" si="93"/>
        <v>6-15</v>
      </c>
      <c r="AG859">
        <v>4</v>
      </c>
      <c r="AH859">
        <v>3</v>
      </c>
      <c r="AI859" s="5">
        <v>6</v>
      </c>
      <c r="AJ859">
        <v>4</v>
      </c>
      <c r="AK859">
        <v>0</v>
      </c>
      <c r="AL859">
        <v>2</v>
      </c>
      <c r="AM859" t="str">
        <f t="shared" si="94"/>
        <v>Below Avg</v>
      </c>
      <c r="AN859" s="21">
        <f t="shared" si="95"/>
        <v>27.687296416938111</v>
      </c>
      <c r="AO859" t="str">
        <f t="shared" ca="1" si="96"/>
        <v>No</v>
      </c>
      <c r="AP859" t="str">
        <f t="shared" si="97"/>
        <v>Low Risk</v>
      </c>
    </row>
    <row r="860" spans="1:42" x14ac:dyDescent="0.3">
      <c r="A860" s="5">
        <v>53</v>
      </c>
      <c r="B860" s="5" t="s">
        <v>43</v>
      </c>
      <c r="C860" s="5" t="str">
        <f t="shared" si="91"/>
        <v>No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 s="5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 s="5">
        <v>18606</v>
      </c>
      <c r="U860">
        <v>18640</v>
      </c>
      <c r="V860">
        <v>3</v>
      </c>
      <c r="W860" t="s">
        <v>42</v>
      </c>
      <c r="X860" t="s">
        <v>43</v>
      </c>
      <c r="Y860" t="str">
        <f t="shared" si="92"/>
        <v>No</v>
      </c>
      <c r="Z860">
        <v>18</v>
      </c>
      <c r="AA860">
        <v>3</v>
      </c>
      <c r="AB860">
        <v>2</v>
      </c>
      <c r="AC860">
        <v>80</v>
      </c>
      <c r="AD860">
        <v>1</v>
      </c>
      <c r="AE860" s="5">
        <v>26</v>
      </c>
      <c r="AF860" t="str">
        <f t="shared" si="93"/>
        <v>&gt;15</v>
      </c>
      <c r="AG860">
        <v>6</v>
      </c>
      <c r="AH860">
        <v>3</v>
      </c>
      <c r="AI860" s="5">
        <v>7</v>
      </c>
      <c r="AJ860">
        <v>7</v>
      </c>
      <c r="AK860">
        <v>4</v>
      </c>
      <c r="AL860">
        <v>7</v>
      </c>
      <c r="AM860" t="str">
        <f t="shared" si="94"/>
        <v>Ok</v>
      </c>
      <c r="AN860" s="21">
        <f t="shared" si="95"/>
        <v>27.732463295269167</v>
      </c>
      <c r="AO860" t="str">
        <f t="shared" ca="1" si="96"/>
        <v>No</v>
      </c>
      <c r="AP860" t="str">
        <f t="shared" si="97"/>
        <v>Low Risk</v>
      </c>
    </row>
    <row r="861" spans="1:42" x14ac:dyDescent="0.3">
      <c r="A861" s="5">
        <v>29</v>
      </c>
      <c r="B861" s="5" t="s">
        <v>43</v>
      </c>
      <c r="C861" s="5" t="str">
        <f t="shared" si="91"/>
        <v>No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 s="5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 s="5">
        <v>2168</v>
      </c>
      <c r="U861">
        <v>26933</v>
      </c>
      <c r="V861">
        <v>0</v>
      </c>
      <c r="W861" t="s">
        <v>42</v>
      </c>
      <c r="X861" t="s">
        <v>35</v>
      </c>
      <c r="Y861" t="str">
        <f t="shared" si="92"/>
        <v>Yes</v>
      </c>
      <c r="Z861">
        <v>18</v>
      </c>
      <c r="AA861">
        <v>3</v>
      </c>
      <c r="AB861">
        <v>1</v>
      </c>
      <c r="AC861">
        <v>80</v>
      </c>
      <c r="AD861">
        <v>1</v>
      </c>
      <c r="AE861" s="5">
        <v>6</v>
      </c>
      <c r="AF861" t="str">
        <f t="shared" si="93"/>
        <v>6-15</v>
      </c>
      <c r="AG861">
        <v>2</v>
      </c>
      <c r="AH861">
        <v>2</v>
      </c>
      <c r="AI861" s="5">
        <v>5</v>
      </c>
      <c r="AJ861">
        <v>4</v>
      </c>
      <c r="AK861">
        <v>1</v>
      </c>
      <c r="AL861">
        <v>3</v>
      </c>
      <c r="AM861" t="str">
        <f t="shared" si="94"/>
        <v>Below Avg</v>
      </c>
      <c r="AN861" s="21">
        <f t="shared" si="95"/>
        <v>27.614379084967322</v>
      </c>
      <c r="AO861" t="str">
        <f t="shared" ca="1" si="96"/>
        <v>No</v>
      </c>
      <c r="AP861" t="str">
        <f t="shared" si="97"/>
        <v>Low Risk</v>
      </c>
    </row>
    <row r="862" spans="1:42" x14ac:dyDescent="0.3">
      <c r="A862" s="5">
        <v>22</v>
      </c>
      <c r="B862" s="5" t="s">
        <v>35</v>
      </c>
      <c r="C862" s="5" t="str">
        <f t="shared" si="91"/>
        <v>Yes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 s="5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 s="5">
        <v>2853</v>
      </c>
      <c r="U862">
        <v>4223</v>
      </c>
      <c r="V862">
        <v>0</v>
      </c>
      <c r="W862" t="s">
        <v>42</v>
      </c>
      <c r="X862" t="s">
        <v>35</v>
      </c>
      <c r="Y862" t="str">
        <f t="shared" si="92"/>
        <v>Yes</v>
      </c>
      <c r="Z862">
        <v>11</v>
      </c>
      <c r="AA862">
        <v>3</v>
      </c>
      <c r="AB862">
        <v>2</v>
      </c>
      <c r="AC862">
        <v>80</v>
      </c>
      <c r="AD862">
        <v>1</v>
      </c>
      <c r="AE862" s="5">
        <v>1</v>
      </c>
      <c r="AF862" t="str">
        <f t="shared" si="93"/>
        <v>0-5</v>
      </c>
      <c r="AG862">
        <v>5</v>
      </c>
      <c r="AH862">
        <v>3</v>
      </c>
      <c r="AI862" s="5">
        <v>0</v>
      </c>
      <c r="AJ862">
        <v>0</v>
      </c>
      <c r="AK862">
        <v>0</v>
      </c>
      <c r="AL862">
        <v>0</v>
      </c>
      <c r="AM862" t="str">
        <f t="shared" si="94"/>
        <v>Below Avg</v>
      </c>
      <c r="AN862" s="21">
        <f t="shared" si="95"/>
        <v>27.659574468085108</v>
      </c>
      <c r="AO862" t="str">
        <f t="shared" ca="1" si="96"/>
        <v>No</v>
      </c>
      <c r="AP862" t="str">
        <f t="shared" si="97"/>
        <v>High Risk</v>
      </c>
    </row>
    <row r="863" spans="1:42" x14ac:dyDescent="0.3">
      <c r="A863" s="5">
        <v>46</v>
      </c>
      <c r="B863" s="5" t="s">
        <v>43</v>
      </c>
      <c r="C863" s="5" t="str">
        <f t="shared" si="91"/>
        <v>No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 s="5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 s="5">
        <v>17048</v>
      </c>
      <c r="U863">
        <v>24097</v>
      </c>
      <c r="V863">
        <v>8</v>
      </c>
      <c r="W863" t="s">
        <v>42</v>
      </c>
      <c r="X863" t="s">
        <v>43</v>
      </c>
      <c r="Y863" t="str">
        <f t="shared" si="92"/>
        <v>No</v>
      </c>
      <c r="Z863">
        <v>23</v>
      </c>
      <c r="AA863">
        <v>4</v>
      </c>
      <c r="AB863">
        <v>1</v>
      </c>
      <c r="AC863">
        <v>80</v>
      </c>
      <c r="AD863">
        <v>0</v>
      </c>
      <c r="AE863" s="5">
        <v>28</v>
      </c>
      <c r="AF863" t="str">
        <f t="shared" si="93"/>
        <v>&gt;15</v>
      </c>
      <c r="AG863">
        <v>2</v>
      </c>
      <c r="AH863">
        <v>3</v>
      </c>
      <c r="AI863" s="5">
        <v>26</v>
      </c>
      <c r="AJ863">
        <v>15</v>
      </c>
      <c r="AK863">
        <v>15</v>
      </c>
      <c r="AL863">
        <v>9</v>
      </c>
      <c r="AM863" t="str">
        <f t="shared" si="94"/>
        <v>Ok</v>
      </c>
      <c r="AN863" s="21">
        <f t="shared" si="95"/>
        <v>27.540983606557379</v>
      </c>
      <c r="AO863" t="str">
        <f t="shared" ca="1" si="96"/>
        <v>No</v>
      </c>
      <c r="AP863" t="str">
        <f t="shared" si="97"/>
        <v>Low Risk</v>
      </c>
    </row>
    <row r="864" spans="1:42" x14ac:dyDescent="0.3">
      <c r="A864" s="5">
        <v>44</v>
      </c>
      <c r="B864" s="5" t="s">
        <v>43</v>
      </c>
      <c r="C864" s="5" t="str">
        <f t="shared" si="91"/>
        <v>No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 s="5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 s="5">
        <v>2290</v>
      </c>
      <c r="U864">
        <v>4279</v>
      </c>
      <c r="V864">
        <v>2</v>
      </c>
      <c r="W864" t="s">
        <v>42</v>
      </c>
      <c r="X864" t="s">
        <v>43</v>
      </c>
      <c r="Y864" t="str">
        <f t="shared" si="92"/>
        <v>No</v>
      </c>
      <c r="Z864">
        <v>13</v>
      </c>
      <c r="AA864">
        <v>3</v>
      </c>
      <c r="AB864">
        <v>4</v>
      </c>
      <c r="AC864">
        <v>80</v>
      </c>
      <c r="AD864">
        <v>0</v>
      </c>
      <c r="AE864" s="5">
        <v>6</v>
      </c>
      <c r="AF864" t="str">
        <f t="shared" si="93"/>
        <v>6-15</v>
      </c>
      <c r="AG864">
        <v>3</v>
      </c>
      <c r="AH864">
        <v>3</v>
      </c>
      <c r="AI864" s="5">
        <v>0</v>
      </c>
      <c r="AJ864">
        <v>0</v>
      </c>
      <c r="AK864">
        <v>0</v>
      </c>
      <c r="AL864">
        <v>0</v>
      </c>
      <c r="AM864" t="str">
        <f t="shared" si="94"/>
        <v>Below Avg</v>
      </c>
      <c r="AN864" s="21">
        <f t="shared" si="95"/>
        <v>27.42200328407225</v>
      </c>
      <c r="AO864" t="str">
        <f t="shared" ca="1" si="96"/>
        <v>No</v>
      </c>
      <c r="AP864" t="str">
        <f t="shared" si="97"/>
        <v>Low Risk</v>
      </c>
    </row>
    <row r="865" spans="1:42" x14ac:dyDescent="0.3">
      <c r="A865" s="5">
        <v>33</v>
      </c>
      <c r="B865" s="5" t="s">
        <v>43</v>
      </c>
      <c r="C865" s="5" t="str">
        <f t="shared" si="91"/>
        <v>No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 s="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 s="5">
        <v>3600</v>
      </c>
      <c r="U865">
        <v>8429</v>
      </c>
      <c r="V865">
        <v>1</v>
      </c>
      <c r="W865" t="s">
        <v>42</v>
      </c>
      <c r="X865" t="s">
        <v>43</v>
      </c>
      <c r="Y865" t="str">
        <f t="shared" si="92"/>
        <v>No</v>
      </c>
      <c r="Z865">
        <v>13</v>
      </c>
      <c r="AA865">
        <v>3</v>
      </c>
      <c r="AB865">
        <v>4</v>
      </c>
      <c r="AC865">
        <v>80</v>
      </c>
      <c r="AD865">
        <v>1</v>
      </c>
      <c r="AE865" s="5">
        <v>5</v>
      </c>
      <c r="AF865" t="str">
        <f t="shared" si="93"/>
        <v>0-5</v>
      </c>
      <c r="AG865">
        <v>2</v>
      </c>
      <c r="AH865">
        <v>3</v>
      </c>
      <c r="AI865" s="5">
        <v>5</v>
      </c>
      <c r="AJ865">
        <v>4</v>
      </c>
      <c r="AK865">
        <v>1</v>
      </c>
      <c r="AL865">
        <v>4</v>
      </c>
      <c r="AM865" t="str">
        <f t="shared" si="94"/>
        <v>Below Avg</v>
      </c>
      <c r="AN865" s="21">
        <f t="shared" si="95"/>
        <v>27.467105263157894</v>
      </c>
      <c r="AO865" t="str">
        <f t="shared" ca="1" si="96"/>
        <v>No</v>
      </c>
      <c r="AP865" t="str">
        <f t="shared" si="97"/>
        <v>Low Risk</v>
      </c>
    </row>
    <row r="866" spans="1:42" x14ac:dyDescent="0.3">
      <c r="A866" s="5">
        <v>41</v>
      </c>
      <c r="B866" s="5" t="s">
        <v>35</v>
      </c>
      <c r="C866" s="5" t="str">
        <f t="shared" si="91"/>
        <v>Yes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 s="5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 s="5">
        <v>2107</v>
      </c>
      <c r="U866">
        <v>20293</v>
      </c>
      <c r="V866">
        <v>6</v>
      </c>
      <c r="W866" t="s">
        <v>42</v>
      </c>
      <c r="X866" t="s">
        <v>43</v>
      </c>
      <c r="Y866" t="str">
        <f t="shared" si="92"/>
        <v>No</v>
      </c>
      <c r="Z866">
        <v>17</v>
      </c>
      <c r="AA866">
        <v>3</v>
      </c>
      <c r="AB866">
        <v>1</v>
      </c>
      <c r="AC866">
        <v>80</v>
      </c>
      <c r="AD866">
        <v>1</v>
      </c>
      <c r="AE866" s="5">
        <v>5</v>
      </c>
      <c r="AF866" t="str">
        <f t="shared" si="93"/>
        <v>0-5</v>
      </c>
      <c r="AG866">
        <v>2</v>
      </c>
      <c r="AH866">
        <v>1</v>
      </c>
      <c r="AI866" s="5">
        <v>1</v>
      </c>
      <c r="AJ866">
        <v>0</v>
      </c>
      <c r="AK866">
        <v>0</v>
      </c>
      <c r="AL866">
        <v>0</v>
      </c>
      <c r="AM866" t="str">
        <f t="shared" si="94"/>
        <v>Below Avg</v>
      </c>
      <c r="AN866" s="21">
        <f t="shared" si="95"/>
        <v>27.512355848434929</v>
      </c>
      <c r="AO866" t="str">
        <f t="shared" ca="1" si="96"/>
        <v>No</v>
      </c>
      <c r="AP866" t="str">
        <f t="shared" si="97"/>
        <v>High Risk</v>
      </c>
    </row>
    <row r="867" spans="1:42" x14ac:dyDescent="0.3">
      <c r="A867" s="5">
        <v>30</v>
      </c>
      <c r="B867" s="5" t="s">
        <v>43</v>
      </c>
      <c r="C867" s="5" t="str">
        <f t="shared" si="91"/>
        <v>No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 s="5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 s="5">
        <v>4115</v>
      </c>
      <c r="U867">
        <v>13192</v>
      </c>
      <c r="V867">
        <v>8</v>
      </c>
      <c r="W867" t="s">
        <v>42</v>
      </c>
      <c r="X867" t="s">
        <v>43</v>
      </c>
      <c r="Y867" t="str">
        <f t="shared" si="92"/>
        <v>No</v>
      </c>
      <c r="Z867">
        <v>19</v>
      </c>
      <c r="AA867">
        <v>3</v>
      </c>
      <c r="AB867">
        <v>3</v>
      </c>
      <c r="AC867">
        <v>80</v>
      </c>
      <c r="AD867">
        <v>3</v>
      </c>
      <c r="AE867" s="5">
        <v>8</v>
      </c>
      <c r="AF867" t="str">
        <f t="shared" si="93"/>
        <v>6-15</v>
      </c>
      <c r="AG867">
        <v>3</v>
      </c>
      <c r="AH867">
        <v>3</v>
      </c>
      <c r="AI867" s="5">
        <v>4</v>
      </c>
      <c r="AJ867">
        <v>3</v>
      </c>
      <c r="AK867">
        <v>0</v>
      </c>
      <c r="AL867">
        <v>3</v>
      </c>
      <c r="AM867" t="str">
        <f t="shared" si="94"/>
        <v>Below Avg</v>
      </c>
      <c r="AN867" s="21">
        <f t="shared" si="95"/>
        <v>27.557755775577558</v>
      </c>
      <c r="AO867" t="str">
        <f t="shared" ca="1" si="96"/>
        <v>No</v>
      </c>
      <c r="AP867" t="str">
        <f t="shared" si="97"/>
        <v>Low Risk</v>
      </c>
    </row>
    <row r="868" spans="1:42" x14ac:dyDescent="0.3">
      <c r="A868" s="5">
        <v>40</v>
      </c>
      <c r="B868" s="5" t="s">
        <v>43</v>
      </c>
      <c r="C868" s="5" t="str">
        <f t="shared" si="91"/>
        <v>No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 s="5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 s="5">
        <v>4327</v>
      </c>
      <c r="U868">
        <v>25440</v>
      </c>
      <c r="V868">
        <v>5</v>
      </c>
      <c r="W868" t="s">
        <v>42</v>
      </c>
      <c r="X868" t="s">
        <v>43</v>
      </c>
      <c r="Y868" t="str">
        <f t="shared" si="92"/>
        <v>No</v>
      </c>
      <c r="Z868">
        <v>12</v>
      </c>
      <c r="AA868">
        <v>3</v>
      </c>
      <c r="AB868">
        <v>4</v>
      </c>
      <c r="AC868">
        <v>80</v>
      </c>
      <c r="AD868">
        <v>3</v>
      </c>
      <c r="AE868" s="5">
        <v>5</v>
      </c>
      <c r="AF868" t="str">
        <f t="shared" si="93"/>
        <v>0-5</v>
      </c>
      <c r="AG868">
        <v>2</v>
      </c>
      <c r="AH868">
        <v>3</v>
      </c>
      <c r="AI868" s="5">
        <v>0</v>
      </c>
      <c r="AJ868">
        <v>0</v>
      </c>
      <c r="AK868">
        <v>0</v>
      </c>
      <c r="AL868">
        <v>0</v>
      </c>
      <c r="AM868" t="str">
        <f t="shared" si="94"/>
        <v>Below Avg</v>
      </c>
      <c r="AN868" s="21">
        <f t="shared" si="95"/>
        <v>27.603305785123965</v>
      </c>
      <c r="AO868" t="str">
        <f t="shared" ca="1" si="96"/>
        <v>No</v>
      </c>
      <c r="AP868" t="str">
        <f t="shared" si="97"/>
        <v>Low Risk</v>
      </c>
    </row>
    <row r="869" spans="1:42" x14ac:dyDescent="0.3">
      <c r="A869" s="5">
        <v>50</v>
      </c>
      <c r="B869" s="5" t="s">
        <v>43</v>
      </c>
      <c r="C869" s="5" t="str">
        <f t="shared" si="91"/>
        <v>No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 s="5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 s="5">
        <v>17856</v>
      </c>
      <c r="U869">
        <v>9490</v>
      </c>
      <c r="V869">
        <v>2</v>
      </c>
      <c r="W869" t="s">
        <v>42</v>
      </c>
      <c r="X869" t="s">
        <v>43</v>
      </c>
      <c r="Y869" t="str">
        <f t="shared" si="92"/>
        <v>No</v>
      </c>
      <c r="Z869">
        <v>22</v>
      </c>
      <c r="AA869">
        <v>4</v>
      </c>
      <c r="AB869">
        <v>3</v>
      </c>
      <c r="AC869">
        <v>80</v>
      </c>
      <c r="AD869">
        <v>1</v>
      </c>
      <c r="AE869" s="5">
        <v>32</v>
      </c>
      <c r="AF869" t="str">
        <f t="shared" si="93"/>
        <v>&gt;15</v>
      </c>
      <c r="AG869">
        <v>3</v>
      </c>
      <c r="AH869">
        <v>3</v>
      </c>
      <c r="AI869" s="5">
        <v>2</v>
      </c>
      <c r="AJ869">
        <v>2</v>
      </c>
      <c r="AK869">
        <v>2</v>
      </c>
      <c r="AL869">
        <v>2</v>
      </c>
      <c r="AM869" t="str">
        <f t="shared" si="94"/>
        <v>Ok</v>
      </c>
      <c r="AN869" s="21">
        <f t="shared" si="95"/>
        <v>27.649006622516559</v>
      </c>
      <c r="AO869" t="str">
        <f t="shared" ca="1" si="96"/>
        <v>No</v>
      </c>
      <c r="AP869" t="str">
        <f t="shared" si="97"/>
        <v>Low Risk</v>
      </c>
    </row>
    <row r="870" spans="1:42" x14ac:dyDescent="0.3">
      <c r="A870" s="5">
        <v>28</v>
      </c>
      <c r="B870" s="5" t="s">
        <v>43</v>
      </c>
      <c r="C870" s="5" t="str">
        <f t="shared" si="91"/>
        <v>No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 s="5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 s="5">
        <v>3196</v>
      </c>
      <c r="U870">
        <v>12449</v>
      </c>
      <c r="V870">
        <v>1</v>
      </c>
      <c r="W870" t="s">
        <v>42</v>
      </c>
      <c r="X870" t="s">
        <v>43</v>
      </c>
      <c r="Y870" t="str">
        <f t="shared" si="92"/>
        <v>No</v>
      </c>
      <c r="Z870">
        <v>12</v>
      </c>
      <c r="AA870">
        <v>3</v>
      </c>
      <c r="AB870">
        <v>3</v>
      </c>
      <c r="AC870">
        <v>80</v>
      </c>
      <c r="AD870">
        <v>3</v>
      </c>
      <c r="AE870" s="5">
        <v>6</v>
      </c>
      <c r="AF870" t="str">
        <f t="shared" si="93"/>
        <v>6-15</v>
      </c>
      <c r="AG870">
        <v>2</v>
      </c>
      <c r="AH870">
        <v>3</v>
      </c>
      <c r="AI870" s="5">
        <v>6</v>
      </c>
      <c r="AJ870">
        <v>5</v>
      </c>
      <c r="AK870">
        <v>3</v>
      </c>
      <c r="AL870">
        <v>3</v>
      </c>
      <c r="AM870" t="str">
        <f t="shared" si="94"/>
        <v>Below Avg</v>
      </c>
      <c r="AN870" s="21">
        <f t="shared" si="95"/>
        <v>27.694859038142621</v>
      </c>
      <c r="AO870" t="str">
        <f t="shared" ca="1" si="96"/>
        <v>No</v>
      </c>
      <c r="AP870" t="str">
        <f t="shared" si="97"/>
        <v>Low Risk</v>
      </c>
    </row>
    <row r="871" spans="1:42" x14ac:dyDescent="0.3">
      <c r="A871" s="5">
        <v>46</v>
      </c>
      <c r="B871" s="5" t="s">
        <v>43</v>
      </c>
      <c r="C871" s="5" t="str">
        <f t="shared" si="91"/>
        <v>No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 s="5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 s="5">
        <v>19081</v>
      </c>
      <c r="U871">
        <v>10849</v>
      </c>
      <c r="V871">
        <v>5</v>
      </c>
      <c r="W871" t="s">
        <v>42</v>
      </c>
      <c r="X871" t="s">
        <v>43</v>
      </c>
      <c r="Y871" t="str">
        <f t="shared" si="92"/>
        <v>No</v>
      </c>
      <c r="Z871">
        <v>11</v>
      </c>
      <c r="AA871">
        <v>3</v>
      </c>
      <c r="AB871">
        <v>1</v>
      </c>
      <c r="AC871">
        <v>80</v>
      </c>
      <c r="AD871">
        <v>1</v>
      </c>
      <c r="AE871" s="5">
        <v>25</v>
      </c>
      <c r="AF871" t="str">
        <f t="shared" si="93"/>
        <v>&gt;15</v>
      </c>
      <c r="AG871">
        <v>2</v>
      </c>
      <c r="AH871">
        <v>3</v>
      </c>
      <c r="AI871" s="5">
        <v>4</v>
      </c>
      <c r="AJ871">
        <v>2</v>
      </c>
      <c r="AK871">
        <v>0</v>
      </c>
      <c r="AL871">
        <v>3</v>
      </c>
      <c r="AM871" t="str">
        <f t="shared" si="94"/>
        <v>Ok</v>
      </c>
      <c r="AN871" s="21">
        <f t="shared" si="95"/>
        <v>27.740863787375414</v>
      </c>
      <c r="AO871" t="str">
        <f t="shared" ca="1" si="96"/>
        <v>No</v>
      </c>
      <c r="AP871" t="str">
        <f t="shared" si="97"/>
        <v>Low Risk</v>
      </c>
    </row>
    <row r="872" spans="1:42" x14ac:dyDescent="0.3">
      <c r="A872" s="5">
        <v>35</v>
      </c>
      <c r="B872" s="5" t="s">
        <v>43</v>
      </c>
      <c r="C872" s="5" t="str">
        <f t="shared" si="91"/>
        <v>No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 s="5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 s="5">
        <v>8966</v>
      </c>
      <c r="U872">
        <v>21026</v>
      </c>
      <c r="V872">
        <v>3</v>
      </c>
      <c r="W872" t="s">
        <v>42</v>
      </c>
      <c r="X872" t="s">
        <v>35</v>
      </c>
      <c r="Y872" t="str">
        <f t="shared" si="92"/>
        <v>Yes</v>
      </c>
      <c r="Z872">
        <v>15</v>
      </c>
      <c r="AA872">
        <v>3</v>
      </c>
      <c r="AB872">
        <v>4</v>
      </c>
      <c r="AC872">
        <v>80</v>
      </c>
      <c r="AD872">
        <v>3</v>
      </c>
      <c r="AE872" s="5">
        <v>15</v>
      </c>
      <c r="AF872" t="str">
        <f t="shared" si="93"/>
        <v>6-15</v>
      </c>
      <c r="AG872">
        <v>2</v>
      </c>
      <c r="AH872">
        <v>3</v>
      </c>
      <c r="AI872" s="5">
        <v>7</v>
      </c>
      <c r="AJ872">
        <v>7</v>
      </c>
      <c r="AK872">
        <v>1</v>
      </c>
      <c r="AL872">
        <v>7</v>
      </c>
      <c r="AM872" t="str">
        <f t="shared" si="94"/>
        <v>Ok</v>
      </c>
      <c r="AN872" s="21">
        <f t="shared" si="95"/>
        <v>27.787021630615637</v>
      </c>
      <c r="AO872" t="str">
        <f t="shared" ca="1" si="96"/>
        <v>No</v>
      </c>
      <c r="AP872" t="str">
        <f t="shared" si="97"/>
        <v>Low Risk</v>
      </c>
    </row>
    <row r="873" spans="1:42" x14ac:dyDescent="0.3">
      <c r="A873" s="5">
        <v>24</v>
      </c>
      <c r="B873" s="5" t="s">
        <v>35</v>
      </c>
      <c r="C873" s="5" t="str">
        <f t="shared" si="91"/>
        <v>Yes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 s="5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 s="5">
        <v>2210</v>
      </c>
      <c r="U873">
        <v>3372</v>
      </c>
      <c r="V873">
        <v>1</v>
      </c>
      <c r="W873" t="s">
        <v>42</v>
      </c>
      <c r="X873" t="s">
        <v>43</v>
      </c>
      <c r="Y873" t="str">
        <f t="shared" si="92"/>
        <v>No</v>
      </c>
      <c r="Z873">
        <v>13</v>
      </c>
      <c r="AA873">
        <v>3</v>
      </c>
      <c r="AB873">
        <v>1</v>
      </c>
      <c r="AC873">
        <v>80</v>
      </c>
      <c r="AD873">
        <v>1</v>
      </c>
      <c r="AE873" s="5">
        <v>1</v>
      </c>
      <c r="AF873" t="str">
        <f t="shared" si="93"/>
        <v>0-5</v>
      </c>
      <c r="AG873">
        <v>3</v>
      </c>
      <c r="AH873">
        <v>1</v>
      </c>
      <c r="AI873" s="5">
        <v>1</v>
      </c>
      <c r="AJ873">
        <v>0</v>
      </c>
      <c r="AK873">
        <v>0</v>
      </c>
      <c r="AL873">
        <v>0</v>
      </c>
      <c r="AM873" t="str">
        <f t="shared" si="94"/>
        <v>Below Avg</v>
      </c>
      <c r="AN873" s="21">
        <f t="shared" si="95"/>
        <v>27.833333333333332</v>
      </c>
      <c r="AO873" t="str">
        <f t="shared" ca="1" si="96"/>
        <v>No</v>
      </c>
      <c r="AP873" t="str">
        <f t="shared" si="97"/>
        <v>High Risk</v>
      </c>
    </row>
    <row r="874" spans="1:42" x14ac:dyDescent="0.3">
      <c r="A874" s="5">
        <v>33</v>
      </c>
      <c r="B874" s="5" t="s">
        <v>43</v>
      </c>
      <c r="C874" s="5" t="str">
        <f t="shared" si="91"/>
        <v>No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 s="5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 s="5">
        <v>4539</v>
      </c>
      <c r="U874">
        <v>4905</v>
      </c>
      <c r="V874">
        <v>1</v>
      </c>
      <c r="W874" t="s">
        <v>42</v>
      </c>
      <c r="X874" t="s">
        <v>43</v>
      </c>
      <c r="Y874" t="str">
        <f t="shared" si="92"/>
        <v>No</v>
      </c>
      <c r="Z874">
        <v>12</v>
      </c>
      <c r="AA874">
        <v>3</v>
      </c>
      <c r="AB874">
        <v>1</v>
      </c>
      <c r="AC874">
        <v>80</v>
      </c>
      <c r="AD874">
        <v>1</v>
      </c>
      <c r="AE874" s="5">
        <v>10</v>
      </c>
      <c r="AF874" t="str">
        <f t="shared" si="93"/>
        <v>6-15</v>
      </c>
      <c r="AG874">
        <v>3</v>
      </c>
      <c r="AH874">
        <v>2</v>
      </c>
      <c r="AI874" s="5">
        <v>10</v>
      </c>
      <c r="AJ874">
        <v>7</v>
      </c>
      <c r="AK874">
        <v>0</v>
      </c>
      <c r="AL874">
        <v>1</v>
      </c>
      <c r="AM874" t="str">
        <f t="shared" si="94"/>
        <v>Below Avg</v>
      </c>
      <c r="AN874" s="21">
        <f t="shared" si="95"/>
        <v>27.712854757929883</v>
      </c>
      <c r="AO874" t="str">
        <f t="shared" ca="1" si="96"/>
        <v>No</v>
      </c>
      <c r="AP874" t="str">
        <f t="shared" si="97"/>
        <v>Low Risk</v>
      </c>
    </row>
    <row r="875" spans="1:42" x14ac:dyDescent="0.3">
      <c r="A875" s="5">
        <v>36</v>
      </c>
      <c r="B875" s="5" t="s">
        <v>43</v>
      </c>
      <c r="C875" s="5" t="str">
        <f t="shared" si="91"/>
        <v>No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 s="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 s="5">
        <v>2741</v>
      </c>
      <c r="U875">
        <v>6865</v>
      </c>
      <c r="V875">
        <v>1</v>
      </c>
      <c r="W875" t="s">
        <v>42</v>
      </c>
      <c r="X875" t="s">
        <v>43</v>
      </c>
      <c r="Y875" t="str">
        <f t="shared" si="92"/>
        <v>No</v>
      </c>
      <c r="Z875">
        <v>14</v>
      </c>
      <c r="AA875">
        <v>3</v>
      </c>
      <c r="AB875">
        <v>3</v>
      </c>
      <c r="AC875">
        <v>80</v>
      </c>
      <c r="AD875">
        <v>1</v>
      </c>
      <c r="AE875" s="5">
        <v>7</v>
      </c>
      <c r="AF875" t="str">
        <f t="shared" si="93"/>
        <v>6-15</v>
      </c>
      <c r="AG875">
        <v>4</v>
      </c>
      <c r="AH875">
        <v>3</v>
      </c>
      <c r="AI875" s="5">
        <v>7</v>
      </c>
      <c r="AJ875">
        <v>7</v>
      </c>
      <c r="AK875">
        <v>1</v>
      </c>
      <c r="AL875">
        <v>7</v>
      </c>
      <c r="AM875" t="str">
        <f t="shared" si="94"/>
        <v>Below Avg</v>
      </c>
      <c r="AN875" s="21">
        <f t="shared" si="95"/>
        <v>27.759197324414714</v>
      </c>
      <c r="AO875" t="str">
        <f t="shared" ca="1" si="96"/>
        <v>No</v>
      </c>
      <c r="AP875" t="str">
        <f t="shared" si="97"/>
        <v>Low Risk</v>
      </c>
    </row>
    <row r="876" spans="1:42" x14ac:dyDescent="0.3">
      <c r="A876" s="5">
        <v>30</v>
      </c>
      <c r="B876" s="5" t="s">
        <v>43</v>
      </c>
      <c r="C876" s="5" t="str">
        <f t="shared" si="91"/>
        <v>No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 s="5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 s="5">
        <v>3491</v>
      </c>
      <c r="U876">
        <v>11309</v>
      </c>
      <c r="V876">
        <v>1</v>
      </c>
      <c r="W876" t="s">
        <v>42</v>
      </c>
      <c r="X876" t="s">
        <v>43</v>
      </c>
      <c r="Y876" t="str">
        <f t="shared" si="92"/>
        <v>No</v>
      </c>
      <c r="Z876">
        <v>13</v>
      </c>
      <c r="AA876">
        <v>3</v>
      </c>
      <c r="AB876">
        <v>1</v>
      </c>
      <c r="AC876">
        <v>80</v>
      </c>
      <c r="AD876">
        <v>3</v>
      </c>
      <c r="AE876" s="5">
        <v>10</v>
      </c>
      <c r="AF876" t="str">
        <f t="shared" si="93"/>
        <v>6-15</v>
      </c>
      <c r="AG876">
        <v>4</v>
      </c>
      <c r="AH876">
        <v>2</v>
      </c>
      <c r="AI876" s="5">
        <v>10</v>
      </c>
      <c r="AJ876">
        <v>7</v>
      </c>
      <c r="AK876">
        <v>8</v>
      </c>
      <c r="AL876">
        <v>9</v>
      </c>
      <c r="AM876" t="str">
        <f t="shared" si="94"/>
        <v>Below Avg</v>
      </c>
      <c r="AN876" s="21">
        <f t="shared" si="95"/>
        <v>27.805695142378561</v>
      </c>
      <c r="AO876" t="str">
        <f t="shared" ca="1" si="96"/>
        <v>No</v>
      </c>
      <c r="AP876" t="str">
        <f t="shared" si="97"/>
        <v>Low Risk</v>
      </c>
    </row>
    <row r="877" spans="1:42" x14ac:dyDescent="0.3">
      <c r="A877" s="5">
        <v>44</v>
      </c>
      <c r="B877" s="5" t="s">
        <v>43</v>
      </c>
      <c r="C877" s="5" t="str">
        <f t="shared" si="91"/>
        <v>No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 s="5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 s="5">
        <v>4541</v>
      </c>
      <c r="U877">
        <v>7744</v>
      </c>
      <c r="V877">
        <v>1</v>
      </c>
      <c r="W877" t="s">
        <v>42</v>
      </c>
      <c r="X877" t="s">
        <v>43</v>
      </c>
      <c r="Y877" t="str">
        <f t="shared" si="92"/>
        <v>No</v>
      </c>
      <c r="Z877">
        <v>25</v>
      </c>
      <c r="AA877">
        <v>4</v>
      </c>
      <c r="AB877">
        <v>2</v>
      </c>
      <c r="AC877">
        <v>80</v>
      </c>
      <c r="AD877">
        <v>0</v>
      </c>
      <c r="AE877" s="5">
        <v>20</v>
      </c>
      <c r="AF877" t="str">
        <f t="shared" si="93"/>
        <v>&gt;15</v>
      </c>
      <c r="AG877">
        <v>3</v>
      </c>
      <c r="AH877">
        <v>3</v>
      </c>
      <c r="AI877" s="5">
        <v>20</v>
      </c>
      <c r="AJ877">
        <v>11</v>
      </c>
      <c r="AK877">
        <v>13</v>
      </c>
      <c r="AL877">
        <v>17</v>
      </c>
      <c r="AM877" t="str">
        <f t="shared" si="94"/>
        <v>Below Avg</v>
      </c>
      <c r="AN877" s="21">
        <f t="shared" si="95"/>
        <v>27.85234899328859</v>
      </c>
      <c r="AO877" t="str">
        <f t="shared" ca="1" si="96"/>
        <v>No</v>
      </c>
      <c r="AP877" t="str">
        <f t="shared" si="97"/>
        <v>Low Risk</v>
      </c>
    </row>
    <row r="878" spans="1:42" x14ac:dyDescent="0.3">
      <c r="A878" s="5">
        <v>20</v>
      </c>
      <c r="B878" s="5" t="s">
        <v>43</v>
      </c>
      <c r="C878" s="5" t="str">
        <f t="shared" si="91"/>
        <v>No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 s="5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 s="5">
        <v>2678</v>
      </c>
      <c r="U878">
        <v>5050</v>
      </c>
      <c r="V878">
        <v>1</v>
      </c>
      <c r="W878" t="s">
        <v>42</v>
      </c>
      <c r="X878" t="s">
        <v>43</v>
      </c>
      <c r="Y878" t="str">
        <f t="shared" si="92"/>
        <v>No</v>
      </c>
      <c r="Z878">
        <v>17</v>
      </c>
      <c r="AA878">
        <v>3</v>
      </c>
      <c r="AB878">
        <v>4</v>
      </c>
      <c r="AC878">
        <v>80</v>
      </c>
      <c r="AD878">
        <v>0</v>
      </c>
      <c r="AE878" s="5">
        <v>2</v>
      </c>
      <c r="AF878" t="str">
        <f t="shared" si="93"/>
        <v>0-5</v>
      </c>
      <c r="AG878">
        <v>2</v>
      </c>
      <c r="AH878">
        <v>3</v>
      </c>
      <c r="AI878" s="5">
        <v>2</v>
      </c>
      <c r="AJ878">
        <v>1</v>
      </c>
      <c r="AK878">
        <v>2</v>
      </c>
      <c r="AL878">
        <v>2</v>
      </c>
      <c r="AM878" t="str">
        <f t="shared" si="94"/>
        <v>Below Avg</v>
      </c>
      <c r="AN878" s="21">
        <f t="shared" si="95"/>
        <v>27.899159663865547</v>
      </c>
      <c r="AO878" t="str">
        <f t="shared" ca="1" si="96"/>
        <v>No</v>
      </c>
      <c r="AP878" t="str">
        <f t="shared" si="97"/>
        <v>Low Risk</v>
      </c>
    </row>
    <row r="879" spans="1:42" x14ac:dyDescent="0.3">
      <c r="A879" s="5">
        <v>46</v>
      </c>
      <c r="B879" s="5" t="s">
        <v>43</v>
      </c>
      <c r="C879" s="5" t="str">
        <f t="shared" si="91"/>
        <v>No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 s="5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 s="5">
        <v>7379</v>
      </c>
      <c r="U879">
        <v>17433</v>
      </c>
      <c r="V879">
        <v>2</v>
      </c>
      <c r="W879" t="s">
        <v>42</v>
      </c>
      <c r="X879" t="s">
        <v>43</v>
      </c>
      <c r="Y879" t="str">
        <f t="shared" si="92"/>
        <v>No</v>
      </c>
      <c r="Z879">
        <v>11</v>
      </c>
      <c r="AA879">
        <v>3</v>
      </c>
      <c r="AB879">
        <v>3</v>
      </c>
      <c r="AC879">
        <v>80</v>
      </c>
      <c r="AD879">
        <v>1</v>
      </c>
      <c r="AE879" s="5">
        <v>12</v>
      </c>
      <c r="AF879" t="str">
        <f t="shared" si="93"/>
        <v>6-15</v>
      </c>
      <c r="AG879">
        <v>3</v>
      </c>
      <c r="AH879">
        <v>2</v>
      </c>
      <c r="AI879" s="5">
        <v>6</v>
      </c>
      <c r="AJ879">
        <v>3</v>
      </c>
      <c r="AK879">
        <v>1</v>
      </c>
      <c r="AL879">
        <v>4</v>
      </c>
      <c r="AM879" t="str">
        <f t="shared" si="94"/>
        <v>Ok</v>
      </c>
      <c r="AN879" s="21">
        <f t="shared" si="95"/>
        <v>27.946127946127948</v>
      </c>
      <c r="AO879" t="str">
        <f t="shared" ca="1" si="96"/>
        <v>No</v>
      </c>
      <c r="AP879" t="str">
        <f t="shared" si="97"/>
        <v>Low Risk</v>
      </c>
    </row>
    <row r="880" spans="1:42" x14ac:dyDescent="0.3">
      <c r="A880" s="5">
        <v>42</v>
      </c>
      <c r="B880" s="5" t="s">
        <v>43</v>
      </c>
      <c r="C880" s="5" t="str">
        <f t="shared" si="91"/>
        <v>No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 s="5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 s="5">
        <v>6272</v>
      </c>
      <c r="U880">
        <v>12858</v>
      </c>
      <c r="V880">
        <v>7</v>
      </c>
      <c r="W880" t="s">
        <v>42</v>
      </c>
      <c r="X880" t="s">
        <v>43</v>
      </c>
      <c r="Y880" t="str">
        <f t="shared" si="92"/>
        <v>No</v>
      </c>
      <c r="Z880">
        <v>16</v>
      </c>
      <c r="AA880">
        <v>3</v>
      </c>
      <c r="AB880">
        <v>1</v>
      </c>
      <c r="AC880">
        <v>80</v>
      </c>
      <c r="AD880">
        <v>1</v>
      </c>
      <c r="AE880" s="5">
        <v>10</v>
      </c>
      <c r="AF880" t="str">
        <f t="shared" si="93"/>
        <v>6-15</v>
      </c>
      <c r="AG880">
        <v>3</v>
      </c>
      <c r="AH880">
        <v>4</v>
      </c>
      <c r="AI880" s="5">
        <v>4</v>
      </c>
      <c r="AJ880">
        <v>3</v>
      </c>
      <c r="AK880">
        <v>0</v>
      </c>
      <c r="AL880">
        <v>3</v>
      </c>
      <c r="AM880" t="str">
        <f t="shared" si="94"/>
        <v>Below Avg</v>
      </c>
      <c r="AN880" s="21">
        <f t="shared" si="95"/>
        <v>27.99325463743676</v>
      </c>
      <c r="AO880" t="str">
        <f t="shared" ca="1" si="96"/>
        <v>No</v>
      </c>
      <c r="AP880" t="str">
        <f t="shared" si="97"/>
        <v>Low Risk</v>
      </c>
    </row>
    <row r="881" spans="1:42" x14ac:dyDescent="0.3">
      <c r="A881" s="5">
        <v>60</v>
      </c>
      <c r="B881" s="5" t="s">
        <v>43</v>
      </c>
      <c r="C881" s="5" t="str">
        <f t="shared" si="91"/>
        <v>No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 s="5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 s="5">
        <v>5220</v>
      </c>
      <c r="U881">
        <v>10893</v>
      </c>
      <c r="V881">
        <v>0</v>
      </c>
      <c r="W881" t="s">
        <v>42</v>
      </c>
      <c r="X881" t="s">
        <v>35</v>
      </c>
      <c r="Y881" t="str">
        <f t="shared" si="92"/>
        <v>Yes</v>
      </c>
      <c r="Z881">
        <v>18</v>
      </c>
      <c r="AA881">
        <v>3</v>
      </c>
      <c r="AB881">
        <v>2</v>
      </c>
      <c r="AC881">
        <v>80</v>
      </c>
      <c r="AD881">
        <v>1</v>
      </c>
      <c r="AE881" s="5">
        <v>12</v>
      </c>
      <c r="AF881" t="str">
        <f t="shared" si="93"/>
        <v>6-15</v>
      </c>
      <c r="AG881">
        <v>3</v>
      </c>
      <c r="AH881">
        <v>3</v>
      </c>
      <c r="AI881" s="5">
        <v>11</v>
      </c>
      <c r="AJ881">
        <v>7</v>
      </c>
      <c r="AK881">
        <v>1</v>
      </c>
      <c r="AL881">
        <v>9</v>
      </c>
      <c r="AM881" t="str">
        <f t="shared" si="94"/>
        <v>Below Avg</v>
      </c>
      <c r="AN881" s="21">
        <f t="shared" si="95"/>
        <v>28.040540540540544</v>
      </c>
      <c r="AO881" t="str">
        <f t="shared" ca="1" si="96"/>
        <v>No</v>
      </c>
      <c r="AP881" t="str">
        <f t="shared" si="97"/>
        <v>Low Risk</v>
      </c>
    </row>
    <row r="882" spans="1:42" x14ac:dyDescent="0.3">
      <c r="A882" s="5">
        <v>32</v>
      </c>
      <c r="B882" s="5" t="s">
        <v>43</v>
      </c>
      <c r="C882" s="5" t="str">
        <f t="shared" si="91"/>
        <v>No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 s="5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 s="5">
        <v>2743</v>
      </c>
      <c r="U882">
        <v>7331</v>
      </c>
      <c r="V882">
        <v>1</v>
      </c>
      <c r="W882" t="s">
        <v>42</v>
      </c>
      <c r="X882" t="s">
        <v>43</v>
      </c>
      <c r="Y882" t="str">
        <f t="shared" si="92"/>
        <v>No</v>
      </c>
      <c r="Z882">
        <v>20</v>
      </c>
      <c r="AA882">
        <v>4</v>
      </c>
      <c r="AB882">
        <v>3</v>
      </c>
      <c r="AC882">
        <v>80</v>
      </c>
      <c r="AD882">
        <v>1</v>
      </c>
      <c r="AE882" s="5">
        <v>2</v>
      </c>
      <c r="AF882" t="str">
        <f t="shared" si="93"/>
        <v>0-5</v>
      </c>
      <c r="AG882">
        <v>2</v>
      </c>
      <c r="AH882">
        <v>3</v>
      </c>
      <c r="AI882" s="5">
        <v>2</v>
      </c>
      <c r="AJ882">
        <v>2</v>
      </c>
      <c r="AK882">
        <v>2</v>
      </c>
      <c r="AL882">
        <v>2</v>
      </c>
      <c r="AM882" t="str">
        <f t="shared" si="94"/>
        <v>Below Avg</v>
      </c>
      <c r="AN882" s="21">
        <f t="shared" si="95"/>
        <v>28.087986463620979</v>
      </c>
      <c r="AO882" t="str">
        <f t="shared" ca="1" si="96"/>
        <v>No</v>
      </c>
      <c r="AP882" t="str">
        <f t="shared" si="97"/>
        <v>Low Risk</v>
      </c>
    </row>
    <row r="883" spans="1:42" x14ac:dyDescent="0.3">
      <c r="A883" s="5">
        <v>32</v>
      </c>
      <c r="B883" s="5" t="s">
        <v>43</v>
      </c>
      <c r="C883" s="5" t="str">
        <f t="shared" si="91"/>
        <v>No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 s="5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 s="5">
        <v>4998</v>
      </c>
      <c r="U883">
        <v>2338</v>
      </c>
      <c r="V883">
        <v>4</v>
      </c>
      <c r="W883" t="s">
        <v>42</v>
      </c>
      <c r="X883" t="s">
        <v>35</v>
      </c>
      <c r="Y883" t="str">
        <f t="shared" si="92"/>
        <v>Yes</v>
      </c>
      <c r="Z883">
        <v>14</v>
      </c>
      <c r="AA883">
        <v>3</v>
      </c>
      <c r="AB883">
        <v>4</v>
      </c>
      <c r="AC883">
        <v>80</v>
      </c>
      <c r="AD883">
        <v>0</v>
      </c>
      <c r="AE883" s="5">
        <v>10</v>
      </c>
      <c r="AF883" t="str">
        <f t="shared" si="93"/>
        <v>6-15</v>
      </c>
      <c r="AG883">
        <v>2</v>
      </c>
      <c r="AH883">
        <v>3</v>
      </c>
      <c r="AI883" s="5">
        <v>8</v>
      </c>
      <c r="AJ883">
        <v>7</v>
      </c>
      <c r="AK883">
        <v>0</v>
      </c>
      <c r="AL883">
        <v>7</v>
      </c>
      <c r="AM883" t="str">
        <f t="shared" si="94"/>
        <v>Below Avg</v>
      </c>
      <c r="AN883" s="21">
        <f t="shared" si="95"/>
        <v>27.966101694915253</v>
      </c>
      <c r="AO883" t="str">
        <f t="shared" ca="1" si="96"/>
        <v>No</v>
      </c>
      <c r="AP883" t="str">
        <f t="shared" si="97"/>
        <v>Low Risk</v>
      </c>
    </row>
    <row r="884" spans="1:42" x14ac:dyDescent="0.3">
      <c r="A884" s="5">
        <v>36</v>
      </c>
      <c r="B884" s="5" t="s">
        <v>43</v>
      </c>
      <c r="C884" s="5" t="str">
        <f t="shared" si="91"/>
        <v>No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 s="5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 s="5">
        <v>10252</v>
      </c>
      <c r="U884">
        <v>4235</v>
      </c>
      <c r="V884">
        <v>2</v>
      </c>
      <c r="W884" t="s">
        <v>42</v>
      </c>
      <c r="X884" t="s">
        <v>35</v>
      </c>
      <c r="Y884" t="str">
        <f t="shared" si="92"/>
        <v>Yes</v>
      </c>
      <c r="Z884">
        <v>21</v>
      </c>
      <c r="AA884">
        <v>4</v>
      </c>
      <c r="AB884">
        <v>3</v>
      </c>
      <c r="AC884">
        <v>80</v>
      </c>
      <c r="AD884">
        <v>1</v>
      </c>
      <c r="AE884" s="5">
        <v>17</v>
      </c>
      <c r="AF884" t="str">
        <f t="shared" si="93"/>
        <v>&gt;15</v>
      </c>
      <c r="AG884">
        <v>2</v>
      </c>
      <c r="AH884">
        <v>3</v>
      </c>
      <c r="AI884" s="5">
        <v>7</v>
      </c>
      <c r="AJ884">
        <v>7</v>
      </c>
      <c r="AK884">
        <v>7</v>
      </c>
      <c r="AL884">
        <v>7</v>
      </c>
      <c r="AM884" t="str">
        <f t="shared" si="94"/>
        <v>Ok</v>
      </c>
      <c r="AN884" s="21">
        <f t="shared" si="95"/>
        <v>28.013582342954159</v>
      </c>
      <c r="AO884" t="str">
        <f t="shared" ca="1" si="96"/>
        <v>No</v>
      </c>
      <c r="AP884" t="str">
        <f t="shared" si="97"/>
        <v>Low Risk</v>
      </c>
    </row>
    <row r="885" spans="1:42" x14ac:dyDescent="0.3">
      <c r="A885" s="5">
        <v>33</v>
      </c>
      <c r="B885" s="5" t="s">
        <v>43</v>
      </c>
      <c r="C885" s="5" t="str">
        <f t="shared" si="91"/>
        <v>No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 s="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 s="5">
        <v>2781</v>
      </c>
      <c r="U885">
        <v>6311</v>
      </c>
      <c r="V885">
        <v>0</v>
      </c>
      <c r="W885" t="s">
        <v>42</v>
      </c>
      <c r="X885" t="s">
        <v>43</v>
      </c>
      <c r="Y885" t="str">
        <f t="shared" si="92"/>
        <v>No</v>
      </c>
      <c r="Z885">
        <v>13</v>
      </c>
      <c r="AA885">
        <v>3</v>
      </c>
      <c r="AB885">
        <v>2</v>
      </c>
      <c r="AC885">
        <v>80</v>
      </c>
      <c r="AD885">
        <v>1</v>
      </c>
      <c r="AE885" s="5">
        <v>15</v>
      </c>
      <c r="AF885" t="str">
        <f t="shared" si="93"/>
        <v>6-15</v>
      </c>
      <c r="AG885">
        <v>5</v>
      </c>
      <c r="AH885">
        <v>3</v>
      </c>
      <c r="AI885" s="5">
        <v>14</v>
      </c>
      <c r="AJ885">
        <v>10</v>
      </c>
      <c r="AK885">
        <v>4</v>
      </c>
      <c r="AL885">
        <v>10</v>
      </c>
      <c r="AM885" t="str">
        <f t="shared" si="94"/>
        <v>Below Avg</v>
      </c>
      <c r="AN885" s="21">
        <f t="shared" si="95"/>
        <v>27.89115646258503</v>
      </c>
      <c r="AO885" t="str">
        <f t="shared" ca="1" si="96"/>
        <v>No</v>
      </c>
      <c r="AP885" t="str">
        <f t="shared" si="97"/>
        <v>Low Risk</v>
      </c>
    </row>
    <row r="886" spans="1:42" x14ac:dyDescent="0.3">
      <c r="A886" s="5">
        <v>40</v>
      </c>
      <c r="B886" s="5" t="s">
        <v>43</v>
      </c>
      <c r="C886" s="5" t="str">
        <f t="shared" si="91"/>
        <v>No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 s="5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 s="5">
        <v>6852</v>
      </c>
      <c r="U886">
        <v>11591</v>
      </c>
      <c r="V886">
        <v>7</v>
      </c>
      <c r="W886" t="s">
        <v>42</v>
      </c>
      <c r="X886" t="s">
        <v>43</v>
      </c>
      <c r="Y886" t="str">
        <f t="shared" si="92"/>
        <v>No</v>
      </c>
      <c r="Z886">
        <v>12</v>
      </c>
      <c r="AA886">
        <v>3</v>
      </c>
      <c r="AB886">
        <v>2</v>
      </c>
      <c r="AC886">
        <v>80</v>
      </c>
      <c r="AD886">
        <v>1</v>
      </c>
      <c r="AE886" s="5">
        <v>7</v>
      </c>
      <c r="AF886" t="str">
        <f t="shared" si="93"/>
        <v>6-15</v>
      </c>
      <c r="AG886">
        <v>2</v>
      </c>
      <c r="AH886">
        <v>4</v>
      </c>
      <c r="AI886" s="5">
        <v>5</v>
      </c>
      <c r="AJ886">
        <v>1</v>
      </c>
      <c r="AK886">
        <v>1</v>
      </c>
      <c r="AL886">
        <v>3</v>
      </c>
      <c r="AM886" t="str">
        <f t="shared" si="94"/>
        <v>Below Avg</v>
      </c>
      <c r="AN886" s="21">
        <f t="shared" si="95"/>
        <v>27.768313458262352</v>
      </c>
      <c r="AO886" t="str">
        <f t="shared" ca="1" si="96"/>
        <v>No</v>
      </c>
      <c r="AP886" t="str">
        <f t="shared" si="97"/>
        <v>Low Risk</v>
      </c>
    </row>
    <row r="887" spans="1:42" x14ac:dyDescent="0.3">
      <c r="A887" s="5">
        <v>25</v>
      </c>
      <c r="B887" s="5" t="s">
        <v>43</v>
      </c>
      <c r="C887" s="5" t="str">
        <f t="shared" si="91"/>
        <v>No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 s="5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 s="5">
        <v>4950</v>
      </c>
      <c r="U887">
        <v>20623</v>
      </c>
      <c r="V887">
        <v>0</v>
      </c>
      <c r="W887" t="s">
        <v>42</v>
      </c>
      <c r="X887" t="s">
        <v>43</v>
      </c>
      <c r="Y887" t="str">
        <f t="shared" si="92"/>
        <v>No</v>
      </c>
      <c r="Z887">
        <v>14</v>
      </c>
      <c r="AA887">
        <v>3</v>
      </c>
      <c r="AB887">
        <v>2</v>
      </c>
      <c r="AC887">
        <v>80</v>
      </c>
      <c r="AD887">
        <v>0</v>
      </c>
      <c r="AE887" s="5">
        <v>5</v>
      </c>
      <c r="AF887" t="str">
        <f t="shared" si="93"/>
        <v>0-5</v>
      </c>
      <c r="AG887">
        <v>4</v>
      </c>
      <c r="AH887">
        <v>3</v>
      </c>
      <c r="AI887" s="5">
        <v>4</v>
      </c>
      <c r="AJ887">
        <v>3</v>
      </c>
      <c r="AK887">
        <v>1</v>
      </c>
      <c r="AL887">
        <v>1</v>
      </c>
      <c r="AM887" t="str">
        <f t="shared" si="94"/>
        <v>Below Avg</v>
      </c>
      <c r="AN887" s="21">
        <f t="shared" si="95"/>
        <v>27.815699658703068</v>
      </c>
      <c r="AO887" t="str">
        <f t="shared" ca="1" si="96"/>
        <v>No</v>
      </c>
      <c r="AP887" t="str">
        <f t="shared" si="97"/>
        <v>Low Risk</v>
      </c>
    </row>
    <row r="888" spans="1:42" x14ac:dyDescent="0.3">
      <c r="A888" s="5">
        <v>30</v>
      </c>
      <c r="B888" s="5" t="s">
        <v>43</v>
      </c>
      <c r="C888" s="5" t="str">
        <f t="shared" si="91"/>
        <v>No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 s="5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 s="5">
        <v>3579</v>
      </c>
      <c r="U888">
        <v>9369</v>
      </c>
      <c r="V888">
        <v>0</v>
      </c>
      <c r="W888" t="s">
        <v>42</v>
      </c>
      <c r="X888" t="s">
        <v>35</v>
      </c>
      <c r="Y888" t="str">
        <f t="shared" si="92"/>
        <v>Yes</v>
      </c>
      <c r="Z888">
        <v>21</v>
      </c>
      <c r="AA888">
        <v>4</v>
      </c>
      <c r="AB888">
        <v>1</v>
      </c>
      <c r="AC888">
        <v>80</v>
      </c>
      <c r="AD888">
        <v>1</v>
      </c>
      <c r="AE888" s="5">
        <v>12</v>
      </c>
      <c r="AF888" t="str">
        <f t="shared" si="93"/>
        <v>6-15</v>
      </c>
      <c r="AG888">
        <v>2</v>
      </c>
      <c r="AH888">
        <v>3</v>
      </c>
      <c r="AI888" s="5">
        <v>11</v>
      </c>
      <c r="AJ888">
        <v>9</v>
      </c>
      <c r="AK888">
        <v>5</v>
      </c>
      <c r="AL888">
        <v>7</v>
      </c>
      <c r="AM888" t="str">
        <f t="shared" si="94"/>
        <v>Below Avg</v>
      </c>
      <c r="AN888" s="21">
        <f t="shared" si="95"/>
        <v>27.863247863247864</v>
      </c>
      <c r="AO888" t="str">
        <f t="shared" ca="1" si="96"/>
        <v>No</v>
      </c>
      <c r="AP888" t="str">
        <f t="shared" si="97"/>
        <v>Low Risk</v>
      </c>
    </row>
    <row r="889" spans="1:42" x14ac:dyDescent="0.3">
      <c r="A889" s="5">
        <v>42</v>
      </c>
      <c r="B889" s="5" t="s">
        <v>43</v>
      </c>
      <c r="C889" s="5" t="str">
        <f t="shared" si="91"/>
        <v>No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 s="5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 s="5">
        <v>13191</v>
      </c>
      <c r="U889">
        <v>23281</v>
      </c>
      <c r="V889">
        <v>3</v>
      </c>
      <c r="W889" t="s">
        <v>42</v>
      </c>
      <c r="X889" t="s">
        <v>35</v>
      </c>
      <c r="Y889" t="str">
        <f t="shared" si="92"/>
        <v>Yes</v>
      </c>
      <c r="Z889">
        <v>17</v>
      </c>
      <c r="AA889">
        <v>3</v>
      </c>
      <c r="AB889">
        <v>3</v>
      </c>
      <c r="AC889">
        <v>80</v>
      </c>
      <c r="AD889">
        <v>0</v>
      </c>
      <c r="AE889" s="5">
        <v>20</v>
      </c>
      <c r="AF889" t="str">
        <f t="shared" si="93"/>
        <v>&gt;15</v>
      </c>
      <c r="AG889">
        <v>6</v>
      </c>
      <c r="AH889">
        <v>3</v>
      </c>
      <c r="AI889" s="5">
        <v>1</v>
      </c>
      <c r="AJ889">
        <v>0</v>
      </c>
      <c r="AK889">
        <v>0</v>
      </c>
      <c r="AL889">
        <v>0</v>
      </c>
      <c r="AM889" t="str">
        <f t="shared" si="94"/>
        <v>Ok</v>
      </c>
      <c r="AN889" s="21">
        <f t="shared" si="95"/>
        <v>27.910958904109588</v>
      </c>
      <c r="AO889" t="str">
        <f t="shared" ca="1" si="96"/>
        <v>No</v>
      </c>
      <c r="AP889" t="str">
        <f t="shared" si="97"/>
        <v>Low Risk</v>
      </c>
    </row>
    <row r="890" spans="1:42" x14ac:dyDescent="0.3">
      <c r="A890" s="5">
        <v>35</v>
      </c>
      <c r="B890" s="5" t="s">
        <v>43</v>
      </c>
      <c r="C890" s="5" t="str">
        <f t="shared" si="91"/>
        <v>No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 s="5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 s="5">
        <v>10377</v>
      </c>
      <c r="U890">
        <v>13755</v>
      </c>
      <c r="V890">
        <v>4</v>
      </c>
      <c r="W890" t="s">
        <v>42</v>
      </c>
      <c r="X890" t="s">
        <v>35</v>
      </c>
      <c r="Y890" t="str">
        <f t="shared" si="92"/>
        <v>Yes</v>
      </c>
      <c r="Z890">
        <v>11</v>
      </c>
      <c r="AA890">
        <v>3</v>
      </c>
      <c r="AB890">
        <v>2</v>
      </c>
      <c r="AC890">
        <v>80</v>
      </c>
      <c r="AD890">
        <v>1</v>
      </c>
      <c r="AE890" s="5">
        <v>16</v>
      </c>
      <c r="AF890" t="str">
        <f t="shared" si="93"/>
        <v>&gt;15</v>
      </c>
      <c r="AG890">
        <v>6</v>
      </c>
      <c r="AH890">
        <v>2</v>
      </c>
      <c r="AI890" s="5">
        <v>13</v>
      </c>
      <c r="AJ890">
        <v>2</v>
      </c>
      <c r="AK890">
        <v>4</v>
      </c>
      <c r="AL890">
        <v>12</v>
      </c>
      <c r="AM890" t="str">
        <f t="shared" si="94"/>
        <v>Ok</v>
      </c>
      <c r="AN890" s="21">
        <f t="shared" si="95"/>
        <v>27.787307032590054</v>
      </c>
      <c r="AO890" t="str">
        <f t="shared" ca="1" si="96"/>
        <v>No</v>
      </c>
      <c r="AP890" t="str">
        <f t="shared" si="97"/>
        <v>Low Risk</v>
      </c>
    </row>
    <row r="891" spans="1:42" x14ac:dyDescent="0.3">
      <c r="A891" s="5">
        <v>27</v>
      </c>
      <c r="B891" s="5" t="s">
        <v>43</v>
      </c>
      <c r="C891" s="5" t="str">
        <f t="shared" si="91"/>
        <v>No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 s="5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 s="5">
        <v>2235</v>
      </c>
      <c r="U891">
        <v>14377</v>
      </c>
      <c r="V891">
        <v>1</v>
      </c>
      <c r="W891" t="s">
        <v>42</v>
      </c>
      <c r="X891" t="s">
        <v>35</v>
      </c>
      <c r="Y891" t="str">
        <f t="shared" si="92"/>
        <v>Yes</v>
      </c>
      <c r="Z891">
        <v>14</v>
      </c>
      <c r="AA891">
        <v>3</v>
      </c>
      <c r="AB891">
        <v>4</v>
      </c>
      <c r="AC891">
        <v>80</v>
      </c>
      <c r="AD891">
        <v>2</v>
      </c>
      <c r="AE891" s="5">
        <v>9</v>
      </c>
      <c r="AF891" t="str">
        <f t="shared" si="93"/>
        <v>6-15</v>
      </c>
      <c r="AG891">
        <v>3</v>
      </c>
      <c r="AH891">
        <v>2</v>
      </c>
      <c r="AI891" s="5">
        <v>9</v>
      </c>
      <c r="AJ891">
        <v>7</v>
      </c>
      <c r="AK891">
        <v>6</v>
      </c>
      <c r="AL891">
        <v>8</v>
      </c>
      <c r="AM891" t="str">
        <f t="shared" si="94"/>
        <v>Below Avg</v>
      </c>
      <c r="AN891" s="21">
        <f t="shared" si="95"/>
        <v>27.663230240549829</v>
      </c>
      <c r="AO891" t="str">
        <f t="shared" ca="1" si="96"/>
        <v>No</v>
      </c>
      <c r="AP891" t="str">
        <f t="shared" si="97"/>
        <v>Low Risk</v>
      </c>
    </row>
    <row r="892" spans="1:42" x14ac:dyDescent="0.3">
      <c r="A892" s="5">
        <v>54</v>
      </c>
      <c r="B892" s="5" t="s">
        <v>43</v>
      </c>
      <c r="C892" s="5" t="str">
        <f t="shared" si="91"/>
        <v>No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 s="5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 s="5">
        <v>10502</v>
      </c>
      <c r="U892">
        <v>9659</v>
      </c>
      <c r="V892">
        <v>7</v>
      </c>
      <c r="W892" t="s">
        <v>42</v>
      </c>
      <c r="X892" t="s">
        <v>43</v>
      </c>
      <c r="Y892" t="str">
        <f t="shared" si="92"/>
        <v>No</v>
      </c>
      <c r="Z892">
        <v>17</v>
      </c>
      <c r="AA892">
        <v>3</v>
      </c>
      <c r="AB892">
        <v>1</v>
      </c>
      <c r="AC892">
        <v>80</v>
      </c>
      <c r="AD892">
        <v>1</v>
      </c>
      <c r="AE892" s="5">
        <v>33</v>
      </c>
      <c r="AF892" t="str">
        <f t="shared" si="93"/>
        <v>&gt;15</v>
      </c>
      <c r="AG892">
        <v>2</v>
      </c>
      <c r="AH892">
        <v>1</v>
      </c>
      <c r="AI892" s="5">
        <v>5</v>
      </c>
      <c r="AJ892">
        <v>4</v>
      </c>
      <c r="AK892">
        <v>1</v>
      </c>
      <c r="AL892">
        <v>4</v>
      </c>
      <c r="AM892" t="str">
        <f t="shared" si="94"/>
        <v>Ok</v>
      </c>
      <c r="AN892" s="21">
        <f t="shared" si="95"/>
        <v>27.538726333907054</v>
      </c>
      <c r="AO892" t="str">
        <f t="shared" ca="1" si="96"/>
        <v>No</v>
      </c>
      <c r="AP892" t="str">
        <f t="shared" si="97"/>
        <v>Low Risk</v>
      </c>
    </row>
    <row r="893" spans="1:42" x14ac:dyDescent="0.3">
      <c r="A893" s="5">
        <v>44</v>
      </c>
      <c r="B893" s="5" t="s">
        <v>43</v>
      </c>
      <c r="C893" s="5" t="str">
        <f t="shared" si="91"/>
        <v>No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 s="5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 s="5">
        <v>2011</v>
      </c>
      <c r="U893">
        <v>19982</v>
      </c>
      <c r="V893">
        <v>1</v>
      </c>
      <c r="W893" t="s">
        <v>42</v>
      </c>
      <c r="X893" t="s">
        <v>43</v>
      </c>
      <c r="Y893" t="str">
        <f t="shared" si="92"/>
        <v>No</v>
      </c>
      <c r="Z893">
        <v>13</v>
      </c>
      <c r="AA893">
        <v>3</v>
      </c>
      <c r="AB893">
        <v>4</v>
      </c>
      <c r="AC893">
        <v>80</v>
      </c>
      <c r="AD893">
        <v>1</v>
      </c>
      <c r="AE893" s="5">
        <v>10</v>
      </c>
      <c r="AF893" t="str">
        <f t="shared" si="93"/>
        <v>6-15</v>
      </c>
      <c r="AG893">
        <v>5</v>
      </c>
      <c r="AH893">
        <v>3</v>
      </c>
      <c r="AI893" s="5">
        <v>10</v>
      </c>
      <c r="AJ893">
        <v>5</v>
      </c>
      <c r="AK893">
        <v>7</v>
      </c>
      <c r="AL893">
        <v>7</v>
      </c>
      <c r="AM893" t="str">
        <f t="shared" si="94"/>
        <v>Below Avg</v>
      </c>
      <c r="AN893" s="21">
        <f t="shared" si="95"/>
        <v>27.413793103448274</v>
      </c>
      <c r="AO893" t="str">
        <f t="shared" ca="1" si="96"/>
        <v>No</v>
      </c>
      <c r="AP893" t="str">
        <f t="shared" si="97"/>
        <v>Low Risk</v>
      </c>
    </row>
    <row r="894" spans="1:42" x14ac:dyDescent="0.3">
      <c r="A894" s="5">
        <v>19</v>
      </c>
      <c r="B894" s="5" t="s">
        <v>35</v>
      </c>
      <c r="C894" s="5" t="str">
        <f t="shared" si="91"/>
        <v>Yes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 s="5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 s="5">
        <v>1859</v>
      </c>
      <c r="U894">
        <v>6148</v>
      </c>
      <c r="V894">
        <v>1</v>
      </c>
      <c r="W894" t="s">
        <v>42</v>
      </c>
      <c r="X894" t="s">
        <v>35</v>
      </c>
      <c r="Y894" t="str">
        <f t="shared" si="92"/>
        <v>Yes</v>
      </c>
      <c r="Z894">
        <v>25</v>
      </c>
      <c r="AA894">
        <v>4</v>
      </c>
      <c r="AB894">
        <v>2</v>
      </c>
      <c r="AC894">
        <v>80</v>
      </c>
      <c r="AD894">
        <v>0</v>
      </c>
      <c r="AE894" s="5">
        <v>1</v>
      </c>
      <c r="AF894" t="str">
        <f t="shared" si="93"/>
        <v>0-5</v>
      </c>
      <c r="AG894">
        <v>2</v>
      </c>
      <c r="AH894">
        <v>4</v>
      </c>
      <c r="AI894" s="5">
        <v>1</v>
      </c>
      <c r="AJ894">
        <v>1</v>
      </c>
      <c r="AK894">
        <v>0</v>
      </c>
      <c r="AL894">
        <v>0</v>
      </c>
      <c r="AM894" t="str">
        <f t="shared" si="94"/>
        <v>Below Avg</v>
      </c>
      <c r="AN894" s="21">
        <f t="shared" si="95"/>
        <v>27.461139896373055</v>
      </c>
      <c r="AO894" t="str">
        <f t="shared" ca="1" si="96"/>
        <v>No</v>
      </c>
      <c r="AP894" t="str">
        <f t="shared" si="97"/>
        <v>High Risk</v>
      </c>
    </row>
    <row r="895" spans="1:42" x14ac:dyDescent="0.3">
      <c r="A895" s="5">
        <v>29</v>
      </c>
      <c r="B895" s="5" t="s">
        <v>43</v>
      </c>
      <c r="C895" s="5" t="str">
        <f t="shared" si="91"/>
        <v>No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 s="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 s="5">
        <v>3760</v>
      </c>
      <c r="U895">
        <v>5598</v>
      </c>
      <c r="V895">
        <v>1</v>
      </c>
      <c r="W895" t="s">
        <v>42</v>
      </c>
      <c r="X895" t="s">
        <v>43</v>
      </c>
      <c r="Y895" t="str">
        <f t="shared" si="92"/>
        <v>No</v>
      </c>
      <c r="Z895">
        <v>15</v>
      </c>
      <c r="AA895">
        <v>3</v>
      </c>
      <c r="AB895">
        <v>1</v>
      </c>
      <c r="AC895">
        <v>80</v>
      </c>
      <c r="AD895">
        <v>3</v>
      </c>
      <c r="AE895" s="5">
        <v>3</v>
      </c>
      <c r="AF895" t="str">
        <f t="shared" si="93"/>
        <v>0-5</v>
      </c>
      <c r="AG895">
        <v>5</v>
      </c>
      <c r="AH895">
        <v>3</v>
      </c>
      <c r="AI895" s="5">
        <v>3</v>
      </c>
      <c r="AJ895">
        <v>2</v>
      </c>
      <c r="AK895">
        <v>1</v>
      </c>
      <c r="AL895">
        <v>2</v>
      </c>
      <c r="AM895" t="str">
        <f t="shared" si="94"/>
        <v>Below Avg</v>
      </c>
      <c r="AN895" s="21">
        <f t="shared" si="95"/>
        <v>27.508650519031143</v>
      </c>
      <c r="AO895" t="str">
        <f t="shared" ca="1" si="96"/>
        <v>No</v>
      </c>
      <c r="AP895" t="str">
        <f t="shared" si="97"/>
        <v>Low Risk</v>
      </c>
    </row>
    <row r="896" spans="1:42" x14ac:dyDescent="0.3">
      <c r="A896" s="5">
        <v>54</v>
      </c>
      <c r="B896" s="5" t="s">
        <v>43</v>
      </c>
      <c r="C896" s="5" t="str">
        <f t="shared" si="91"/>
        <v>No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 s="5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 s="5">
        <v>17779</v>
      </c>
      <c r="U896">
        <v>23474</v>
      </c>
      <c r="V896">
        <v>3</v>
      </c>
      <c r="W896" t="s">
        <v>42</v>
      </c>
      <c r="X896" t="s">
        <v>43</v>
      </c>
      <c r="Y896" t="str">
        <f t="shared" si="92"/>
        <v>No</v>
      </c>
      <c r="Z896">
        <v>14</v>
      </c>
      <c r="AA896">
        <v>3</v>
      </c>
      <c r="AB896">
        <v>1</v>
      </c>
      <c r="AC896">
        <v>80</v>
      </c>
      <c r="AD896">
        <v>0</v>
      </c>
      <c r="AE896" s="5">
        <v>36</v>
      </c>
      <c r="AF896" t="str">
        <f t="shared" si="93"/>
        <v>&gt;15</v>
      </c>
      <c r="AG896">
        <v>2</v>
      </c>
      <c r="AH896">
        <v>3</v>
      </c>
      <c r="AI896" s="5">
        <v>10</v>
      </c>
      <c r="AJ896">
        <v>9</v>
      </c>
      <c r="AK896">
        <v>0</v>
      </c>
      <c r="AL896">
        <v>9</v>
      </c>
      <c r="AM896" t="str">
        <f t="shared" si="94"/>
        <v>Ok</v>
      </c>
      <c r="AN896" s="21">
        <f t="shared" si="95"/>
        <v>27.383015597920281</v>
      </c>
      <c r="AO896" t="str">
        <f t="shared" ca="1" si="96"/>
        <v>No</v>
      </c>
      <c r="AP896" t="str">
        <f t="shared" si="97"/>
        <v>Low Risk</v>
      </c>
    </row>
    <row r="897" spans="1:42" x14ac:dyDescent="0.3">
      <c r="A897" s="5">
        <v>31</v>
      </c>
      <c r="B897" s="5" t="s">
        <v>43</v>
      </c>
      <c r="C897" s="5" t="str">
        <f t="shared" si="91"/>
        <v>No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 s="5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 s="5">
        <v>6833</v>
      </c>
      <c r="U897">
        <v>17089</v>
      </c>
      <c r="V897">
        <v>1</v>
      </c>
      <c r="W897" t="s">
        <v>42</v>
      </c>
      <c r="X897" t="s">
        <v>35</v>
      </c>
      <c r="Y897" t="str">
        <f t="shared" si="92"/>
        <v>Yes</v>
      </c>
      <c r="Z897">
        <v>12</v>
      </c>
      <c r="AA897">
        <v>3</v>
      </c>
      <c r="AB897">
        <v>4</v>
      </c>
      <c r="AC897">
        <v>80</v>
      </c>
      <c r="AD897">
        <v>0</v>
      </c>
      <c r="AE897" s="5">
        <v>6</v>
      </c>
      <c r="AF897" t="str">
        <f t="shared" si="93"/>
        <v>6-15</v>
      </c>
      <c r="AG897">
        <v>2</v>
      </c>
      <c r="AH897">
        <v>2</v>
      </c>
      <c r="AI897" s="5">
        <v>6</v>
      </c>
      <c r="AJ897">
        <v>5</v>
      </c>
      <c r="AK897">
        <v>0</v>
      </c>
      <c r="AL897">
        <v>1</v>
      </c>
      <c r="AM897" t="str">
        <f t="shared" si="94"/>
        <v>Ok</v>
      </c>
      <c r="AN897" s="21">
        <f t="shared" si="95"/>
        <v>27.430555555555557</v>
      </c>
      <c r="AO897" t="str">
        <f t="shared" ca="1" si="96"/>
        <v>No</v>
      </c>
      <c r="AP897" t="str">
        <f t="shared" si="97"/>
        <v>Low Risk</v>
      </c>
    </row>
    <row r="898" spans="1:42" x14ac:dyDescent="0.3">
      <c r="A898" s="5">
        <v>31</v>
      </c>
      <c r="B898" s="5" t="s">
        <v>43</v>
      </c>
      <c r="C898" s="5" t="str">
        <f t="shared" si="91"/>
        <v>No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 s="5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 s="5">
        <v>6812</v>
      </c>
      <c r="U898">
        <v>17198</v>
      </c>
      <c r="V898">
        <v>1</v>
      </c>
      <c r="W898" t="s">
        <v>42</v>
      </c>
      <c r="X898" t="s">
        <v>43</v>
      </c>
      <c r="Y898" t="str">
        <f t="shared" si="92"/>
        <v>No</v>
      </c>
      <c r="Z898">
        <v>19</v>
      </c>
      <c r="AA898">
        <v>3</v>
      </c>
      <c r="AB898">
        <v>2</v>
      </c>
      <c r="AC898">
        <v>80</v>
      </c>
      <c r="AD898">
        <v>0</v>
      </c>
      <c r="AE898" s="5">
        <v>10</v>
      </c>
      <c r="AF898" t="str">
        <f t="shared" si="93"/>
        <v>6-15</v>
      </c>
      <c r="AG898">
        <v>2</v>
      </c>
      <c r="AH898">
        <v>3</v>
      </c>
      <c r="AI898" s="5">
        <v>10</v>
      </c>
      <c r="AJ898">
        <v>9</v>
      </c>
      <c r="AK898">
        <v>1</v>
      </c>
      <c r="AL898">
        <v>8</v>
      </c>
      <c r="AM898" t="str">
        <f t="shared" si="94"/>
        <v>Ok</v>
      </c>
      <c r="AN898" s="21">
        <f t="shared" si="95"/>
        <v>27.478260869565219</v>
      </c>
      <c r="AO898" t="str">
        <f t="shared" ca="1" si="96"/>
        <v>No</v>
      </c>
      <c r="AP898" t="str">
        <f t="shared" si="97"/>
        <v>Low Risk</v>
      </c>
    </row>
    <row r="899" spans="1:42" x14ac:dyDescent="0.3">
      <c r="A899" s="5">
        <v>59</v>
      </c>
      <c r="B899" s="5" t="s">
        <v>43</v>
      </c>
      <c r="C899" s="5" t="str">
        <f t="shared" ref="C899:C962" si="98">IF(LOWER(B899)="yes","Yes","No")</f>
        <v>No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 s="5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 s="5">
        <v>5171</v>
      </c>
      <c r="U899">
        <v>16490</v>
      </c>
      <c r="V899">
        <v>5</v>
      </c>
      <c r="W899" t="s">
        <v>42</v>
      </c>
      <c r="X899" t="s">
        <v>43</v>
      </c>
      <c r="Y899" t="str">
        <f t="shared" ref="Y899:Y962" si="99">IF(LOWER(X899)="yes","Yes","No")</f>
        <v>No</v>
      </c>
      <c r="Z899">
        <v>17</v>
      </c>
      <c r="AA899">
        <v>3</v>
      </c>
      <c r="AB899">
        <v>4</v>
      </c>
      <c r="AC899">
        <v>80</v>
      </c>
      <c r="AD899">
        <v>0</v>
      </c>
      <c r="AE899" s="5">
        <v>13</v>
      </c>
      <c r="AF899" t="str">
        <f t="shared" ref="AF899:AF962" si="100">IF(AE899&lt;=5,"0-5",IF(AE899&lt;=15,"6-15","&gt;15"))</f>
        <v>6-15</v>
      </c>
      <c r="AG899">
        <v>2</v>
      </c>
      <c r="AH899">
        <v>3</v>
      </c>
      <c r="AI899" s="5">
        <v>6</v>
      </c>
      <c r="AJ899">
        <v>1</v>
      </c>
      <c r="AK899">
        <v>0</v>
      </c>
      <c r="AL899">
        <v>5</v>
      </c>
      <c r="AM899" t="str">
        <f t="shared" ref="AM899:AM962" si="101">IF(T899&lt;AVERAGEIF($F898:$F2368,F899,$T898:$T2368),"Below Avg","Ok")</f>
        <v>Below Avg</v>
      </c>
      <c r="AN899" s="21">
        <f t="shared" ref="AN899:AN962" si="102">COUNTIF(X898:X2368,"Yes")/COUNTA(X898:X2368)*100</f>
        <v>27.351916376306619</v>
      </c>
      <c r="AO899" t="str">
        <f t="shared" ref="AO899:AO962" ca="1" si="103">IF(AND(AA899&gt;=4,Z899&lt;AVERAGEIF($F898:$F2368,F899,$Z899:$Z2368)),"Yes","No")</f>
        <v>No</v>
      </c>
      <c r="AP899" t="str">
        <f t="shared" ref="AP899:AP962" si="104">IF(AND(AI899&lt;2,C899="Yes"),"High Risk","Low Risk")</f>
        <v>Low Risk</v>
      </c>
    </row>
    <row r="900" spans="1:42" x14ac:dyDescent="0.3">
      <c r="A900" s="5">
        <v>43</v>
      </c>
      <c r="B900" s="5" t="s">
        <v>43</v>
      </c>
      <c r="C900" s="5" t="str">
        <f t="shared" si="98"/>
        <v>No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 s="5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 s="5">
        <v>19740</v>
      </c>
      <c r="U900">
        <v>18625</v>
      </c>
      <c r="V900">
        <v>3</v>
      </c>
      <c r="W900" t="s">
        <v>42</v>
      </c>
      <c r="X900" t="s">
        <v>43</v>
      </c>
      <c r="Y900" t="str">
        <f t="shared" si="99"/>
        <v>No</v>
      </c>
      <c r="Z900">
        <v>14</v>
      </c>
      <c r="AA900">
        <v>3</v>
      </c>
      <c r="AB900">
        <v>2</v>
      </c>
      <c r="AC900">
        <v>80</v>
      </c>
      <c r="AD900">
        <v>1</v>
      </c>
      <c r="AE900" s="5">
        <v>25</v>
      </c>
      <c r="AF900" t="str">
        <f t="shared" si="100"/>
        <v>&gt;15</v>
      </c>
      <c r="AG900">
        <v>2</v>
      </c>
      <c r="AH900">
        <v>3</v>
      </c>
      <c r="AI900" s="5">
        <v>8</v>
      </c>
      <c r="AJ900">
        <v>7</v>
      </c>
      <c r="AK900">
        <v>0</v>
      </c>
      <c r="AL900">
        <v>7</v>
      </c>
      <c r="AM900" t="str">
        <f t="shared" si="101"/>
        <v>Ok</v>
      </c>
      <c r="AN900" s="21">
        <f t="shared" si="102"/>
        <v>27.399650959860384</v>
      </c>
      <c r="AO900" t="str">
        <f t="shared" ca="1" si="103"/>
        <v>No</v>
      </c>
      <c r="AP900" t="str">
        <f t="shared" si="104"/>
        <v>Low Risk</v>
      </c>
    </row>
    <row r="901" spans="1:42" x14ac:dyDescent="0.3">
      <c r="A901" s="5">
        <v>49</v>
      </c>
      <c r="B901" s="5" t="s">
        <v>43</v>
      </c>
      <c r="C901" s="5" t="str">
        <f t="shared" si="98"/>
        <v>No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 s="5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 s="5">
        <v>18711</v>
      </c>
      <c r="U901">
        <v>12124</v>
      </c>
      <c r="V901">
        <v>2</v>
      </c>
      <c r="W901" t="s">
        <v>42</v>
      </c>
      <c r="X901" t="s">
        <v>43</v>
      </c>
      <c r="Y901" t="str">
        <f t="shared" si="99"/>
        <v>No</v>
      </c>
      <c r="Z901">
        <v>13</v>
      </c>
      <c r="AA901">
        <v>3</v>
      </c>
      <c r="AB901">
        <v>3</v>
      </c>
      <c r="AC901">
        <v>80</v>
      </c>
      <c r="AD901">
        <v>1</v>
      </c>
      <c r="AE901" s="5">
        <v>23</v>
      </c>
      <c r="AF901" t="str">
        <f t="shared" si="100"/>
        <v>&gt;15</v>
      </c>
      <c r="AG901">
        <v>2</v>
      </c>
      <c r="AH901">
        <v>4</v>
      </c>
      <c r="AI901" s="5">
        <v>1</v>
      </c>
      <c r="AJ901">
        <v>0</v>
      </c>
      <c r="AK901">
        <v>0</v>
      </c>
      <c r="AL901">
        <v>0</v>
      </c>
      <c r="AM901" t="str">
        <f t="shared" si="101"/>
        <v>Ok</v>
      </c>
      <c r="AN901" s="21">
        <f t="shared" si="102"/>
        <v>27.447552447552447</v>
      </c>
      <c r="AO901" t="str">
        <f t="shared" ca="1" si="103"/>
        <v>No</v>
      </c>
      <c r="AP901" t="str">
        <f t="shared" si="104"/>
        <v>Low Risk</v>
      </c>
    </row>
    <row r="902" spans="1:42" x14ac:dyDescent="0.3">
      <c r="A902" s="5">
        <v>36</v>
      </c>
      <c r="B902" s="5" t="s">
        <v>43</v>
      </c>
      <c r="C902" s="5" t="str">
        <f t="shared" si="98"/>
        <v>No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 s="5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 s="5">
        <v>3692</v>
      </c>
      <c r="U902">
        <v>9256</v>
      </c>
      <c r="V902">
        <v>1</v>
      </c>
      <c r="W902" t="s">
        <v>42</v>
      </c>
      <c r="X902" t="s">
        <v>43</v>
      </c>
      <c r="Y902" t="str">
        <f t="shared" si="99"/>
        <v>No</v>
      </c>
      <c r="Z902">
        <v>12</v>
      </c>
      <c r="AA902">
        <v>3</v>
      </c>
      <c r="AB902">
        <v>3</v>
      </c>
      <c r="AC902">
        <v>80</v>
      </c>
      <c r="AD902">
        <v>0</v>
      </c>
      <c r="AE902" s="5">
        <v>12</v>
      </c>
      <c r="AF902" t="str">
        <f t="shared" si="100"/>
        <v>6-15</v>
      </c>
      <c r="AG902">
        <v>2</v>
      </c>
      <c r="AH902">
        <v>2</v>
      </c>
      <c r="AI902" s="5">
        <v>11</v>
      </c>
      <c r="AJ902">
        <v>10</v>
      </c>
      <c r="AK902">
        <v>0</v>
      </c>
      <c r="AL902">
        <v>7</v>
      </c>
      <c r="AM902" t="str">
        <f t="shared" si="101"/>
        <v>Below Avg</v>
      </c>
      <c r="AN902" s="21">
        <f t="shared" si="102"/>
        <v>27.495621716287218</v>
      </c>
      <c r="AO902" t="str">
        <f t="shared" ca="1" si="103"/>
        <v>No</v>
      </c>
      <c r="AP902" t="str">
        <f t="shared" si="104"/>
        <v>Low Risk</v>
      </c>
    </row>
    <row r="903" spans="1:42" x14ac:dyDescent="0.3">
      <c r="A903" s="5">
        <v>48</v>
      </c>
      <c r="B903" s="5" t="s">
        <v>43</v>
      </c>
      <c r="C903" s="5" t="str">
        <f t="shared" si="98"/>
        <v>No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 s="5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 s="5">
        <v>2559</v>
      </c>
      <c r="U903">
        <v>16620</v>
      </c>
      <c r="V903">
        <v>5</v>
      </c>
      <c r="W903" t="s">
        <v>42</v>
      </c>
      <c r="X903" t="s">
        <v>43</v>
      </c>
      <c r="Y903" t="str">
        <f t="shared" si="99"/>
        <v>No</v>
      </c>
      <c r="Z903">
        <v>11</v>
      </c>
      <c r="AA903">
        <v>3</v>
      </c>
      <c r="AB903">
        <v>3</v>
      </c>
      <c r="AC903">
        <v>80</v>
      </c>
      <c r="AD903">
        <v>0</v>
      </c>
      <c r="AE903" s="5">
        <v>7</v>
      </c>
      <c r="AF903" t="str">
        <f t="shared" si="100"/>
        <v>6-15</v>
      </c>
      <c r="AG903">
        <v>4</v>
      </c>
      <c r="AH903">
        <v>2</v>
      </c>
      <c r="AI903" s="5">
        <v>1</v>
      </c>
      <c r="AJ903">
        <v>0</v>
      </c>
      <c r="AK903">
        <v>0</v>
      </c>
      <c r="AL903">
        <v>0</v>
      </c>
      <c r="AM903" t="str">
        <f t="shared" si="101"/>
        <v>Below Avg</v>
      </c>
      <c r="AN903" s="21">
        <f t="shared" si="102"/>
        <v>27.543859649122808</v>
      </c>
      <c r="AO903" t="str">
        <f t="shared" ca="1" si="103"/>
        <v>No</v>
      </c>
      <c r="AP903" t="str">
        <f t="shared" si="104"/>
        <v>Low Risk</v>
      </c>
    </row>
    <row r="904" spans="1:42" x14ac:dyDescent="0.3">
      <c r="A904" s="5">
        <v>27</v>
      </c>
      <c r="B904" s="5" t="s">
        <v>43</v>
      </c>
      <c r="C904" s="5" t="str">
        <f t="shared" si="98"/>
        <v>No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 s="5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 s="5">
        <v>2517</v>
      </c>
      <c r="U904">
        <v>3208</v>
      </c>
      <c r="V904">
        <v>1</v>
      </c>
      <c r="W904" t="s">
        <v>42</v>
      </c>
      <c r="X904" t="s">
        <v>43</v>
      </c>
      <c r="Y904" t="str">
        <f t="shared" si="99"/>
        <v>No</v>
      </c>
      <c r="Z904">
        <v>11</v>
      </c>
      <c r="AA904">
        <v>3</v>
      </c>
      <c r="AB904">
        <v>2</v>
      </c>
      <c r="AC904">
        <v>80</v>
      </c>
      <c r="AD904">
        <v>3</v>
      </c>
      <c r="AE904" s="5">
        <v>5</v>
      </c>
      <c r="AF904" t="str">
        <f t="shared" si="100"/>
        <v>0-5</v>
      </c>
      <c r="AG904">
        <v>2</v>
      </c>
      <c r="AH904">
        <v>3</v>
      </c>
      <c r="AI904" s="5">
        <v>5</v>
      </c>
      <c r="AJ904">
        <v>3</v>
      </c>
      <c r="AK904">
        <v>0</v>
      </c>
      <c r="AL904">
        <v>3</v>
      </c>
      <c r="AM904" t="str">
        <f t="shared" si="101"/>
        <v>Below Avg</v>
      </c>
      <c r="AN904" s="21">
        <f t="shared" si="102"/>
        <v>27.592267135325134</v>
      </c>
      <c r="AO904" t="str">
        <f t="shared" ca="1" si="103"/>
        <v>No</v>
      </c>
      <c r="AP904" t="str">
        <f t="shared" si="104"/>
        <v>Low Risk</v>
      </c>
    </row>
    <row r="905" spans="1:42" x14ac:dyDescent="0.3">
      <c r="A905" s="5">
        <v>29</v>
      </c>
      <c r="B905" s="5" t="s">
        <v>43</v>
      </c>
      <c r="C905" s="5" t="str">
        <f t="shared" si="98"/>
        <v>No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 s="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 s="5">
        <v>6623</v>
      </c>
      <c r="U905">
        <v>4204</v>
      </c>
      <c r="V905">
        <v>1</v>
      </c>
      <c r="W905" t="s">
        <v>42</v>
      </c>
      <c r="X905" t="s">
        <v>35</v>
      </c>
      <c r="Y905" t="str">
        <f t="shared" si="99"/>
        <v>Yes</v>
      </c>
      <c r="Z905">
        <v>11</v>
      </c>
      <c r="AA905">
        <v>3</v>
      </c>
      <c r="AB905">
        <v>2</v>
      </c>
      <c r="AC905">
        <v>80</v>
      </c>
      <c r="AD905">
        <v>2</v>
      </c>
      <c r="AE905" s="5">
        <v>6</v>
      </c>
      <c r="AF905" t="str">
        <f t="shared" si="100"/>
        <v>6-15</v>
      </c>
      <c r="AG905">
        <v>2</v>
      </c>
      <c r="AH905">
        <v>3</v>
      </c>
      <c r="AI905" s="5">
        <v>6</v>
      </c>
      <c r="AJ905">
        <v>0</v>
      </c>
      <c r="AK905">
        <v>1</v>
      </c>
      <c r="AL905">
        <v>0</v>
      </c>
      <c r="AM905" t="str">
        <f t="shared" si="101"/>
        <v>Ok</v>
      </c>
      <c r="AN905" s="21">
        <f t="shared" si="102"/>
        <v>27.640845070422536</v>
      </c>
      <c r="AO905" t="str">
        <f t="shared" ca="1" si="103"/>
        <v>No</v>
      </c>
      <c r="AP905" t="str">
        <f t="shared" si="104"/>
        <v>Low Risk</v>
      </c>
    </row>
    <row r="906" spans="1:42" x14ac:dyDescent="0.3">
      <c r="A906" s="5">
        <v>48</v>
      </c>
      <c r="B906" s="5" t="s">
        <v>43</v>
      </c>
      <c r="C906" s="5" t="str">
        <f t="shared" si="98"/>
        <v>No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 s="5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 s="5">
        <v>18265</v>
      </c>
      <c r="U906">
        <v>8733</v>
      </c>
      <c r="V906">
        <v>6</v>
      </c>
      <c r="W906" t="s">
        <v>42</v>
      </c>
      <c r="X906" t="s">
        <v>43</v>
      </c>
      <c r="Y906" t="str">
        <f t="shared" si="99"/>
        <v>No</v>
      </c>
      <c r="Z906">
        <v>12</v>
      </c>
      <c r="AA906">
        <v>3</v>
      </c>
      <c r="AB906">
        <v>3</v>
      </c>
      <c r="AC906">
        <v>80</v>
      </c>
      <c r="AD906">
        <v>0</v>
      </c>
      <c r="AE906" s="5">
        <v>25</v>
      </c>
      <c r="AF906" t="str">
        <f t="shared" si="100"/>
        <v>&gt;15</v>
      </c>
      <c r="AG906">
        <v>3</v>
      </c>
      <c r="AH906">
        <v>4</v>
      </c>
      <c r="AI906" s="5">
        <v>1</v>
      </c>
      <c r="AJ906">
        <v>0</v>
      </c>
      <c r="AK906">
        <v>0</v>
      </c>
      <c r="AL906">
        <v>0</v>
      </c>
      <c r="AM906" t="str">
        <f t="shared" si="101"/>
        <v>Ok</v>
      </c>
      <c r="AN906" s="21">
        <f t="shared" si="102"/>
        <v>27.689594356261022</v>
      </c>
      <c r="AO906" t="str">
        <f t="shared" ca="1" si="103"/>
        <v>No</v>
      </c>
      <c r="AP906" t="str">
        <f t="shared" si="104"/>
        <v>Low Risk</v>
      </c>
    </row>
    <row r="907" spans="1:42" x14ac:dyDescent="0.3">
      <c r="A907" s="5">
        <v>29</v>
      </c>
      <c r="B907" s="5" t="s">
        <v>43</v>
      </c>
      <c r="C907" s="5" t="str">
        <f t="shared" si="98"/>
        <v>No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 s="5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 s="5">
        <v>16124</v>
      </c>
      <c r="U907">
        <v>3423</v>
      </c>
      <c r="V907">
        <v>3</v>
      </c>
      <c r="W907" t="s">
        <v>42</v>
      </c>
      <c r="X907" t="s">
        <v>43</v>
      </c>
      <c r="Y907" t="str">
        <f t="shared" si="99"/>
        <v>No</v>
      </c>
      <c r="Z907">
        <v>14</v>
      </c>
      <c r="AA907">
        <v>3</v>
      </c>
      <c r="AB907">
        <v>2</v>
      </c>
      <c r="AC907">
        <v>80</v>
      </c>
      <c r="AD907">
        <v>2</v>
      </c>
      <c r="AE907" s="5">
        <v>9</v>
      </c>
      <c r="AF907" t="str">
        <f t="shared" si="100"/>
        <v>6-15</v>
      </c>
      <c r="AG907">
        <v>2</v>
      </c>
      <c r="AH907">
        <v>2</v>
      </c>
      <c r="AI907" s="5">
        <v>7</v>
      </c>
      <c r="AJ907">
        <v>7</v>
      </c>
      <c r="AK907">
        <v>1</v>
      </c>
      <c r="AL907">
        <v>7</v>
      </c>
      <c r="AM907" t="str">
        <f t="shared" si="101"/>
        <v>Ok</v>
      </c>
      <c r="AN907" s="21">
        <f t="shared" si="102"/>
        <v>27.561837455830389</v>
      </c>
      <c r="AO907" t="str">
        <f t="shared" ca="1" si="103"/>
        <v>No</v>
      </c>
      <c r="AP907" t="str">
        <f t="shared" si="104"/>
        <v>Low Risk</v>
      </c>
    </row>
    <row r="908" spans="1:42" x14ac:dyDescent="0.3">
      <c r="A908" s="5">
        <v>34</v>
      </c>
      <c r="B908" s="5" t="s">
        <v>43</v>
      </c>
      <c r="C908" s="5" t="str">
        <f t="shared" si="98"/>
        <v>No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 s="5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 s="5">
        <v>2585</v>
      </c>
      <c r="U908">
        <v>21643</v>
      </c>
      <c r="V908">
        <v>0</v>
      </c>
      <c r="W908" t="s">
        <v>42</v>
      </c>
      <c r="X908" t="s">
        <v>43</v>
      </c>
      <c r="Y908" t="str">
        <f t="shared" si="99"/>
        <v>No</v>
      </c>
      <c r="Z908">
        <v>17</v>
      </c>
      <c r="AA908">
        <v>3</v>
      </c>
      <c r="AB908">
        <v>4</v>
      </c>
      <c r="AC908">
        <v>80</v>
      </c>
      <c r="AD908">
        <v>0</v>
      </c>
      <c r="AE908" s="5">
        <v>2</v>
      </c>
      <c r="AF908" t="str">
        <f t="shared" si="100"/>
        <v>0-5</v>
      </c>
      <c r="AG908">
        <v>5</v>
      </c>
      <c r="AH908">
        <v>2</v>
      </c>
      <c r="AI908" s="5">
        <v>1</v>
      </c>
      <c r="AJ908">
        <v>0</v>
      </c>
      <c r="AK908">
        <v>0</v>
      </c>
      <c r="AL908">
        <v>0</v>
      </c>
      <c r="AM908" t="str">
        <f t="shared" si="101"/>
        <v>Below Avg</v>
      </c>
      <c r="AN908" s="21">
        <f t="shared" si="102"/>
        <v>27.610619469026549</v>
      </c>
      <c r="AO908" t="str">
        <f t="shared" ca="1" si="103"/>
        <v>No</v>
      </c>
      <c r="AP908" t="str">
        <f t="shared" si="104"/>
        <v>Low Risk</v>
      </c>
    </row>
    <row r="909" spans="1:42" x14ac:dyDescent="0.3">
      <c r="A909" s="5">
        <v>44</v>
      </c>
      <c r="B909" s="5" t="s">
        <v>43</v>
      </c>
      <c r="C909" s="5" t="str">
        <f t="shared" si="98"/>
        <v>No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 s="5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 s="5">
        <v>18213</v>
      </c>
      <c r="U909">
        <v>8751</v>
      </c>
      <c r="V909">
        <v>7</v>
      </c>
      <c r="W909" t="s">
        <v>42</v>
      </c>
      <c r="X909" t="s">
        <v>43</v>
      </c>
      <c r="Y909" t="str">
        <f t="shared" si="99"/>
        <v>No</v>
      </c>
      <c r="Z909">
        <v>11</v>
      </c>
      <c r="AA909">
        <v>3</v>
      </c>
      <c r="AB909">
        <v>3</v>
      </c>
      <c r="AC909">
        <v>80</v>
      </c>
      <c r="AD909">
        <v>1</v>
      </c>
      <c r="AE909" s="5">
        <v>26</v>
      </c>
      <c r="AF909" t="str">
        <f t="shared" si="100"/>
        <v>&gt;15</v>
      </c>
      <c r="AG909">
        <v>5</v>
      </c>
      <c r="AH909">
        <v>3</v>
      </c>
      <c r="AI909" s="5">
        <v>22</v>
      </c>
      <c r="AJ909">
        <v>9</v>
      </c>
      <c r="AK909">
        <v>3</v>
      </c>
      <c r="AL909">
        <v>10</v>
      </c>
      <c r="AM909" t="str">
        <f t="shared" si="101"/>
        <v>Ok</v>
      </c>
      <c r="AN909" s="21">
        <f t="shared" si="102"/>
        <v>27.659574468085108</v>
      </c>
      <c r="AO909" t="str">
        <f t="shared" ca="1" si="103"/>
        <v>No</v>
      </c>
      <c r="AP909" t="str">
        <f t="shared" si="104"/>
        <v>Low Risk</v>
      </c>
    </row>
    <row r="910" spans="1:42" x14ac:dyDescent="0.3">
      <c r="A910" s="5">
        <v>33</v>
      </c>
      <c r="B910" s="5" t="s">
        <v>43</v>
      </c>
      <c r="C910" s="5" t="str">
        <f t="shared" si="98"/>
        <v>No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 s="5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 s="5">
        <v>8380</v>
      </c>
      <c r="U910">
        <v>21708</v>
      </c>
      <c r="V910">
        <v>0</v>
      </c>
      <c r="W910" t="s">
        <v>42</v>
      </c>
      <c r="X910" t="s">
        <v>35</v>
      </c>
      <c r="Y910" t="str">
        <f t="shared" si="99"/>
        <v>Yes</v>
      </c>
      <c r="Z910">
        <v>14</v>
      </c>
      <c r="AA910">
        <v>3</v>
      </c>
      <c r="AB910">
        <v>4</v>
      </c>
      <c r="AC910">
        <v>80</v>
      </c>
      <c r="AD910">
        <v>2</v>
      </c>
      <c r="AE910" s="5">
        <v>10</v>
      </c>
      <c r="AF910" t="str">
        <f t="shared" si="100"/>
        <v>6-15</v>
      </c>
      <c r="AG910">
        <v>3</v>
      </c>
      <c r="AH910">
        <v>3</v>
      </c>
      <c r="AI910" s="5">
        <v>9</v>
      </c>
      <c r="AJ910">
        <v>8</v>
      </c>
      <c r="AK910">
        <v>0</v>
      </c>
      <c r="AL910">
        <v>8</v>
      </c>
      <c r="AM910" t="str">
        <f t="shared" si="101"/>
        <v>Ok</v>
      </c>
      <c r="AN910" s="21">
        <f t="shared" si="102"/>
        <v>27.708703374777976</v>
      </c>
      <c r="AO910" t="str">
        <f t="shared" ca="1" si="103"/>
        <v>No</v>
      </c>
      <c r="AP910" t="str">
        <f t="shared" si="104"/>
        <v>Low Risk</v>
      </c>
    </row>
    <row r="911" spans="1:42" x14ac:dyDescent="0.3">
      <c r="A911" s="5">
        <v>19</v>
      </c>
      <c r="B911" s="5" t="s">
        <v>43</v>
      </c>
      <c r="C911" s="5" t="str">
        <f t="shared" si="98"/>
        <v>No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 s="5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 s="5">
        <v>2994</v>
      </c>
      <c r="U911">
        <v>21221</v>
      </c>
      <c r="V911">
        <v>1</v>
      </c>
      <c r="W911" t="s">
        <v>42</v>
      </c>
      <c r="X911" t="s">
        <v>35</v>
      </c>
      <c r="Y911" t="str">
        <f t="shared" si="99"/>
        <v>Yes</v>
      </c>
      <c r="Z911">
        <v>12</v>
      </c>
      <c r="AA911">
        <v>3</v>
      </c>
      <c r="AB911">
        <v>4</v>
      </c>
      <c r="AC911">
        <v>80</v>
      </c>
      <c r="AD911">
        <v>0</v>
      </c>
      <c r="AE911" s="5">
        <v>1</v>
      </c>
      <c r="AF911" t="str">
        <f t="shared" si="100"/>
        <v>0-5</v>
      </c>
      <c r="AG911">
        <v>2</v>
      </c>
      <c r="AH911">
        <v>3</v>
      </c>
      <c r="AI911" s="5">
        <v>1</v>
      </c>
      <c r="AJ911">
        <v>0</v>
      </c>
      <c r="AK911">
        <v>0</v>
      </c>
      <c r="AL911">
        <v>1</v>
      </c>
      <c r="AM911" t="str">
        <f t="shared" si="101"/>
        <v>Below Avg</v>
      </c>
      <c r="AN911" s="21">
        <f t="shared" si="102"/>
        <v>27.758007117437721</v>
      </c>
      <c r="AO911" t="str">
        <f t="shared" ca="1" si="103"/>
        <v>No</v>
      </c>
      <c r="AP911" t="str">
        <f t="shared" si="104"/>
        <v>Low Risk</v>
      </c>
    </row>
    <row r="912" spans="1:42" x14ac:dyDescent="0.3">
      <c r="A912" s="5">
        <v>23</v>
      </c>
      <c r="B912" s="5" t="s">
        <v>43</v>
      </c>
      <c r="C912" s="5" t="str">
        <f t="shared" si="98"/>
        <v>No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 s="5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 s="5">
        <v>1223</v>
      </c>
      <c r="U912">
        <v>16901</v>
      </c>
      <c r="V912">
        <v>1</v>
      </c>
      <c r="W912" t="s">
        <v>42</v>
      </c>
      <c r="X912" t="s">
        <v>43</v>
      </c>
      <c r="Y912" t="str">
        <f t="shared" si="99"/>
        <v>No</v>
      </c>
      <c r="Z912">
        <v>22</v>
      </c>
      <c r="AA912">
        <v>4</v>
      </c>
      <c r="AB912">
        <v>4</v>
      </c>
      <c r="AC912">
        <v>80</v>
      </c>
      <c r="AD912">
        <v>1</v>
      </c>
      <c r="AE912" s="5">
        <v>1</v>
      </c>
      <c r="AF912" t="str">
        <f t="shared" si="100"/>
        <v>0-5</v>
      </c>
      <c r="AG912">
        <v>2</v>
      </c>
      <c r="AH912">
        <v>3</v>
      </c>
      <c r="AI912" s="5">
        <v>1</v>
      </c>
      <c r="AJ912">
        <v>0</v>
      </c>
      <c r="AK912">
        <v>0</v>
      </c>
      <c r="AL912">
        <v>1</v>
      </c>
      <c r="AM912" t="str">
        <f t="shared" si="101"/>
        <v>Below Avg</v>
      </c>
      <c r="AN912" s="21">
        <f t="shared" si="102"/>
        <v>27.629233511586452</v>
      </c>
      <c r="AO912" t="str">
        <f t="shared" ca="1" si="103"/>
        <v>No</v>
      </c>
      <c r="AP912" t="str">
        <f t="shared" si="104"/>
        <v>Low Risk</v>
      </c>
    </row>
    <row r="913" spans="1:42" x14ac:dyDescent="0.3">
      <c r="A913" s="5">
        <v>25</v>
      </c>
      <c r="B913" s="5" t="s">
        <v>35</v>
      </c>
      <c r="C913" s="5" t="str">
        <f t="shared" si="98"/>
        <v>Yes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 s="5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 s="5">
        <v>1118</v>
      </c>
      <c r="U913">
        <v>8040</v>
      </c>
      <c r="V913">
        <v>1</v>
      </c>
      <c r="W913" t="s">
        <v>42</v>
      </c>
      <c r="X913" t="s">
        <v>35</v>
      </c>
      <c r="Y913" t="str">
        <f t="shared" si="99"/>
        <v>Yes</v>
      </c>
      <c r="Z913">
        <v>14</v>
      </c>
      <c r="AA913">
        <v>3</v>
      </c>
      <c r="AB913">
        <v>4</v>
      </c>
      <c r="AC913">
        <v>80</v>
      </c>
      <c r="AD913">
        <v>0</v>
      </c>
      <c r="AE913" s="5">
        <v>1</v>
      </c>
      <c r="AF913" t="str">
        <f t="shared" si="100"/>
        <v>0-5</v>
      </c>
      <c r="AG913">
        <v>4</v>
      </c>
      <c r="AH913">
        <v>3</v>
      </c>
      <c r="AI913" s="5">
        <v>1</v>
      </c>
      <c r="AJ913">
        <v>0</v>
      </c>
      <c r="AK913">
        <v>1</v>
      </c>
      <c r="AL913">
        <v>0</v>
      </c>
      <c r="AM913" t="str">
        <f t="shared" si="101"/>
        <v>Below Avg</v>
      </c>
      <c r="AN913" s="21">
        <f t="shared" si="102"/>
        <v>27.500000000000004</v>
      </c>
      <c r="AO913" t="str">
        <f t="shared" ca="1" si="103"/>
        <v>No</v>
      </c>
      <c r="AP913" t="str">
        <f t="shared" si="104"/>
        <v>High Risk</v>
      </c>
    </row>
    <row r="914" spans="1:42" x14ac:dyDescent="0.3">
      <c r="A914" s="5">
        <v>26</v>
      </c>
      <c r="B914" s="5" t="s">
        <v>43</v>
      </c>
      <c r="C914" s="5" t="str">
        <f t="shared" si="98"/>
        <v>No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 s="5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 s="5">
        <v>2875</v>
      </c>
      <c r="U914">
        <v>9973</v>
      </c>
      <c r="V914">
        <v>1</v>
      </c>
      <c r="W914" t="s">
        <v>42</v>
      </c>
      <c r="X914" t="s">
        <v>35</v>
      </c>
      <c r="Y914" t="str">
        <f t="shared" si="99"/>
        <v>Yes</v>
      </c>
      <c r="Z914">
        <v>20</v>
      </c>
      <c r="AA914">
        <v>4</v>
      </c>
      <c r="AB914">
        <v>2</v>
      </c>
      <c r="AC914">
        <v>80</v>
      </c>
      <c r="AD914">
        <v>0</v>
      </c>
      <c r="AE914" s="5">
        <v>8</v>
      </c>
      <c r="AF914" t="str">
        <f t="shared" si="100"/>
        <v>6-15</v>
      </c>
      <c r="AG914">
        <v>2</v>
      </c>
      <c r="AH914">
        <v>2</v>
      </c>
      <c r="AI914" s="5">
        <v>8</v>
      </c>
      <c r="AJ914">
        <v>5</v>
      </c>
      <c r="AK914">
        <v>2</v>
      </c>
      <c r="AL914">
        <v>2</v>
      </c>
      <c r="AM914" t="str">
        <f t="shared" si="101"/>
        <v>Below Avg</v>
      </c>
      <c r="AN914" s="21">
        <f t="shared" si="102"/>
        <v>27.549194991055455</v>
      </c>
      <c r="AO914" t="str">
        <f t="shared" ca="1" si="103"/>
        <v>No</v>
      </c>
      <c r="AP914" t="str">
        <f t="shared" si="104"/>
        <v>Low Risk</v>
      </c>
    </row>
    <row r="915" spans="1:42" x14ac:dyDescent="0.3">
      <c r="A915" s="5">
        <v>45</v>
      </c>
      <c r="B915" s="5" t="s">
        <v>35</v>
      </c>
      <c r="C915" s="5" t="str">
        <f t="shared" si="98"/>
        <v>Yes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 s="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 s="5">
        <v>18824</v>
      </c>
      <c r="U915">
        <v>2493</v>
      </c>
      <c r="V915">
        <v>2</v>
      </c>
      <c r="W915" t="s">
        <v>42</v>
      </c>
      <c r="X915" t="s">
        <v>35</v>
      </c>
      <c r="Y915" t="str">
        <f t="shared" si="99"/>
        <v>Yes</v>
      </c>
      <c r="Z915">
        <v>16</v>
      </c>
      <c r="AA915">
        <v>3</v>
      </c>
      <c r="AB915">
        <v>1</v>
      </c>
      <c r="AC915">
        <v>80</v>
      </c>
      <c r="AD915">
        <v>0</v>
      </c>
      <c r="AE915" s="5">
        <v>26</v>
      </c>
      <c r="AF915" t="str">
        <f t="shared" si="100"/>
        <v>&gt;15</v>
      </c>
      <c r="AG915">
        <v>2</v>
      </c>
      <c r="AH915">
        <v>3</v>
      </c>
      <c r="AI915" s="5">
        <v>24</v>
      </c>
      <c r="AJ915">
        <v>10</v>
      </c>
      <c r="AK915">
        <v>1</v>
      </c>
      <c r="AL915">
        <v>11</v>
      </c>
      <c r="AM915" t="str">
        <f t="shared" si="101"/>
        <v>Ok</v>
      </c>
      <c r="AN915" s="21">
        <f t="shared" si="102"/>
        <v>27.419354838709676</v>
      </c>
      <c r="AO915" t="str">
        <f t="shared" ca="1" si="103"/>
        <v>No</v>
      </c>
      <c r="AP915" t="str">
        <f t="shared" si="104"/>
        <v>Low Risk</v>
      </c>
    </row>
    <row r="916" spans="1:42" x14ac:dyDescent="0.3">
      <c r="A916" s="5">
        <v>55</v>
      </c>
      <c r="B916" s="5" t="s">
        <v>43</v>
      </c>
      <c r="C916" s="5" t="str">
        <f t="shared" si="98"/>
        <v>No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 s="5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 s="5">
        <v>13577</v>
      </c>
      <c r="U916">
        <v>25592</v>
      </c>
      <c r="V916">
        <v>1</v>
      </c>
      <c r="W916" t="s">
        <v>42</v>
      </c>
      <c r="X916" t="s">
        <v>35</v>
      </c>
      <c r="Y916" t="str">
        <f t="shared" si="99"/>
        <v>Yes</v>
      </c>
      <c r="Z916">
        <v>15</v>
      </c>
      <c r="AA916">
        <v>3</v>
      </c>
      <c r="AB916">
        <v>4</v>
      </c>
      <c r="AC916">
        <v>80</v>
      </c>
      <c r="AD916">
        <v>1</v>
      </c>
      <c r="AE916" s="5">
        <v>34</v>
      </c>
      <c r="AF916" t="str">
        <f t="shared" si="100"/>
        <v>&gt;15</v>
      </c>
      <c r="AG916">
        <v>3</v>
      </c>
      <c r="AH916">
        <v>3</v>
      </c>
      <c r="AI916" s="5">
        <v>33</v>
      </c>
      <c r="AJ916">
        <v>9</v>
      </c>
      <c r="AK916">
        <v>15</v>
      </c>
      <c r="AL916">
        <v>0</v>
      </c>
      <c r="AM916" t="str">
        <f t="shared" si="101"/>
        <v>Ok</v>
      </c>
      <c r="AN916" s="21">
        <f t="shared" si="102"/>
        <v>27.289048473967686</v>
      </c>
      <c r="AO916" t="str">
        <f t="shared" ca="1" si="103"/>
        <v>No</v>
      </c>
      <c r="AP916" t="str">
        <f t="shared" si="104"/>
        <v>Low Risk</v>
      </c>
    </row>
    <row r="917" spans="1:42" x14ac:dyDescent="0.3">
      <c r="A917" s="5">
        <v>21</v>
      </c>
      <c r="B917" s="5" t="s">
        <v>35</v>
      </c>
      <c r="C917" s="5" t="str">
        <f t="shared" si="98"/>
        <v>Yes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 s="5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 s="5">
        <v>2625</v>
      </c>
      <c r="U917">
        <v>25308</v>
      </c>
      <c r="V917">
        <v>1</v>
      </c>
      <c r="W917" t="s">
        <v>42</v>
      </c>
      <c r="X917" t="s">
        <v>43</v>
      </c>
      <c r="Y917" t="str">
        <f t="shared" si="99"/>
        <v>No</v>
      </c>
      <c r="Z917">
        <v>20</v>
      </c>
      <c r="AA917">
        <v>4</v>
      </c>
      <c r="AB917">
        <v>3</v>
      </c>
      <c r="AC917">
        <v>80</v>
      </c>
      <c r="AD917">
        <v>0</v>
      </c>
      <c r="AE917" s="5">
        <v>2</v>
      </c>
      <c r="AF917" t="str">
        <f t="shared" si="100"/>
        <v>0-5</v>
      </c>
      <c r="AG917">
        <v>2</v>
      </c>
      <c r="AH917">
        <v>1</v>
      </c>
      <c r="AI917" s="5">
        <v>2</v>
      </c>
      <c r="AJ917">
        <v>2</v>
      </c>
      <c r="AK917">
        <v>2</v>
      </c>
      <c r="AL917">
        <v>2</v>
      </c>
      <c r="AM917" t="str">
        <f t="shared" si="101"/>
        <v>Below Avg</v>
      </c>
      <c r="AN917" s="21">
        <f t="shared" si="102"/>
        <v>27.158273381294961</v>
      </c>
      <c r="AO917" t="str">
        <f t="shared" ca="1" si="103"/>
        <v>No</v>
      </c>
      <c r="AP917" t="str">
        <f t="shared" si="104"/>
        <v>Low Risk</v>
      </c>
    </row>
    <row r="918" spans="1:42" x14ac:dyDescent="0.3">
      <c r="A918" s="5">
        <v>46</v>
      </c>
      <c r="B918" s="5" t="s">
        <v>43</v>
      </c>
      <c r="C918" s="5" t="str">
        <f t="shared" si="98"/>
        <v>No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 s="5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 s="5">
        <v>18789</v>
      </c>
      <c r="U918">
        <v>9946</v>
      </c>
      <c r="V918">
        <v>2</v>
      </c>
      <c r="W918" t="s">
        <v>42</v>
      </c>
      <c r="X918" t="s">
        <v>43</v>
      </c>
      <c r="Y918" t="str">
        <f t="shared" si="99"/>
        <v>No</v>
      </c>
      <c r="Z918">
        <v>14</v>
      </c>
      <c r="AA918">
        <v>3</v>
      </c>
      <c r="AB918">
        <v>3</v>
      </c>
      <c r="AC918">
        <v>80</v>
      </c>
      <c r="AD918">
        <v>1</v>
      </c>
      <c r="AE918" s="5">
        <v>26</v>
      </c>
      <c r="AF918" t="str">
        <f t="shared" si="100"/>
        <v>&gt;15</v>
      </c>
      <c r="AG918">
        <v>2</v>
      </c>
      <c r="AH918">
        <v>3</v>
      </c>
      <c r="AI918" s="5">
        <v>11</v>
      </c>
      <c r="AJ918">
        <v>4</v>
      </c>
      <c r="AK918">
        <v>0</v>
      </c>
      <c r="AL918">
        <v>8</v>
      </c>
      <c r="AM918" t="str">
        <f t="shared" si="101"/>
        <v>Ok</v>
      </c>
      <c r="AN918" s="21">
        <f t="shared" si="102"/>
        <v>27.027027027027028</v>
      </c>
      <c r="AO918" t="str">
        <f t="shared" ca="1" si="103"/>
        <v>No</v>
      </c>
      <c r="AP918" t="str">
        <f t="shared" si="104"/>
        <v>Low Risk</v>
      </c>
    </row>
    <row r="919" spans="1:42" x14ac:dyDescent="0.3">
      <c r="A919" s="5">
        <v>34</v>
      </c>
      <c r="B919" s="5" t="s">
        <v>43</v>
      </c>
      <c r="C919" s="5" t="str">
        <f t="shared" si="98"/>
        <v>No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 s="5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 s="5">
        <v>4538</v>
      </c>
      <c r="U919">
        <v>6039</v>
      </c>
      <c r="V919">
        <v>0</v>
      </c>
      <c r="W919" t="s">
        <v>42</v>
      </c>
      <c r="X919" t="s">
        <v>35</v>
      </c>
      <c r="Y919" t="str">
        <f t="shared" si="99"/>
        <v>Yes</v>
      </c>
      <c r="Z919">
        <v>12</v>
      </c>
      <c r="AA919">
        <v>3</v>
      </c>
      <c r="AB919">
        <v>4</v>
      </c>
      <c r="AC919">
        <v>80</v>
      </c>
      <c r="AD919">
        <v>0</v>
      </c>
      <c r="AE919" s="5">
        <v>4</v>
      </c>
      <c r="AF919" t="str">
        <f t="shared" si="100"/>
        <v>0-5</v>
      </c>
      <c r="AG919">
        <v>3</v>
      </c>
      <c r="AH919">
        <v>3</v>
      </c>
      <c r="AI919" s="5">
        <v>3</v>
      </c>
      <c r="AJ919">
        <v>2</v>
      </c>
      <c r="AK919">
        <v>0</v>
      </c>
      <c r="AL919">
        <v>2</v>
      </c>
      <c r="AM919" t="str">
        <f t="shared" si="101"/>
        <v>Below Avg</v>
      </c>
      <c r="AN919" s="21">
        <f t="shared" si="102"/>
        <v>27.075812274368232</v>
      </c>
      <c r="AO919" t="str">
        <f t="shared" ca="1" si="103"/>
        <v>No</v>
      </c>
      <c r="AP919" t="str">
        <f t="shared" si="104"/>
        <v>Low Risk</v>
      </c>
    </row>
    <row r="920" spans="1:42" x14ac:dyDescent="0.3">
      <c r="A920" s="5">
        <v>51</v>
      </c>
      <c r="B920" s="5" t="s">
        <v>43</v>
      </c>
      <c r="C920" s="5" t="str">
        <f t="shared" si="98"/>
        <v>No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 s="5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 s="5">
        <v>19847</v>
      </c>
      <c r="U920">
        <v>19196</v>
      </c>
      <c r="V920">
        <v>4</v>
      </c>
      <c r="W920" t="s">
        <v>42</v>
      </c>
      <c r="X920" t="s">
        <v>35</v>
      </c>
      <c r="Y920" t="str">
        <f t="shared" si="99"/>
        <v>Yes</v>
      </c>
      <c r="Z920">
        <v>24</v>
      </c>
      <c r="AA920">
        <v>4</v>
      </c>
      <c r="AB920">
        <v>1</v>
      </c>
      <c r="AC920">
        <v>80</v>
      </c>
      <c r="AD920">
        <v>1</v>
      </c>
      <c r="AE920" s="5">
        <v>31</v>
      </c>
      <c r="AF920" t="str">
        <f t="shared" si="100"/>
        <v>&gt;15</v>
      </c>
      <c r="AG920">
        <v>5</v>
      </c>
      <c r="AH920">
        <v>2</v>
      </c>
      <c r="AI920" s="5">
        <v>29</v>
      </c>
      <c r="AJ920">
        <v>10</v>
      </c>
      <c r="AK920">
        <v>11</v>
      </c>
      <c r="AL920">
        <v>10</v>
      </c>
      <c r="AM920" t="str">
        <f t="shared" si="101"/>
        <v>Ok</v>
      </c>
      <c r="AN920" s="21">
        <f t="shared" si="102"/>
        <v>27.124773960216999</v>
      </c>
      <c r="AO920" t="str">
        <f t="shared" ca="1" si="103"/>
        <v>No</v>
      </c>
      <c r="AP920" t="str">
        <f t="shared" si="104"/>
        <v>Low Risk</v>
      </c>
    </row>
    <row r="921" spans="1:42" x14ac:dyDescent="0.3">
      <c r="A921" s="5">
        <v>59</v>
      </c>
      <c r="B921" s="5" t="s">
        <v>43</v>
      </c>
      <c r="C921" s="5" t="str">
        <f t="shared" si="98"/>
        <v>No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 s="5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 s="5">
        <v>10512</v>
      </c>
      <c r="U921">
        <v>20002</v>
      </c>
      <c r="V921">
        <v>6</v>
      </c>
      <c r="W921" t="s">
        <v>42</v>
      </c>
      <c r="X921" t="s">
        <v>43</v>
      </c>
      <c r="Y921" t="str">
        <f t="shared" si="99"/>
        <v>No</v>
      </c>
      <c r="Z921">
        <v>12</v>
      </c>
      <c r="AA921">
        <v>3</v>
      </c>
      <c r="AB921">
        <v>4</v>
      </c>
      <c r="AC921">
        <v>80</v>
      </c>
      <c r="AD921">
        <v>0</v>
      </c>
      <c r="AE921" s="5">
        <v>25</v>
      </c>
      <c r="AF921" t="str">
        <f t="shared" si="100"/>
        <v>&gt;15</v>
      </c>
      <c r="AG921">
        <v>6</v>
      </c>
      <c r="AH921">
        <v>2</v>
      </c>
      <c r="AI921" s="5">
        <v>9</v>
      </c>
      <c r="AJ921">
        <v>7</v>
      </c>
      <c r="AK921">
        <v>5</v>
      </c>
      <c r="AL921">
        <v>4</v>
      </c>
      <c r="AM921" t="str">
        <f t="shared" si="101"/>
        <v>Ok</v>
      </c>
      <c r="AN921" s="21">
        <f t="shared" si="102"/>
        <v>26.992753623188403</v>
      </c>
      <c r="AO921" t="str">
        <f t="shared" ca="1" si="103"/>
        <v>No</v>
      </c>
      <c r="AP921" t="str">
        <f t="shared" si="104"/>
        <v>Low Risk</v>
      </c>
    </row>
    <row r="922" spans="1:42" x14ac:dyDescent="0.3">
      <c r="A922" s="5">
        <v>34</v>
      </c>
      <c r="B922" s="5" t="s">
        <v>43</v>
      </c>
      <c r="C922" s="5" t="str">
        <f t="shared" si="98"/>
        <v>No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 s="5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 s="5">
        <v>4444</v>
      </c>
      <c r="U922">
        <v>22534</v>
      </c>
      <c r="V922">
        <v>4</v>
      </c>
      <c r="W922" t="s">
        <v>42</v>
      </c>
      <c r="X922" t="s">
        <v>43</v>
      </c>
      <c r="Y922" t="str">
        <f t="shared" si="99"/>
        <v>No</v>
      </c>
      <c r="Z922">
        <v>13</v>
      </c>
      <c r="AA922">
        <v>3</v>
      </c>
      <c r="AB922">
        <v>3</v>
      </c>
      <c r="AC922">
        <v>80</v>
      </c>
      <c r="AD922">
        <v>2</v>
      </c>
      <c r="AE922" s="5">
        <v>15</v>
      </c>
      <c r="AF922" t="str">
        <f t="shared" si="100"/>
        <v>6-15</v>
      </c>
      <c r="AG922">
        <v>2</v>
      </c>
      <c r="AH922">
        <v>4</v>
      </c>
      <c r="AI922" s="5">
        <v>11</v>
      </c>
      <c r="AJ922">
        <v>8</v>
      </c>
      <c r="AK922">
        <v>5</v>
      </c>
      <c r="AL922">
        <v>10</v>
      </c>
      <c r="AM922" t="str">
        <f t="shared" si="101"/>
        <v>Below Avg</v>
      </c>
      <c r="AN922" s="21">
        <f t="shared" si="102"/>
        <v>26.860254083484573</v>
      </c>
      <c r="AO922" t="str">
        <f t="shared" ca="1" si="103"/>
        <v>No</v>
      </c>
      <c r="AP922" t="str">
        <f t="shared" si="104"/>
        <v>Low Risk</v>
      </c>
    </row>
    <row r="923" spans="1:42" x14ac:dyDescent="0.3">
      <c r="A923" s="5">
        <v>28</v>
      </c>
      <c r="B923" s="5" t="s">
        <v>43</v>
      </c>
      <c r="C923" s="5" t="str">
        <f t="shared" si="98"/>
        <v>No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 s="5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 s="5">
        <v>2154</v>
      </c>
      <c r="U923">
        <v>6842</v>
      </c>
      <c r="V923">
        <v>0</v>
      </c>
      <c r="W923" t="s">
        <v>42</v>
      </c>
      <c r="X923" t="s">
        <v>35</v>
      </c>
      <c r="Y923" t="str">
        <f t="shared" si="99"/>
        <v>Yes</v>
      </c>
      <c r="Z923">
        <v>11</v>
      </c>
      <c r="AA923">
        <v>3</v>
      </c>
      <c r="AB923">
        <v>3</v>
      </c>
      <c r="AC923">
        <v>80</v>
      </c>
      <c r="AD923">
        <v>0</v>
      </c>
      <c r="AE923" s="5">
        <v>5</v>
      </c>
      <c r="AF923" t="str">
        <f t="shared" si="100"/>
        <v>0-5</v>
      </c>
      <c r="AG923">
        <v>2</v>
      </c>
      <c r="AH923">
        <v>2</v>
      </c>
      <c r="AI923" s="5">
        <v>4</v>
      </c>
      <c r="AJ923">
        <v>2</v>
      </c>
      <c r="AK923">
        <v>0</v>
      </c>
      <c r="AL923">
        <v>2</v>
      </c>
      <c r="AM923" t="str">
        <f t="shared" si="101"/>
        <v>Below Avg</v>
      </c>
      <c r="AN923" s="21">
        <f t="shared" si="102"/>
        <v>26.90909090909091</v>
      </c>
      <c r="AO923" t="str">
        <f t="shared" ca="1" si="103"/>
        <v>No</v>
      </c>
      <c r="AP923" t="str">
        <f t="shared" si="104"/>
        <v>Low Risk</v>
      </c>
    </row>
    <row r="924" spans="1:42" x14ac:dyDescent="0.3">
      <c r="A924" s="5">
        <v>44</v>
      </c>
      <c r="B924" s="5" t="s">
        <v>43</v>
      </c>
      <c r="C924" s="5" t="str">
        <f t="shared" si="98"/>
        <v>No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 s="5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 s="5">
        <v>19190</v>
      </c>
      <c r="U924">
        <v>17477</v>
      </c>
      <c r="V924">
        <v>1</v>
      </c>
      <c r="W924" t="s">
        <v>42</v>
      </c>
      <c r="X924" t="s">
        <v>43</v>
      </c>
      <c r="Y924" t="str">
        <f t="shared" si="99"/>
        <v>No</v>
      </c>
      <c r="Z924">
        <v>14</v>
      </c>
      <c r="AA924">
        <v>3</v>
      </c>
      <c r="AB924">
        <v>4</v>
      </c>
      <c r="AC924">
        <v>80</v>
      </c>
      <c r="AD924">
        <v>2</v>
      </c>
      <c r="AE924" s="5">
        <v>26</v>
      </c>
      <c r="AF924" t="str">
        <f t="shared" si="100"/>
        <v>&gt;15</v>
      </c>
      <c r="AG924">
        <v>4</v>
      </c>
      <c r="AH924">
        <v>2</v>
      </c>
      <c r="AI924" s="5">
        <v>25</v>
      </c>
      <c r="AJ924">
        <v>9</v>
      </c>
      <c r="AK924">
        <v>14</v>
      </c>
      <c r="AL924">
        <v>13</v>
      </c>
      <c r="AM924" t="str">
        <f t="shared" si="101"/>
        <v>Ok</v>
      </c>
      <c r="AN924" s="21">
        <f t="shared" si="102"/>
        <v>26.958105646630237</v>
      </c>
      <c r="AO924" t="str">
        <f t="shared" ca="1" si="103"/>
        <v>No</v>
      </c>
      <c r="AP924" t="str">
        <f t="shared" si="104"/>
        <v>Low Risk</v>
      </c>
    </row>
    <row r="925" spans="1:42" x14ac:dyDescent="0.3">
      <c r="A925" s="5">
        <v>34</v>
      </c>
      <c r="B925" s="5" t="s">
        <v>43</v>
      </c>
      <c r="C925" s="5" t="str">
        <f t="shared" si="98"/>
        <v>No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 s="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 s="5">
        <v>4490</v>
      </c>
      <c r="U925">
        <v>21833</v>
      </c>
      <c r="V925">
        <v>4</v>
      </c>
      <c r="W925" t="s">
        <v>42</v>
      </c>
      <c r="X925" t="s">
        <v>43</v>
      </c>
      <c r="Y925" t="str">
        <f t="shared" si="99"/>
        <v>No</v>
      </c>
      <c r="Z925">
        <v>11</v>
      </c>
      <c r="AA925">
        <v>3</v>
      </c>
      <c r="AB925">
        <v>4</v>
      </c>
      <c r="AC925">
        <v>80</v>
      </c>
      <c r="AD925">
        <v>2</v>
      </c>
      <c r="AE925" s="5">
        <v>14</v>
      </c>
      <c r="AF925" t="str">
        <f t="shared" si="100"/>
        <v>6-15</v>
      </c>
      <c r="AG925">
        <v>5</v>
      </c>
      <c r="AH925">
        <v>4</v>
      </c>
      <c r="AI925" s="5">
        <v>10</v>
      </c>
      <c r="AJ925">
        <v>9</v>
      </c>
      <c r="AK925">
        <v>1</v>
      </c>
      <c r="AL925">
        <v>8</v>
      </c>
      <c r="AM925" t="str">
        <f t="shared" si="101"/>
        <v>Below Avg</v>
      </c>
      <c r="AN925" s="21">
        <f t="shared" si="102"/>
        <v>26.824817518248175</v>
      </c>
      <c r="AO925" t="str">
        <f t="shared" ca="1" si="103"/>
        <v>No</v>
      </c>
      <c r="AP925" t="str">
        <f t="shared" si="104"/>
        <v>Low Risk</v>
      </c>
    </row>
    <row r="926" spans="1:42" x14ac:dyDescent="0.3">
      <c r="A926" s="5">
        <v>35</v>
      </c>
      <c r="B926" s="5" t="s">
        <v>43</v>
      </c>
      <c r="C926" s="5" t="str">
        <f t="shared" si="98"/>
        <v>No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 s="5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 s="5">
        <v>3506</v>
      </c>
      <c r="U926">
        <v>6020</v>
      </c>
      <c r="V926">
        <v>0</v>
      </c>
      <c r="W926" t="s">
        <v>42</v>
      </c>
      <c r="X926" t="s">
        <v>35</v>
      </c>
      <c r="Y926" t="str">
        <f t="shared" si="99"/>
        <v>Yes</v>
      </c>
      <c r="Z926">
        <v>14</v>
      </c>
      <c r="AA926">
        <v>3</v>
      </c>
      <c r="AB926">
        <v>4</v>
      </c>
      <c r="AC926">
        <v>80</v>
      </c>
      <c r="AD926">
        <v>0</v>
      </c>
      <c r="AE926" s="5">
        <v>4</v>
      </c>
      <c r="AF926" t="str">
        <f t="shared" si="100"/>
        <v>0-5</v>
      </c>
      <c r="AG926">
        <v>3</v>
      </c>
      <c r="AH926">
        <v>3</v>
      </c>
      <c r="AI926" s="5">
        <v>3</v>
      </c>
      <c r="AJ926">
        <v>2</v>
      </c>
      <c r="AK926">
        <v>2</v>
      </c>
      <c r="AL926">
        <v>2</v>
      </c>
      <c r="AM926" t="str">
        <f t="shared" si="101"/>
        <v>Below Avg</v>
      </c>
      <c r="AN926" s="21">
        <f t="shared" si="102"/>
        <v>26.87385740402194</v>
      </c>
      <c r="AO926" t="str">
        <f t="shared" ca="1" si="103"/>
        <v>No</v>
      </c>
      <c r="AP926" t="str">
        <f t="shared" si="104"/>
        <v>Low Risk</v>
      </c>
    </row>
    <row r="927" spans="1:42" x14ac:dyDescent="0.3">
      <c r="A927" s="5">
        <v>42</v>
      </c>
      <c r="B927" s="5" t="s">
        <v>43</v>
      </c>
      <c r="C927" s="5" t="str">
        <f t="shared" si="98"/>
        <v>No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 s="5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 s="5">
        <v>2372</v>
      </c>
      <c r="U927">
        <v>5628</v>
      </c>
      <c r="V927">
        <v>6</v>
      </c>
      <c r="W927" t="s">
        <v>42</v>
      </c>
      <c r="X927" t="s">
        <v>35</v>
      </c>
      <c r="Y927" t="str">
        <f t="shared" si="99"/>
        <v>Yes</v>
      </c>
      <c r="Z927">
        <v>16</v>
      </c>
      <c r="AA927">
        <v>3</v>
      </c>
      <c r="AB927">
        <v>4</v>
      </c>
      <c r="AC927">
        <v>80</v>
      </c>
      <c r="AD927">
        <v>0</v>
      </c>
      <c r="AE927" s="5">
        <v>18</v>
      </c>
      <c r="AF927" t="str">
        <f t="shared" si="100"/>
        <v>&gt;15</v>
      </c>
      <c r="AG927">
        <v>2</v>
      </c>
      <c r="AH927">
        <v>3</v>
      </c>
      <c r="AI927" s="5">
        <v>1</v>
      </c>
      <c r="AJ927">
        <v>0</v>
      </c>
      <c r="AK927">
        <v>0</v>
      </c>
      <c r="AL927">
        <v>0</v>
      </c>
      <c r="AM927" t="str">
        <f t="shared" si="101"/>
        <v>Below Avg</v>
      </c>
      <c r="AN927" s="21">
        <f t="shared" si="102"/>
        <v>26.923076923076923</v>
      </c>
      <c r="AO927" t="str">
        <f t="shared" ca="1" si="103"/>
        <v>No</v>
      </c>
      <c r="AP927" t="str">
        <f t="shared" si="104"/>
        <v>Low Risk</v>
      </c>
    </row>
    <row r="928" spans="1:42" x14ac:dyDescent="0.3">
      <c r="A928" s="5">
        <v>43</v>
      </c>
      <c r="B928" s="5" t="s">
        <v>43</v>
      </c>
      <c r="C928" s="5" t="str">
        <f t="shared" si="98"/>
        <v>No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 s="5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 s="5">
        <v>10231</v>
      </c>
      <c r="U928">
        <v>20364</v>
      </c>
      <c r="V928">
        <v>3</v>
      </c>
      <c r="W928" t="s">
        <v>42</v>
      </c>
      <c r="X928" t="s">
        <v>43</v>
      </c>
      <c r="Y928" t="str">
        <f t="shared" si="99"/>
        <v>No</v>
      </c>
      <c r="Z928">
        <v>14</v>
      </c>
      <c r="AA928">
        <v>3</v>
      </c>
      <c r="AB928">
        <v>4</v>
      </c>
      <c r="AC928">
        <v>80</v>
      </c>
      <c r="AD928">
        <v>0</v>
      </c>
      <c r="AE928" s="5">
        <v>23</v>
      </c>
      <c r="AF928" t="str">
        <f t="shared" si="100"/>
        <v>&gt;15</v>
      </c>
      <c r="AG928">
        <v>3</v>
      </c>
      <c r="AH928">
        <v>4</v>
      </c>
      <c r="AI928" s="5">
        <v>21</v>
      </c>
      <c r="AJ928">
        <v>7</v>
      </c>
      <c r="AK928">
        <v>15</v>
      </c>
      <c r="AL928">
        <v>17</v>
      </c>
      <c r="AM928" t="str">
        <f t="shared" si="101"/>
        <v>Ok</v>
      </c>
      <c r="AN928" s="21">
        <f t="shared" si="102"/>
        <v>26.788990825688074</v>
      </c>
      <c r="AO928" t="str">
        <f t="shared" ca="1" si="103"/>
        <v>No</v>
      </c>
      <c r="AP928" t="str">
        <f t="shared" si="104"/>
        <v>Low Risk</v>
      </c>
    </row>
    <row r="929" spans="1:42" x14ac:dyDescent="0.3">
      <c r="A929" s="5">
        <v>36</v>
      </c>
      <c r="B929" s="5" t="s">
        <v>43</v>
      </c>
      <c r="C929" s="5" t="str">
        <f t="shared" si="98"/>
        <v>No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 s="5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 s="5">
        <v>5410</v>
      </c>
      <c r="U929">
        <v>2323</v>
      </c>
      <c r="V929">
        <v>9</v>
      </c>
      <c r="W929" t="s">
        <v>42</v>
      </c>
      <c r="X929" t="s">
        <v>35</v>
      </c>
      <c r="Y929" t="str">
        <f t="shared" si="99"/>
        <v>Yes</v>
      </c>
      <c r="Z929">
        <v>11</v>
      </c>
      <c r="AA929">
        <v>3</v>
      </c>
      <c r="AB929">
        <v>4</v>
      </c>
      <c r="AC929">
        <v>80</v>
      </c>
      <c r="AD929">
        <v>0</v>
      </c>
      <c r="AE929" s="5">
        <v>18</v>
      </c>
      <c r="AF929" t="str">
        <f t="shared" si="100"/>
        <v>&gt;15</v>
      </c>
      <c r="AG929">
        <v>2</v>
      </c>
      <c r="AH929">
        <v>3</v>
      </c>
      <c r="AI929" s="5">
        <v>16</v>
      </c>
      <c r="AJ929">
        <v>14</v>
      </c>
      <c r="AK929">
        <v>5</v>
      </c>
      <c r="AL929">
        <v>12</v>
      </c>
      <c r="AM929" t="str">
        <f t="shared" si="101"/>
        <v>Below Avg</v>
      </c>
      <c r="AN929" s="21">
        <f t="shared" si="102"/>
        <v>26.65441176470588</v>
      </c>
      <c r="AO929" t="str">
        <f t="shared" ca="1" si="103"/>
        <v>No</v>
      </c>
      <c r="AP929" t="str">
        <f t="shared" si="104"/>
        <v>Low Risk</v>
      </c>
    </row>
    <row r="930" spans="1:42" x14ac:dyDescent="0.3">
      <c r="A930" s="5">
        <v>44</v>
      </c>
      <c r="B930" s="5" t="s">
        <v>35</v>
      </c>
      <c r="C930" s="5" t="str">
        <f t="shared" si="98"/>
        <v>Yes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 s="5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 s="5">
        <v>7978</v>
      </c>
      <c r="U930">
        <v>14075</v>
      </c>
      <c r="V930">
        <v>1</v>
      </c>
      <c r="W930" t="s">
        <v>42</v>
      </c>
      <c r="X930" t="s">
        <v>43</v>
      </c>
      <c r="Y930" t="str">
        <f t="shared" si="99"/>
        <v>No</v>
      </c>
      <c r="Z930">
        <v>11</v>
      </c>
      <c r="AA930">
        <v>3</v>
      </c>
      <c r="AB930">
        <v>4</v>
      </c>
      <c r="AC930">
        <v>80</v>
      </c>
      <c r="AD930">
        <v>1</v>
      </c>
      <c r="AE930" s="5">
        <v>10</v>
      </c>
      <c r="AF930" t="str">
        <f t="shared" si="100"/>
        <v>6-15</v>
      </c>
      <c r="AG930">
        <v>2</v>
      </c>
      <c r="AH930">
        <v>3</v>
      </c>
      <c r="AI930" s="5">
        <v>10</v>
      </c>
      <c r="AJ930">
        <v>7</v>
      </c>
      <c r="AK930">
        <v>0</v>
      </c>
      <c r="AL930">
        <v>5</v>
      </c>
      <c r="AM930" t="str">
        <f t="shared" si="101"/>
        <v>Ok</v>
      </c>
      <c r="AN930" s="21">
        <f t="shared" si="102"/>
        <v>26.703499079189687</v>
      </c>
      <c r="AO930" t="str">
        <f t="shared" ca="1" si="103"/>
        <v>No</v>
      </c>
      <c r="AP930" t="str">
        <f t="shared" si="104"/>
        <v>Low Risk</v>
      </c>
    </row>
    <row r="931" spans="1:42" x14ac:dyDescent="0.3">
      <c r="A931" s="5">
        <v>28</v>
      </c>
      <c r="B931" s="5" t="s">
        <v>43</v>
      </c>
      <c r="C931" s="5" t="str">
        <f t="shared" si="98"/>
        <v>No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 s="5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 s="5">
        <v>3867</v>
      </c>
      <c r="U931">
        <v>14222</v>
      </c>
      <c r="V931">
        <v>1</v>
      </c>
      <c r="W931" t="s">
        <v>42</v>
      </c>
      <c r="X931" t="s">
        <v>35</v>
      </c>
      <c r="Y931" t="str">
        <f t="shared" si="99"/>
        <v>Yes</v>
      </c>
      <c r="Z931">
        <v>12</v>
      </c>
      <c r="AA931">
        <v>3</v>
      </c>
      <c r="AB931">
        <v>2</v>
      </c>
      <c r="AC931">
        <v>80</v>
      </c>
      <c r="AD931">
        <v>1</v>
      </c>
      <c r="AE931" s="5">
        <v>2</v>
      </c>
      <c r="AF931" t="str">
        <f t="shared" si="100"/>
        <v>0-5</v>
      </c>
      <c r="AG931">
        <v>2</v>
      </c>
      <c r="AH931">
        <v>3</v>
      </c>
      <c r="AI931" s="5">
        <v>2</v>
      </c>
      <c r="AJ931">
        <v>2</v>
      </c>
      <c r="AK931">
        <v>2</v>
      </c>
      <c r="AL931">
        <v>2</v>
      </c>
      <c r="AM931" t="str">
        <f t="shared" si="101"/>
        <v>Below Avg</v>
      </c>
      <c r="AN931" s="21">
        <f t="shared" si="102"/>
        <v>26.568265682656829</v>
      </c>
      <c r="AO931" t="str">
        <f t="shared" ca="1" si="103"/>
        <v>No</v>
      </c>
      <c r="AP931" t="str">
        <f t="shared" si="104"/>
        <v>Low Risk</v>
      </c>
    </row>
    <row r="932" spans="1:42" x14ac:dyDescent="0.3">
      <c r="A932" s="5">
        <v>51</v>
      </c>
      <c r="B932" s="5" t="s">
        <v>43</v>
      </c>
      <c r="C932" s="5" t="str">
        <f t="shared" si="98"/>
        <v>No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 s="5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 s="5">
        <v>2838</v>
      </c>
      <c r="U932">
        <v>4257</v>
      </c>
      <c r="V932">
        <v>0</v>
      </c>
      <c r="W932" t="s">
        <v>42</v>
      </c>
      <c r="X932" t="s">
        <v>43</v>
      </c>
      <c r="Y932" t="str">
        <f t="shared" si="99"/>
        <v>No</v>
      </c>
      <c r="Z932">
        <v>14</v>
      </c>
      <c r="AA932">
        <v>3</v>
      </c>
      <c r="AB932">
        <v>2</v>
      </c>
      <c r="AC932">
        <v>80</v>
      </c>
      <c r="AD932">
        <v>0</v>
      </c>
      <c r="AE932" s="5">
        <v>8</v>
      </c>
      <c r="AF932" t="str">
        <f t="shared" si="100"/>
        <v>6-15</v>
      </c>
      <c r="AG932">
        <v>6</v>
      </c>
      <c r="AH932">
        <v>2</v>
      </c>
      <c r="AI932" s="5">
        <v>7</v>
      </c>
      <c r="AJ932">
        <v>0</v>
      </c>
      <c r="AK932">
        <v>7</v>
      </c>
      <c r="AL932">
        <v>7</v>
      </c>
      <c r="AM932" t="str">
        <f t="shared" si="101"/>
        <v>Below Avg</v>
      </c>
      <c r="AN932" s="21">
        <f t="shared" si="102"/>
        <v>26.617375231053604</v>
      </c>
      <c r="AO932" t="str">
        <f t="shared" ca="1" si="103"/>
        <v>No</v>
      </c>
      <c r="AP932" t="str">
        <f t="shared" si="104"/>
        <v>Low Risk</v>
      </c>
    </row>
    <row r="933" spans="1:42" x14ac:dyDescent="0.3">
      <c r="A933" s="5">
        <v>30</v>
      </c>
      <c r="B933" s="5" t="s">
        <v>43</v>
      </c>
      <c r="C933" s="5" t="str">
        <f t="shared" si="98"/>
        <v>No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 s="5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 s="5">
        <v>4695</v>
      </c>
      <c r="U933">
        <v>12858</v>
      </c>
      <c r="V933">
        <v>7</v>
      </c>
      <c r="W933" t="s">
        <v>42</v>
      </c>
      <c r="X933" t="s">
        <v>35</v>
      </c>
      <c r="Y933" t="str">
        <f t="shared" si="99"/>
        <v>Yes</v>
      </c>
      <c r="Z933">
        <v>18</v>
      </c>
      <c r="AA933">
        <v>3</v>
      </c>
      <c r="AB933">
        <v>3</v>
      </c>
      <c r="AC933">
        <v>80</v>
      </c>
      <c r="AD933">
        <v>0</v>
      </c>
      <c r="AE933" s="5">
        <v>10</v>
      </c>
      <c r="AF933" t="str">
        <f t="shared" si="100"/>
        <v>6-15</v>
      </c>
      <c r="AG933">
        <v>3</v>
      </c>
      <c r="AH933">
        <v>3</v>
      </c>
      <c r="AI933" s="5">
        <v>8</v>
      </c>
      <c r="AJ933">
        <v>4</v>
      </c>
      <c r="AK933">
        <v>1</v>
      </c>
      <c r="AL933">
        <v>7</v>
      </c>
      <c r="AM933" t="str">
        <f t="shared" si="101"/>
        <v>Below Avg</v>
      </c>
      <c r="AN933" s="21">
        <f t="shared" si="102"/>
        <v>26.481481481481485</v>
      </c>
      <c r="AO933" t="str">
        <f t="shared" ca="1" si="103"/>
        <v>No</v>
      </c>
      <c r="AP933" t="str">
        <f t="shared" si="104"/>
        <v>Low Risk</v>
      </c>
    </row>
    <row r="934" spans="1:42" x14ac:dyDescent="0.3">
      <c r="A934" s="5">
        <v>29</v>
      </c>
      <c r="B934" s="5" t="s">
        <v>35</v>
      </c>
      <c r="C934" s="5" t="str">
        <f t="shared" si="98"/>
        <v>Yes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 s="5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 s="5">
        <v>3339</v>
      </c>
      <c r="U934">
        <v>17285</v>
      </c>
      <c r="V934">
        <v>3</v>
      </c>
      <c r="W934" t="s">
        <v>42</v>
      </c>
      <c r="X934" t="s">
        <v>35</v>
      </c>
      <c r="Y934" t="str">
        <f t="shared" si="99"/>
        <v>Yes</v>
      </c>
      <c r="Z934">
        <v>13</v>
      </c>
      <c r="AA934">
        <v>3</v>
      </c>
      <c r="AB934">
        <v>1</v>
      </c>
      <c r="AC934">
        <v>80</v>
      </c>
      <c r="AD934">
        <v>2</v>
      </c>
      <c r="AE934" s="5">
        <v>10</v>
      </c>
      <c r="AF934" t="str">
        <f t="shared" si="100"/>
        <v>6-15</v>
      </c>
      <c r="AG934">
        <v>2</v>
      </c>
      <c r="AH934">
        <v>3</v>
      </c>
      <c r="AI934" s="5">
        <v>7</v>
      </c>
      <c r="AJ934">
        <v>7</v>
      </c>
      <c r="AK934">
        <v>7</v>
      </c>
      <c r="AL934">
        <v>7</v>
      </c>
      <c r="AM934" t="str">
        <f t="shared" si="101"/>
        <v>Below Avg</v>
      </c>
      <c r="AN934" s="21">
        <f t="shared" si="102"/>
        <v>26.530612244897959</v>
      </c>
      <c r="AO934" t="str">
        <f t="shared" ca="1" si="103"/>
        <v>No</v>
      </c>
      <c r="AP934" t="str">
        <f t="shared" si="104"/>
        <v>Low Risk</v>
      </c>
    </row>
    <row r="935" spans="1:42" x14ac:dyDescent="0.3">
      <c r="A935" s="5">
        <v>28</v>
      </c>
      <c r="B935" s="5" t="s">
        <v>43</v>
      </c>
      <c r="C935" s="5" t="str">
        <f t="shared" si="98"/>
        <v>No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 s="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 s="5">
        <v>2080</v>
      </c>
      <c r="U935">
        <v>4732</v>
      </c>
      <c r="V935">
        <v>2</v>
      </c>
      <c r="W935" t="s">
        <v>42</v>
      </c>
      <c r="X935" t="s">
        <v>43</v>
      </c>
      <c r="Y935" t="str">
        <f t="shared" si="99"/>
        <v>No</v>
      </c>
      <c r="Z935">
        <v>11</v>
      </c>
      <c r="AA935">
        <v>3</v>
      </c>
      <c r="AB935">
        <v>2</v>
      </c>
      <c r="AC935">
        <v>80</v>
      </c>
      <c r="AD935">
        <v>0</v>
      </c>
      <c r="AE935" s="5">
        <v>5</v>
      </c>
      <c r="AF935" t="str">
        <f t="shared" si="100"/>
        <v>0-5</v>
      </c>
      <c r="AG935">
        <v>2</v>
      </c>
      <c r="AH935">
        <v>2</v>
      </c>
      <c r="AI935" s="5">
        <v>3</v>
      </c>
      <c r="AJ935">
        <v>2</v>
      </c>
      <c r="AK935">
        <v>1</v>
      </c>
      <c r="AL935">
        <v>2</v>
      </c>
      <c r="AM935" t="str">
        <f t="shared" si="101"/>
        <v>Below Avg</v>
      </c>
      <c r="AN935" s="21">
        <f t="shared" si="102"/>
        <v>26.394052044609666</v>
      </c>
      <c r="AO935" t="str">
        <f t="shared" ca="1" si="103"/>
        <v>No</v>
      </c>
      <c r="AP935" t="str">
        <f t="shared" si="104"/>
        <v>Low Risk</v>
      </c>
    </row>
    <row r="936" spans="1:42" x14ac:dyDescent="0.3">
      <c r="A936" s="5">
        <v>25</v>
      </c>
      <c r="B936" s="5" t="s">
        <v>43</v>
      </c>
      <c r="C936" s="5" t="str">
        <f t="shared" si="98"/>
        <v>No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 s="5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 s="5">
        <v>2096</v>
      </c>
      <c r="U936">
        <v>18830</v>
      </c>
      <c r="V936">
        <v>1</v>
      </c>
      <c r="W936" t="s">
        <v>42</v>
      </c>
      <c r="X936" t="s">
        <v>43</v>
      </c>
      <c r="Y936" t="str">
        <f t="shared" si="99"/>
        <v>No</v>
      </c>
      <c r="Z936">
        <v>18</v>
      </c>
      <c r="AA936">
        <v>3</v>
      </c>
      <c r="AB936">
        <v>4</v>
      </c>
      <c r="AC936">
        <v>80</v>
      </c>
      <c r="AD936">
        <v>0</v>
      </c>
      <c r="AE936" s="5">
        <v>2</v>
      </c>
      <c r="AF936" t="str">
        <f t="shared" si="100"/>
        <v>0-5</v>
      </c>
      <c r="AG936">
        <v>3</v>
      </c>
      <c r="AH936">
        <v>2</v>
      </c>
      <c r="AI936" s="5">
        <v>2</v>
      </c>
      <c r="AJ936">
        <v>2</v>
      </c>
      <c r="AK936">
        <v>2</v>
      </c>
      <c r="AL936">
        <v>1</v>
      </c>
      <c r="AM936" t="str">
        <f t="shared" si="101"/>
        <v>Below Avg</v>
      </c>
      <c r="AN936" s="21">
        <f t="shared" si="102"/>
        <v>26.256983240223462</v>
      </c>
      <c r="AO936" t="str">
        <f t="shared" ca="1" si="103"/>
        <v>No</v>
      </c>
      <c r="AP936" t="str">
        <f t="shared" si="104"/>
        <v>Low Risk</v>
      </c>
    </row>
    <row r="937" spans="1:42" x14ac:dyDescent="0.3">
      <c r="A937" s="5">
        <v>32</v>
      </c>
      <c r="B937" s="5" t="s">
        <v>43</v>
      </c>
      <c r="C937" s="5" t="str">
        <f t="shared" si="98"/>
        <v>No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 s="5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 s="5">
        <v>6209</v>
      </c>
      <c r="U937">
        <v>11693</v>
      </c>
      <c r="V937">
        <v>1</v>
      </c>
      <c r="W937" t="s">
        <v>42</v>
      </c>
      <c r="X937" t="s">
        <v>43</v>
      </c>
      <c r="Y937" t="str">
        <f t="shared" si="99"/>
        <v>No</v>
      </c>
      <c r="Z937">
        <v>15</v>
      </c>
      <c r="AA937">
        <v>3</v>
      </c>
      <c r="AB937">
        <v>3</v>
      </c>
      <c r="AC937">
        <v>80</v>
      </c>
      <c r="AD937">
        <v>2</v>
      </c>
      <c r="AE937" s="5">
        <v>10</v>
      </c>
      <c r="AF937" t="str">
        <f t="shared" si="100"/>
        <v>6-15</v>
      </c>
      <c r="AG937">
        <v>4</v>
      </c>
      <c r="AH937">
        <v>4</v>
      </c>
      <c r="AI937" s="5">
        <v>10</v>
      </c>
      <c r="AJ937">
        <v>7</v>
      </c>
      <c r="AK937">
        <v>0</v>
      </c>
      <c r="AL937">
        <v>8</v>
      </c>
      <c r="AM937" t="str">
        <f t="shared" si="101"/>
        <v>Below Avg</v>
      </c>
      <c r="AN937" s="21">
        <f t="shared" si="102"/>
        <v>26.305970149253731</v>
      </c>
      <c r="AO937" t="str">
        <f t="shared" ca="1" si="103"/>
        <v>No</v>
      </c>
      <c r="AP937" t="str">
        <f t="shared" si="104"/>
        <v>Low Risk</v>
      </c>
    </row>
    <row r="938" spans="1:42" x14ac:dyDescent="0.3">
      <c r="A938" s="5">
        <v>45</v>
      </c>
      <c r="B938" s="5" t="s">
        <v>43</v>
      </c>
      <c r="C938" s="5" t="str">
        <f t="shared" si="98"/>
        <v>No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 s="5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 s="5">
        <v>18061</v>
      </c>
      <c r="U938">
        <v>13035</v>
      </c>
      <c r="V938">
        <v>3</v>
      </c>
      <c r="W938" t="s">
        <v>42</v>
      </c>
      <c r="X938" t="s">
        <v>43</v>
      </c>
      <c r="Y938" t="str">
        <f t="shared" si="99"/>
        <v>No</v>
      </c>
      <c r="Z938">
        <v>22</v>
      </c>
      <c r="AA938">
        <v>4</v>
      </c>
      <c r="AB938">
        <v>3</v>
      </c>
      <c r="AC938">
        <v>80</v>
      </c>
      <c r="AD938">
        <v>0</v>
      </c>
      <c r="AE938" s="5">
        <v>22</v>
      </c>
      <c r="AF938" t="str">
        <f t="shared" si="100"/>
        <v>&gt;15</v>
      </c>
      <c r="AG938">
        <v>4</v>
      </c>
      <c r="AH938">
        <v>3</v>
      </c>
      <c r="AI938" s="5">
        <v>0</v>
      </c>
      <c r="AJ938">
        <v>0</v>
      </c>
      <c r="AK938">
        <v>0</v>
      </c>
      <c r="AL938">
        <v>0</v>
      </c>
      <c r="AM938" t="str">
        <f t="shared" si="101"/>
        <v>Ok</v>
      </c>
      <c r="AN938" s="21">
        <f t="shared" si="102"/>
        <v>26.355140186915886</v>
      </c>
      <c r="AO938" t="str">
        <f t="shared" ca="1" si="103"/>
        <v>No</v>
      </c>
      <c r="AP938" t="str">
        <f t="shared" si="104"/>
        <v>Low Risk</v>
      </c>
    </row>
    <row r="939" spans="1:42" x14ac:dyDescent="0.3">
      <c r="A939" s="5">
        <v>39</v>
      </c>
      <c r="B939" s="5" t="s">
        <v>43</v>
      </c>
      <c r="C939" s="5" t="str">
        <f t="shared" si="98"/>
        <v>No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 s="5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 s="5">
        <v>17123</v>
      </c>
      <c r="U939">
        <v>17334</v>
      </c>
      <c r="V939">
        <v>6</v>
      </c>
      <c r="W939" t="s">
        <v>42</v>
      </c>
      <c r="X939" t="s">
        <v>35</v>
      </c>
      <c r="Y939" t="str">
        <f t="shared" si="99"/>
        <v>Yes</v>
      </c>
      <c r="Z939">
        <v>13</v>
      </c>
      <c r="AA939">
        <v>3</v>
      </c>
      <c r="AB939">
        <v>4</v>
      </c>
      <c r="AC939">
        <v>80</v>
      </c>
      <c r="AD939">
        <v>2</v>
      </c>
      <c r="AE939" s="5">
        <v>21</v>
      </c>
      <c r="AF939" t="str">
        <f t="shared" si="100"/>
        <v>&gt;15</v>
      </c>
      <c r="AG939">
        <v>4</v>
      </c>
      <c r="AH939">
        <v>3</v>
      </c>
      <c r="AI939" s="5">
        <v>19</v>
      </c>
      <c r="AJ939">
        <v>9</v>
      </c>
      <c r="AK939">
        <v>15</v>
      </c>
      <c r="AL939">
        <v>2</v>
      </c>
      <c r="AM939" t="str">
        <f t="shared" si="101"/>
        <v>Ok</v>
      </c>
      <c r="AN939" s="21">
        <f t="shared" si="102"/>
        <v>26.40449438202247</v>
      </c>
      <c r="AO939" t="str">
        <f t="shared" ca="1" si="103"/>
        <v>No</v>
      </c>
      <c r="AP939" t="str">
        <f t="shared" si="104"/>
        <v>Low Risk</v>
      </c>
    </row>
    <row r="940" spans="1:42" x14ac:dyDescent="0.3">
      <c r="A940" s="5">
        <v>58</v>
      </c>
      <c r="B940" s="5" t="s">
        <v>43</v>
      </c>
      <c r="C940" s="5" t="str">
        <f t="shared" si="98"/>
        <v>No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 s="5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 s="5">
        <v>2372</v>
      </c>
      <c r="U940">
        <v>26076</v>
      </c>
      <c r="V940">
        <v>1</v>
      </c>
      <c r="W940" t="s">
        <v>42</v>
      </c>
      <c r="X940" t="s">
        <v>43</v>
      </c>
      <c r="Y940" t="str">
        <f t="shared" si="99"/>
        <v>No</v>
      </c>
      <c r="Z940">
        <v>12</v>
      </c>
      <c r="AA940">
        <v>3</v>
      </c>
      <c r="AB940">
        <v>4</v>
      </c>
      <c r="AC940">
        <v>80</v>
      </c>
      <c r="AD940">
        <v>2</v>
      </c>
      <c r="AE940" s="5">
        <v>2</v>
      </c>
      <c r="AF940" t="str">
        <f t="shared" si="100"/>
        <v>0-5</v>
      </c>
      <c r="AG940">
        <v>3</v>
      </c>
      <c r="AH940">
        <v>3</v>
      </c>
      <c r="AI940" s="5">
        <v>2</v>
      </c>
      <c r="AJ940">
        <v>2</v>
      </c>
      <c r="AK940">
        <v>2</v>
      </c>
      <c r="AL940">
        <v>2</v>
      </c>
      <c r="AM940" t="str">
        <f t="shared" si="101"/>
        <v>Below Avg</v>
      </c>
      <c r="AN940" s="21">
        <f t="shared" si="102"/>
        <v>26.454033771106943</v>
      </c>
      <c r="AO940" t="str">
        <f t="shared" ca="1" si="103"/>
        <v>No</v>
      </c>
      <c r="AP940" t="str">
        <f t="shared" si="104"/>
        <v>Low Risk</v>
      </c>
    </row>
    <row r="941" spans="1:42" x14ac:dyDescent="0.3">
      <c r="A941" s="5">
        <v>32</v>
      </c>
      <c r="B941" s="5" t="s">
        <v>35</v>
      </c>
      <c r="C941" s="5" t="str">
        <f t="shared" si="98"/>
        <v>Yes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 s="5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 s="5">
        <v>4883</v>
      </c>
      <c r="U941">
        <v>22845</v>
      </c>
      <c r="V941">
        <v>1</v>
      </c>
      <c r="W941" t="s">
        <v>42</v>
      </c>
      <c r="X941" t="s">
        <v>43</v>
      </c>
      <c r="Y941" t="str">
        <f t="shared" si="99"/>
        <v>No</v>
      </c>
      <c r="Z941">
        <v>18</v>
      </c>
      <c r="AA941">
        <v>3</v>
      </c>
      <c r="AB941">
        <v>1</v>
      </c>
      <c r="AC941">
        <v>80</v>
      </c>
      <c r="AD941">
        <v>1</v>
      </c>
      <c r="AE941" s="5">
        <v>10</v>
      </c>
      <c r="AF941" t="str">
        <f t="shared" si="100"/>
        <v>6-15</v>
      </c>
      <c r="AG941">
        <v>3</v>
      </c>
      <c r="AH941">
        <v>3</v>
      </c>
      <c r="AI941" s="5">
        <v>10</v>
      </c>
      <c r="AJ941">
        <v>4</v>
      </c>
      <c r="AK941">
        <v>1</v>
      </c>
      <c r="AL941">
        <v>1</v>
      </c>
      <c r="AM941" t="str">
        <f t="shared" si="101"/>
        <v>Below Avg</v>
      </c>
      <c r="AN941" s="21">
        <f t="shared" si="102"/>
        <v>26.315789473684209</v>
      </c>
      <c r="AO941" t="str">
        <f t="shared" ca="1" si="103"/>
        <v>No</v>
      </c>
      <c r="AP941" t="str">
        <f t="shared" si="104"/>
        <v>Low Risk</v>
      </c>
    </row>
    <row r="942" spans="1:42" x14ac:dyDescent="0.3">
      <c r="A942" s="5">
        <v>39</v>
      </c>
      <c r="B942" s="5" t="s">
        <v>35</v>
      </c>
      <c r="C942" s="5" t="str">
        <f t="shared" si="98"/>
        <v>Yes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 s="5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 s="5">
        <v>3904</v>
      </c>
      <c r="U942">
        <v>22154</v>
      </c>
      <c r="V942">
        <v>0</v>
      </c>
      <c r="W942" t="s">
        <v>42</v>
      </c>
      <c r="X942" t="s">
        <v>43</v>
      </c>
      <c r="Y942" t="str">
        <f t="shared" si="99"/>
        <v>No</v>
      </c>
      <c r="Z942">
        <v>13</v>
      </c>
      <c r="AA942">
        <v>3</v>
      </c>
      <c r="AB942">
        <v>1</v>
      </c>
      <c r="AC942">
        <v>80</v>
      </c>
      <c r="AD942">
        <v>0</v>
      </c>
      <c r="AE942" s="5">
        <v>6</v>
      </c>
      <c r="AF942" t="str">
        <f t="shared" si="100"/>
        <v>6-15</v>
      </c>
      <c r="AG942">
        <v>2</v>
      </c>
      <c r="AH942">
        <v>3</v>
      </c>
      <c r="AI942" s="5">
        <v>5</v>
      </c>
      <c r="AJ942">
        <v>2</v>
      </c>
      <c r="AK942">
        <v>0</v>
      </c>
      <c r="AL942">
        <v>3</v>
      </c>
      <c r="AM942" t="str">
        <f t="shared" si="101"/>
        <v>Below Avg</v>
      </c>
      <c r="AN942" s="21">
        <f t="shared" si="102"/>
        <v>26.365348399246702</v>
      </c>
      <c r="AO942" t="str">
        <f t="shared" ca="1" si="103"/>
        <v>No</v>
      </c>
      <c r="AP942" t="str">
        <f t="shared" si="104"/>
        <v>Low Risk</v>
      </c>
    </row>
    <row r="943" spans="1:42" x14ac:dyDescent="0.3">
      <c r="A943" s="5">
        <v>30</v>
      </c>
      <c r="B943" s="5" t="s">
        <v>43</v>
      </c>
      <c r="C943" s="5" t="str">
        <f t="shared" si="98"/>
        <v>No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 s="5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 s="5">
        <v>4627</v>
      </c>
      <c r="U943">
        <v>23631</v>
      </c>
      <c r="V943">
        <v>0</v>
      </c>
      <c r="W943" t="s">
        <v>42</v>
      </c>
      <c r="X943" t="s">
        <v>43</v>
      </c>
      <c r="Y943" t="str">
        <f t="shared" si="99"/>
        <v>No</v>
      </c>
      <c r="Z943">
        <v>12</v>
      </c>
      <c r="AA943">
        <v>3</v>
      </c>
      <c r="AB943">
        <v>1</v>
      </c>
      <c r="AC943">
        <v>80</v>
      </c>
      <c r="AD943">
        <v>1</v>
      </c>
      <c r="AE943" s="5">
        <v>10</v>
      </c>
      <c r="AF943" t="str">
        <f t="shared" si="100"/>
        <v>6-15</v>
      </c>
      <c r="AG943">
        <v>6</v>
      </c>
      <c r="AH943">
        <v>3</v>
      </c>
      <c r="AI943" s="5">
        <v>9</v>
      </c>
      <c r="AJ943">
        <v>2</v>
      </c>
      <c r="AK943">
        <v>6</v>
      </c>
      <c r="AL943">
        <v>7</v>
      </c>
      <c r="AM943" t="str">
        <f t="shared" si="101"/>
        <v>Below Avg</v>
      </c>
      <c r="AN943" s="21">
        <f t="shared" si="102"/>
        <v>26.415094339622641</v>
      </c>
      <c r="AO943" t="str">
        <f t="shared" ca="1" si="103"/>
        <v>No</v>
      </c>
      <c r="AP943" t="str">
        <f t="shared" si="104"/>
        <v>Low Risk</v>
      </c>
    </row>
    <row r="944" spans="1:42" x14ac:dyDescent="0.3">
      <c r="A944" s="5">
        <v>36</v>
      </c>
      <c r="B944" s="5" t="s">
        <v>43</v>
      </c>
      <c r="C944" s="5" t="str">
        <f t="shared" si="98"/>
        <v>No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 s="5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 s="5">
        <v>7094</v>
      </c>
      <c r="U944">
        <v>5747</v>
      </c>
      <c r="V944">
        <v>3</v>
      </c>
      <c r="W944" t="s">
        <v>42</v>
      </c>
      <c r="X944" t="s">
        <v>43</v>
      </c>
      <c r="Y944" t="str">
        <f t="shared" si="99"/>
        <v>No</v>
      </c>
      <c r="Z944">
        <v>12</v>
      </c>
      <c r="AA944">
        <v>3</v>
      </c>
      <c r="AB944">
        <v>1</v>
      </c>
      <c r="AC944">
        <v>80</v>
      </c>
      <c r="AD944">
        <v>0</v>
      </c>
      <c r="AE944" s="5">
        <v>10</v>
      </c>
      <c r="AF944" t="str">
        <f t="shared" si="100"/>
        <v>6-15</v>
      </c>
      <c r="AG944">
        <v>0</v>
      </c>
      <c r="AH944">
        <v>3</v>
      </c>
      <c r="AI944" s="5">
        <v>7</v>
      </c>
      <c r="AJ944">
        <v>7</v>
      </c>
      <c r="AK944">
        <v>1</v>
      </c>
      <c r="AL944">
        <v>7</v>
      </c>
      <c r="AM944" t="str">
        <f t="shared" si="101"/>
        <v>Ok</v>
      </c>
      <c r="AN944" s="21">
        <f t="shared" si="102"/>
        <v>26.465028355387521</v>
      </c>
      <c r="AO944" t="str">
        <f t="shared" ca="1" si="103"/>
        <v>No</v>
      </c>
      <c r="AP944" t="str">
        <f t="shared" si="104"/>
        <v>Low Risk</v>
      </c>
    </row>
    <row r="945" spans="1:42" x14ac:dyDescent="0.3">
      <c r="A945" s="5">
        <v>46</v>
      </c>
      <c r="B945" s="5" t="s">
        <v>43</v>
      </c>
      <c r="C945" s="5" t="str">
        <f t="shared" si="98"/>
        <v>No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 s="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 s="5">
        <v>3423</v>
      </c>
      <c r="U945">
        <v>22957</v>
      </c>
      <c r="V945">
        <v>6</v>
      </c>
      <c r="W945" t="s">
        <v>42</v>
      </c>
      <c r="X945" t="s">
        <v>43</v>
      </c>
      <c r="Y945" t="str">
        <f t="shared" si="99"/>
        <v>No</v>
      </c>
      <c r="Z945">
        <v>12</v>
      </c>
      <c r="AA945">
        <v>3</v>
      </c>
      <c r="AB945">
        <v>3</v>
      </c>
      <c r="AC945">
        <v>80</v>
      </c>
      <c r="AD945">
        <v>0</v>
      </c>
      <c r="AE945" s="5">
        <v>10</v>
      </c>
      <c r="AF945" t="str">
        <f t="shared" si="100"/>
        <v>6-15</v>
      </c>
      <c r="AG945">
        <v>3</v>
      </c>
      <c r="AH945">
        <v>4</v>
      </c>
      <c r="AI945" s="5">
        <v>7</v>
      </c>
      <c r="AJ945">
        <v>6</v>
      </c>
      <c r="AK945">
        <v>5</v>
      </c>
      <c r="AL945">
        <v>7</v>
      </c>
      <c r="AM945" t="str">
        <f t="shared" si="101"/>
        <v>Below Avg</v>
      </c>
      <c r="AN945" s="21">
        <f t="shared" si="102"/>
        <v>26.515151515151516</v>
      </c>
      <c r="AO945" t="str">
        <f t="shared" ca="1" si="103"/>
        <v>No</v>
      </c>
      <c r="AP945" t="str">
        <f t="shared" si="104"/>
        <v>Low Risk</v>
      </c>
    </row>
    <row r="946" spans="1:42" x14ac:dyDescent="0.3">
      <c r="A946" s="5">
        <v>28</v>
      </c>
      <c r="B946" s="5" t="s">
        <v>43</v>
      </c>
      <c r="C946" s="5" t="str">
        <f t="shared" si="98"/>
        <v>No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 s="5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 s="5">
        <v>6674</v>
      </c>
      <c r="U946">
        <v>16392</v>
      </c>
      <c r="V946">
        <v>0</v>
      </c>
      <c r="W946" t="s">
        <v>42</v>
      </c>
      <c r="X946" t="s">
        <v>43</v>
      </c>
      <c r="Y946" t="str">
        <f t="shared" si="99"/>
        <v>No</v>
      </c>
      <c r="Z946">
        <v>11</v>
      </c>
      <c r="AA946">
        <v>3</v>
      </c>
      <c r="AB946">
        <v>1</v>
      </c>
      <c r="AC946">
        <v>80</v>
      </c>
      <c r="AD946">
        <v>3</v>
      </c>
      <c r="AE946" s="5">
        <v>10</v>
      </c>
      <c r="AF946" t="str">
        <f t="shared" si="100"/>
        <v>6-15</v>
      </c>
      <c r="AG946">
        <v>6</v>
      </c>
      <c r="AH946">
        <v>3</v>
      </c>
      <c r="AI946" s="5">
        <v>9</v>
      </c>
      <c r="AJ946">
        <v>8</v>
      </c>
      <c r="AK946">
        <v>7</v>
      </c>
      <c r="AL946">
        <v>5</v>
      </c>
      <c r="AM946" t="str">
        <f t="shared" si="101"/>
        <v>Ok</v>
      </c>
      <c r="AN946" s="21">
        <f t="shared" si="102"/>
        <v>26.565464895635671</v>
      </c>
      <c r="AO946" t="str">
        <f t="shared" ca="1" si="103"/>
        <v>No</v>
      </c>
      <c r="AP946" t="str">
        <f t="shared" si="104"/>
        <v>Low Risk</v>
      </c>
    </row>
    <row r="947" spans="1:42" x14ac:dyDescent="0.3">
      <c r="A947" s="5">
        <v>50</v>
      </c>
      <c r="B947" s="5" t="s">
        <v>43</v>
      </c>
      <c r="C947" s="5" t="str">
        <f t="shared" si="98"/>
        <v>No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 s="5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 s="5">
        <v>16880</v>
      </c>
      <c r="U947">
        <v>22422</v>
      </c>
      <c r="V947">
        <v>4</v>
      </c>
      <c r="W947" t="s">
        <v>42</v>
      </c>
      <c r="X947" t="s">
        <v>35</v>
      </c>
      <c r="Y947" t="str">
        <f t="shared" si="99"/>
        <v>Yes</v>
      </c>
      <c r="Z947">
        <v>11</v>
      </c>
      <c r="AA947">
        <v>3</v>
      </c>
      <c r="AB947">
        <v>2</v>
      </c>
      <c r="AC947">
        <v>80</v>
      </c>
      <c r="AD947">
        <v>0</v>
      </c>
      <c r="AE947" s="5">
        <v>25</v>
      </c>
      <c r="AF947" t="str">
        <f t="shared" si="100"/>
        <v>&gt;15</v>
      </c>
      <c r="AG947">
        <v>2</v>
      </c>
      <c r="AH947">
        <v>3</v>
      </c>
      <c r="AI947" s="5">
        <v>3</v>
      </c>
      <c r="AJ947">
        <v>2</v>
      </c>
      <c r="AK947">
        <v>1</v>
      </c>
      <c r="AL947">
        <v>2</v>
      </c>
      <c r="AM947" t="str">
        <f t="shared" si="101"/>
        <v>Ok</v>
      </c>
      <c r="AN947" s="21">
        <f t="shared" si="102"/>
        <v>26.615969581749049</v>
      </c>
      <c r="AO947" t="str">
        <f t="shared" ca="1" si="103"/>
        <v>No</v>
      </c>
      <c r="AP947" t="str">
        <f t="shared" si="104"/>
        <v>Low Risk</v>
      </c>
    </row>
    <row r="948" spans="1:42" x14ac:dyDescent="0.3">
      <c r="A948" s="5">
        <v>40</v>
      </c>
      <c r="B948" s="5" t="s">
        <v>35</v>
      </c>
      <c r="C948" s="5" t="str">
        <f t="shared" si="98"/>
        <v>Yes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 s="5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 s="5">
        <v>9094</v>
      </c>
      <c r="U948">
        <v>17235</v>
      </c>
      <c r="V948">
        <v>2</v>
      </c>
      <c r="W948" t="s">
        <v>42</v>
      </c>
      <c r="X948" t="s">
        <v>35</v>
      </c>
      <c r="Y948" t="str">
        <f t="shared" si="99"/>
        <v>Yes</v>
      </c>
      <c r="Z948">
        <v>12</v>
      </c>
      <c r="AA948">
        <v>3</v>
      </c>
      <c r="AB948">
        <v>3</v>
      </c>
      <c r="AC948">
        <v>80</v>
      </c>
      <c r="AD948">
        <v>0</v>
      </c>
      <c r="AE948" s="5">
        <v>9</v>
      </c>
      <c r="AF948" t="str">
        <f t="shared" si="100"/>
        <v>6-15</v>
      </c>
      <c r="AG948">
        <v>2</v>
      </c>
      <c r="AH948">
        <v>3</v>
      </c>
      <c r="AI948" s="5">
        <v>5</v>
      </c>
      <c r="AJ948">
        <v>4</v>
      </c>
      <c r="AK948">
        <v>1</v>
      </c>
      <c r="AL948">
        <v>0</v>
      </c>
      <c r="AM948" t="str">
        <f t="shared" si="101"/>
        <v>Ok</v>
      </c>
      <c r="AN948" s="21">
        <f t="shared" si="102"/>
        <v>26.666666666666668</v>
      </c>
      <c r="AO948" t="str">
        <f t="shared" ca="1" si="103"/>
        <v>No</v>
      </c>
      <c r="AP948" t="str">
        <f t="shared" si="104"/>
        <v>Low Risk</v>
      </c>
    </row>
    <row r="949" spans="1:42" x14ac:dyDescent="0.3">
      <c r="A949" s="5">
        <v>52</v>
      </c>
      <c r="B949" s="5" t="s">
        <v>35</v>
      </c>
      <c r="C949" s="5" t="str">
        <f t="shared" si="98"/>
        <v>Yes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 s="5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 s="5">
        <v>8446</v>
      </c>
      <c r="U949">
        <v>21534</v>
      </c>
      <c r="V949">
        <v>9</v>
      </c>
      <c r="W949" t="s">
        <v>42</v>
      </c>
      <c r="X949" t="s">
        <v>35</v>
      </c>
      <c r="Y949" t="str">
        <f t="shared" si="99"/>
        <v>Yes</v>
      </c>
      <c r="Z949">
        <v>19</v>
      </c>
      <c r="AA949">
        <v>3</v>
      </c>
      <c r="AB949">
        <v>3</v>
      </c>
      <c r="AC949">
        <v>80</v>
      </c>
      <c r="AD949">
        <v>0</v>
      </c>
      <c r="AE949" s="5">
        <v>10</v>
      </c>
      <c r="AF949" t="str">
        <f t="shared" si="100"/>
        <v>6-15</v>
      </c>
      <c r="AG949">
        <v>2</v>
      </c>
      <c r="AH949">
        <v>2</v>
      </c>
      <c r="AI949" s="5">
        <v>8</v>
      </c>
      <c r="AJ949">
        <v>7</v>
      </c>
      <c r="AK949">
        <v>7</v>
      </c>
      <c r="AL949">
        <v>7</v>
      </c>
      <c r="AM949" t="str">
        <f t="shared" si="101"/>
        <v>Ok</v>
      </c>
      <c r="AN949" s="21">
        <f t="shared" si="102"/>
        <v>26.52671755725191</v>
      </c>
      <c r="AO949" t="str">
        <f t="shared" ca="1" si="103"/>
        <v>No</v>
      </c>
      <c r="AP949" t="str">
        <f t="shared" si="104"/>
        <v>Low Risk</v>
      </c>
    </row>
    <row r="950" spans="1:42" x14ac:dyDescent="0.3">
      <c r="A950" s="5">
        <v>30</v>
      </c>
      <c r="B950" s="5" t="s">
        <v>43</v>
      </c>
      <c r="C950" s="5" t="str">
        <f t="shared" si="98"/>
        <v>No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 s="5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 s="5">
        <v>11916</v>
      </c>
      <c r="U950">
        <v>25927</v>
      </c>
      <c r="V950">
        <v>1</v>
      </c>
      <c r="W950" t="s">
        <v>42</v>
      </c>
      <c r="X950" t="s">
        <v>35</v>
      </c>
      <c r="Y950" t="str">
        <f t="shared" si="99"/>
        <v>Yes</v>
      </c>
      <c r="Z950">
        <v>23</v>
      </c>
      <c r="AA950">
        <v>4</v>
      </c>
      <c r="AB950">
        <v>4</v>
      </c>
      <c r="AC950">
        <v>80</v>
      </c>
      <c r="AD950">
        <v>2</v>
      </c>
      <c r="AE950" s="5">
        <v>9</v>
      </c>
      <c r="AF950" t="str">
        <f t="shared" si="100"/>
        <v>6-15</v>
      </c>
      <c r="AG950">
        <v>2</v>
      </c>
      <c r="AH950">
        <v>3</v>
      </c>
      <c r="AI950" s="5">
        <v>9</v>
      </c>
      <c r="AJ950">
        <v>1</v>
      </c>
      <c r="AK950">
        <v>0</v>
      </c>
      <c r="AL950">
        <v>8</v>
      </c>
      <c r="AM950" t="str">
        <f t="shared" si="101"/>
        <v>Ok</v>
      </c>
      <c r="AN950" s="21">
        <f t="shared" si="102"/>
        <v>26.38623326959847</v>
      </c>
      <c r="AO950" t="str">
        <f t="shared" ca="1" si="103"/>
        <v>No</v>
      </c>
      <c r="AP950" t="str">
        <f t="shared" si="104"/>
        <v>Low Risk</v>
      </c>
    </row>
    <row r="951" spans="1:42" x14ac:dyDescent="0.3">
      <c r="A951" s="5">
        <v>39</v>
      </c>
      <c r="B951" s="5" t="s">
        <v>43</v>
      </c>
      <c r="C951" s="5" t="str">
        <f t="shared" si="98"/>
        <v>No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 s="5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 s="5">
        <v>4534</v>
      </c>
      <c r="U951">
        <v>13352</v>
      </c>
      <c r="V951">
        <v>0</v>
      </c>
      <c r="W951" t="s">
        <v>42</v>
      </c>
      <c r="X951" t="s">
        <v>43</v>
      </c>
      <c r="Y951" t="str">
        <f t="shared" si="99"/>
        <v>No</v>
      </c>
      <c r="Z951">
        <v>11</v>
      </c>
      <c r="AA951">
        <v>3</v>
      </c>
      <c r="AB951">
        <v>1</v>
      </c>
      <c r="AC951">
        <v>80</v>
      </c>
      <c r="AD951">
        <v>0</v>
      </c>
      <c r="AE951" s="5">
        <v>9</v>
      </c>
      <c r="AF951" t="str">
        <f t="shared" si="100"/>
        <v>6-15</v>
      </c>
      <c r="AG951">
        <v>6</v>
      </c>
      <c r="AH951">
        <v>3</v>
      </c>
      <c r="AI951" s="5">
        <v>8</v>
      </c>
      <c r="AJ951">
        <v>7</v>
      </c>
      <c r="AK951">
        <v>1</v>
      </c>
      <c r="AL951">
        <v>7</v>
      </c>
      <c r="AM951" t="str">
        <f t="shared" si="101"/>
        <v>Below Avg</v>
      </c>
      <c r="AN951" s="21">
        <f t="shared" si="102"/>
        <v>26.245210727969347</v>
      </c>
      <c r="AO951" t="str">
        <f t="shared" ca="1" si="103"/>
        <v>No</v>
      </c>
      <c r="AP951" t="str">
        <f t="shared" si="104"/>
        <v>Low Risk</v>
      </c>
    </row>
    <row r="952" spans="1:42" x14ac:dyDescent="0.3">
      <c r="A952" s="5">
        <v>31</v>
      </c>
      <c r="B952" s="5" t="s">
        <v>43</v>
      </c>
      <c r="C952" s="5" t="str">
        <f t="shared" si="98"/>
        <v>No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 s="5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 s="5">
        <v>9852</v>
      </c>
      <c r="U952">
        <v>8935</v>
      </c>
      <c r="V952">
        <v>1</v>
      </c>
      <c r="W952" t="s">
        <v>42</v>
      </c>
      <c r="X952" t="s">
        <v>35</v>
      </c>
      <c r="Y952" t="str">
        <f t="shared" si="99"/>
        <v>Yes</v>
      </c>
      <c r="Z952">
        <v>19</v>
      </c>
      <c r="AA952">
        <v>3</v>
      </c>
      <c r="AB952">
        <v>1</v>
      </c>
      <c r="AC952">
        <v>80</v>
      </c>
      <c r="AD952">
        <v>1</v>
      </c>
      <c r="AE952" s="5">
        <v>10</v>
      </c>
      <c r="AF952" t="str">
        <f t="shared" si="100"/>
        <v>6-15</v>
      </c>
      <c r="AG952">
        <v>5</v>
      </c>
      <c r="AH952">
        <v>2</v>
      </c>
      <c r="AI952" s="5">
        <v>10</v>
      </c>
      <c r="AJ952">
        <v>8</v>
      </c>
      <c r="AK952">
        <v>9</v>
      </c>
      <c r="AL952">
        <v>6</v>
      </c>
      <c r="AM952" t="str">
        <f t="shared" si="101"/>
        <v>Ok</v>
      </c>
      <c r="AN952" s="21">
        <f t="shared" si="102"/>
        <v>26.103646833013432</v>
      </c>
      <c r="AO952" t="str">
        <f t="shared" ca="1" si="103"/>
        <v>No</v>
      </c>
      <c r="AP952" t="str">
        <f t="shared" si="104"/>
        <v>Low Risk</v>
      </c>
    </row>
    <row r="953" spans="1:42" x14ac:dyDescent="0.3">
      <c r="A953" s="5">
        <v>41</v>
      </c>
      <c r="B953" s="5" t="s">
        <v>43</v>
      </c>
      <c r="C953" s="5" t="str">
        <f t="shared" si="98"/>
        <v>No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 s="5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 s="5">
        <v>6151</v>
      </c>
      <c r="U953">
        <v>22074</v>
      </c>
      <c r="V953">
        <v>1</v>
      </c>
      <c r="W953" t="s">
        <v>42</v>
      </c>
      <c r="X953" t="s">
        <v>43</v>
      </c>
      <c r="Y953" t="str">
        <f t="shared" si="99"/>
        <v>No</v>
      </c>
      <c r="Z953">
        <v>13</v>
      </c>
      <c r="AA953">
        <v>3</v>
      </c>
      <c r="AB953">
        <v>1</v>
      </c>
      <c r="AC953">
        <v>80</v>
      </c>
      <c r="AD953">
        <v>0</v>
      </c>
      <c r="AE953" s="5">
        <v>19</v>
      </c>
      <c r="AF953" t="str">
        <f t="shared" si="100"/>
        <v>&gt;15</v>
      </c>
      <c r="AG953">
        <v>4</v>
      </c>
      <c r="AH953">
        <v>3</v>
      </c>
      <c r="AI953" s="5">
        <v>19</v>
      </c>
      <c r="AJ953">
        <v>2</v>
      </c>
      <c r="AK953">
        <v>11</v>
      </c>
      <c r="AL953">
        <v>9</v>
      </c>
      <c r="AM953" t="str">
        <f t="shared" si="101"/>
        <v>Below Avg</v>
      </c>
      <c r="AN953" s="21">
        <f t="shared" si="102"/>
        <v>26.153846153846157</v>
      </c>
      <c r="AO953" t="str">
        <f t="shared" ca="1" si="103"/>
        <v>No</v>
      </c>
      <c r="AP953" t="str">
        <f t="shared" si="104"/>
        <v>Low Risk</v>
      </c>
    </row>
    <row r="954" spans="1:42" x14ac:dyDescent="0.3">
      <c r="A954" s="5">
        <v>31</v>
      </c>
      <c r="B954" s="5" t="s">
        <v>35</v>
      </c>
      <c r="C954" s="5" t="str">
        <f t="shared" si="98"/>
        <v>Yes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 s="5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 s="5">
        <v>2302</v>
      </c>
      <c r="U954">
        <v>8319</v>
      </c>
      <c r="V954">
        <v>1</v>
      </c>
      <c r="W954" t="s">
        <v>42</v>
      </c>
      <c r="X954" t="s">
        <v>35</v>
      </c>
      <c r="Y954" t="str">
        <f t="shared" si="99"/>
        <v>Yes</v>
      </c>
      <c r="Z954">
        <v>11</v>
      </c>
      <c r="AA954">
        <v>3</v>
      </c>
      <c r="AB954">
        <v>1</v>
      </c>
      <c r="AC954">
        <v>80</v>
      </c>
      <c r="AD954">
        <v>0</v>
      </c>
      <c r="AE954" s="5">
        <v>3</v>
      </c>
      <c r="AF954" t="str">
        <f t="shared" si="100"/>
        <v>0-5</v>
      </c>
      <c r="AG954">
        <v>2</v>
      </c>
      <c r="AH954">
        <v>4</v>
      </c>
      <c r="AI954" s="5">
        <v>3</v>
      </c>
      <c r="AJ954">
        <v>2</v>
      </c>
      <c r="AK954">
        <v>2</v>
      </c>
      <c r="AL954">
        <v>2</v>
      </c>
      <c r="AM954" t="str">
        <f t="shared" si="101"/>
        <v>Below Avg</v>
      </c>
      <c r="AN954" s="21">
        <f t="shared" si="102"/>
        <v>26.011560693641616</v>
      </c>
      <c r="AO954" t="str">
        <f t="shared" ca="1" si="103"/>
        <v>No</v>
      </c>
      <c r="AP954" t="str">
        <f t="shared" si="104"/>
        <v>Low Risk</v>
      </c>
    </row>
    <row r="955" spans="1:42" x14ac:dyDescent="0.3">
      <c r="A955" s="5">
        <v>44</v>
      </c>
      <c r="B955" s="5" t="s">
        <v>35</v>
      </c>
      <c r="C955" s="5" t="str">
        <f t="shared" si="98"/>
        <v>Yes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 s="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 s="5">
        <v>2362</v>
      </c>
      <c r="U955">
        <v>14669</v>
      </c>
      <c r="V955">
        <v>4</v>
      </c>
      <c r="W955" t="s">
        <v>42</v>
      </c>
      <c r="X955" t="s">
        <v>43</v>
      </c>
      <c r="Y955" t="str">
        <f t="shared" si="99"/>
        <v>No</v>
      </c>
      <c r="Z955">
        <v>12</v>
      </c>
      <c r="AA955">
        <v>3</v>
      </c>
      <c r="AB955">
        <v>3</v>
      </c>
      <c r="AC955">
        <v>80</v>
      </c>
      <c r="AD955">
        <v>0</v>
      </c>
      <c r="AE955" s="5">
        <v>10</v>
      </c>
      <c r="AF955" t="str">
        <f t="shared" si="100"/>
        <v>6-15</v>
      </c>
      <c r="AG955">
        <v>4</v>
      </c>
      <c r="AH955">
        <v>4</v>
      </c>
      <c r="AI955" s="5">
        <v>3</v>
      </c>
      <c r="AJ955">
        <v>2</v>
      </c>
      <c r="AK955">
        <v>1</v>
      </c>
      <c r="AL955">
        <v>2</v>
      </c>
      <c r="AM955" t="str">
        <f t="shared" si="101"/>
        <v>Below Avg</v>
      </c>
      <c r="AN955" s="21">
        <f t="shared" si="102"/>
        <v>26.061776061776058</v>
      </c>
      <c r="AO955" t="str">
        <f t="shared" ca="1" si="103"/>
        <v>No</v>
      </c>
      <c r="AP955" t="str">
        <f t="shared" si="104"/>
        <v>Low Risk</v>
      </c>
    </row>
    <row r="956" spans="1:42" x14ac:dyDescent="0.3">
      <c r="A956" s="5">
        <v>42</v>
      </c>
      <c r="B956" s="5" t="s">
        <v>43</v>
      </c>
      <c r="C956" s="5" t="str">
        <f t="shared" si="98"/>
        <v>No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 s="5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 s="5">
        <v>17861</v>
      </c>
      <c r="U956">
        <v>26582</v>
      </c>
      <c r="V956">
        <v>0</v>
      </c>
      <c r="W956" t="s">
        <v>42</v>
      </c>
      <c r="X956" t="s">
        <v>35</v>
      </c>
      <c r="Y956" t="str">
        <f t="shared" si="99"/>
        <v>Yes</v>
      </c>
      <c r="Z956">
        <v>13</v>
      </c>
      <c r="AA956">
        <v>3</v>
      </c>
      <c r="AB956">
        <v>4</v>
      </c>
      <c r="AC956">
        <v>80</v>
      </c>
      <c r="AD956">
        <v>0</v>
      </c>
      <c r="AE956" s="5">
        <v>21</v>
      </c>
      <c r="AF956" t="str">
        <f t="shared" si="100"/>
        <v>&gt;15</v>
      </c>
      <c r="AG956">
        <v>3</v>
      </c>
      <c r="AH956">
        <v>2</v>
      </c>
      <c r="AI956" s="5">
        <v>20</v>
      </c>
      <c r="AJ956">
        <v>8</v>
      </c>
      <c r="AK956">
        <v>2</v>
      </c>
      <c r="AL956">
        <v>10</v>
      </c>
      <c r="AM956" t="str">
        <f t="shared" si="101"/>
        <v>Ok</v>
      </c>
      <c r="AN956" s="21">
        <f t="shared" si="102"/>
        <v>25.918762088974855</v>
      </c>
      <c r="AO956" t="str">
        <f t="shared" ca="1" si="103"/>
        <v>No</v>
      </c>
      <c r="AP956" t="str">
        <f t="shared" si="104"/>
        <v>Low Risk</v>
      </c>
    </row>
    <row r="957" spans="1:42" x14ac:dyDescent="0.3">
      <c r="A957" s="5">
        <v>55</v>
      </c>
      <c r="B957" s="5" t="s">
        <v>43</v>
      </c>
      <c r="C957" s="5" t="str">
        <f t="shared" si="98"/>
        <v>No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 s="5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 s="5">
        <v>19187</v>
      </c>
      <c r="U957">
        <v>6992</v>
      </c>
      <c r="V957">
        <v>4</v>
      </c>
      <c r="W957" t="s">
        <v>42</v>
      </c>
      <c r="X957" t="s">
        <v>43</v>
      </c>
      <c r="Y957" t="str">
        <f t="shared" si="99"/>
        <v>No</v>
      </c>
      <c r="Z957">
        <v>14</v>
      </c>
      <c r="AA957">
        <v>3</v>
      </c>
      <c r="AB957">
        <v>4</v>
      </c>
      <c r="AC957">
        <v>80</v>
      </c>
      <c r="AD957">
        <v>1</v>
      </c>
      <c r="AE957" s="5">
        <v>23</v>
      </c>
      <c r="AF957" t="str">
        <f t="shared" si="100"/>
        <v>&gt;15</v>
      </c>
      <c r="AG957">
        <v>5</v>
      </c>
      <c r="AH957">
        <v>3</v>
      </c>
      <c r="AI957" s="5">
        <v>19</v>
      </c>
      <c r="AJ957">
        <v>9</v>
      </c>
      <c r="AK957">
        <v>9</v>
      </c>
      <c r="AL957">
        <v>11</v>
      </c>
      <c r="AM957" t="str">
        <f t="shared" si="101"/>
        <v>Ok</v>
      </c>
      <c r="AN957" s="21">
        <f t="shared" si="102"/>
        <v>25.968992248062015</v>
      </c>
      <c r="AO957" t="str">
        <f t="shared" ca="1" si="103"/>
        <v>No</v>
      </c>
      <c r="AP957" t="str">
        <f t="shared" si="104"/>
        <v>Low Risk</v>
      </c>
    </row>
    <row r="958" spans="1:42" x14ac:dyDescent="0.3">
      <c r="A958" s="5">
        <v>56</v>
      </c>
      <c r="B958" s="5" t="s">
        <v>43</v>
      </c>
      <c r="C958" s="5" t="str">
        <f t="shared" si="98"/>
        <v>No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 s="5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 s="5">
        <v>19717</v>
      </c>
      <c r="U958">
        <v>4022</v>
      </c>
      <c r="V958">
        <v>6</v>
      </c>
      <c r="W958" t="s">
        <v>42</v>
      </c>
      <c r="X958" t="s">
        <v>43</v>
      </c>
      <c r="Y958" t="str">
        <f t="shared" si="99"/>
        <v>No</v>
      </c>
      <c r="Z958">
        <v>14</v>
      </c>
      <c r="AA958">
        <v>3</v>
      </c>
      <c r="AB958">
        <v>1</v>
      </c>
      <c r="AC958">
        <v>80</v>
      </c>
      <c r="AD958">
        <v>0</v>
      </c>
      <c r="AE958" s="5">
        <v>36</v>
      </c>
      <c r="AF958" t="str">
        <f t="shared" si="100"/>
        <v>&gt;15</v>
      </c>
      <c r="AG958">
        <v>4</v>
      </c>
      <c r="AH958">
        <v>3</v>
      </c>
      <c r="AI958" s="5">
        <v>7</v>
      </c>
      <c r="AJ958">
        <v>3</v>
      </c>
      <c r="AK958">
        <v>7</v>
      </c>
      <c r="AL958">
        <v>7</v>
      </c>
      <c r="AM958" t="str">
        <f t="shared" si="101"/>
        <v>Ok</v>
      </c>
      <c r="AN958" s="21">
        <f t="shared" si="102"/>
        <v>25.825242718446599</v>
      </c>
      <c r="AO958" t="str">
        <f t="shared" ca="1" si="103"/>
        <v>No</v>
      </c>
      <c r="AP958" t="str">
        <f t="shared" si="104"/>
        <v>Low Risk</v>
      </c>
    </row>
    <row r="959" spans="1:42" x14ac:dyDescent="0.3">
      <c r="A959" s="5">
        <v>40</v>
      </c>
      <c r="B959" s="5" t="s">
        <v>43</v>
      </c>
      <c r="C959" s="5" t="str">
        <f t="shared" si="98"/>
        <v>No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 s="5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 s="5">
        <v>3544</v>
      </c>
      <c r="U959">
        <v>8532</v>
      </c>
      <c r="V959">
        <v>9</v>
      </c>
      <c r="W959" t="s">
        <v>42</v>
      </c>
      <c r="X959" t="s">
        <v>43</v>
      </c>
      <c r="Y959" t="str">
        <f t="shared" si="99"/>
        <v>No</v>
      </c>
      <c r="Z959">
        <v>16</v>
      </c>
      <c r="AA959">
        <v>3</v>
      </c>
      <c r="AB959">
        <v>2</v>
      </c>
      <c r="AC959">
        <v>80</v>
      </c>
      <c r="AD959">
        <v>1</v>
      </c>
      <c r="AE959" s="5">
        <v>6</v>
      </c>
      <c r="AF959" t="str">
        <f t="shared" si="100"/>
        <v>6-15</v>
      </c>
      <c r="AG959">
        <v>0</v>
      </c>
      <c r="AH959">
        <v>3</v>
      </c>
      <c r="AI959" s="5">
        <v>4</v>
      </c>
      <c r="AJ959">
        <v>2</v>
      </c>
      <c r="AK959">
        <v>0</v>
      </c>
      <c r="AL959">
        <v>0</v>
      </c>
      <c r="AM959" t="str">
        <f t="shared" si="101"/>
        <v>Below Avg</v>
      </c>
      <c r="AN959" s="21">
        <f t="shared" si="102"/>
        <v>25.875486381322961</v>
      </c>
      <c r="AO959" t="str">
        <f t="shared" ca="1" si="103"/>
        <v>No</v>
      </c>
      <c r="AP959" t="str">
        <f t="shared" si="104"/>
        <v>Low Risk</v>
      </c>
    </row>
    <row r="960" spans="1:42" x14ac:dyDescent="0.3">
      <c r="A960" s="5">
        <v>34</v>
      </c>
      <c r="B960" s="5" t="s">
        <v>43</v>
      </c>
      <c r="C960" s="5" t="str">
        <f t="shared" si="98"/>
        <v>No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 s="5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 s="5">
        <v>8500</v>
      </c>
      <c r="U960">
        <v>5494</v>
      </c>
      <c r="V960">
        <v>0</v>
      </c>
      <c r="W960" t="s">
        <v>42</v>
      </c>
      <c r="X960" t="s">
        <v>43</v>
      </c>
      <c r="Y960" t="str">
        <f t="shared" si="99"/>
        <v>No</v>
      </c>
      <c r="Z960">
        <v>11</v>
      </c>
      <c r="AA960">
        <v>3</v>
      </c>
      <c r="AB960">
        <v>4</v>
      </c>
      <c r="AC960">
        <v>80</v>
      </c>
      <c r="AD960">
        <v>1</v>
      </c>
      <c r="AE960" s="5">
        <v>10</v>
      </c>
      <c r="AF960" t="str">
        <f t="shared" si="100"/>
        <v>6-15</v>
      </c>
      <c r="AG960">
        <v>0</v>
      </c>
      <c r="AH960">
        <v>2</v>
      </c>
      <c r="AI960" s="5">
        <v>9</v>
      </c>
      <c r="AJ960">
        <v>7</v>
      </c>
      <c r="AK960">
        <v>1</v>
      </c>
      <c r="AL960">
        <v>6</v>
      </c>
      <c r="AM960" t="str">
        <f t="shared" si="101"/>
        <v>Ok</v>
      </c>
      <c r="AN960" s="21">
        <f t="shared" si="102"/>
        <v>25.925925925925924</v>
      </c>
      <c r="AO960" t="str">
        <f t="shared" ca="1" si="103"/>
        <v>No</v>
      </c>
      <c r="AP960" t="str">
        <f t="shared" si="104"/>
        <v>Low Risk</v>
      </c>
    </row>
    <row r="961" spans="1:42" x14ac:dyDescent="0.3">
      <c r="A961" s="5">
        <v>40</v>
      </c>
      <c r="B961" s="5" t="s">
        <v>43</v>
      </c>
      <c r="C961" s="5" t="str">
        <f t="shared" si="98"/>
        <v>No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 s="5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 s="5">
        <v>4661</v>
      </c>
      <c r="U961">
        <v>22455</v>
      </c>
      <c r="V961">
        <v>1</v>
      </c>
      <c r="W961" t="s">
        <v>42</v>
      </c>
      <c r="X961" t="s">
        <v>43</v>
      </c>
      <c r="Y961" t="str">
        <f t="shared" si="99"/>
        <v>No</v>
      </c>
      <c r="Z961">
        <v>13</v>
      </c>
      <c r="AA961">
        <v>3</v>
      </c>
      <c r="AB961">
        <v>3</v>
      </c>
      <c r="AC961">
        <v>80</v>
      </c>
      <c r="AD961">
        <v>0</v>
      </c>
      <c r="AE961" s="5">
        <v>9</v>
      </c>
      <c r="AF961" t="str">
        <f t="shared" si="100"/>
        <v>6-15</v>
      </c>
      <c r="AG961">
        <v>4</v>
      </c>
      <c r="AH961">
        <v>3</v>
      </c>
      <c r="AI961" s="5">
        <v>9</v>
      </c>
      <c r="AJ961">
        <v>8</v>
      </c>
      <c r="AK961">
        <v>8</v>
      </c>
      <c r="AL961">
        <v>8</v>
      </c>
      <c r="AM961" t="str">
        <f t="shared" si="101"/>
        <v>Below Avg</v>
      </c>
      <c r="AN961" s="21">
        <f t="shared" si="102"/>
        <v>25.9765625</v>
      </c>
      <c r="AO961" t="str">
        <f t="shared" ca="1" si="103"/>
        <v>No</v>
      </c>
      <c r="AP961" t="str">
        <f t="shared" si="104"/>
        <v>Low Risk</v>
      </c>
    </row>
    <row r="962" spans="1:42" x14ac:dyDescent="0.3">
      <c r="A962" s="5">
        <v>41</v>
      </c>
      <c r="B962" s="5" t="s">
        <v>43</v>
      </c>
      <c r="C962" s="5" t="str">
        <f t="shared" si="98"/>
        <v>No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 s="5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 s="5">
        <v>4103</v>
      </c>
      <c r="U962">
        <v>4297</v>
      </c>
      <c r="V962">
        <v>0</v>
      </c>
      <c r="W962" t="s">
        <v>42</v>
      </c>
      <c r="X962" t="s">
        <v>43</v>
      </c>
      <c r="Y962" t="str">
        <f t="shared" si="99"/>
        <v>No</v>
      </c>
      <c r="Z962">
        <v>17</v>
      </c>
      <c r="AA962">
        <v>3</v>
      </c>
      <c r="AB962">
        <v>4</v>
      </c>
      <c r="AC962">
        <v>80</v>
      </c>
      <c r="AD962">
        <v>1</v>
      </c>
      <c r="AE962" s="5">
        <v>10</v>
      </c>
      <c r="AF962" t="str">
        <f t="shared" si="100"/>
        <v>6-15</v>
      </c>
      <c r="AG962">
        <v>2</v>
      </c>
      <c r="AH962">
        <v>3</v>
      </c>
      <c r="AI962" s="5">
        <v>9</v>
      </c>
      <c r="AJ962">
        <v>3</v>
      </c>
      <c r="AK962">
        <v>1</v>
      </c>
      <c r="AL962">
        <v>7</v>
      </c>
      <c r="AM962" t="str">
        <f t="shared" si="101"/>
        <v>Below Avg</v>
      </c>
      <c r="AN962" s="21">
        <f t="shared" si="102"/>
        <v>26.027397260273972</v>
      </c>
      <c r="AO962" t="str">
        <f t="shared" ca="1" si="103"/>
        <v>No</v>
      </c>
      <c r="AP962" t="str">
        <f t="shared" si="104"/>
        <v>Low Risk</v>
      </c>
    </row>
    <row r="963" spans="1:42" x14ac:dyDescent="0.3">
      <c r="A963" s="5">
        <v>35</v>
      </c>
      <c r="B963" s="5" t="s">
        <v>43</v>
      </c>
      <c r="C963" s="5" t="str">
        <f t="shared" ref="C963:C1026" si="105">IF(LOWER(B963)="yes","Yes","No")</f>
        <v>No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 s="5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 s="5">
        <v>4249</v>
      </c>
      <c r="U963">
        <v>2690</v>
      </c>
      <c r="V963">
        <v>1</v>
      </c>
      <c r="W963" t="s">
        <v>42</v>
      </c>
      <c r="X963" t="s">
        <v>35</v>
      </c>
      <c r="Y963" t="str">
        <f t="shared" ref="Y963:Y1026" si="106">IF(LOWER(X963)="yes","Yes","No")</f>
        <v>Yes</v>
      </c>
      <c r="Z963">
        <v>11</v>
      </c>
      <c r="AA963">
        <v>3</v>
      </c>
      <c r="AB963">
        <v>2</v>
      </c>
      <c r="AC963">
        <v>80</v>
      </c>
      <c r="AD963">
        <v>0</v>
      </c>
      <c r="AE963" s="5">
        <v>9</v>
      </c>
      <c r="AF963" t="str">
        <f t="shared" ref="AF963:AF1026" si="107">IF(AE963&lt;=5,"0-5",IF(AE963&lt;=15,"6-15","&gt;15"))</f>
        <v>6-15</v>
      </c>
      <c r="AG963">
        <v>3</v>
      </c>
      <c r="AH963">
        <v>3</v>
      </c>
      <c r="AI963" s="5">
        <v>9</v>
      </c>
      <c r="AJ963">
        <v>6</v>
      </c>
      <c r="AK963">
        <v>1</v>
      </c>
      <c r="AL963">
        <v>1</v>
      </c>
      <c r="AM963" t="str">
        <f t="shared" ref="AM963:AM1026" si="108">IF(T963&lt;AVERAGEIF($F962:$F2432,F963,$T962:$T2432),"Below Avg","Ok")</f>
        <v>Below Avg</v>
      </c>
      <c r="AN963" s="21">
        <f t="shared" ref="AN963:AN1026" si="109">COUNTIF(X962:X2432,"Yes")/COUNTA(X962:X2432)*100</f>
        <v>26.078431372549023</v>
      </c>
      <c r="AO963" t="str">
        <f t="shared" ref="AO963:AO1026" ca="1" si="110">IF(AND(AA963&gt;=4,Z963&lt;AVERAGEIF($F962:$F2432,F963,$Z963:$Z2432)),"Yes","No")</f>
        <v>No</v>
      </c>
      <c r="AP963" t="str">
        <f t="shared" ref="AP963:AP1026" si="111">IF(AND(AI963&lt;2,C963="Yes"),"High Risk","Low Risk")</f>
        <v>Low Risk</v>
      </c>
    </row>
    <row r="964" spans="1:42" x14ac:dyDescent="0.3">
      <c r="A964" s="5">
        <v>51</v>
      </c>
      <c r="B964" s="5" t="s">
        <v>43</v>
      </c>
      <c r="C964" s="5" t="str">
        <f t="shared" si="105"/>
        <v>No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 s="5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 s="5">
        <v>14026</v>
      </c>
      <c r="U964">
        <v>17588</v>
      </c>
      <c r="V964">
        <v>1</v>
      </c>
      <c r="W964" t="s">
        <v>42</v>
      </c>
      <c r="X964" t="s">
        <v>35</v>
      </c>
      <c r="Y964" t="str">
        <f t="shared" si="106"/>
        <v>Yes</v>
      </c>
      <c r="Z964">
        <v>11</v>
      </c>
      <c r="AA964">
        <v>3</v>
      </c>
      <c r="AB964">
        <v>2</v>
      </c>
      <c r="AC964">
        <v>80</v>
      </c>
      <c r="AD964">
        <v>1</v>
      </c>
      <c r="AE964" s="5">
        <v>33</v>
      </c>
      <c r="AF964" t="str">
        <f t="shared" si="107"/>
        <v>&gt;15</v>
      </c>
      <c r="AG964">
        <v>2</v>
      </c>
      <c r="AH964">
        <v>3</v>
      </c>
      <c r="AI964" s="5">
        <v>33</v>
      </c>
      <c r="AJ964">
        <v>9</v>
      </c>
      <c r="AK964">
        <v>0</v>
      </c>
      <c r="AL964">
        <v>10</v>
      </c>
      <c r="AM964" t="str">
        <f t="shared" si="108"/>
        <v>Ok</v>
      </c>
      <c r="AN964" s="21">
        <f t="shared" si="109"/>
        <v>26.129666011787815</v>
      </c>
      <c r="AO964" t="str">
        <f t="shared" ca="1" si="110"/>
        <v>No</v>
      </c>
      <c r="AP964" t="str">
        <f t="shared" si="111"/>
        <v>Low Risk</v>
      </c>
    </row>
    <row r="965" spans="1:42" x14ac:dyDescent="0.3">
      <c r="A965" s="5">
        <v>38</v>
      </c>
      <c r="B965" s="5" t="s">
        <v>43</v>
      </c>
      <c r="C965" s="5" t="str">
        <f t="shared" si="105"/>
        <v>No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 s="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 s="5">
        <v>6893</v>
      </c>
      <c r="U965">
        <v>19461</v>
      </c>
      <c r="V965">
        <v>3</v>
      </c>
      <c r="W965" t="s">
        <v>42</v>
      </c>
      <c r="X965" t="s">
        <v>43</v>
      </c>
      <c r="Y965" t="str">
        <f t="shared" si="106"/>
        <v>No</v>
      </c>
      <c r="Z965">
        <v>15</v>
      </c>
      <c r="AA965">
        <v>3</v>
      </c>
      <c r="AB965">
        <v>4</v>
      </c>
      <c r="AC965">
        <v>80</v>
      </c>
      <c r="AD965">
        <v>1</v>
      </c>
      <c r="AE965" s="5">
        <v>11</v>
      </c>
      <c r="AF965" t="str">
        <f t="shared" si="107"/>
        <v>6-15</v>
      </c>
      <c r="AG965">
        <v>3</v>
      </c>
      <c r="AH965">
        <v>3</v>
      </c>
      <c r="AI965" s="5">
        <v>7</v>
      </c>
      <c r="AJ965">
        <v>7</v>
      </c>
      <c r="AK965">
        <v>1</v>
      </c>
      <c r="AL965">
        <v>7</v>
      </c>
      <c r="AM965" t="str">
        <f t="shared" si="108"/>
        <v>Ok</v>
      </c>
      <c r="AN965" s="21">
        <f t="shared" si="109"/>
        <v>25.984251968503933</v>
      </c>
      <c r="AO965" t="str">
        <f t="shared" ca="1" si="110"/>
        <v>No</v>
      </c>
      <c r="AP965" t="str">
        <f t="shared" si="111"/>
        <v>Low Risk</v>
      </c>
    </row>
    <row r="966" spans="1:42" x14ac:dyDescent="0.3">
      <c r="A966" s="5">
        <v>34</v>
      </c>
      <c r="B966" s="5" t="s">
        <v>43</v>
      </c>
      <c r="C966" s="5" t="str">
        <f t="shared" si="105"/>
        <v>No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 s="5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 s="5">
        <v>6125</v>
      </c>
      <c r="U966">
        <v>23553</v>
      </c>
      <c r="V966">
        <v>1</v>
      </c>
      <c r="W966" t="s">
        <v>42</v>
      </c>
      <c r="X966" t="s">
        <v>43</v>
      </c>
      <c r="Y966" t="str">
        <f t="shared" si="106"/>
        <v>No</v>
      </c>
      <c r="Z966">
        <v>12</v>
      </c>
      <c r="AA966">
        <v>3</v>
      </c>
      <c r="AB966">
        <v>4</v>
      </c>
      <c r="AC966">
        <v>80</v>
      </c>
      <c r="AD966">
        <v>0</v>
      </c>
      <c r="AE966" s="5">
        <v>10</v>
      </c>
      <c r="AF966" t="str">
        <f t="shared" si="107"/>
        <v>6-15</v>
      </c>
      <c r="AG966">
        <v>6</v>
      </c>
      <c r="AH966">
        <v>4</v>
      </c>
      <c r="AI966" s="5">
        <v>10</v>
      </c>
      <c r="AJ966">
        <v>8</v>
      </c>
      <c r="AK966">
        <v>9</v>
      </c>
      <c r="AL966">
        <v>6</v>
      </c>
      <c r="AM966" t="str">
        <f t="shared" si="108"/>
        <v>Below Avg</v>
      </c>
      <c r="AN966" s="21">
        <f t="shared" si="109"/>
        <v>25.838264299802759</v>
      </c>
      <c r="AO966" t="str">
        <f t="shared" ca="1" si="110"/>
        <v>No</v>
      </c>
      <c r="AP966" t="str">
        <f t="shared" si="111"/>
        <v>Low Risk</v>
      </c>
    </row>
    <row r="967" spans="1:42" x14ac:dyDescent="0.3">
      <c r="A967" s="5">
        <v>25</v>
      </c>
      <c r="B967" s="5" t="s">
        <v>43</v>
      </c>
      <c r="C967" s="5" t="str">
        <f t="shared" si="105"/>
        <v>No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 s="5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 s="5">
        <v>3669</v>
      </c>
      <c r="U967">
        <v>9075</v>
      </c>
      <c r="V967">
        <v>3</v>
      </c>
      <c r="W967" t="s">
        <v>42</v>
      </c>
      <c r="X967" t="s">
        <v>43</v>
      </c>
      <c r="Y967" t="str">
        <f t="shared" si="106"/>
        <v>No</v>
      </c>
      <c r="Z967">
        <v>11</v>
      </c>
      <c r="AA967">
        <v>3</v>
      </c>
      <c r="AB967">
        <v>3</v>
      </c>
      <c r="AC967">
        <v>80</v>
      </c>
      <c r="AD967">
        <v>3</v>
      </c>
      <c r="AE967" s="5">
        <v>7</v>
      </c>
      <c r="AF967" t="str">
        <f t="shared" si="107"/>
        <v>6-15</v>
      </c>
      <c r="AG967">
        <v>6</v>
      </c>
      <c r="AH967">
        <v>2</v>
      </c>
      <c r="AI967" s="5">
        <v>3</v>
      </c>
      <c r="AJ967">
        <v>2</v>
      </c>
      <c r="AK967">
        <v>1</v>
      </c>
      <c r="AL967">
        <v>2</v>
      </c>
      <c r="AM967" t="str">
        <f t="shared" si="108"/>
        <v>Below Avg</v>
      </c>
      <c r="AN967" s="21">
        <f t="shared" si="109"/>
        <v>25.889328063241106</v>
      </c>
      <c r="AO967" t="str">
        <f t="shared" ca="1" si="110"/>
        <v>No</v>
      </c>
      <c r="AP967" t="str">
        <f t="shared" si="111"/>
        <v>Low Risk</v>
      </c>
    </row>
    <row r="968" spans="1:42" x14ac:dyDescent="0.3">
      <c r="A968" s="5">
        <v>58</v>
      </c>
      <c r="B968" s="5" t="s">
        <v>35</v>
      </c>
      <c r="C968" s="5" t="str">
        <f t="shared" si="105"/>
        <v>Yes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 s="5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 s="5">
        <v>10008</v>
      </c>
      <c r="U968">
        <v>12023</v>
      </c>
      <c r="V968">
        <v>7</v>
      </c>
      <c r="W968" t="s">
        <v>42</v>
      </c>
      <c r="X968" t="s">
        <v>35</v>
      </c>
      <c r="Y968" t="str">
        <f t="shared" si="106"/>
        <v>Yes</v>
      </c>
      <c r="Z968">
        <v>14</v>
      </c>
      <c r="AA968">
        <v>3</v>
      </c>
      <c r="AB968">
        <v>4</v>
      </c>
      <c r="AC968">
        <v>80</v>
      </c>
      <c r="AD968">
        <v>0</v>
      </c>
      <c r="AE968" s="5">
        <v>31</v>
      </c>
      <c r="AF968" t="str">
        <f t="shared" si="107"/>
        <v>&gt;15</v>
      </c>
      <c r="AG968">
        <v>0</v>
      </c>
      <c r="AH968">
        <v>2</v>
      </c>
      <c r="AI968" s="5">
        <v>10</v>
      </c>
      <c r="AJ968">
        <v>9</v>
      </c>
      <c r="AK968">
        <v>5</v>
      </c>
      <c r="AL968">
        <v>9</v>
      </c>
      <c r="AM968" t="str">
        <f t="shared" si="108"/>
        <v>Ok</v>
      </c>
      <c r="AN968" s="21">
        <f t="shared" si="109"/>
        <v>25.940594059405942</v>
      </c>
      <c r="AO968" t="str">
        <f t="shared" ca="1" si="110"/>
        <v>No</v>
      </c>
      <c r="AP968" t="str">
        <f t="shared" si="111"/>
        <v>Low Risk</v>
      </c>
    </row>
    <row r="969" spans="1:42" x14ac:dyDescent="0.3">
      <c r="A969" s="5">
        <v>40</v>
      </c>
      <c r="B969" s="5" t="s">
        <v>43</v>
      </c>
      <c r="C969" s="5" t="str">
        <f t="shared" si="105"/>
        <v>No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 s="5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 s="5">
        <v>2387</v>
      </c>
      <c r="U969">
        <v>6762</v>
      </c>
      <c r="V969">
        <v>3</v>
      </c>
      <c r="W969" t="s">
        <v>42</v>
      </c>
      <c r="X969" t="s">
        <v>43</v>
      </c>
      <c r="Y969" t="str">
        <f t="shared" si="106"/>
        <v>No</v>
      </c>
      <c r="Z969">
        <v>22</v>
      </c>
      <c r="AA969">
        <v>4</v>
      </c>
      <c r="AB969">
        <v>3</v>
      </c>
      <c r="AC969">
        <v>80</v>
      </c>
      <c r="AD969">
        <v>1</v>
      </c>
      <c r="AE969" s="5">
        <v>7</v>
      </c>
      <c r="AF969" t="str">
        <f t="shared" si="107"/>
        <v>6-15</v>
      </c>
      <c r="AG969">
        <v>3</v>
      </c>
      <c r="AH969">
        <v>3</v>
      </c>
      <c r="AI969" s="5">
        <v>4</v>
      </c>
      <c r="AJ969">
        <v>2</v>
      </c>
      <c r="AK969">
        <v>0</v>
      </c>
      <c r="AL969">
        <v>3</v>
      </c>
      <c r="AM969" t="str">
        <f t="shared" si="108"/>
        <v>Below Avg</v>
      </c>
      <c r="AN969" s="21">
        <f t="shared" si="109"/>
        <v>25.992063492063494</v>
      </c>
      <c r="AO969" t="str">
        <f t="shared" ca="1" si="110"/>
        <v>No</v>
      </c>
      <c r="AP969" t="str">
        <f t="shared" si="111"/>
        <v>Low Risk</v>
      </c>
    </row>
    <row r="970" spans="1:42" x14ac:dyDescent="0.3">
      <c r="A970" s="5">
        <v>36</v>
      </c>
      <c r="B970" s="5" t="s">
        <v>43</v>
      </c>
      <c r="C970" s="5" t="str">
        <f t="shared" si="105"/>
        <v>No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 s="5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 s="5">
        <v>4639</v>
      </c>
      <c r="U970">
        <v>2261</v>
      </c>
      <c r="V970">
        <v>2</v>
      </c>
      <c r="W970" t="s">
        <v>42</v>
      </c>
      <c r="X970" t="s">
        <v>43</v>
      </c>
      <c r="Y970" t="str">
        <f t="shared" si="106"/>
        <v>No</v>
      </c>
      <c r="Z970">
        <v>16</v>
      </c>
      <c r="AA970">
        <v>3</v>
      </c>
      <c r="AB970">
        <v>4</v>
      </c>
      <c r="AC970">
        <v>80</v>
      </c>
      <c r="AD970">
        <v>1</v>
      </c>
      <c r="AE970" s="5">
        <v>17</v>
      </c>
      <c r="AF970" t="str">
        <f t="shared" si="107"/>
        <v>&gt;15</v>
      </c>
      <c r="AG970">
        <v>2</v>
      </c>
      <c r="AH970">
        <v>2</v>
      </c>
      <c r="AI970" s="5">
        <v>15</v>
      </c>
      <c r="AJ970">
        <v>7</v>
      </c>
      <c r="AK970">
        <v>6</v>
      </c>
      <c r="AL970">
        <v>13</v>
      </c>
      <c r="AM970" t="str">
        <f t="shared" si="108"/>
        <v>Below Avg</v>
      </c>
      <c r="AN970" s="21">
        <f t="shared" si="109"/>
        <v>25.844930417495032</v>
      </c>
      <c r="AO970" t="str">
        <f t="shared" ca="1" si="110"/>
        <v>No</v>
      </c>
      <c r="AP970" t="str">
        <f t="shared" si="111"/>
        <v>Low Risk</v>
      </c>
    </row>
    <row r="971" spans="1:42" x14ac:dyDescent="0.3">
      <c r="A971" s="5">
        <v>48</v>
      </c>
      <c r="B971" s="5" t="s">
        <v>43</v>
      </c>
      <c r="C971" s="5" t="str">
        <f t="shared" si="105"/>
        <v>No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 s="5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 s="5">
        <v>7898</v>
      </c>
      <c r="U971">
        <v>18706</v>
      </c>
      <c r="V971">
        <v>1</v>
      </c>
      <c r="W971" t="s">
        <v>42</v>
      </c>
      <c r="X971" t="s">
        <v>43</v>
      </c>
      <c r="Y971" t="str">
        <f t="shared" si="106"/>
        <v>No</v>
      </c>
      <c r="Z971">
        <v>11</v>
      </c>
      <c r="AA971">
        <v>3</v>
      </c>
      <c r="AB971">
        <v>3</v>
      </c>
      <c r="AC971">
        <v>80</v>
      </c>
      <c r="AD971">
        <v>0</v>
      </c>
      <c r="AE971" s="5">
        <v>11</v>
      </c>
      <c r="AF971" t="str">
        <f t="shared" si="107"/>
        <v>6-15</v>
      </c>
      <c r="AG971">
        <v>2</v>
      </c>
      <c r="AH971">
        <v>3</v>
      </c>
      <c r="AI971" s="5">
        <v>10</v>
      </c>
      <c r="AJ971">
        <v>9</v>
      </c>
      <c r="AK971">
        <v>0</v>
      </c>
      <c r="AL971">
        <v>8</v>
      </c>
      <c r="AM971" t="str">
        <f t="shared" si="108"/>
        <v>Ok</v>
      </c>
      <c r="AN971" s="21">
        <f t="shared" si="109"/>
        <v>25.89641434262948</v>
      </c>
      <c r="AO971" t="str">
        <f t="shared" ca="1" si="110"/>
        <v>No</v>
      </c>
      <c r="AP971" t="str">
        <f t="shared" si="111"/>
        <v>Low Risk</v>
      </c>
    </row>
    <row r="972" spans="1:42" x14ac:dyDescent="0.3">
      <c r="A972" s="5">
        <v>27</v>
      </c>
      <c r="B972" s="5" t="s">
        <v>43</v>
      </c>
      <c r="C972" s="5" t="str">
        <f t="shared" si="105"/>
        <v>No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 s="5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 s="5">
        <v>2534</v>
      </c>
      <c r="U972">
        <v>6527</v>
      </c>
      <c r="V972">
        <v>8</v>
      </c>
      <c r="W972" t="s">
        <v>42</v>
      </c>
      <c r="X972" t="s">
        <v>43</v>
      </c>
      <c r="Y972" t="str">
        <f t="shared" si="106"/>
        <v>No</v>
      </c>
      <c r="Z972">
        <v>14</v>
      </c>
      <c r="AA972">
        <v>3</v>
      </c>
      <c r="AB972">
        <v>2</v>
      </c>
      <c r="AC972">
        <v>80</v>
      </c>
      <c r="AD972">
        <v>1</v>
      </c>
      <c r="AE972" s="5">
        <v>5</v>
      </c>
      <c r="AF972" t="str">
        <f t="shared" si="107"/>
        <v>0-5</v>
      </c>
      <c r="AG972">
        <v>4</v>
      </c>
      <c r="AH972">
        <v>3</v>
      </c>
      <c r="AI972" s="5">
        <v>1</v>
      </c>
      <c r="AJ972">
        <v>0</v>
      </c>
      <c r="AK972">
        <v>0</v>
      </c>
      <c r="AL972">
        <v>0</v>
      </c>
      <c r="AM972" t="str">
        <f t="shared" si="108"/>
        <v>Below Avg</v>
      </c>
      <c r="AN972" s="21">
        <f t="shared" si="109"/>
        <v>25.948103792415168</v>
      </c>
      <c r="AO972" t="str">
        <f t="shared" ca="1" si="110"/>
        <v>No</v>
      </c>
      <c r="AP972" t="str">
        <f t="shared" si="111"/>
        <v>Low Risk</v>
      </c>
    </row>
    <row r="973" spans="1:42" x14ac:dyDescent="0.3">
      <c r="A973" s="5">
        <v>51</v>
      </c>
      <c r="B973" s="5" t="s">
        <v>43</v>
      </c>
      <c r="C973" s="5" t="str">
        <f t="shared" si="105"/>
        <v>No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 s="5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 s="5">
        <v>13142</v>
      </c>
      <c r="U973">
        <v>24439</v>
      </c>
      <c r="V973">
        <v>3</v>
      </c>
      <c r="W973" t="s">
        <v>42</v>
      </c>
      <c r="X973" t="s">
        <v>43</v>
      </c>
      <c r="Y973" t="str">
        <f t="shared" si="106"/>
        <v>No</v>
      </c>
      <c r="Z973">
        <v>16</v>
      </c>
      <c r="AA973">
        <v>3</v>
      </c>
      <c r="AB973">
        <v>2</v>
      </c>
      <c r="AC973">
        <v>80</v>
      </c>
      <c r="AD973">
        <v>0</v>
      </c>
      <c r="AE973" s="5">
        <v>29</v>
      </c>
      <c r="AF973" t="str">
        <f t="shared" si="107"/>
        <v>&gt;15</v>
      </c>
      <c r="AG973">
        <v>1</v>
      </c>
      <c r="AH973">
        <v>2</v>
      </c>
      <c r="AI973" s="5">
        <v>5</v>
      </c>
      <c r="AJ973">
        <v>2</v>
      </c>
      <c r="AK973">
        <v>0</v>
      </c>
      <c r="AL973">
        <v>3</v>
      </c>
      <c r="AM973" t="str">
        <f t="shared" si="108"/>
        <v>Ok</v>
      </c>
      <c r="AN973" s="21">
        <f t="shared" si="109"/>
        <v>26</v>
      </c>
      <c r="AO973" t="str">
        <f t="shared" ca="1" si="110"/>
        <v>No</v>
      </c>
      <c r="AP973" t="str">
        <f t="shared" si="111"/>
        <v>Low Risk</v>
      </c>
    </row>
    <row r="974" spans="1:42" x14ac:dyDescent="0.3">
      <c r="A974" s="5">
        <v>18</v>
      </c>
      <c r="B974" s="5" t="s">
        <v>43</v>
      </c>
      <c r="C974" s="5" t="str">
        <f t="shared" si="105"/>
        <v>No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 s="5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 s="5">
        <v>1611</v>
      </c>
      <c r="U974">
        <v>19305</v>
      </c>
      <c r="V974">
        <v>1</v>
      </c>
      <c r="W974" t="s">
        <v>42</v>
      </c>
      <c r="X974" t="s">
        <v>43</v>
      </c>
      <c r="Y974" t="str">
        <f t="shared" si="106"/>
        <v>No</v>
      </c>
      <c r="Z974">
        <v>15</v>
      </c>
      <c r="AA974">
        <v>3</v>
      </c>
      <c r="AB974">
        <v>3</v>
      </c>
      <c r="AC974">
        <v>80</v>
      </c>
      <c r="AD974">
        <v>0</v>
      </c>
      <c r="AE974" s="5">
        <v>0</v>
      </c>
      <c r="AF974" t="str">
        <f t="shared" si="107"/>
        <v>0-5</v>
      </c>
      <c r="AG974">
        <v>5</v>
      </c>
      <c r="AH974">
        <v>4</v>
      </c>
      <c r="AI974" s="5">
        <v>0</v>
      </c>
      <c r="AJ974">
        <v>0</v>
      </c>
      <c r="AK974">
        <v>0</v>
      </c>
      <c r="AL974">
        <v>0</v>
      </c>
      <c r="AM974" t="str">
        <f t="shared" si="108"/>
        <v>Below Avg</v>
      </c>
      <c r="AN974" s="21">
        <f t="shared" si="109"/>
        <v>26.052104208416832</v>
      </c>
      <c r="AO974" t="str">
        <f t="shared" ca="1" si="110"/>
        <v>No</v>
      </c>
      <c r="AP974" t="str">
        <f t="shared" si="111"/>
        <v>Low Risk</v>
      </c>
    </row>
    <row r="975" spans="1:42" x14ac:dyDescent="0.3">
      <c r="A975" s="5">
        <v>35</v>
      </c>
      <c r="B975" s="5" t="s">
        <v>43</v>
      </c>
      <c r="C975" s="5" t="str">
        <f t="shared" si="105"/>
        <v>No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 s="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 s="5">
        <v>5363</v>
      </c>
      <c r="U975">
        <v>10846</v>
      </c>
      <c r="V975">
        <v>0</v>
      </c>
      <c r="W975" t="s">
        <v>42</v>
      </c>
      <c r="X975" t="s">
        <v>43</v>
      </c>
      <c r="Y975" t="str">
        <f t="shared" si="106"/>
        <v>No</v>
      </c>
      <c r="Z975">
        <v>12</v>
      </c>
      <c r="AA975">
        <v>3</v>
      </c>
      <c r="AB975">
        <v>2</v>
      </c>
      <c r="AC975">
        <v>80</v>
      </c>
      <c r="AD975">
        <v>1</v>
      </c>
      <c r="AE975" s="5">
        <v>10</v>
      </c>
      <c r="AF975" t="str">
        <f t="shared" si="107"/>
        <v>6-15</v>
      </c>
      <c r="AG975">
        <v>0</v>
      </c>
      <c r="AH975">
        <v>3</v>
      </c>
      <c r="AI975" s="5">
        <v>9</v>
      </c>
      <c r="AJ975">
        <v>7</v>
      </c>
      <c r="AK975">
        <v>0</v>
      </c>
      <c r="AL975">
        <v>0</v>
      </c>
      <c r="AM975" t="str">
        <f t="shared" si="108"/>
        <v>Below Avg</v>
      </c>
      <c r="AN975" s="21">
        <f t="shared" si="109"/>
        <v>26.104417670682732</v>
      </c>
      <c r="AO975" t="str">
        <f t="shared" ca="1" si="110"/>
        <v>No</v>
      </c>
      <c r="AP975" t="str">
        <f t="shared" si="111"/>
        <v>Low Risk</v>
      </c>
    </row>
    <row r="976" spans="1:42" x14ac:dyDescent="0.3">
      <c r="A976" s="5">
        <v>27</v>
      </c>
      <c r="B976" s="5" t="s">
        <v>43</v>
      </c>
      <c r="C976" s="5" t="str">
        <f t="shared" si="105"/>
        <v>No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 s="5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 s="5">
        <v>5071</v>
      </c>
      <c r="U976">
        <v>20392</v>
      </c>
      <c r="V976">
        <v>3</v>
      </c>
      <c r="W976" t="s">
        <v>42</v>
      </c>
      <c r="X976" t="s">
        <v>43</v>
      </c>
      <c r="Y976" t="str">
        <f t="shared" si="106"/>
        <v>No</v>
      </c>
      <c r="Z976">
        <v>20</v>
      </c>
      <c r="AA976">
        <v>4</v>
      </c>
      <c r="AB976">
        <v>2</v>
      </c>
      <c r="AC976">
        <v>80</v>
      </c>
      <c r="AD976">
        <v>0</v>
      </c>
      <c r="AE976" s="5">
        <v>8</v>
      </c>
      <c r="AF976" t="str">
        <f t="shared" si="107"/>
        <v>6-15</v>
      </c>
      <c r="AG976">
        <v>3</v>
      </c>
      <c r="AH976">
        <v>3</v>
      </c>
      <c r="AI976" s="5">
        <v>6</v>
      </c>
      <c r="AJ976">
        <v>2</v>
      </c>
      <c r="AK976">
        <v>0</v>
      </c>
      <c r="AL976">
        <v>0</v>
      </c>
      <c r="AM976" t="str">
        <f t="shared" si="108"/>
        <v>Below Avg</v>
      </c>
      <c r="AN976" s="21">
        <f t="shared" si="109"/>
        <v>26.156941649899395</v>
      </c>
      <c r="AO976" t="str">
        <f t="shared" ca="1" si="110"/>
        <v>No</v>
      </c>
      <c r="AP976" t="str">
        <f t="shared" si="111"/>
        <v>Low Risk</v>
      </c>
    </row>
    <row r="977" spans="1:42" x14ac:dyDescent="0.3">
      <c r="A977" s="5">
        <v>55</v>
      </c>
      <c r="B977" s="5" t="s">
        <v>35</v>
      </c>
      <c r="C977" s="5" t="str">
        <f t="shared" si="105"/>
        <v>Yes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 s="5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 s="5">
        <v>13695</v>
      </c>
      <c r="U977">
        <v>9277</v>
      </c>
      <c r="V977">
        <v>6</v>
      </c>
      <c r="W977" t="s">
        <v>42</v>
      </c>
      <c r="X977" t="s">
        <v>35</v>
      </c>
      <c r="Y977" t="str">
        <f t="shared" si="106"/>
        <v>Yes</v>
      </c>
      <c r="Z977">
        <v>17</v>
      </c>
      <c r="AA977">
        <v>3</v>
      </c>
      <c r="AB977">
        <v>3</v>
      </c>
      <c r="AC977">
        <v>80</v>
      </c>
      <c r="AD977">
        <v>0</v>
      </c>
      <c r="AE977" s="5">
        <v>24</v>
      </c>
      <c r="AF977" t="str">
        <f t="shared" si="107"/>
        <v>&gt;15</v>
      </c>
      <c r="AG977">
        <v>2</v>
      </c>
      <c r="AH977">
        <v>2</v>
      </c>
      <c r="AI977" s="5">
        <v>19</v>
      </c>
      <c r="AJ977">
        <v>7</v>
      </c>
      <c r="AK977">
        <v>3</v>
      </c>
      <c r="AL977">
        <v>8</v>
      </c>
      <c r="AM977" t="str">
        <f t="shared" si="108"/>
        <v>Ok</v>
      </c>
      <c r="AN977" s="21">
        <f t="shared" si="109"/>
        <v>26.209677419354836</v>
      </c>
      <c r="AO977" t="str">
        <f t="shared" ca="1" si="110"/>
        <v>No</v>
      </c>
      <c r="AP977" t="str">
        <f t="shared" si="111"/>
        <v>Low Risk</v>
      </c>
    </row>
    <row r="978" spans="1:42" x14ac:dyDescent="0.3">
      <c r="A978" s="5">
        <v>56</v>
      </c>
      <c r="B978" s="5" t="s">
        <v>43</v>
      </c>
      <c r="C978" s="5" t="str">
        <f t="shared" si="105"/>
        <v>No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 s="5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 s="5">
        <v>13402</v>
      </c>
      <c r="U978">
        <v>18235</v>
      </c>
      <c r="V978">
        <v>4</v>
      </c>
      <c r="W978" t="s">
        <v>42</v>
      </c>
      <c r="X978" t="s">
        <v>35</v>
      </c>
      <c r="Y978" t="str">
        <f t="shared" si="106"/>
        <v>Yes</v>
      </c>
      <c r="Z978">
        <v>12</v>
      </c>
      <c r="AA978">
        <v>3</v>
      </c>
      <c r="AB978">
        <v>1</v>
      </c>
      <c r="AC978">
        <v>80</v>
      </c>
      <c r="AD978">
        <v>1</v>
      </c>
      <c r="AE978" s="5">
        <v>33</v>
      </c>
      <c r="AF978" t="str">
        <f t="shared" si="107"/>
        <v>&gt;15</v>
      </c>
      <c r="AG978">
        <v>0</v>
      </c>
      <c r="AH978">
        <v>3</v>
      </c>
      <c r="AI978" s="5">
        <v>19</v>
      </c>
      <c r="AJ978">
        <v>16</v>
      </c>
      <c r="AK978">
        <v>15</v>
      </c>
      <c r="AL978">
        <v>9</v>
      </c>
      <c r="AM978" t="str">
        <f t="shared" si="108"/>
        <v>Ok</v>
      </c>
      <c r="AN978" s="21">
        <f t="shared" si="109"/>
        <v>26.262626262626267</v>
      </c>
      <c r="AO978" t="str">
        <f t="shared" ca="1" si="110"/>
        <v>No</v>
      </c>
      <c r="AP978" t="str">
        <f t="shared" si="111"/>
        <v>Low Risk</v>
      </c>
    </row>
    <row r="979" spans="1:42" x14ac:dyDescent="0.3">
      <c r="A979" s="5">
        <v>34</v>
      </c>
      <c r="B979" s="5" t="s">
        <v>43</v>
      </c>
      <c r="C979" s="5" t="str">
        <f t="shared" si="105"/>
        <v>No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 s="5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 s="5">
        <v>2029</v>
      </c>
      <c r="U979">
        <v>15891</v>
      </c>
      <c r="V979">
        <v>1</v>
      </c>
      <c r="W979" t="s">
        <v>42</v>
      </c>
      <c r="X979" t="s">
        <v>43</v>
      </c>
      <c r="Y979" t="str">
        <f t="shared" si="106"/>
        <v>No</v>
      </c>
      <c r="Z979">
        <v>20</v>
      </c>
      <c r="AA979">
        <v>4</v>
      </c>
      <c r="AB979">
        <v>3</v>
      </c>
      <c r="AC979">
        <v>80</v>
      </c>
      <c r="AD979">
        <v>3</v>
      </c>
      <c r="AE979" s="5">
        <v>5</v>
      </c>
      <c r="AF979" t="str">
        <f t="shared" si="107"/>
        <v>0-5</v>
      </c>
      <c r="AG979">
        <v>2</v>
      </c>
      <c r="AH979">
        <v>3</v>
      </c>
      <c r="AI979" s="5">
        <v>5</v>
      </c>
      <c r="AJ979">
        <v>4</v>
      </c>
      <c r="AK979">
        <v>0</v>
      </c>
      <c r="AL979">
        <v>0</v>
      </c>
      <c r="AM979" t="str">
        <f t="shared" si="108"/>
        <v>Below Avg</v>
      </c>
      <c r="AN979" s="21">
        <f t="shared" si="109"/>
        <v>26.113360323886642</v>
      </c>
      <c r="AO979" t="str">
        <f t="shared" ca="1" si="110"/>
        <v>No</v>
      </c>
      <c r="AP979" t="str">
        <f t="shared" si="111"/>
        <v>Low Risk</v>
      </c>
    </row>
    <row r="980" spans="1:42" x14ac:dyDescent="0.3">
      <c r="A980" s="5">
        <v>40</v>
      </c>
      <c r="B980" s="5" t="s">
        <v>43</v>
      </c>
      <c r="C980" s="5" t="str">
        <f t="shared" si="105"/>
        <v>No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 s="5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 s="5">
        <v>6377</v>
      </c>
      <c r="U980">
        <v>13888</v>
      </c>
      <c r="V980">
        <v>5</v>
      </c>
      <c r="W980" t="s">
        <v>42</v>
      </c>
      <c r="X980" t="s">
        <v>43</v>
      </c>
      <c r="Y980" t="str">
        <f t="shared" si="106"/>
        <v>No</v>
      </c>
      <c r="Z980">
        <v>20</v>
      </c>
      <c r="AA980">
        <v>4</v>
      </c>
      <c r="AB980">
        <v>2</v>
      </c>
      <c r="AC980">
        <v>80</v>
      </c>
      <c r="AD980">
        <v>3</v>
      </c>
      <c r="AE980" s="5">
        <v>15</v>
      </c>
      <c r="AF980" t="str">
        <f t="shared" si="107"/>
        <v>6-15</v>
      </c>
      <c r="AG980">
        <v>0</v>
      </c>
      <c r="AH980">
        <v>3</v>
      </c>
      <c r="AI980" s="5">
        <v>12</v>
      </c>
      <c r="AJ980">
        <v>11</v>
      </c>
      <c r="AK980">
        <v>11</v>
      </c>
      <c r="AL980">
        <v>8</v>
      </c>
      <c r="AM980" t="str">
        <f t="shared" si="108"/>
        <v>Ok</v>
      </c>
      <c r="AN980" s="21">
        <f t="shared" si="109"/>
        <v>25.963488843813387</v>
      </c>
      <c r="AO980" t="str">
        <f t="shared" ca="1" si="110"/>
        <v>No</v>
      </c>
      <c r="AP980" t="str">
        <f t="shared" si="111"/>
        <v>Low Risk</v>
      </c>
    </row>
    <row r="981" spans="1:42" x14ac:dyDescent="0.3">
      <c r="A981" s="5">
        <v>34</v>
      </c>
      <c r="B981" s="5" t="s">
        <v>43</v>
      </c>
      <c r="C981" s="5" t="str">
        <f t="shared" si="105"/>
        <v>No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 s="5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 s="5">
        <v>5429</v>
      </c>
      <c r="U981">
        <v>17491</v>
      </c>
      <c r="V981">
        <v>4</v>
      </c>
      <c r="W981" t="s">
        <v>42</v>
      </c>
      <c r="X981" t="s">
        <v>43</v>
      </c>
      <c r="Y981" t="str">
        <f t="shared" si="106"/>
        <v>No</v>
      </c>
      <c r="Z981">
        <v>13</v>
      </c>
      <c r="AA981">
        <v>3</v>
      </c>
      <c r="AB981">
        <v>1</v>
      </c>
      <c r="AC981">
        <v>80</v>
      </c>
      <c r="AD981">
        <v>2</v>
      </c>
      <c r="AE981" s="5">
        <v>10</v>
      </c>
      <c r="AF981" t="str">
        <f t="shared" si="107"/>
        <v>6-15</v>
      </c>
      <c r="AG981">
        <v>1</v>
      </c>
      <c r="AH981">
        <v>3</v>
      </c>
      <c r="AI981" s="5">
        <v>8</v>
      </c>
      <c r="AJ981">
        <v>7</v>
      </c>
      <c r="AK981">
        <v>7</v>
      </c>
      <c r="AL981">
        <v>7</v>
      </c>
      <c r="AM981" t="str">
        <f t="shared" si="108"/>
        <v>Below Avg</v>
      </c>
      <c r="AN981" s="21">
        <f t="shared" si="109"/>
        <v>26.016260162601629</v>
      </c>
      <c r="AO981" t="str">
        <f t="shared" ca="1" si="110"/>
        <v>No</v>
      </c>
      <c r="AP981" t="str">
        <f t="shared" si="111"/>
        <v>Low Risk</v>
      </c>
    </row>
    <row r="982" spans="1:42" x14ac:dyDescent="0.3">
      <c r="A982" s="5">
        <v>31</v>
      </c>
      <c r="B982" s="5" t="s">
        <v>35</v>
      </c>
      <c r="C982" s="5" t="str">
        <f t="shared" si="105"/>
        <v>Yes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 s="5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 s="5">
        <v>2785</v>
      </c>
      <c r="U982">
        <v>11882</v>
      </c>
      <c r="V982">
        <v>7</v>
      </c>
      <c r="W982" t="s">
        <v>42</v>
      </c>
      <c r="X982" t="s">
        <v>43</v>
      </c>
      <c r="Y982" t="str">
        <f t="shared" si="106"/>
        <v>No</v>
      </c>
      <c r="Z982">
        <v>14</v>
      </c>
      <c r="AA982">
        <v>3</v>
      </c>
      <c r="AB982">
        <v>3</v>
      </c>
      <c r="AC982">
        <v>80</v>
      </c>
      <c r="AD982">
        <v>0</v>
      </c>
      <c r="AE982" s="5">
        <v>3</v>
      </c>
      <c r="AF982" t="str">
        <f t="shared" si="107"/>
        <v>0-5</v>
      </c>
      <c r="AG982">
        <v>3</v>
      </c>
      <c r="AH982">
        <v>4</v>
      </c>
      <c r="AI982" s="5">
        <v>1</v>
      </c>
      <c r="AJ982">
        <v>0</v>
      </c>
      <c r="AK982">
        <v>0</v>
      </c>
      <c r="AL982">
        <v>0</v>
      </c>
      <c r="AM982" t="str">
        <f t="shared" si="108"/>
        <v>Below Avg</v>
      </c>
      <c r="AN982" s="21">
        <f t="shared" si="109"/>
        <v>26.069246435845212</v>
      </c>
      <c r="AO982" t="str">
        <f t="shared" ca="1" si="110"/>
        <v>No</v>
      </c>
      <c r="AP982" t="str">
        <f t="shared" si="111"/>
        <v>High Risk</v>
      </c>
    </row>
    <row r="983" spans="1:42" x14ac:dyDescent="0.3">
      <c r="A983" s="5">
        <v>35</v>
      </c>
      <c r="B983" s="5" t="s">
        <v>35</v>
      </c>
      <c r="C983" s="5" t="str">
        <f t="shared" si="105"/>
        <v>Yes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 s="5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 s="5">
        <v>4614</v>
      </c>
      <c r="U983">
        <v>23288</v>
      </c>
      <c r="V983">
        <v>0</v>
      </c>
      <c r="W983" t="s">
        <v>42</v>
      </c>
      <c r="X983" t="s">
        <v>35</v>
      </c>
      <c r="Y983" t="str">
        <f t="shared" si="106"/>
        <v>Yes</v>
      </c>
      <c r="Z983">
        <v>18</v>
      </c>
      <c r="AA983">
        <v>3</v>
      </c>
      <c r="AB983">
        <v>3</v>
      </c>
      <c r="AC983">
        <v>80</v>
      </c>
      <c r="AD983">
        <v>1</v>
      </c>
      <c r="AE983" s="5">
        <v>5</v>
      </c>
      <c r="AF983" t="str">
        <f t="shared" si="107"/>
        <v>0-5</v>
      </c>
      <c r="AG983">
        <v>0</v>
      </c>
      <c r="AH983">
        <v>2</v>
      </c>
      <c r="AI983" s="5">
        <v>4</v>
      </c>
      <c r="AJ983">
        <v>2</v>
      </c>
      <c r="AK983">
        <v>3</v>
      </c>
      <c r="AL983">
        <v>2</v>
      </c>
      <c r="AM983" t="str">
        <f t="shared" si="108"/>
        <v>Below Avg</v>
      </c>
      <c r="AN983" s="21">
        <f t="shared" si="109"/>
        <v>26.122448979591837</v>
      </c>
      <c r="AO983" t="str">
        <f t="shared" ca="1" si="110"/>
        <v>No</v>
      </c>
      <c r="AP983" t="str">
        <f t="shared" si="111"/>
        <v>Low Risk</v>
      </c>
    </row>
    <row r="984" spans="1:42" x14ac:dyDescent="0.3">
      <c r="A984" s="5">
        <v>38</v>
      </c>
      <c r="B984" s="5" t="s">
        <v>43</v>
      </c>
      <c r="C984" s="5" t="str">
        <f t="shared" si="105"/>
        <v>No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 s="5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 s="5">
        <v>2610</v>
      </c>
      <c r="U984">
        <v>15748</v>
      </c>
      <c r="V984">
        <v>1</v>
      </c>
      <c r="W984" t="s">
        <v>42</v>
      </c>
      <c r="X984" t="s">
        <v>43</v>
      </c>
      <c r="Y984" t="str">
        <f t="shared" si="106"/>
        <v>No</v>
      </c>
      <c r="Z984">
        <v>11</v>
      </c>
      <c r="AA984">
        <v>3</v>
      </c>
      <c r="AB984">
        <v>4</v>
      </c>
      <c r="AC984">
        <v>80</v>
      </c>
      <c r="AD984">
        <v>3</v>
      </c>
      <c r="AE984" s="5">
        <v>4</v>
      </c>
      <c r="AF984" t="str">
        <f t="shared" si="107"/>
        <v>0-5</v>
      </c>
      <c r="AG984">
        <v>2</v>
      </c>
      <c r="AH984">
        <v>3</v>
      </c>
      <c r="AI984" s="5">
        <v>4</v>
      </c>
      <c r="AJ984">
        <v>2</v>
      </c>
      <c r="AK984">
        <v>0</v>
      </c>
      <c r="AL984">
        <v>3</v>
      </c>
      <c r="AM984" t="str">
        <f t="shared" si="108"/>
        <v>Below Avg</v>
      </c>
      <c r="AN984" s="21">
        <f t="shared" si="109"/>
        <v>26.175869120654401</v>
      </c>
      <c r="AO984" t="str">
        <f t="shared" ca="1" si="110"/>
        <v>No</v>
      </c>
      <c r="AP984" t="str">
        <f t="shared" si="111"/>
        <v>Low Risk</v>
      </c>
    </row>
    <row r="985" spans="1:42" x14ac:dyDescent="0.3">
      <c r="A985" s="5">
        <v>34</v>
      </c>
      <c r="B985" s="5" t="s">
        <v>43</v>
      </c>
      <c r="C985" s="5" t="str">
        <f t="shared" si="105"/>
        <v>No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 s="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 s="5">
        <v>6687</v>
      </c>
      <c r="U985">
        <v>6163</v>
      </c>
      <c r="V985">
        <v>1</v>
      </c>
      <c r="W985" t="s">
        <v>42</v>
      </c>
      <c r="X985" t="s">
        <v>43</v>
      </c>
      <c r="Y985" t="str">
        <f t="shared" si="106"/>
        <v>No</v>
      </c>
      <c r="Z985">
        <v>11</v>
      </c>
      <c r="AA985">
        <v>3</v>
      </c>
      <c r="AB985">
        <v>4</v>
      </c>
      <c r="AC985">
        <v>80</v>
      </c>
      <c r="AD985">
        <v>0</v>
      </c>
      <c r="AE985" s="5">
        <v>14</v>
      </c>
      <c r="AF985" t="str">
        <f t="shared" si="107"/>
        <v>6-15</v>
      </c>
      <c r="AG985">
        <v>2</v>
      </c>
      <c r="AH985">
        <v>4</v>
      </c>
      <c r="AI985" s="5">
        <v>14</v>
      </c>
      <c r="AJ985">
        <v>11</v>
      </c>
      <c r="AK985">
        <v>4</v>
      </c>
      <c r="AL985">
        <v>11</v>
      </c>
      <c r="AM985" t="str">
        <f t="shared" si="108"/>
        <v>Ok</v>
      </c>
      <c r="AN985" s="21">
        <f t="shared" si="109"/>
        <v>26.024590163934423</v>
      </c>
      <c r="AO985" t="str">
        <f t="shared" ca="1" si="110"/>
        <v>No</v>
      </c>
      <c r="AP985" t="str">
        <f t="shared" si="111"/>
        <v>Low Risk</v>
      </c>
    </row>
    <row r="986" spans="1:42" x14ac:dyDescent="0.3">
      <c r="A986" s="5">
        <v>28</v>
      </c>
      <c r="B986" s="5" t="s">
        <v>43</v>
      </c>
      <c r="C986" s="5" t="str">
        <f t="shared" si="105"/>
        <v>No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 s="5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 s="5">
        <v>4724</v>
      </c>
      <c r="U986">
        <v>24232</v>
      </c>
      <c r="V986">
        <v>1</v>
      </c>
      <c r="W986" t="s">
        <v>42</v>
      </c>
      <c r="X986" t="s">
        <v>43</v>
      </c>
      <c r="Y986" t="str">
        <f t="shared" si="106"/>
        <v>No</v>
      </c>
      <c r="Z986">
        <v>11</v>
      </c>
      <c r="AA986">
        <v>3</v>
      </c>
      <c r="AB986">
        <v>3</v>
      </c>
      <c r="AC986">
        <v>80</v>
      </c>
      <c r="AD986">
        <v>1</v>
      </c>
      <c r="AE986" s="5">
        <v>5</v>
      </c>
      <c r="AF986" t="str">
        <f t="shared" si="107"/>
        <v>0-5</v>
      </c>
      <c r="AG986">
        <v>0</v>
      </c>
      <c r="AH986">
        <v>3</v>
      </c>
      <c r="AI986" s="5">
        <v>5</v>
      </c>
      <c r="AJ986">
        <v>3</v>
      </c>
      <c r="AK986">
        <v>0</v>
      </c>
      <c r="AL986">
        <v>4</v>
      </c>
      <c r="AM986" t="str">
        <f t="shared" si="108"/>
        <v>Below Avg</v>
      </c>
      <c r="AN986" s="21">
        <f t="shared" si="109"/>
        <v>26.078028747433262</v>
      </c>
      <c r="AO986" t="str">
        <f t="shared" ca="1" si="110"/>
        <v>No</v>
      </c>
      <c r="AP986" t="str">
        <f t="shared" si="111"/>
        <v>Low Risk</v>
      </c>
    </row>
    <row r="987" spans="1:42" x14ac:dyDescent="0.3">
      <c r="A987" s="5">
        <v>31</v>
      </c>
      <c r="B987" s="5" t="s">
        <v>35</v>
      </c>
      <c r="C987" s="5" t="str">
        <f t="shared" si="105"/>
        <v>Yes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 s="5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 s="5">
        <v>6179</v>
      </c>
      <c r="U987">
        <v>21057</v>
      </c>
      <c r="V987">
        <v>1</v>
      </c>
      <c r="W987" t="s">
        <v>42</v>
      </c>
      <c r="X987" t="s">
        <v>35</v>
      </c>
      <c r="Y987" t="str">
        <f t="shared" si="106"/>
        <v>Yes</v>
      </c>
      <c r="Z987">
        <v>15</v>
      </c>
      <c r="AA987">
        <v>3</v>
      </c>
      <c r="AB987">
        <v>4</v>
      </c>
      <c r="AC987">
        <v>80</v>
      </c>
      <c r="AD987">
        <v>2</v>
      </c>
      <c r="AE987" s="5">
        <v>10</v>
      </c>
      <c r="AF987" t="str">
        <f t="shared" si="107"/>
        <v>6-15</v>
      </c>
      <c r="AG987">
        <v>3</v>
      </c>
      <c r="AH987">
        <v>2</v>
      </c>
      <c r="AI987" s="5">
        <v>10</v>
      </c>
      <c r="AJ987">
        <v>2</v>
      </c>
      <c r="AK987">
        <v>6</v>
      </c>
      <c r="AL987">
        <v>7</v>
      </c>
      <c r="AM987" t="str">
        <f t="shared" si="108"/>
        <v>Ok</v>
      </c>
      <c r="AN987" s="21">
        <f t="shared" si="109"/>
        <v>26.13168724279835</v>
      </c>
      <c r="AO987" t="str">
        <f t="shared" ca="1" si="110"/>
        <v>No</v>
      </c>
      <c r="AP987" t="str">
        <f t="shared" si="111"/>
        <v>Low Risk</v>
      </c>
    </row>
    <row r="988" spans="1:42" x14ac:dyDescent="0.3">
      <c r="A988" s="5">
        <v>39</v>
      </c>
      <c r="B988" s="5" t="s">
        <v>43</v>
      </c>
      <c r="C988" s="5" t="str">
        <f t="shared" si="105"/>
        <v>No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 s="5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 s="5">
        <v>6120</v>
      </c>
      <c r="U988">
        <v>3567</v>
      </c>
      <c r="V988">
        <v>3</v>
      </c>
      <c r="W988" t="s">
        <v>42</v>
      </c>
      <c r="X988" t="s">
        <v>35</v>
      </c>
      <c r="Y988" t="str">
        <f t="shared" si="106"/>
        <v>Yes</v>
      </c>
      <c r="Z988">
        <v>12</v>
      </c>
      <c r="AA988">
        <v>3</v>
      </c>
      <c r="AB988">
        <v>4</v>
      </c>
      <c r="AC988">
        <v>80</v>
      </c>
      <c r="AD988">
        <v>2</v>
      </c>
      <c r="AE988" s="5">
        <v>8</v>
      </c>
      <c r="AF988" t="str">
        <f t="shared" si="107"/>
        <v>6-15</v>
      </c>
      <c r="AG988">
        <v>2</v>
      </c>
      <c r="AH988">
        <v>4</v>
      </c>
      <c r="AI988" s="5">
        <v>5</v>
      </c>
      <c r="AJ988">
        <v>4</v>
      </c>
      <c r="AK988">
        <v>1</v>
      </c>
      <c r="AL988">
        <v>4</v>
      </c>
      <c r="AM988" t="str">
        <f t="shared" si="108"/>
        <v>Below Avg</v>
      </c>
      <c r="AN988" s="21">
        <f t="shared" si="109"/>
        <v>26.185567010309281</v>
      </c>
      <c r="AO988" t="str">
        <f t="shared" ca="1" si="110"/>
        <v>No</v>
      </c>
      <c r="AP988" t="str">
        <f t="shared" si="111"/>
        <v>Low Risk</v>
      </c>
    </row>
    <row r="989" spans="1:42" x14ac:dyDescent="0.3">
      <c r="A989" s="5">
        <v>51</v>
      </c>
      <c r="B989" s="5" t="s">
        <v>43</v>
      </c>
      <c r="C989" s="5" t="str">
        <f t="shared" si="105"/>
        <v>No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 s="5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 s="5">
        <v>10596</v>
      </c>
      <c r="U989">
        <v>15395</v>
      </c>
      <c r="V989">
        <v>2</v>
      </c>
      <c r="W989" t="s">
        <v>42</v>
      </c>
      <c r="X989" t="s">
        <v>43</v>
      </c>
      <c r="Y989" t="str">
        <f t="shared" si="106"/>
        <v>No</v>
      </c>
      <c r="Z989">
        <v>11</v>
      </c>
      <c r="AA989">
        <v>3</v>
      </c>
      <c r="AB989">
        <v>2</v>
      </c>
      <c r="AC989">
        <v>80</v>
      </c>
      <c r="AD989">
        <v>0</v>
      </c>
      <c r="AE989" s="5">
        <v>14</v>
      </c>
      <c r="AF989" t="str">
        <f t="shared" si="107"/>
        <v>6-15</v>
      </c>
      <c r="AG989">
        <v>5</v>
      </c>
      <c r="AH989">
        <v>3</v>
      </c>
      <c r="AI989" s="5">
        <v>4</v>
      </c>
      <c r="AJ989">
        <v>2</v>
      </c>
      <c r="AK989">
        <v>3</v>
      </c>
      <c r="AL989">
        <v>2</v>
      </c>
      <c r="AM989" t="str">
        <f t="shared" si="108"/>
        <v>Ok</v>
      </c>
      <c r="AN989" s="21">
        <f t="shared" si="109"/>
        <v>26.033057851239672</v>
      </c>
      <c r="AO989" t="str">
        <f t="shared" ca="1" si="110"/>
        <v>No</v>
      </c>
      <c r="AP989" t="str">
        <f t="shared" si="111"/>
        <v>Low Risk</v>
      </c>
    </row>
    <row r="990" spans="1:42" x14ac:dyDescent="0.3">
      <c r="A990" s="5">
        <v>41</v>
      </c>
      <c r="B990" s="5" t="s">
        <v>43</v>
      </c>
      <c r="C990" s="5" t="str">
        <f t="shared" si="105"/>
        <v>No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 s="5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 s="5">
        <v>5467</v>
      </c>
      <c r="U990">
        <v>13953</v>
      </c>
      <c r="V990">
        <v>3</v>
      </c>
      <c r="W990" t="s">
        <v>42</v>
      </c>
      <c r="X990" t="s">
        <v>35</v>
      </c>
      <c r="Y990" t="str">
        <f t="shared" si="106"/>
        <v>Yes</v>
      </c>
      <c r="Z990">
        <v>14</v>
      </c>
      <c r="AA990">
        <v>3</v>
      </c>
      <c r="AB990">
        <v>1</v>
      </c>
      <c r="AC990">
        <v>80</v>
      </c>
      <c r="AD990">
        <v>2</v>
      </c>
      <c r="AE990" s="5">
        <v>12</v>
      </c>
      <c r="AF990" t="str">
        <f t="shared" si="107"/>
        <v>6-15</v>
      </c>
      <c r="AG990">
        <v>4</v>
      </c>
      <c r="AH990">
        <v>2</v>
      </c>
      <c r="AI990" s="5">
        <v>6</v>
      </c>
      <c r="AJ990">
        <v>2</v>
      </c>
      <c r="AK990">
        <v>3</v>
      </c>
      <c r="AL990">
        <v>3</v>
      </c>
      <c r="AM990" t="str">
        <f t="shared" si="108"/>
        <v>Below Avg</v>
      </c>
      <c r="AN990" s="21">
        <f t="shared" si="109"/>
        <v>25.879917184265011</v>
      </c>
      <c r="AO990" t="str">
        <f t="shared" ca="1" si="110"/>
        <v>No</v>
      </c>
      <c r="AP990" t="str">
        <f t="shared" si="111"/>
        <v>Low Risk</v>
      </c>
    </row>
    <row r="991" spans="1:42" x14ac:dyDescent="0.3">
      <c r="A991" s="5">
        <v>37</v>
      </c>
      <c r="B991" s="5" t="s">
        <v>43</v>
      </c>
      <c r="C991" s="5" t="str">
        <f t="shared" si="105"/>
        <v>No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 s="5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 s="5">
        <v>2996</v>
      </c>
      <c r="U991">
        <v>5182</v>
      </c>
      <c r="V991">
        <v>7</v>
      </c>
      <c r="W991" t="s">
        <v>42</v>
      </c>
      <c r="X991" t="s">
        <v>35</v>
      </c>
      <c r="Y991" t="str">
        <f t="shared" si="106"/>
        <v>Yes</v>
      </c>
      <c r="Z991">
        <v>15</v>
      </c>
      <c r="AA991">
        <v>3</v>
      </c>
      <c r="AB991">
        <v>4</v>
      </c>
      <c r="AC991">
        <v>80</v>
      </c>
      <c r="AD991">
        <v>0</v>
      </c>
      <c r="AE991" s="5">
        <v>8</v>
      </c>
      <c r="AF991" t="str">
        <f t="shared" si="107"/>
        <v>6-15</v>
      </c>
      <c r="AG991">
        <v>2</v>
      </c>
      <c r="AH991">
        <v>3</v>
      </c>
      <c r="AI991" s="5">
        <v>6</v>
      </c>
      <c r="AJ991">
        <v>4</v>
      </c>
      <c r="AK991">
        <v>1</v>
      </c>
      <c r="AL991">
        <v>3</v>
      </c>
      <c r="AM991" t="str">
        <f t="shared" si="108"/>
        <v>Below Avg</v>
      </c>
      <c r="AN991" s="21">
        <f t="shared" si="109"/>
        <v>25.933609958506228</v>
      </c>
      <c r="AO991" t="str">
        <f t="shared" ca="1" si="110"/>
        <v>No</v>
      </c>
      <c r="AP991" t="str">
        <f t="shared" si="111"/>
        <v>Low Risk</v>
      </c>
    </row>
    <row r="992" spans="1:42" x14ac:dyDescent="0.3">
      <c r="A992" s="5">
        <v>33</v>
      </c>
      <c r="B992" s="5" t="s">
        <v>43</v>
      </c>
      <c r="C992" s="5" t="str">
        <f t="shared" si="105"/>
        <v>No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 s="5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 s="5">
        <v>9998</v>
      </c>
      <c r="U992">
        <v>19293</v>
      </c>
      <c r="V992">
        <v>6</v>
      </c>
      <c r="W992" t="s">
        <v>42</v>
      </c>
      <c r="X992" t="s">
        <v>43</v>
      </c>
      <c r="Y992" t="str">
        <f t="shared" si="106"/>
        <v>No</v>
      </c>
      <c r="Z992">
        <v>13</v>
      </c>
      <c r="AA992">
        <v>3</v>
      </c>
      <c r="AB992">
        <v>1</v>
      </c>
      <c r="AC992">
        <v>80</v>
      </c>
      <c r="AD992">
        <v>0</v>
      </c>
      <c r="AE992" s="5">
        <v>8</v>
      </c>
      <c r="AF992" t="str">
        <f t="shared" si="107"/>
        <v>6-15</v>
      </c>
      <c r="AG992">
        <v>2</v>
      </c>
      <c r="AH992">
        <v>4</v>
      </c>
      <c r="AI992" s="5">
        <v>5</v>
      </c>
      <c r="AJ992">
        <v>4</v>
      </c>
      <c r="AK992">
        <v>1</v>
      </c>
      <c r="AL992">
        <v>2</v>
      </c>
      <c r="AM992" t="str">
        <f t="shared" si="108"/>
        <v>Ok</v>
      </c>
      <c r="AN992" s="21">
        <f t="shared" si="109"/>
        <v>25.779625779625782</v>
      </c>
      <c r="AO992" t="str">
        <f t="shared" ca="1" si="110"/>
        <v>No</v>
      </c>
      <c r="AP992" t="str">
        <f t="shared" si="111"/>
        <v>Low Risk</v>
      </c>
    </row>
    <row r="993" spans="1:42" x14ac:dyDescent="0.3">
      <c r="A993" s="5">
        <v>32</v>
      </c>
      <c r="B993" s="5" t="s">
        <v>43</v>
      </c>
      <c r="C993" s="5" t="str">
        <f t="shared" si="105"/>
        <v>No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 s="5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 s="5">
        <v>4078</v>
      </c>
      <c r="U993">
        <v>20497</v>
      </c>
      <c r="V993">
        <v>0</v>
      </c>
      <c r="W993" t="s">
        <v>42</v>
      </c>
      <c r="X993" t="s">
        <v>35</v>
      </c>
      <c r="Y993" t="str">
        <f t="shared" si="106"/>
        <v>Yes</v>
      </c>
      <c r="Z993">
        <v>13</v>
      </c>
      <c r="AA993">
        <v>3</v>
      </c>
      <c r="AB993">
        <v>1</v>
      </c>
      <c r="AC993">
        <v>80</v>
      </c>
      <c r="AD993">
        <v>3</v>
      </c>
      <c r="AE993" s="5">
        <v>4</v>
      </c>
      <c r="AF993" t="str">
        <f t="shared" si="107"/>
        <v>0-5</v>
      </c>
      <c r="AG993">
        <v>3</v>
      </c>
      <c r="AH993">
        <v>2</v>
      </c>
      <c r="AI993" s="5">
        <v>3</v>
      </c>
      <c r="AJ993">
        <v>2</v>
      </c>
      <c r="AK993">
        <v>1</v>
      </c>
      <c r="AL993">
        <v>2</v>
      </c>
      <c r="AM993" t="str">
        <f t="shared" si="108"/>
        <v>Below Avg</v>
      </c>
      <c r="AN993" s="21">
        <f t="shared" si="109"/>
        <v>25.624999999999996</v>
      </c>
      <c r="AO993" t="str">
        <f t="shared" ca="1" si="110"/>
        <v>No</v>
      </c>
      <c r="AP993" t="str">
        <f t="shared" si="111"/>
        <v>Low Risk</v>
      </c>
    </row>
    <row r="994" spans="1:42" x14ac:dyDescent="0.3">
      <c r="A994" s="5">
        <v>39</v>
      </c>
      <c r="B994" s="5" t="s">
        <v>43</v>
      </c>
      <c r="C994" s="5" t="str">
        <f t="shared" si="105"/>
        <v>No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 s="5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 s="5">
        <v>10920</v>
      </c>
      <c r="U994">
        <v>3449</v>
      </c>
      <c r="V994">
        <v>3</v>
      </c>
      <c r="W994" t="s">
        <v>42</v>
      </c>
      <c r="X994" t="s">
        <v>43</v>
      </c>
      <c r="Y994" t="str">
        <f t="shared" si="106"/>
        <v>No</v>
      </c>
      <c r="Z994">
        <v>21</v>
      </c>
      <c r="AA994">
        <v>4</v>
      </c>
      <c r="AB994">
        <v>2</v>
      </c>
      <c r="AC994">
        <v>80</v>
      </c>
      <c r="AD994">
        <v>1</v>
      </c>
      <c r="AE994" s="5">
        <v>13</v>
      </c>
      <c r="AF994" t="str">
        <f t="shared" si="107"/>
        <v>6-15</v>
      </c>
      <c r="AG994">
        <v>2</v>
      </c>
      <c r="AH994">
        <v>3</v>
      </c>
      <c r="AI994" s="5">
        <v>6</v>
      </c>
      <c r="AJ994">
        <v>4</v>
      </c>
      <c r="AK994">
        <v>0</v>
      </c>
      <c r="AL994">
        <v>5</v>
      </c>
      <c r="AM994" t="str">
        <f t="shared" si="108"/>
        <v>Ok</v>
      </c>
      <c r="AN994" s="21">
        <f t="shared" si="109"/>
        <v>25.678496868475992</v>
      </c>
      <c r="AO994" t="str">
        <f t="shared" ca="1" si="110"/>
        <v>No</v>
      </c>
      <c r="AP994" t="str">
        <f t="shared" si="111"/>
        <v>Low Risk</v>
      </c>
    </row>
    <row r="995" spans="1:42" x14ac:dyDescent="0.3">
      <c r="A995" s="5">
        <v>25</v>
      </c>
      <c r="B995" s="5" t="s">
        <v>43</v>
      </c>
      <c r="C995" s="5" t="str">
        <f t="shared" si="105"/>
        <v>No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 s="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 s="5">
        <v>6232</v>
      </c>
      <c r="U995">
        <v>12477</v>
      </c>
      <c r="V995">
        <v>2</v>
      </c>
      <c r="W995" t="s">
        <v>42</v>
      </c>
      <c r="X995" t="s">
        <v>43</v>
      </c>
      <c r="Y995" t="str">
        <f t="shared" si="106"/>
        <v>No</v>
      </c>
      <c r="Z995">
        <v>11</v>
      </c>
      <c r="AA995">
        <v>3</v>
      </c>
      <c r="AB995">
        <v>2</v>
      </c>
      <c r="AC995">
        <v>80</v>
      </c>
      <c r="AD995">
        <v>0</v>
      </c>
      <c r="AE995" s="5">
        <v>6</v>
      </c>
      <c r="AF995" t="str">
        <f t="shared" si="107"/>
        <v>6-15</v>
      </c>
      <c r="AG995">
        <v>3</v>
      </c>
      <c r="AH995">
        <v>2</v>
      </c>
      <c r="AI995" s="5">
        <v>3</v>
      </c>
      <c r="AJ995">
        <v>2</v>
      </c>
      <c r="AK995">
        <v>1</v>
      </c>
      <c r="AL995">
        <v>2</v>
      </c>
      <c r="AM995" t="str">
        <f t="shared" si="108"/>
        <v>Below Avg</v>
      </c>
      <c r="AN995" s="21">
        <f t="shared" si="109"/>
        <v>25.523012552301257</v>
      </c>
      <c r="AO995" t="str">
        <f t="shared" ca="1" si="110"/>
        <v>No</v>
      </c>
      <c r="AP995" t="str">
        <f t="shared" si="111"/>
        <v>Low Risk</v>
      </c>
    </row>
    <row r="996" spans="1:42" x14ac:dyDescent="0.3">
      <c r="A996" s="5">
        <v>52</v>
      </c>
      <c r="B996" s="5" t="s">
        <v>43</v>
      </c>
      <c r="C996" s="5" t="str">
        <f t="shared" si="105"/>
        <v>No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 s="5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 s="5">
        <v>13247</v>
      </c>
      <c r="U996">
        <v>9731</v>
      </c>
      <c r="V996">
        <v>2</v>
      </c>
      <c r="W996" t="s">
        <v>42</v>
      </c>
      <c r="X996" t="s">
        <v>35</v>
      </c>
      <c r="Y996" t="str">
        <f t="shared" si="106"/>
        <v>Yes</v>
      </c>
      <c r="Z996">
        <v>11</v>
      </c>
      <c r="AA996">
        <v>3</v>
      </c>
      <c r="AB996">
        <v>2</v>
      </c>
      <c r="AC996">
        <v>80</v>
      </c>
      <c r="AD996">
        <v>1</v>
      </c>
      <c r="AE996" s="5">
        <v>24</v>
      </c>
      <c r="AF996" t="str">
        <f t="shared" si="107"/>
        <v>&gt;15</v>
      </c>
      <c r="AG996">
        <v>3</v>
      </c>
      <c r="AH996">
        <v>2</v>
      </c>
      <c r="AI996" s="5">
        <v>5</v>
      </c>
      <c r="AJ996">
        <v>3</v>
      </c>
      <c r="AK996">
        <v>0</v>
      </c>
      <c r="AL996">
        <v>2</v>
      </c>
      <c r="AM996" t="str">
        <f t="shared" si="108"/>
        <v>Ok</v>
      </c>
      <c r="AN996" s="21">
        <f t="shared" si="109"/>
        <v>25.576519916142558</v>
      </c>
      <c r="AO996" t="str">
        <f t="shared" ca="1" si="110"/>
        <v>No</v>
      </c>
      <c r="AP996" t="str">
        <f t="shared" si="111"/>
        <v>Low Risk</v>
      </c>
    </row>
    <row r="997" spans="1:42" x14ac:dyDescent="0.3">
      <c r="A997" s="5">
        <v>43</v>
      </c>
      <c r="B997" s="5" t="s">
        <v>43</v>
      </c>
      <c r="C997" s="5" t="str">
        <f t="shared" si="105"/>
        <v>No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 s="5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 s="5">
        <v>4081</v>
      </c>
      <c r="U997">
        <v>20003</v>
      </c>
      <c r="V997">
        <v>1</v>
      </c>
      <c r="W997" t="s">
        <v>42</v>
      </c>
      <c r="X997" t="s">
        <v>35</v>
      </c>
      <c r="Y997" t="str">
        <f t="shared" si="106"/>
        <v>Yes</v>
      </c>
      <c r="Z997">
        <v>14</v>
      </c>
      <c r="AA997">
        <v>3</v>
      </c>
      <c r="AB997">
        <v>1</v>
      </c>
      <c r="AC997">
        <v>80</v>
      </c>
      <c r="AD997">
        <v>0</v>
      </c>
      <c r="AE997" s="5">
        <v>20</v>
      </c>
      <c r="AF997" t="str">
        <f t="shared" si="107"/>
        <v>&gt;15</v>
      </c>
      <c r="AG997">
        <v>3</v>
      </c>
      <c r="AH997">
        <v>1</v>
      </c>
      <c r="AI997" s="5">
        <v>20</v>
      </c>
      <c r="AJ997">
        <v>7</v>
      </c>
      <c r="AK997">
        <v>1</v>
      </c>
      <c r="AL997">
        <v>8</v>
      </c>
      <c r="AM997" t="str">
        <f t="shared" si="108"/>
        <v>Below Avg</v>
      </c>
      <c r="AN997" s="21">
        <f t="shared" si="109"/>
        <v>25.630252100840334</v>
      </c>
      <c r="AO997" t="str">
        <f t="shared" ca="1" si="110"/>
        <v>No</v>
      </c>
      <c r="AP997" t="str">
        <f t="shared" si="111"/>
        <v>Low Risk</v>
      </c>
    </row>
    <row r="998" spans="1:42" x14ac:dyDescent="0.3">
      <c r="A998" s="5">
        <v>27</v>
      </c>
      <c r="B998" s="5" t="s">
        <v>43</v>
      </c>
      <c r="C998" s="5" t="str">
        <f t="shared" si="105"/>
        <v>No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 s="5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 s="5">
        <v>5769</v>
      </c>
      <c r="U998">
        <v>7100</v>
      </c>
      <c r="V998">
        <v>1</v>
      </c>
      <c r="W998" t="s">
        <v>42</v>
      </c>
      <c r="X998" t="s">
        <v>35</v>
      </c>
      <c r="Y998" t="str">
        <f t="shared" si="106"/>
        <v>Yes</v>
      </c>
      <c r="Z998">
        <v>11</v>
      </c>
      <c r="AA998">
        <v>3</v>
      </c>
      <c r="AB998">
        <v>4</v>
      </c>
      <c r="AC998">
        <v>80</v>
      </c>
      <c r="AD998">
        <v>0</v>
      </c>
      <c r="AE998" s="5">
        <v>6</v>
      </c>
      <c r="AF998" t="str">
        <f t="shared" si="107"/>
        <v>6-15</v>
      </c>
      <c r="AG998">
        <v>3</v>
      </c>
      <c r="AH998">
        <v>3</v>
      </c>
      <c r="AI998" s="5">
        <v>6</v>
      </c>
      <c r="AJ998">
        <v>2</v>
      </c>
      <c r="AK998">
        <v>4</v>
      </c>
      <c r="AL998">
        <v>4</v>
      </c>
      <c r="AM998" t="str">
        <f t="shared" si="108"/>
        <v>Below Avg</v>
      </c>
      <c r="AN998" s="21">
        <f t="shared" si="109"/>
        <v>25.473684210526315</v>
      </c>
      <c r="AO998" t="str">
        <f t="shared" ca="1" si="110"/>
        <v>No</v>
      </c>
      <c r="AP998" t="str">
        <f t="shared" si="111"/>
        <v>Low Risk</v>
      </c>
    </row>
    <row r="999" spans="1:42" x14ac:dyDescent="0.3">
      <c r="A999" s="5">
        <v>27</v>
      </c>
      <c r="B999" s="5" t="s">
        <v>35</v>
      </c>
      <c r="C999" s="5" t="str">
        <f t="shared" si="105"/>
        <v>Yes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 s="5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 s="5">
        <v>2394</v>
      </c>
      <c r="U999">
        <v>25681</v>
      </c>
      <c r="V999">
        <v>1</v>
      </c>
      <c r="W999" t="s">
        <v>42</v>
      </c>
      <c r="X999" t="s">
        <v>35</v>
      </c>
      <c r="Y999" t="str">
        <f t="shared" si="106"/>
        <v>Yes</v>
      </c>
      <c r="Z999">
        <v>13</v>
      </c>
      <c r="AA999">
        <v>3</v>
      </c>
      <c r="AB999">
        <v>4</v>
      </c>
      <c r="AC999">
        <v>80</v>
      </c>
      <c r="AD999">
        <v>0</v>
      </c>
      <c r="AE999" s="5">
        <v>8</v>
      </c>
      <c r="AF999" t="str">
        <f t="shared" si="107"/>
        <v>6-15</v>
      </c>
      <c r="AG999">
        <v>2</v>
      </c>
      <c r="AH999">
        <v>3</v>
      </c>
      <c r="AI999" s="5">
        <v>8</v>
      </c>
      <c r="AJ999">
        <v>2</v>
      </c>
      <c r="AK999">
        <v>7</v>
      </c>
      <c r="AL999">
        <v>7</v>
      </c>
      <c r="AM999" t="str">
        <f t="shared" si="108"/>
        <v>Below Avg</v>
      </c>
      <c r="AN999" s="21">
        <f t="shared" si="109"/>
        <v>25.316455696202532</v>
      </c>
      <c r="AO999" t="str">
        <f t="shared" ca="1" si="110"/>
        <v>No</v>
      </c>
      <c r="AP999" t="str">
        <f t="shared" si="111"/>
        <v>Low Risk</v>
      </c>
    </row>
    <row r="1000" spans="1:42" x14ac:dyDescent="0.3">
      <c r="A1000" s="5">
        <v>26</v>
      </c>
      <c r="B1000" s="5" t="s">
        <v>43</v>
      </c>
      <c r="C1000" s="5" t="str">
        <f t="shared" si="105"/>
        <v>No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 s="5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 s="5">
        <v>3904</v>
      </c>
      <c r="U1000">
        <v>4050</v>
      </c>
      <c r="V1000">
        <v>0</v>
      </c>
      <c r="W1000" t="s">
        <v>42</v>
      </c>
      <c r="X1000" t="s">
        <v>43</v>
      </c>
      <c r="Y1000" t="str">
        <f t="shared" si="106"/>
        <v>No</v>
      </c>
      <c r="Z1000">
        <v>12</v>
      </c>
      <c r="AA1000">
        <v>3</v>
      </c>
      <c r="AB1000">
        <v>4</v>
      </c>
      <c r="AC1000">
        <v>80</v>
      </c>
      <c r="AD1000">
        <v>0</v>
      </c>
      <c r="AE1000" s="5">
        <v>5</v>
      </c>
      <c r="AF1000" t="str">
        <f t="shared" si="107"/>
        <v>0-5</v>
      </c>
      <c r="AG1000">
        <v>2</v>
      </c>
      <c r="AH1000">
        <v>3</v>
      </c>
      <c r="AI1000" s="5">
        <v>4</v>
      </c>
      <c r="AJ1000">
        <v>3</v>
      </c>
      <c r="AK1000">
        <v>1</v>
      </c>
      <c r="AL1000">
        <v>1</v>
      </c>
      <c r="AM1000" t="str">
        <f t="shared" si="108"/>
        <v>Below Avg</v>
      </c>
      <c r="AN1000" s="21">
        <f t="shared" si="109"/>
        <v>25.158562367864697</v>
      </c>
      <c r="AO1000" t="str">
        <f t="shared" ca="1" si="110"/>
        <v>No</v>
      </c>
      <c r="AP1000" t="str">
        <f t="shared" si="111"/>
        <v>Low Risk</v>
      </c>
    </row>
    <row r="1001" spans="1:42" x14ac:dyDescent="0.3">
      <c r="A1001" s="5">
        <v>42</v>
      </c>
      <c r="B1001" s="5" t="s">
        <v>43</v>
      </c>
      <c r="C1001" s="5" t="str">
        <f t="shared" si="105"/>
        <v>No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 s="5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 s="5">
        <v>16799</v>
      </c>
      <c r="U1001">
        <v>16616</v>
      </c>
      <c r="V1001">
        <v>0</v>
      </c>
      <c r="W1001" t="s">
        <v>42</v>
      </c>
      <c r="X1001" t="s">
        <v>43</v>
      </c>
      <c r="Y1001" t="str">
        <f t="shared" si="106"/>
        <v>No</v>
      </c>
      <c r="Z1001">
        <v>14</v>
      </c>
      <c r="AA1001">
        <v>3</v>
      </c>
      <c r="AB1001">
        <v>3</v>
      </c>
      <c r="AC1001">
        <v>80</v>
      </c>
      <c r="AD1001">
        <v>1</v>
      </c>
      <c r="AE1001" s="5">
        <v>21</v>
      </c>
      <c r="AF1001" t="str">
        <f t="shared" si="107"/>
        <v>&gt;15</v>
      </c>
      <c r="AG1001">
        <v>5</v>
      </c>
      <c r="AH1001">
        <v>3</v>
      </c>
      <c r="AI1001" s="5">
        <v>20</v>
      </c>
      <c r="AJ1001">
        <v>7</v>
      </c>
      <c r="AK1001">
        <v>0</v>
      </c>
      <c r="AL1001">
        <v>9</v>
      </c>
      <c r="AM1001" t="str">
        <f t="shared" si="108"/>
        <v>Ok</v>
      </c>
      <c r="AN1001" s="21">
        <f t="shared" si="109"/>
        <v>25</v>
      </c>
      <c r="AO1001" t="str">
        <f t="shared" ca="1" si="110"/>
        <v>No</v>
      </c>
      <c r="AP1001" t="str">
        <f t="shared" si="111"/>
        <v>Low Risk</v>
      </c>
    </row>
    <row r="1002" spans="1:42" x14ac:dyDescent="0.3">
      <c r="A1002" s="5">
        <v>52</v>
      </c>
      <c r="B1002" s="5" t="s">
        <v>43</v>
      </c>
      <c r="C1002" s="5" t="str">
        <f t="shared" si="105"/>
        <v>No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 s="5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 s="5">
        <v>2950</v>
      </c>
      <c r="U1002">
        <v>17363</v>
      </c>
      <c r="V1002">
        <v>9</v>
      </c>
      <c r="W1002" t="s">
        <v>42</v>
      </c>
      <c r="X1002" t="s">
        <v>43</v>
      </c>
      <c r="Y1002" t="str">
        <f t="shared" si="106"/>
        <v>No</v>
      </c>
      <c r="Z1002">
        <v>13</v>
      </c>
      <c r="AA1002">
        <v>3</v>
      </c>
      <c r="AB1002">
        <v>3</v>
      </c>
      <c r="AC1002">
        <v>80</v>
      </c>
      <c r="AD1002">
        <v>0</v>
      </c>
      <c r="AE1002" s="5">
        <v>12</v>
      </c>
      <c r="AF1002" t="str">
        <f t="shared" si="107"/>
        <v>6-15</v>
      </c>
      <c r="AG1002">
        <v>2</v>
      </c>
      <c r="AH1002">
        <v>1</v>
      </c>
      <c r="AI1002" s="5">
        <v>5</v>
      </c>
      <c r="AJ1002">
        <v>4</v>
      </c>
      <c r="AK1002">
        <v>0</v>
      </c>
      <c r="AL1002">
        <v>4</v>
      </c>
      <c r="AM1002" t="str">
        <f t="shared" si="108"/>
        <v>Below Avg</v>
      </c>
      <c r="AN1002" s="21">
        <f t="shared" si="109"/>
        <v>25.053078556263269</v>
      </c>
      <c r="AO1002" t="str">
        <f t="shared" ca="1" si="110"/>
        <v>No</v>
      </c>
      <c r="AP1002" t="str">
        <f t="shared" si="111"/>
        <v>Low Risk</v>
      </c>
    </row>
    <row r="1003" spans="1:42" x14ac:dyDescent="0.3">
      <c r="A1003" s="5">
        <v>37</v>
      </c>
      <c r="B1003" s="5" t="s">
        <v>43</v>
      </c>
      <c r="C1003" s="5" t="str">
        <f t="shared" si="105"/>
        <v>No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 s="5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 s="5">
        <v>3629</v>
      </c>
      <c r="U1003">
        <v>19106</v>
      </c>
      <c r="V1003">
        <v>4</v>
      </c>
      <c r="W1003" t="s">
        <v>42</v>
      </c>
      <c r="X1003" t="s">
        <v>43</v>
      </c>
      <c r="Y1003" t="str">
        <f t="shared" si="106"/>
        <v>No</v>
      </c>
      <c r="Z1003">
        <v>18</v>
      </c>
      <c r="AA1003">
        <v>3</v>
      </c>
      <c r="AB1003">
        <v>1</v>
      </c>
      <c r="AC1003">
        <v>80</v>
      </c>
      <c r="AD1003">
        <v>0</v>
      </c>
      <c r="AE1003" s="5">
        <v>8</v>
      </c>
      <c r="AF1003" t="str">
        <f t="shared" si="107"/>
        <v>6-15</v>
      </c>
      <c r="AG1003">
        <v>6</v>
      </c>
      <c r="AH1003">
        <v>3</v>
      </c>
      <c r="AI1003" s="5">
        <v>3</v>
      </c>
      <c r="AJ1003">
        <v>2</v>
      </c>
      <c r="AK1003">
        <v>0</v>
      </c>
      <c r="AL1003">
        <v>2</v>
      </c>
      <c r="AM1003" t="str">
        <f t="shared" si="108"/>
        <v>Below Avg</v>
      </c>
      <c r="AN1003" s="21">
        <f t="shared" si="109"/>
        <v>25.106382978723403</v>
      </c>
      <c r="AO1003" t="str">
        <f t="shared" ca="1" si="110"/>
        <v>No</v>
      </c>
      <c r="AP1003" t="str">
        <f t="shared" si="111"/>
        <v>Low Risk</v>
      </c>
    </row>
    <row r="1004" spans="1:42" x14ac:dyDescent="0.3">
      <c r="A1004" s="5">
        <v>35</v>
      </c>
      <c r="B1004" s="5" t="s">
        <v>43</v>
      </c>
      <c r="C1004" s="5" t="str">
        <f t="shared" si="105"/>
        <v>No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 s="5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 s="5">
        <v>9362</v>
      </c>
      <c r="U1004">
        <v>19944</v>
      </c>
      <c r="V1004">
        <v>2</v>
      </c>
      <c r="W1004" t="s">
        <v>42</v>
      </c>
      <c r="X1004" t="s">
        <v>43</v>
      </c>
      <c r="Y1004" t="str">
        <f t="shared" si="106"/>
        <v>No</v>
      </c>
      <c r="Z1004">
        <v>11</v>
      </c>
      <c r="AA1004">
        <v>3</v>
      </c>
      <c r="AB1004">
        <v>3</v>
      </c>
      <c r="AC1004">
        <v>80</v>
      </c>
      <c r="AD1004">
        <v>0</v>
      </c>
      <c r="AE1004" s="5">
        <v>10</v>
      </c>
      <c r="AF1004" t="str">
        <f t="shared" si="107"/>
        <v>6-15</v>
      </c>
      <c r="AG1004">
        <v>2</v>
      </c>
      <c r="AH1004">
        <v>3</v>
      </c>
      <c r="AI1004" s="5">
        <v>2</v>
      </c>
      <c r="AJ1004">
        <v>2</v>
      </c>
      <c r="AK1004">
        <v>2</v>
      </c>
      <c r="AL1004">
        <v>2</v>
      </c>
      <c r="AM1004" t="str">
        <f t="shared" si="108"/>
        <v>Ok</v>
      </c>
      <c r="AN1004" s="21">
        <f t="shared" si="109"/>
        <v>25.159914712153519</v>
      </c>
      <c r="AO1004" t="str">
        <f t="shared" ca="1" si="110"/>
        <v>No</v>
      </c>
      <c r="AP1004" t="str">
        <f t="shared" si="111"/>
        <v>Low Risk</v>
      </c>
    </row>
    <row r="1005" spans="1:42" x14ac:dyDescent="0.3">
      <c r="A1005" s="5">
        <v>25</v>
      </c>
      <c r="B1005" s="5" t="s">
        <v>43</v>
      </c>
      <c r="C1005" s="5" t="str">
        <f t="shared" si="105"/>
        <v>No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 s="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 s="5">
        <v>3229</v>
      </c>
      <c r="U1005">
        <v>4910</v>
      </c>
      <c r="V1005">
        <v>4</v>
      </c>
      <c r="W1005" t="s">
        <v>42</v>
      </c>
      <c r="X1005" t="s">
        <v>43</v>
      </c>
      <c r="Y1005" t="str">
        <f t="shared" si="106"/>
        <v>No</v>
      </c>
      <c r="Z1005">
        <v>11</v>
      </c>
      <c r="AA1005">
        <v>3</v>
      </c>
      <c r="AB1005">
        <v>2</v>
      </c>
      <c r="AC1005">
        <v>80</v>
      </c>
      <c r="AD1005">
        <v>1</v>
      </c>
      <c r="AE1005" s="5">
        <v>7</v>
      </c>
      <c r="AF1005" t="str">
        <f t="shared" si="107"/>
        <v>6-15</v>
      </c>
      <c r="AG1005">
        <v>2</v>
      </c>
      <c r="AH1005">
        <v>2</v>
      </c>
      <c r="AI1005" s="5">
        <v>3</v>
      </c>
      <c r="AJ1005">
        <v>2</v>
      </c>
      <c r="AK1005">
        <v>0</v>
      </c>
      <c r="AL1005">
        <v>2</v>
      </c>
      <c r="AM1005" t="str">
        <f t="shared" si="108"/>
        <v>Below Avg</v>
      </c>
      <c r="AN1005" s="21">
        <f t="shared" si="109"/>
        <v>25.213675213675213</v>
      </c>
      <c r="AO1005" t="str">
        <f t="shared" ca="1" si="110"/>
        <v>No</v>
      </c>
      <c r="AP1005" t="str">
        <f t="shared" si="111"/>
        <v>Low Risk</v>
      </c>
    </row>
    <row r="1006" spans="1:42" x14ac:dyDescent="0.3">
      <c r="A1006" s="5">
        <v>26</v>
      </c>
      <c r="B1006" s="5" t="s">
        <v>43</v>
      </c>
      <c r="C1006" s="5" t="str">
        <f t="shared" si="105"/>
        <v>No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 s="5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 s="5">
        <v>3578</v>
      </c>
      <c r="U1006">
        <v>23577</v>
      </c>
      <c r="V1006">
        <v>0</v>
      </c>
      <c r="W1006" t="s">
        <v>42</v>
      </c>
      <c r="X1006" t="s">
        <v>43</v>
      </c>
      <c r="Y1006" t="str">
        <f t="shared" si="106"/>
        <v>No</v>
      </c>
      <c r="Z1006">
        <v>12</v>
      </c>
      <c r="AA1006">
        <v>3</v>
      </c>
      <c r="AB1006">
        <v>4</v>
      </c>
      <c r="AC1006">
        <v>80</v>
      </c>
      <c r="AD1006">
        <v>0</v>
      </c>
      <c r="AE1006" s="5">
        <v>8</v>
      </c>
      <c r="AF1006" t="str">
        <f t="shared" si="107"/>
        <v>6-15</v>
      </c>
      <c r="AG1006">
        <v>2</v>
      </c>
      <c r="AH1006">
        <v>3</v>
      </c>
      <c r="AI1006" s="5">
        <v>7</v>
      </c>
      <c r="AJ1006">
        <v>7</v>
      </c>
      <c r="AK1006">
        <v>0</v>
      </c>
      <c r="AL1006">
        <v>7</v>
      </c>
      <c r="AM1006" t="str">
        <f t="shared" si="108"/>
        <v>Below Avg</v>
      </c>
      <c r="AN1006" s="21">
        <f t="shared" si="109"/>
        <v>25.267665952890795</v>
      </c>
      <c r="AO1006" t="str">
        <f t="shared" ca="1" si="110"/>
        <v>No</v>
      </c>
      <c r="AP1006" t="str">
        <f t="shared" si="111"/>
        <v>Low Risk</v>
      </c>
    </row>
    <row r="1007" spans="1:42" x14ac:dyDescent="0.3">
      <c r="A1007" s="5">
        <v>29</v>
      </c>
      <c r="B1007" s="5" t="s">
        <v>43</v>
      </c>
      <c r="C1007" s="5" t="str">
        <f t="shared" si="105"/>
        <v>No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 s="5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 s="5">
        <v>7988</v>
      </c>
      <c r="U1007">
        <v>9769</v>
      </c>
      <c r="V1007">
        <v>1</v>
      </c>
      <c r="W1007" t="s">
        <v>42</v>
      </c>
      <c r="X1007" t="s">
        <v>43</v>
      </c>
      <c r="Y1007" t="str">
        <f t="shared" si="106"/>
        <v>No</v>
      </c>
      <c r="Z1007">
        <v>13</v>
      </c>
      <c r="AA1007">
        <v>3</v>
      </c>
      <c r="AB1007">
        <v>1</v>
      </c>
      <c r="AC1007">
        <v>80</v>
      </c>
      <c r="AD1007">
        <v>0</v>
      </c>
      <c r="AE1007" s="5">
        <v>10</v>
      </c>
      <c r="AF1007" t="str">
        <f t="shared" si="107"/>
        <v>6-15</v>
      </c>
      <c r="AG1007">
        <v>3</v>
      </c>
      <c r="AH1007">
        <v>2</v>
      </c>
      <c r="AI1007" s="5">
        <v>10</v>
      </c>
      <c r="AJ1007">
        <v>9</v>
      </c>
      <c r="AK1007">
        <v>0</v>
      </c>
      <c r="AL1007">
        <v>9</v>
      </c>
      <c r="AM1007" t="str">
        <f t="shared" si="108"/>
        <v>Ok</v>
      </c>
      <c r="AN1007" s="21">
        <f t="shared" si="109"/>
        <v>25.321888412017167</v>
      </c>
      <c r="AO1007" t="str">
        <f t="shared" ca="1" si="110"/>
        <v>No</v>
      </c>
      <c r="AP1007" t="str">
        <f t="shared" si="111"/>
        <v>Low Risk</v>
      </c>
    </row>
    <row r="1008" spans="1:42" x14ac:dyDescent="0.3">
      <c r="A1008" s="5">
        <v>49</v>
      </c>
      <c r="B1008" s="5" t="s">
        <v>35</v>
      </c>
      <c r="C1008" s="5" t="str">
        <f t="shared" si="105"/>
        <v>Yes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 s="5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 s="5">
        <v>4284</v>
      </c>
      <c r="U1008">
        <v>22710</v>
      </c>
      <c r="V1008">
        <v>3</v>
      </c>
      <c r="W1008" t="s">
        <v>42</v>
      </c>
      <c r="X1008" t="s">
        <v>43</v>
      </c>
      <c r="Y1008" t="str">
        <f t="shared" si="106"/>
        <v>No</v>
      </c>
      <c r="Z1008">
        <v>20</v>
      </c>
      <c r="AA1008">
        <v>4</v>
      </c>
      <c r="AB1008">
        <v>1</v>
      </c>
      <c r="AC1008">
        <v>80</v>
      </c>
      <c r="AD1008">
        <v>0</v>
      </c>
      <c r="AE1008" s="5">
        <v>20</v>
      </c>
      <c r="AF1008" t="str">
        <f t="shared" si="107"/>
        <v>&gt;15</v>
      </c>
      <c r="AG1008">
        <v>2</v>
      </c>
      <c r="AH1008">
        <v>3</v>
      </c>
      <c r="AI1008" s="5">
        <v>4</v>
      </c>
      <c r="AJ1008">
        <v>3</v>
      </c>
      <c r="AK1008">
        <v>1</v>
      </c>
      <c r="AL1008">
        <v>3</v>
      </c>
      <c r="AM1008" t="str">
        <f t="shared" si="108"/>
        <v>Below Avg</v>
      </c>
      <c r="AN1008" s="21">
        <f t="shared" si="109"/>
        <v>25.376344086021508</v>
      </c>
      <c r="AO1008" t="str">
        <f t="shared" ca="1" si="110"/>
        <v>No</v>
      </c>
      <c r="AP1008" t="str">
        <f t="shared" si="111"/>
        <v>Low Risk</v>
      </c>
    </row>
    <row r="1009" spans="1:42" x14ac:dyDescent="0.3">
      <c r="A1009" s="5">
        <v>29</v>
      </c>
      <c r="B1009" s="5" t="s">
        <v>35</v>
      </c>
      <c r="C1009" s="5" t="str">
        <f t="shared" si="105"/>
        <v>Yes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 s="5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 s="5">
        <v>7553</v>
      </c>
      <c r="U1009">
        <v>22930</v>
      </c>
      <c r="V1009">
        <v>0</v>
      </c>
      <c r="W1009" t="s">
        <v>42</v>
      </c>
      <c r="X1009" t="s">
        <v>35</v>
      </c>
      <c r="Y1009" t="str">
        <f t="shared" si="106"/>
        <v>Yes</v>
      </c>
      <c r="Z1009">
        <v>12</v>
      </c>
      <c r="AA1009">
        <v>3</v>
      </c>
      <c r="AB1009">
        <v>1</v>
      </c>
      <c r="AC1009">
        <v>80</v>
      </c>
      <c r="AD1009">
        <v>0</v>
      </c>
      <c r="AE1009" s="5">
        <v>9</v>
      </c>
      <c r="AF1009" t="str">
        <f t="shared" si="107"/>
        <v>6-15</v>
      </c>
      <c r="AG1009">
        <v>1</v>
      </c>
      <c r="AH1009">
        <v>3</v>
      </c>
      <c r="AI1009" s="5">
        <v>8</v>
      </c>
      <c r="AJ1009">
        <v>7</v>
      </c>
      <c r="AK1009">
        <v>7</v>
      </c>
      <c r="AL1009">
        <v>7</v>
      </c>
      <c r="AM1009" t="str">
        <f t="shared" si="108"/>
        <v>Ok</v>
      </c>
      <c r="AN1009" s="21">
        <f t="shared" si="109"/>
        <v>25.431034482758619</v>
      </c>
      <c r="AO1009" t="str">
        <f t="shared" ca="1" si="110"/>
        <v>No</v>
      </c>
      <c r="AP1009" t="str">
        <f t="shared" si="111"/>
        <v>Low Risk</v>
      </c>
    </row>
    <row r="1010" spans="1:42" x14ac:dyDescent="0.3">
      <c r="A1010" s="5">
        <v>54</v>
      </c>
      <c r="B1010" s="5" t="s">
        <v>43</v>
      </c>
      <c r="C1010" s="5" t="str">
        <f t="shared" si="105"/>
        <v>No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 s="5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 s="5">
        <v>17328</v>
      </c>
      <c r="U1010">
        <v>5652</v>
      </c>
      <c r="V1010">
        <v>6</v>
      </c>
      <c r="W1010" t="s">
        <v>42</v>
      </c>
      <c r="X1010" t="s">
        <v>43</v>
      </c>
      <c r="Y1010" t="str">
        <f t="shared" si="106"/>
        <v>No</v>
      </c>
      <c r="Z1010">
        <v>19</v>
      </c>
      <c r="AA1010">
        <v>3</v>
      </c>
      <c r="AB1010">
        <v>4</v>
      </c>
      <c r="AC1010">
        <v>80</v>
      </c>
      <c r="AD1010">
        <v>0</v>
      </c>
      <c r="AE1010" s="5">
        <v>29</v>
      </c>
      <c r="AF1010" t="str">
        <f t="shared" si="107"/>
        <v>&gt;15</v>
      </c>
      <c r="AG1010">
        <v>3</v>
      </c>
      <c r="AH1010">
        <v>2</v>
      </c>
      <c r="AI1010" s="5">
        <v>20</v>
      </c>
      <c r="AJ1010">
        <v>7</v>
      </c>
      <c r="AK1010">
        <v>12</v>
      </c>
      <c r="AL1010">
        <v>7</v>
      </c>
      <c r="AM1010" t="str">
        <f t="shared" si="108"/>
        <v>Ok</v>
      </c>
      <c r="AN1010" s="21">
        <f t="shared" si="109"/>
        <v>25.485961123110151</v>
      </c>
      <c r="AO1010" t="str">
        <f t="shared" ca="1" si="110"/>
        <v>No</v>
      </c>
      <c r="AP1010" t="str">
        <f t="shared" si="111"/>
        <v>Low Risk</v>
      </c>
    </row>
    <row r="1011" spans="1:42" x14ac:dyDescent="0.3">
      <c r="A1011" s="5">
        <v>58</v>
      </c>
      <c r="B1011" s="5" t="s">
        <v>43</v>
      </c>
      <c r="C1011" s="5" t="str">
        <f t="shared" si="105"/>
        <v>No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 s="5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 s="5">
        <v>19701</v>
      </c>
      <c r="U1011">
        <v>22456</v>
      </c>
      <c r="V1011">
        <v>3</v>
      </c>
      <c r="W1011" t="s">
        <v>42</v>
      </c>
      <c r="X1011" t="s">
        <v>35</v>
      </c>
      <c r="Y1011" t="str">
        <f t="shared" si="106"/>
        <v>Yes</v>
      </c>
      <c r="Z1011">
        <v>21</v>
      </c>
      <c r="AA1011">
        <v>4</v>
      </c>
      <c r="AB1011">
        <v>3</v>
      </c>
      <c r="AC1011">
        <v>80</v>
      </c>
      <c r="AD1011">
        <v>1</v>
      </c>
      <c r="AE1011" s="5">
        <v>32</v>
      </c>
      <c r="AF1011" t="str">
        <f t="shared" si="107"/>
        <v>&gt;15</v>
      </c>
      <c r="AG1011">
        <v>3</v>
      </c>
      <c r="AH1011">
        <v>3</v>
      </c>
      <c r="AI1011" s="5">
        <v>9</v>
      </c>
      <c r="AJ1011">
        <v>8</v>
      </c>
      <c r="AK1011">
        <v>1</v>
      </c>
      <c r="AL1011">
        <v>5</v>
      </c>
      <c r="AM1011" t="str">
        <f t="shared" si="108"/>
        <v>Ok</v>
      </c>
      <c r="AN1011" s="21">
        <f t="shared" si="109"/>
        <v>25.324675324675322</v>
      </c>
      <c r="AO1011" t="str">
        <f t="shared" ca="1" si="110"/>
        <v>No</v>
      </c>
      <c r="AP1011" t="str">
        <f t="shared" si="111"/>
        <v>Low Risk</v>
      </c>
    </row>
    <row r="1012" spans="1:42" x14ac:dyDescent="0.3">
      <c r="A1012" s="5">
        <v>55</v>
      </c>
      <c r="B1012" s="5" t="s">
        <v>43</v>
      </c>
      <c r="C1012" s="5" t="str">
        <f t="shared" si="105"/>
        <v>No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 s="5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 s="5">
        <v>14732</v>
      </c>
      <c r="U1012">
        <v>12414</v>
      </c>
      <c r="V1012">
        <v>2</v>
      </c>
      <c r="W1012" t="s">
        <v>42</v>
      </c>
      <c r="X1012" t="s">
        <v>43</v>
      </c>
      <c r="Y1012" t="str">
        <f t="shared" si="106"/>
        <v>No</v>
      </c>
      <c r="Z1012">
        <v>13</v>
      </c>
      <c r="AA1012">
        <v>3</v>
      </c>
      <c r="AB1012">
        <v>4</v>
      </c>
      <c r="AC1012">
        <v>80</v>
      </c>
      <c r="AD1012">
        <v>2</v>
      </c>
      <c r="AE1012" s="5">
        <v>31</v>
      </c>
      <c r="AF1012" t="str">
        <f t="shared" si="107"/>
        <v>&gt;15</v>
      </c>
      <c r="AG1012">
        <v>4</v>
      </c>
      <c r="AH1012">
        <v>4</v>
      </c>
      <c r="AI1012" s="5">
        <v>7</v>
      </c>
      <c r="AJ1012">
        <v>7</v>
      </c>
      <c r="AK1012">
        <v>0</v>
      </c>
      <c r="AL1012">
        <v>0</v>
      </c>
      <c r="AM1012" t="str">
        <f t="shared" si="108"/>
        <v>Ok</v>
      </c>
      <c r="AN1012" s="21">
        <f t="shared" si="109"/>
        <v>25.379609544468547</v>
      </c>
      <c r="AO1012" t="str">
        <f t="shared" ca="1" si="110"/>
        <v>No</v>
      </c>
      <c r="AP1012" t="str">
        <f t="shared" si="111"/>
        <v>Low Risk</v>
      </c>
    </row>
    <row r="1013" spans="1:42" x14ac:dyDescent="0.3">
      <c r="A1013" s="5">
        <v>36</v>
      </c>
      <c r="B1013" s="5" t="s">
        <v>43</v>
      </c>
      <c r="C1013" s="5" t="str">
        <f t="shared" si="105"/>
        <v>No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 s="5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 s="5">
        <v>9278</v>
      </c>
      <c r="U1013">
        <v>20763</v>
      </c>
      <c r="V1013">
        <v>3</v>
      </c>
      <c r="W1013" t="s">
        <v>42</v>
      </c>
      <c r="X1013" t="s">
        <v>35</v>
      </c>
      <c r="Y1013" t="str">
        <f t="shared" si="106"/>
        <v>Yes</v>
      </c>
      <c r="Z1013">
        <v>16</v>
      </c>
      <c r="AA1013">
        <v>3</v>
      </c>
      <c r="AB1013">
        <v>4</v>
      </c>
      <c r="AC1013">
        <v>80</v>
      </c>
      <c r="AD1013">
        <v>0</v>
      </c>
      <c r="AE1013" s="5">
        <v>15</v>
      </c>
      <c r="AF1013" t="str">
        <f t="shared" si="107"/>
        <v>6-15</v>
      </c>
      <c r="AG1013">
        <v>3</v>
      </c>
      <c r="AH1013">
        <v>3</v>
      </c>
      <c r="AI1013" s="5">
        <v>5</v>
      </c>
      <c r="AJ1013">
        <v>4</v>
      </c>
      <c r="AK1013">
        <v>0</v>
      </c>
      <c r="AL1013">
        <v>1</v>
      </c>
      <c r="AM1013" t="str">
        <f t="shared" si="108"/>
        <v>Ok</v>
      </c>
      <c r="AN1013" s="21">
        <f t="shared" si="109"/>
        <v>25.217391304347824</v>
      </c>
      <c r="AO1013" t="str">
        <f t="shared" ca="1" si="110"/>
        <v>No</v>
      </c>
      <c r="AP1013" t="str">
        <f t="shared" si="111"/>
        <v>Low Risk</v>
      </c>
    </row>
    <row r="1014" spans="1:42" x14ac:dyDescent="0.3">
      <c r="A1014" s="5">
        <v>31</v>
      </c>
      <c r="B1014" s="5" t="s">
        <v>35</v>
      </c>
      <c r="C1014" s="5" t="str">
        <f t="shared" si="105"/>
        <v>Yes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 s="5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 s="5">
        <v>1359</v>
      </c>
      <c r="U1014">
        <v>16154</v>
      </c>
      <c r="V1014">
        <v>1</v>
      </c>
      <c r="W1014" t="s">
        <v>42</v>
      </c>
      <c r="X1014" t="s">
        <v>43</v>
      </c>
      <c r="Y1014" t="str">
        <f t="shared" si="106"/>
        <v>No</v>
      </c>
      <c r="Z1014">
        <v>12</v>
      </c>
      <c r="AA1014">
        <v>3</v>
      </c>
      <c r="AB1014">
        <v>2</v>
      </c>
      <c r="AC1014">
        <v>80</v>
      </c>
      <c r="AD1014">
        <v>0</v>
      </c>
      <c r="AE1014" s="5">
        <v>1</v>
      </c>
      <c r="AF1014" t="str">
        <f t="shared" si="107"/>
        <v>0-5</v>
      </c>
      <c r="AG1014">
        <v>3</v>
      </c>
      <c r="AH1014">
        <v>3</v>
      </c>
      <c r="AI1014" s="5">
        <v>1</v>
      </c>
      <c r="AJ1014">
        <v>0</v>
      </c>
      <c r="AK1014">
        <v>0</v>
      </c>
      <c r="AL1014">
        <v>0</v>
      </c>
      <c r="AM1014" t="str">
        <f t="shared" si="108"/>
        <v>Below Avg</v>
      </c>
      <c r="AN1014" s="21">
        <f t="shared" si="109"/>
        <v>25.272331154684096</v>
      </c>
      <c r="AO1014" t="str">
        <f t="shared" ca="1" si="110"/>
        <v>No</v>
      </c>
      <c r="AP1014" t="str">
        <f t="shared" si="111"/>
        <v>High Risk</v>
      </c>
    </row>
    <row r="1015" spans="1:42" x14ac:dyDescent="0.3">
      <c r="A1015" s="5">
        <v>30</v>
      </c>
      <c r="B1015" s="5" t="s">
        <v>43</v>
      </c>
      <c r="C1015" s="5" t="str">
        <f t="shared" si="105"/>
        <v>No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 s="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 s="5">
        <v>4779</v>
      </c>
      <c r="U1015">
        <v>12761</v>
      </c>
      <c r="V1015">
        <v>7</v>
      </c>
      <c r="W1015" t="s">
        <v>42</v>
      </c>
      <c r="X1015" t="s">
        <v>43</v>
      </c>
      <c r="Y1015" t="str">
        <f t="shared" si="106"/>
        <v>No</v>
      </c>
      <c r="Z1015">
        <v>14</v>
      </c>
      <c r="AA1015">
        <v>3</v>
      </c>
      <c r="AB1015">
        <v>2</v>
      </c>
      <c r="AC1015">
        <v>80</v>
      </c>
      <c r="AD1015">
        <v>2</v>
      </c>
      <c r="AE1015" s="5">
        <v>8</v>
      </c>
      <c r="AF1015" t="str">
        <f t="shared" si="107"/>
        <v>6-15</v>
      </c>
      <c r="AG1015">
        <v>3</v>
      </c>
      <c r="AH1015">
        <v>3</v>
      </c>
      <c r="AI1015" s="5">
        <v>3</v>
      </c>
      <c r="AJ1015">
        <v>2</v>
      </c>
      <c r="AK1015">
        <v>0</v>
      </c>
      <c r="AL1015">
        <v>2</v>
      </c>
      <c r="AM1015" t="str">
        <f t="shared" si="108"/>
        <v>Below Avg</v>
      </c>
      <c r="AN1015" s="21">
        <f t="shared" si="109"/>
        <v>25.109170305676855</v>
      </c>
      <c r="AO1015" t="str">
        <f t="shared" ca="1" si="110"/>
        <v>No</v>
      </c>
      <c r="AP1015" t="str">
        <f t="shared" si="111"/>
        <v>Low Risk</v>
      </c>
    </row>
    <row r="1016" spans="1:42" x14ac:dyDescent="0.3">
      <c r="A1016" s="5">
        <v>31</v>
      </c>
      <c r="B1016" s="5" t="s">
        <v>43</v>
      </c>
      <c r="C1016" s="5" t="str">
        <f t="shared" si="105"/>
        <v>No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 s="5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 s="5">
        <v>16422</v>
      </c>
      <c r="U1016">
        <v>8847</v>
      </c>
      <c r="V1016">
        <v>3</v>
      </c>
      <c r="W1016" t="s">
        <v>42</v>
      </c>
      <c r="X1016" t="s">
        <v>43</v>
      </c>
      <c r="Y1016" t="str">
        <f t="shared" si="106"/>
        <v>No</v>
      </c>
      <c r="Z1016">
        <v>11</v>
      </c>
      <c r="AA1016">
        <v>3</v>
      </c>
      <c r="AB1016">
        <v>3</v>
      </c>
      <c r="AC1016">
        <v>80</v>
      </c>
      <c r="AD1016">
        <v>0</v>
      </c>
      <c r="AE1016" s="5">
        <v>9</v>
      </c>
      <c r="AF1016" t="str">
        <f t="shared" si="107"/>
        <v>6-15</v>
      </c>
      <c r="AG1016">
        <v>3</v>
      </c>
      <c r="AH1016">
        <v>4</v>
      </c>
      <c r="AI1016" s="5">
        <v>3</v>
      </c>
      <c r="AJ1016">
        <v>2</v>
      </c>
      <c r="AK1016">
        <v>1</v>
      </c>
      <c r="AL1016">
        <v>0</v>
      </c>
      <c r="AM1016" t="str">
        <f t="shared" si="108"/>
        <v>Ok</v>
      </c>
      <c r="AN1016" s="21">
        <f t="shared" si="109"/>
        <v>25.164113785557984</v>
      </c>
      <c r="AO1016" t="str">
        <f t="shared" ca="1" si="110"/>
        <v>No</v>
      </c>
      <c r="AP1016" t="str">
        <f t="shared" si="111"/>
        <v>Low Risk</v>
      </c>
    </row>
    <row r="1017" spans="1:42" x14ac:dyDescent="0.3">
      <c r="A1017" s="5">
        <v>34</v>
      </c>
      <c r="B1017" s="5" t="s">
        <v>43</v>
      </c>
      <c r="C1017" s="5" t="str">
        <f t="shared" si="105"/>
        <v>No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 s="5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 s="5">
        <v>2996</v>
      </c>
      <c r="U1017">
        <v>20284</v>
      </c>
      <c r="V1017">
        <v>5</v>
      </c>
      <c r="W1017" t="s">
        <v>42</v>
      </c>
      <c r="X1017" t="s">
        <v>43</v>
      </c>
      <c r="Y1017" t="str">
        <f t="shared" si="106"/>
        <v>No</v>
      </c>
      <c r="Z1017">
        <v>14</v>
      </c>
      <c r="AA1017">
        <v>3</v>
      </c>
      <c r="AB1017">
        <v>3</v>
      </c>
      <c r="AC1017">
        <v>80</v>
      </c>
      <c r="AD1017">
        <v>2</v>
      </c>
      <c r="AE1017" s="5">
        <v>10</v>
      </c>
      <c r="AF1017" t="str">
        <f t="shared" si="107"/>
        <v>6-15</v>
      </c>
      <c r="AG1017">
        <v>2</v>
      </c>
      <c r="AH1017">
        <v>3</v>
      </c>
      <c r="AI1017" s="5">
        <v>4</v>
      </c>
      <c r="AJ1017">
        <v>3</v>
      </c>
      <c r="AK1017">
        <v>1</v>
      </c>
      <c r="AL1017">
        <v>3</v>
      </c>
      <c r="AM1017" t="str">
        <f t="shared" si="108"/>
        <v>Below Avg</v>
      </c>
      <c r="AN1017" s="21">
        <f t="shared" si="109"/>
        <v>25.219298245614034</v>
      </c>
      <c r="AO1017" t="str">
        <f t="shared" ca="1" si="110"/>
        <v>No</v>
      </c>
      <c r="AP1017" t="str">
        <f t="shared" si="111"/>
        <v>Low Risk</v>
      </c>
    </row>
    <row r="1018" spans="1:42" x14ac:dyDescent="0.3">
      <c r="A1018" s="5">
        <v>31</v>
      </c>
      <c r="B1018" s="5" t="s">
        <v>35</v>
      </c>
      <c r="C1018" s="5" t="str">
        <f t="shared" si="105"/>
        <v>Yes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 s="5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 s="5">
        <v>1261</v>
      </c>
      <c r="U1018">
        <v>22262</v>
      </c>
      <c r="V1018">
        <v>1</v>
      </c>
      <c r="W1018" t="s">
        <v>42</v>
      </c>
      <c r="X1018" t="s">
        <v>43</v>
      </c>
      <c r="Y1018" t="str">
        <f t="shared" si="106"/>
        <v>No</v>
      </c>
      <c r="Z1018">
        <v>12</v>
      </c>
      <c r="AA1018">
        <v>3</v>
      </c>
      <c r="AB1018">
        <v>3</v>
      </c>
      <c r="AC1018">
        <v>80</v>
      </c>
      <c r="AD1018">
        <v>0</v>
      </c>
      <c r="AE1018" s="5">
        <v>1</v>
      </c>
      <c r="AF1018" t="str">
        <f t="shared" si="107"/>
        <v>0-5</v>
      </c>
      <c r="AG1018">
        <v>3</v>
      </c>
      <c r="AH1018">
        <v>4</v>
      </c>
      <c r="AI1018" s="5">
        <v>1</v>
      </c>
      <c r="AJ1018">
        <v>0</v>
      </c>
      <c r="AK1018">
        <v>0</v>
      </c>
      <c r="AL1018">
        <v>0</v>
      </c>
      <c r="AM1018" t="str">
        <f t="shared" si="108"/>
        <v>Below Avg</v>
      </c>
      <c r="AN1018" s="21">
        <f t="shared" si="109"/>
        <v>25.274725274725274</v>
      </c>
      <c r="AO1018" t="str">
        <f t="shared" ca="1" si="110"/>
        <v>No</v>
      </c>
      <c r="AP1018" t="str">
        <f t="shared" si="111"/>
        <v>High Risk</v>
      </c>
    </row>
    <row r="1019" spans="1:42" x14ac:dyDescent="0.3">
      <c r="A1019" s="5">
        <v>27</v>
      </c>
      <c r="B1019" s="5" t="s">
        <v>43</v>
      </c>
      <c r="C1019" s="5" t="str">
        <f t="shared" si="105"/>
        <v>No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 s="5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 s="5">
        <v>2099</v>
      </c>
      <c r="U1019">
        <v>7679</v>
      </c>
      <c r="V1019">
        <v>0</v>
      </c>
      <c r="W1019" t="s">
        <v>42</v>
      </c>
      <c r="X1019" t="s">
        <v>43</v>
      </c>
      <c r="Y1019" t="str">
        <f t="shared" si="106"/>
        <v>No</v>
      </c>
      <c r="Z1019">
        <v>14</v>
      </c>
      <c r="AA1019">
        <v>3</v>
      </c>
      <c r="AB1019">
        <v>2</v>
      </c>
      <c r="AC1019">
        <v>80</v>
      </c>
      <c r="AD1019">
        <v>0</v>
      </c>
      <c r="AE1019" s="5">
        <v>6</v>
      </c>
      <c r="AF1019" t="str">
        <f t="shared" si="107"/>
        <v>6-15</v>
      </c>
      <c r="AG1019">
        <v>3</v>
      </c>
      <c r="AH1019">
        <v>4</v>
      </c>
      <c r="AI1019" s="5">
        <v>5</v>
      </c>
      <c r="AJ1019">
        <v>0</v>
      </c>
      <c r="AK1019">
        <v>1</v>
      </c>
      <c r="AL1019">
        <v>4</v>
      </c>
      <c r="AM1019" t="str">
        <f t="shared" si="108"/>
        <v>Below Avg</v>
      </c>
      <c r="AN1019" s="21">
        <f t="shared" si="109"/>
        <v>25.330396475770929</v>
      </c>
      <c r="AO1019" t="str">
        <f t="shared" ca="1" si="110"/>
        <v>No</v>
      </c>
      <c r="AP1019" t="str">
        <f t="shared" si="111"/>
        <v>Low Risk</v>
      </c>
    </row>
    <row r="1020" spans="1:42" x14ac:dyDescent="0.3">
      <c r="A1020" s="5">
        <v>36</v>
      </c>
      <c r="B1020" s="5" t="s">
        <v>43</v>
      </c>
      <c r="C1020" s="5" t="str">
        <f t="shared" si="105"/>
        <v>No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 s="5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 s="5">
        <v>5810</v>
      </c>
      <c r="U1020">
        <v>22604</v>
      </c>
      <c r="V1020">
        <v>1</v>
      </c>
      <c r="W1020" t="s">
        <v>42</v>
      </c>
      <c r="X1020" t="s">
        <v>43</v>
      </c>
      <c r="Y1020" t="str">
        <f t="shared" si="106"/>
        <v>No</v>
      </c>
      <c r="Z1020">
        <v>16</v>
      </c>
      <c r="AA1020">
        <v>3</v>
      </c>
      <c r="AB1020">
        <v>3</v>
      </c>
      <c r="AC1020">
        <v>80</v>
      </c>
      <c r="AD1020">
        <v>0</v>
      </c>
      <c r="AE1020" s="5">
        <v>10</v>
      </c>
      <c r="AF1020" t="str">
        <f t="shared" si="107"/>
        <v>6-15</v>
      </c>
      <c r="AG1020">
        <v>2</v>
      </c>
      <c r="AH1020">
        <v>2</v>
      </c>
      <c r="AI1020" s="5">
        <v>10</v>
      </c>
      <c r="AJ1020">
        <v>4</v>
      </c>
      <c r="AK1020">
        <v>1</v>
      </c>
      <c r="AL1020">
        <v>8</v>
      </c>
      <c r="AM1020" t="str">
        <f t="shared" si="108"/>
        <v>Below Avg</v>
      </c>
      <c r="AN1020" s="21">
        <f t="shared" si="109"/>
        <v>25.386313465783665</v>
      </c>
      <c r="AO1020" t="str">
        <f t="shared" ca="1" si="110"/>
        <v>No</v>
      </c>
      <c r="AP1020" t="str">
        <f t="shared" si="111"/>
        <v>Low Risk</v>
      </c>
    </row>
    <row r="1021" spans="1:42" x14ac:dyDescent="0.3">
      <c r="A1021" s="5">
        <v>36</v>
      </c>
      <c r="B1021" s="5" t="s">
        <v>43</v>
      </c>
      <c r="C1021" s="5" t="str">
        <f t="shared" si="105"/>
        <v>No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 s="5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 s="5">
        <v>5647</v>
      </c>
      <c r="U1021">
        <v>13494</v>
      </c>
      <c r="V1021">
        <v>4</v>
      </c>
      <c r="W1021" t="s">
        <v>42</v>
      </c>
      <c r="X1021" t="s">
        <v>43</v>
      </c>
      <c r="Y1021" t="str">
        <f t="shared" si="106"/>
        <v>No</v>
      </c>
      <c r="Z1021">
        <v>13</v>
      </c>
      <c r="AA1021">
        <v>3</v>
      </c>
      <c r="AB1021">
        <v>1</v>
      </c>
      <c r="AC1021">
        <v>80</v>
      </c>
      <c r="AD1021">
        <v>2</v>
      </c>
      <c r="AE1021" s="5">
        <v>11</v>
      </c>
      <c r="AF1021" t="str">
        <f t="shared" si="107"/>
        <v>6-15</v>
      </c>
      <c r="AG1021">
        <v>3</v>
      </c>
      <c r="AH1021">
        <v>2</v>
      </c>
      <c r="AI1021" s="5">
        <v>3</v>
      </c>
      <c r="AJ1021">
        <v>2</v>
      </c>
      <c r="AK1021">
        <v>0</v>
      </c>
      <c r="AL1021">
        <v>2</v>
      </c>
      <c r="AM1021" t="str">
        <f t="shared" si="108"/>
        <v>Below Avg</v>
      </c>
      <c r="AN1021" s="21">
        <f t="shared" si="109"/>
        <v>25.442477876106196</v>
      </c>
      <c r="AO1021" t="str">
        <f t="shared" ca="1" si="110"/>
        <v>No</v>
      </c>
      <c r="AP1021" t="str">
        <f t="shared" si="111"/>
        <v>Low Risk</v>
      </c>
    </row>
    <row r="1022" spans="1:42" x14ac:dyDescent="0.3">
      <c r="A1022" s="5">
        <v>47</v>
      </c>
      <c r="B1022" s="5" t="s">
        <v>43</v>
      </c>
      <c r="C1022" s="5" t="str">
        <f t="shared" si="105"/>
        <v>No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 s="5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 s="5">
        <v>3420</v>
      </c>
      <c r="U1022">
        <v>10205</v>
      </c>
      <c r="V1022">
        <v>7</v>
      </c>
      <c r="W1022" t="s">
        <v>42</v>
      </c>
      <c r="X1022" t="s">
        <v>43</v>
      </c>
      <c r="Y1022" t="str">
        <f t="shared" si="106"/>
        <v>No</v>
      </c>
      <c r="Z1022">
        <v>12</v>
      </c>
      <c r="AA1022">
        <v>3</v>
      </c>
      <c r="AB1022">
        <v>3</v>
      </c>
      <c r="AC1022">
        <v>80</v>
      </c>
      <c r="AD1022">
        <v>1</v>
      </c>
      <c r="AE1022" s="5">
        <v>17</v>
      </c>
      <c r="AF1022" t="str">
        <f t="shared" si="107"/>
        <v>&gt;15</v>
      </c>
      <c r="AG1022">
        <v>2</v>
      </c>
      <c r="AH1022">
        <v>2</v>
      </c>
      <c r="AI1022" s="5">
        <v>6</v>
      </c>
      <c r="AJ1022">
        <v>5</v>
      </c>
      <c r="AK1022">
        <v>1</v>
      </c>
      <c r="AL1022">
        <v>2</v>
      </c>
      <c r="AM1022" t="str">
        <f t="shared" si="108"/>
        <v>Below Avg</v>
      </c>
      <c r="AN1022" s="21">
        <f t="shared" si="109"/>
        <v>25.49889135254989</v>
      </c>
      <c r="AO1022" t="str">
        <f t="shared" ca="1" si="110"/>
        <v>No</v>
      </c>
      <c r="AP1022" t="str">
        <f t="shared" si="111"/>
        <v>Low Risk</v>
      </c>
    </row>
    <row r="1023" spans="1:42" x14ac:dyDescent="0.3">
      <c r="A1023" s="5">
        <v>25</v>
      </c>
      <c r="B1023" s="5" t="s">
        <v>35</v>
      </c>
      <c r="C1023" s="5" t="str">
        <f t="shared" si="105"/>
        <v>Yes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 s="5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 s="5">
        <v>4400</v>
      </c>
      <c r="U1023">
        <v>15182</v>
      </c>
      <c r="V1023">
        <v>3</v>
      </c>
      <c r="W1023" t="s">
        <v>42</v>
      </c>
      <c r="X1023" t="s">
        <v>43</v>
      </c>
      <c r="Y1023" t="str">
        <f t="shared" si="106"/>
        <v>No</v>
      </c>
      <c r="Z1023">
        <v>12</v>
      </c>
      <c r="AA1023">
        <v>3</v>
      </c>
      <c r="AB1023">
        <v>1</v>
      </c>
      <c r="AC1023">
        <v>80</v>
      </c>
      <c r="AD1023">
        <v>0</v>
      </c>
      <c r="AE1023" s="5">
        <v>6</v>
      </c>
      <c r="AF1023" t="str">
        <f t="shared" si="107"/>
        <v>6-15</v>
      </c>
      <c r="AG1023">
        <v>2</v>
      </c>
      <c r="AH1023">
        <v>3</v>
      </c>
      <c r="AI1023" s="5">
        <v>3</v>
      </c>
      <c r="AJ1023">
        <v>2</v>
      </c>
      <c r="AK1023">
        <v>2</v>
      </c>
      <c r="AL1023">
        <v>2</v>
      </c>
      <c r="AM1023" t="str">
        <f t="shared" si="108"/>
        <v>Below Avg</v>
      </c>
      <c r="AN1023" s="21">
        <f t="shared" si="109"/>
        <v>25.555555555555554</v>
      </c>
      <c r="AO1023" t="str">
        <f t="shared" ca="1" si="110"/>
        <v>No</v>
      </c>
      <c r="AP1023" t="str">
        <f t="shared" si="111"/>
        <v>Low Risk</v>
      </c>
    </row>
    <row r="1024" spans="1:42" x14ac:dyDescent="0.3">
      <c r="A1024" s="5">
        <v>37</v>
      </c>
      <c r="B1024" s="5" t="s">
        <v>43</v>
      </c>
      <c r="C1024" s="5" t="str">
        <f t="shared" si="105"/>
        <v>No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 s="5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 s="5">
        <v>3500</v>
      </c>
      <c r="U1024">
        <v>25470</v>
      </c>
      <c r="V1024">
        <v>0</v>
      </c>
      <c r="W1024" t="s">
        <v>42</v>
      </c>
      <c r="X1024" t="s">
        <v>43</v>
      </c>
      <c r="Y1024" t="str">
        <f t="shared" si="106"/>
        <v>No</v>
      </c>
      <c r="Z1024">
        <v>14</v>
      </c>
      <c r="AA1024">
        <v>3</v>
      </c>
      <c r="AB1024">
        <v>1</v>
      </c>
      <c r="AC1024">
        <v>80</v>
      </c>
      <c r="AD1024">
        <v>0</v>
      </c>
      <c r="AE1024" s="5">
        <v>7</v>
      </c>
      <c r="AF1024" t="str">
        <f t="shared" si="107"/>
        <v>6-15</v>
      </c>
      <c r="AG1024">
        <v>2</v>
      </c>
      <c r="AH1024">
        <v>1</v>
      </c>
      <c r="AI1024" s="5">
        <v>6</v>
      </c>
      <c r="AJ1024">
        <v>5</v>
      </c>
      <c r="AK1024">
        <v>1</v>
      </c>
      <c r="AL1024">
        <v>3</v>
      </c>
      <c r="AM1024" t="str">
        <f t="shared" si="108"/>
        <v>Below Avg</v>
      </c>
      <c r="AN1024" s="21">
        <f t="shared" si="109"/>
        <v>25.612472160356347</v>
      </c>
      <c r="AO1024" t="str">
        <f t="shared" ca="1" si="110"/>
        <v>No</v>
      </c>
      <c r="AP1024" t="str">
        <f t="shared" si="111"/>
        <v>Low Risk</v>
      </c>
    </row>
    <row r="1025" spans="1:42" x14ac:dyDescent="0.3">
      <c r="A1025" s="5">
        <v>56</v>
      </c>
      <c r="B1025" s="5" t="s">
        <v>43</v>
      </c>
      <c r="C1025" s="5" t="str">
        <f t="shared" si="105"/>
        <v>No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 s="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 s="5">
        <v>2066</v>
      </c>
      <c r="U1025">
        <v>10494</v>
      </c>
      <c r="V1025">
        <v>2</v>
      </c>
      <c r="W1025" t="s">
        <v>42</v>
      </c>
      <c r="X1025" t="s">
        <v>43</v>
      </c>
      <c r="Y1025" t="str">
        <f t="shared" si="106"/>
        <v>No</v>
      </c>
      <c r="Z1025">
        <v>22</v>
      </c>
      <c r="AA1025">
        <v>4</v>
      </c>
      <c r="AB1025">
        <v>4</v>
      </c>
      <c r="AC1025">
        <v>80</v>
      </c>
      <c r="AD1025">
        <v>1</v>
      </c>
      <c r="AE1025" s="5">
        <v>5</v>
      </c>
      <c r="AF1025" t="str">
        <f t="shared" si="107"/>
        <v>0-5</v>
      </c>
      <c r="AG1025">
        <v>3</v>
      </c>
      <c r="AH1025">
        <v>4</v>
      </c>
      <c r="AI1025" s="5">
        <v>3</v>
      </c>
      <c r="AJ1025">
        <v>2</v>
      </c>
      <c r="AK1025">
        <v>1</v>
      </c>
      <c r="AL1025">
        <v>0</v>
      </c>
      <c r="AM1025" t="str">
        <f t="shared" si="108"/>
        <v>Below Avg</v>
      </c>
      <c r="AN1025" s="21">
        <f t="shared" si="109"/>
        <v>25.669642857142854</v>
      </c>
      <c r="AO1025" t="str">
        <f t="shared" ca="1" si="110"/>
        <v>No</v>
      </c>
      <c r="AP1025" t="str">
        <f t="shared" si="111"/>
        <v>Low Risk</v>
      </c>
    </row>
    <row r="1026" spans="1:42" x14ac:dyDescent="0.3">
      <c r="A1026" s="5">
        <v>47</v>
      </c>
      <c r="B1026" s="5" t="s">
        <v>43</v>
      </c>
      <c r="C1026" s="5" t="str">
        <f t="shared" si="105"/>
        <v>No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 s="5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 s="5">
        <v>17169</v>
      </c>
      <c r="U1026">
        <v>26703</v>
      </c>
      <c r="V1026">
        <v>3</v>
      </c>
      <c r="W1026" t="s">
        <v>42</v>
      </c>
      <c r="X1026" t="s">
        <v>43</v>
      </c>
      <c r="Y1026" t="str">
        <f t="shared" si="106"/>
        <v>No</v>
      </c>
      <c r="Z1026">
        <v>19</v>
      </c>
      <c r="AA1026">
        <v>3</v>
      </c>
      <c r="AB1026">
        <v>2</v>
      </c>
      <c r="AC1026">
        <v>80</v>
      </c>
      <c r="AD1026">
        <v>2</v>
      </c>
      <c r="AE1026" s="5">
        <v>26</v>
      </c>
      <c r="AF1026" t="str">
        <f t="shared" si="107"/>
        <v>&gt;15</v>
      </c>
      <c r="AG1026">
        <v>2</v>
      </c>
      <c r="AH1026">
        <v>4</v>
      </c>
      <c r="AI1026" s="5">
        <v>20</v>
      </c>
      <c r="AJ1026">
        <v>17</v>
      </c>
      <c r="AK1026">
        <v>5</v>
      </c>
      <c r="AL1026">
        <v>6</v>
      </c>
      <c r="AM1026" t="str">
        <f t="shared" si="108"/>
        <v>Ok</v>
      </c>
      <c r="AN1026" s="21">
        <f t="shared" si="109"/>
        <v>25.727069351230426</v>
      </c>
      <c r="AO1026" t="str">
        <f t="shared" ca="1" si="110"/>
        <v>No</v>
      </c>
      <c r="AP1026" t="str">
        <f t="shared" si="111"/>
        <v>Low Risk</v>
      </c>
    </row>
    <row r="1027" spans="1:42" x14ac:dyDescent="0.3">
      <c r="A1027" s="5">
        <v>24</v>
      </c>
      <c r="B1027" s="5" t="s">
        <v>43</v>
      </c>
      <c r="C1027" s="5" t="str">
        <f t="shared" ref="C1027:C1090" si="112">IF(LOWER(B1027)="yes","Yes","No")</f>
        <v>No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 s="5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 s="5">
        <v>4162</v>
      </c>
      <c r="U1027">
        <v>15211</v>
      </c>
      <c r="V1027">
        <v>1</v>
      </c>
      <c r="W1027" t="s">
        <v>42</v>
      </c>
      <c r="X1027" t="s">
        <v>35</v>
      </c>
      <c r="Y1027" t="str">
        <f t="shared" ref="Y1027:Y1090" si="113">IF(LOWER(X1027)="yes","Yes","No")</f>
        <v>Yes</v>
      </c>
      <c r="Z1027">
        <v>12</v>
      </c>
      <c r="AA1027">
        <v>3</v>
      </c>
      <c r="AB1027">
        <v>3</v>
      </c>
      <c r="AC1027">
        <v>80</v>
      </c>
      <c r="AD1027">
        <v>2</v>
      </c>
      <c r="AE1027" s="5">
        <v>5</v>
      </c>
      <c r="AF1027" t="str">
        <f t="shared" ref="AF1027:AF1090" si="114">IF(AE1027&lt;=5,"0-5",IF(AE1027&lt;=15,"6-15","&gt;15"))</f>
        <v>0-5</v>
      </c>
      <c r="AG1027">
        <v>3</v>
      </c>
      <c r="AH1027">
        <v>3</v>
      </c>
      <c r="AI1027" s="5">
        <v>5</v>
      </c>
      <c r="AJ1027">
        <v>4</v>
      </c>
      <c r="AK1027">
        <v>0</v>
      </c>
      <c r="AL1027">
        <v>3</v>
      </c>
      <c r="AM1027" t="str">
        <f t="shared" ref="AM1027:AM1090" si="115">IF(T1027&lt;AVERAGEIF($F1026:$F2496,F1027,$T1026:$T2496),"Below Avg","Ok")</f>
        <v>Below Avg</v>
      </c>
      <c r="AN1027" s="21">
        <f t="shared" ref="AN1027:AN1090" si="116">COUNTIF(X1026:X2496,"Yes")/COUNTA(X1026:X2496)*100</f>
        <v>25.784753363228702</v>
      </c>
      <c r="AO1027" t="str">
        <f t="shared" ref="AO1027:AO1090" ca="1" si="117">IF(AND(AA1027&gt;=4,Z1027&lt;AVERAGEIF($F1026:$F2496,F1027,$Z1027:$Z2496)),"Yes","No")</f>
        <v>No</v>
      </c>
      <c r="AP1027" t="str">
        <f t="shared" ref="AP1027:AP1090" si="118">IF(AND(AI1027&lt;2,C1027="Yes"),"High Risk","Low Risk")</f>
        <v>Low Risk</v>
      </c>
    </row>
    <row r="1028" spans="1:42" x14ac:dyDescent="0.3">
      <c r="A1028" s="5">
        <v>32</v>
      </c>
      <c r="B1028" s="5" t="s">
        <v>43</v>
      </c>
      <c r="C1028" s="5" t="str">
        <f t="shared" si="112"/>
        <v>No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 s="5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 s="5">
        <v>9204</v>
      </c>
      <c r="U1028">
        <v>23343</v>
      </c>
      <c r="V1028">
        <v>4</v>
      </c>
      <c r="W1028" t="s">
        <v>42</v>
      </c>
      <c r="X1028" t="s">
        <v>43</v>
      </c>
      <c r="Y1028" t="str">
        <f t="shared" si="113"/>
        <v>No</v>
      </c>
      <c r="Z1028">
        <v>12</v>
      </c>
      <c r="AA1028">
        <v>3</v>
      </c>
      <c r="AB1028">
        <v>3</v>
      </c>
      <c r="AC1028">
        <v>80</v>
      </c>
      <c r="AD1028">
        <v>1</v>
      </c>
      <c r="AE1028" s="5">
        <v>7</v>
      </c>
      <c r="AF1028" t="str">
        <f t="shared" si="114"/>
        <v>6-15</v>
      </c>
      <c r="AG1028">
        <v>3</v>
      </c>
      <c r="AH1028">
        <v>2</v>
      </c>
      <c r="AI1028" s="5">
        <v>4</v>
      </c>
      <c r="AJ1028">
        <v>3</v>
      </c>
      <c r="AK1028">
        <v>0</v>
      </c>
      <c r="AL1028">
        <v>3</v>
      </c>
      <c r="AM1028" t="str">
        <f t="shared" si="115"/>
        <v>Ok</v>
      </c>
      <c r="AN1028" s="21">
        <f t="shared" si="116"/>
        <v>25.842696629213485</v>
      </c>
      <c r="AO1028" t="str">
        <f t="shared" ca="1" si="117"/>
        <v>No</v>
      </c>
      <c r="AP1028" t="str">
        <f t="shared" si="118"/>
        <v>Low Risk</v>
      </c>
    </row>
    <row r="1029" spans="1:42" x14ac:dyDescent="0.3">
      <c r="A1029" s="5">
        <v>34</v>
      </c>
      <c r="B1029" s="5" t="s">
        <v>43</v>
      </c>
      <c r="C1029" s="5" t="str">
        <f t="shared" si="112"/>
        <v>No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 s="5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 s="5">
        <v>3294</v>
      </c>
      <c r="U1029">
        <v>3708</v>
      </c>
      <c r="V1029">
        <v>5</v>
      </c>
      <c r="W1029" t="s">
        <v>42</v>
      </c>
      <c r="X1029" t="s">
        <v>43</v>
      </c>
      <c r="Y1029" t="str">
        <f t="shared" si="113"/>
        <v>No</v>
      </c>
      <c r="Z1029">
        <v>17</v>
      </c>
      <c r="AA1029">
        <v>3</v>
      </c>
      <c r="AB1029">
        <v>1</v>
      </c>
      <c r="AC1029">
        <v>80</v>
      </c>
      <c r="AD1029">
        <v>1</v>
      </c>
      <c r="AE1029" s="5">
        <v>7</v>
      </c>
      <c r="AF1029" t="str">
        <f t="shared" si="114"/>
        <v>6-15</v>
      </c>
      <c r="AG1029">
        <v>2</v>
      </c>
      <c r="AH1029">
        <v>2</v>
      </c>
      <c r="AI1029" s="5">
        <v>5</v>
      </c>
      <c r="AJ1029">
        <v>4</v>
      </c>
      <c r="AK1029">
        <v>0</v>
      </c>
      <c r="AL1029">
        <v>2</v>
      </c>
      <c r="AM1029" t="str">
        <f t="shared" si="115"/>
        <v>Below Avg</v>
      </c>
      <c r="AN1029" s="21">
        <f t="shared" si="116"/>
        <v>25.675675675675674</v>
      </c>
      <c r="AO1029" t="str">
        <f t="shared" ca="1" si="117"/>
        <v>No</v>
      </c>
      <c r="AP1029" t="str">
        <f t="shared" si="118"/>
        <v>Low Risk</v>
      </c>
    </row>
    <row r="1030" spans="1:42" x14ac:dyDescent="0.3">
      <c r="A1030" s="5">
        <v>41</v>
      </c>
      <c r="B1030" s="5" t="s">
        <v>43</v>
      </c>
      <c r="C1030" s="5" t="str">
        <f t="shared" si="112"/>
        <v>No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 s="5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 s="5">
        <v>2127</v>
      </c>
      <c r="U1030">
        <v>5561</v>
      </c>
      <c r="V1030">
        <v>2</v>
      </c>
      <c r="W1030" t="s">
        <v>42</v>
      </c>
      <c r="X1030" t="s">
        <v>35</v>
      </c>
      <c r="Y1030" t="str">
        <f t="shared" si="113"/>
        <v>Yes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 s="5">
        <v>7</v>
      </c>
      <c r="AF1030" t="str">
        <f t="shared" si="114"/>
        <v>6-15</v>
      </c>
      <c r="AG1030">
        <v>5</v>
      </c>
      <c r="AH1030">
        <v>2</v>
      </c>
      <c r="AI1030" s="5">
        <v>4</v>
      </c>
      <c r="AJ1030">
        <v>2</v>
      </c>
      <c r="AK1030">
        <v>0</v>
      </c>
      <c r="AL1030">
        <v>3</v>
      </c>
      <c r="AM1030" t="str">
        <f t="shared" si="115"/>
        <v>Below Avg</v>
      </c>
      <c r="AN1030" s="21">
        <f t="shared" si="116"/>
        <v>25.733634311512414</v>
      </c>
      <c r="AO1030" t="str">
        <f t="shared" ca="1" si="117"/>
        <v>No</v>
      </c>
      <c r="AP1030" t="str">
        <f t="shared" si="118"/>
        <v>Low Risk</v>
      </c>
    </row>
    <row r="1031" spans="1:42" x14ac:dyDescent="0.3">
      <c r="A1031" s="5">
        <v>40</v>
      </c>
      <c r="B1031" s="5" t="s">
        <v>43</v>
      </c>
      <c r="C1031" s="5" t="str">
        <f t="shared" si="112"/>
        <v>No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 s="5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 s="5">
        <v>3975</v>
      </c>
      <c r="U1031">
        <v>23099</v>
      </c>
      <c r="V1031">
        <v>3</v>
      </c>
      <c r="W1031" t="s">
        <v>42</v>
      </c>
      <c r="X1031" t="s">
        <v>43</v>
      </c>
      <c r="Y1031" t="str">
        <f t="shared" si="113"/>
        <v>No</v>
      </c>
      <c r="Z1031">
        <v>11</v>
      </c>
      <c r="AA1031">
        <v>3</v>
      </c>
      <c r="AB1031">
        <v>3</v>
      </c>
      <c r="AC1031">
        <v>80</v>
      </c>
      <c r="AD1031">
        <v>2</v>
      </c>
      <c r="AE1031" s="5">
        <v>11</v>
      </c>
      <c r="AF1031" t="str">
        <f t="shared" si="114"/>
        <v>6-15</v>
      </c>
      <c r="AG1031">
        <v>2</v>
      </c>
      <c r="AH1031">
        <v>4</v>
      </c>
      <c r="AI1031" s="5">
        <v>8</v>
      </c>
      <c r="AJ1031">
        <v>7</v>
      </c>
      <c r="AK1031">
        <v>0</v>
      </c>
      <c r="AL1031">
        <v>7</v>
      </c>
      <c r="AM1031" t="str">
        <f t="shared" si="115"/>
        <v>Below Avg</v>
      </c>
      <c r="AN1031" s="21">
        <f t="shared" si="116"/>
        <v>25.791855203619914</v>
      </c>
      <c r="AO1031" t="str">
        <f t="shared" ca="1" si="117"/>
        <v>No</v>
      </c>
      <c r="AP1031" t="str">
        <f t="shared" si="118"/>
        <v>Low Risk</v>
      </c>
    </row>
    <row r="1032" spans="1:42" x14ac:dyDescent="0.3">
      <c r="A1032" s="5">
        <v>31</v>
      </c>
      <c r="B1032" s="5" t="s">
        <v>43</v>
      </c>
      <c r="C1032" s="5" t="str">
        <f t="shared" si="112"/>
        <v>No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 s="5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 s="5">
        <v>10793</v>
      </c>
      <c r="U1032">
        <v>8386</v>
      </c>
      <c r="V1032">
        <v>1</v>
      </c>
      <c r="W1032" t="s">
        <v>42</v>
      </c>
      <c r="X1032" t="s">
        <v>43</v>
      </c>
      <c r="Y1032" t="str">
        <f t="shared" si="113"/>
        <v>No</v>
      </c>
      <c r="Z1032">
        <v>18</v>
      </c>
      <c r="AA1032">
        <v>3</v>
      </c>
      <c r="AB1032">
        <v>1</v>
      </c>
      <c r="AC1032">
        <v>80</v>
      </c>
      <c r="AD1032">
        <v>1</v>
      </c>
      <c r="AE1032" s="5">
        <v>13</v>
      </c>
      <c r="AF1032" t="str">
        <f t="shared" si="114"/>
        <v>6-15</v>
      </c>
      <c r="AG1032">
        <v>5</v>
      </c>
      <c r="AH1032">
        <v>3</v>
      </c>
      <c r="AI1032" s="5">
        <v>13</v>
      </c>
      <c r="AJ1032">
        <v>7</v>
      </c>
      <c r="AK1032">
        <v>9</v>
      </c>
      <c r="AL1032">
        <v>9</v>
      </c>
      <c r="AM1032" t="str">
        <f t="shared" si="115"/>
        <v>Ok</v>
      </c>
      <c r="AN1032" s="21">
        <f t="shared" si="116"/>
        <v>25.623582766439913</v>
      </c>
      <c r="AO1032" t="str">
        <f t="shared" ca="1" si="117"/>
        <v>No</v>
      </c>
      <c r="AP1032" t="str">
        <f t="shared" si="118"/>
        <v>Low Risk</v>
      </c>
    </row>
    <row r="1033" spans="1:42" x14ac:dyDescent="0.3">
      <c r="A1033" s="5">
        <v>46</v>
      </c>
      <c r="B1033" s="5" t="s">
        <v>35</v>
      </c>
      <c r="C1033" s="5" t="str">
        <f t="shared" si="112"/>
        <v>Yes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 s="5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 s="5">
        <v>10096</v>
      </c>
      <c r="U1033">
        <v>15986</v>
      </c>
      <c r="V1033">
        <v>4</v>
      </c>
      <c r="W1033" t="s">
        <v>42</v>
      </c>
      <c r="X1033" t="s">
        <v>43</v>
      </c>
      <c r="Y1033" t="str">
        <f t="shared" si="113"/>
        <v>No</v>
      </c>
      <c r="Z1033">
        <v>11</v>
      </c>
      <c r="AA1033">
        <v>3</v>
      </c>
      <c r="AB1033">
        <v>1</v>
      </c>
      <c r="AC1033">
        <v>80</v>
      </c>
      <c r="AD1033">
        <v>1</v>
      </c>
      <c r="AE1033" s="5">
        <v>28</v>
      </c>
      <c r="AF1033" t="str">
        <f t="shared" si="114"/>
        <v>&gt;15</v>
      </c>
      <c r="AG1033">
        <v>1</v>
      </c>
      <c r="AH1033">
        <v>4</v>
      </c>
      <c r="AI1033" s="5">
        <v>7</v>
      </c>
      <c r="AJ1033">
        <v>7</v>
      </c>
      <c r="AK1033">
        <v>4</v>
      </c>
      <c r="AL1033">
        <v>3</v>
      </c>
      <c r="AM1033" t="str">
        <f t="shared" si="115"/>
        <v>Ok</v>
      </c>
      <c r="AN1033" s="21">
        <f t="shared" si="116"/>
        <v>25.681818181818183</v>
      </c>
      <c r="AO1033" t="str">
        <f t="shared" ca="1" si="117"/>
        <v>No</v>
      </c>
      <c r="AP1033" t="str">
        <f t="shared" si="118"/>
        <v>Low Risk</v>
      </c>
    </row>
    <row r="1034" spans="1:42" x14ac:dyDescent="0.3">
      <c r="A1034" s="5">
        <v>39</v>
      </c>
      <c r="B1034" s="5" t="s">
        <v>35</v>
      </c>
      <c r="C1034" s="5" t="str">
        <f t="shared" si="112"/>
        <v>Yes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 s="5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 s="5">
        <v>3646</v>
      </c>
      <c r="U1034">
        <v>17181</v>
      </c>
      <c r="V1034">
        <v>2</v>
      </c>
      <c r="W1034" t="s">
        <v>42</v>
      </c>
      <c r="X1034" t="s">
        <v>35</v>
      </c>
      <c r="Y1034" t="str">
        <f t="shared" si="113"/>
        <v>Yes</v>
      </c>
      <c r="Z1034">
        <v>23</v>
      </c>
      <c r="AA1034">
        <v>4</v>
      </c>
      <c r="AB1034">
        <v>2</v>
      </c>
      <c r="AC1034">
        <v>80</v>
      </c>
      <c r="AD1034">
        <v>0</v>
      </c>
      <c r="AE1034" s="5">
        <v>11</v>
      </c>
      <c r="AF1034" t="str">
        <f t="shared" si="114"/>
        <v>6-15</v>
      </c>
      <c r="AG1034">
        <v>2</v>
      </c>
      <c r="AH1034">
        <v>4</v>
      </c>
      <c r="AI1034" s="5">
        <v>1</v>
      </c>
      <c r="AJ1034">
        <v>0</v>
      </c>
      <c r="AK1034">
        <v>0</v>
      </c>
      <c r="AL1034">
        <v>0</v>
      </c>
      <c r="AM1034" t="str">
        <f t="shared" si="115"/>
        <v>Below Avg</v>
      </c>
      <c r="AN1034" s="21">
        <f t="shared" si="116"/>
        <v>25.740318906605925</v>
      </c>
      <c r="AO1034" t="str">
        <f t="shared" ca="1" si="117"/>
        <v>No</v>
      </c>
      <c r="AP1034" t="str">
        <f t="shared" si="118"/>
        <v>High Risk</v>
      </c>
    </row>
    <row r="1035" spans="1:42" x14ac:dyDescent="0.3">
      <c r="A1035" s="5">
        <v>31</v>
      </c>
      <c r="B1035" s="5" t="s">
        <v>35</v>
      </c>
      <c r="C1035" s="5" t="str">
        <f t="shared" si="112"/>
        <v>Yes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 s="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 s="5">
        <v>7446</v>
      </c>
      <c r="U1035">
        <v>8931</v>
      </c>
      <c r="V1035">
        <v>1</v>
      </c>
      <c r="W1035" t="s">
        <v>42</v>
      </c>
      <c r="X1035" t="s">
        <v>43</v>
      </c>
      <c r="Y1035" t="str">
        <f t="shared" si="113"/>
        <v>No</v>
      </c>
      <c r="Z1035">
        <v>11</v>
      </c>
      <c r="AA1035">
        <v>3</v>
      </c>
      <c r="AB1035">
        <v>1</v>
      </c>
      <c r="AC1035">
        <v>80</v>
      </c>
      <c r="AD1035">
        <v>0</v>
      </c>
      <c r="AE1035" s="5">
        <v>10</v>
      </c>
      <c r="AF1035" t="str">
        <f t="shared" si="114"/>
        <v>6-15</v>
      </c>
      <c r="AG1035">
        <v>2</v>
      </c>
      <c r="AH1035">
        <v>3</v>
      </c>
      <c r="AI1035" s="5">
        <v>10</v>
      </c>
      <c r="AJ1035">
        <v>8</v>
      </c>
      <c r="AK1035">
        <v>4</v>
      </c>
      <c r="AL1035">
        <v>7</v>
      </c>
      <c r="AM1035" t="str">
        <f t="shared" si="115"/>
        <v>Ok</v>
      </c>
      <c r="AN1035" s="21">
        <f t="shared" si="116"/>
        <v>25.799086757990867</v>
      </c>
      <c r="AO1035" t="str">
        <f t="shared" ca="1" si="117"/>
        <v>No</v>
      </c>
      <c r="AP1035" t="str">
        <f t="shared" si="118"/>
        <v>Low Risk</v>
      </c>
    </row>
    <row r="1036" spans="1:42" x14ac:dyDescent="0.3">
      <c r="A1036" s="5">
        <v>45</v>
      </c>
      <c r="B1036" s="5" t="s">
        <v>43</v>
      </c>
      <c r="C1036" s="5" t="str">
        <f t="shared" si="112"/>
        <v>No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 s="5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 s="5">
        <v>10851</v>
      </c>
      <c r="U1036">
        <v>19863</v>
      </c>
      <c r="V1036">
        <v>2</v>
      </c>
      <c r="W1036" t="s">
        <v>42</v>
      </c>
      <c r="X1036" t="s">
        <v>35</v>
      </c>
      <c r="Y1036" t="str">
        <f t="shared" si="113"/>
        <v>Yes</v>
      </c>
      <c r="Z1036">
        <v>18</v>
      </c>
      <c r="AA1036">
        <v>3</v>
      </c>
      <c r="AB1036">
        <v>2</v>
      </c>
      <c r="AC1036">
        <v>80</v>
      </c>
      <c r="AD1036">
        <v>1</v>
      </c>
      <c r="AE1036" s="5">
        <v>24</v>
      </c>
      <c r="AF1036" t="str">
        <f t="shared" si="114"/>
        <v>&gt;15</v>
      </c>
      <c r="AG1036">
        <v>2</v>
      </c>
      <c r="AH1036">
        <v>3</v>
      </c>
      <c r="AI1036" s="5">
        <v>7</v>
      </c>
      <c r="AJ1036">
        <v>7</v>
      </c>
      <c r="AK1036">
        <v>0</v>
      </c>
      <c r="AL1036">
        <v>7</v>
      </c>
      <c r="AM1036" t="str">
        <f t="shared" si="115"/>
        <v>Ok</v>
      </c>
      <c r="AN1036" s="21">
        <f t="shared" si="116"/>
        <v>25.629290617848969</v>
      </c>
      <c r="AO1036" t="str">
        <f t="shared" ca="1" si="117"/>
        <v>No</v>
      </c>
      <c r="AP1036" t="str">
        <f t="shared" si="118"/>
        <v>Low Risk</v>
      </c>
    </row>
    <row r="1037" spans="1:42" x14ac:dyDescent="0.3">
      <c r="A1037" s="5">
        <v>31</v>
      </c>
      <c r="B1037" s="5" t="s">
        <v>43</v>
      </c>
      <c r="C1037" s="5" t="str">
        <f t="shared" si="112"/>
        <v>No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 s="5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 s="5">
        <v>2109</v>
      </c>
      <c r="U1037">
        <v>24609</v>
      </c>
      <c r="V1037">
        <v>9</v>
      </c>
      <c r="W1037" t="s">
        <v>42</v>
      </c>
      <c r="X1037" t="s">
        <v>43</v>
      </c>
      <c r="Y1037" t="str">
        <f t="shared" si="113"/>
        <v>No</v>
      </c>
      <c r="Z1037">
        <v>18</v>
      </c>
      <c r="AA1037">
        <v>3</v>
      </c>
      <c r="AB1037">
        <v>4</v>
      </c>
      <c r="AC1037">
        <v>80</v>
      </c>
      <c r="AD1037">
        <v>0</v>
      </c>
      <c r="AE1037" s="5">
        <v>8</v>
      </c>
      <c r="AF1037" t="str">
        <f t="shared" si="114"/>
        <v>6-15</v>
      </c>
      <c r="AG1037">
        <v>3</v>
      </c>
      <c r="AH1037">
        <v>3</v>
      </c>
      <c r="AI1037" s="5">
        <v>3</v>
      </c>
      <c r="AJ1037">
        <v>2</v>
      </c>
      <c r="AK1037">
        <v>0</v>
      </c>
      <c r="AL1037">
        <v>2</v>
      </c>
      <c r="AM1037" t="str">
        <f t="shared" si="115"/>
        <v>Below Avg</v>
      </c>
      <c r="AN1037" s="21">
        <f t="shared" si="116"/>
        <v>25.688073394495415</v>
      </c>
      <c r="AO1037" t="str">
        <f t="shared" ca="1" si="117"/>
        <v>No</v>
      </c>
      <c r="AP1037" t="str">
        <f t="shared" si="118"/>
        <v>Low Risk</v>
      </c>
    </row>
    <row r="1038" spans="1:42" x14ac:dyDescent="0.3">
      <c r="A1038" s="5">
        <v>31</v>
      </c>
      <c r="B1038" s="5" t="s">
        <v>35</v>
      </c>
      <c r="C1038" s="5" t="str">
        <f t="shared" si="112"/>
        <v>Yes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 s="5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 s="5">
        <v>3722</v>
      </c>
      <c r="U1038">
        <v>21081</v>
      </c>
      <c r="V1038">
        <v>6</v>
      </c>
      <c r="W1038" t="s">
        <v>42</v>
      </c>
      <c r="X1038" t="s">
        <v>35</v>
      </c>
      <c r="Y1038" t="str">
        <f t="shared" si="113"/>
        <v>Yes</v>
      </c>
      <c r="Z1038">
        <v>13</v>
      </c>
      <c r="AA1038">
        <v>3</v>
      </c>
      <c r="AB1038">
        <v>3</v>
      </c>
      <c r="AC1038">
        <v>80</v>
      </c>
      <c r="AD1038">
        <v>1</v>
      </c>
      <c r="AE1038" s="5">
        <v>7</v>
      </c>
      <c r="AF1038" t="str">
        <f t="shared" si="114"/>
        <v>6-15</v>
      </c>
      <c r="AG1038">
        <v>2</v>
      </c>
      <c r="AH1038">
        <v>1</v>
      </c>
      <c r="AI1038" s="5">
        <v>2</v>
      </c>
      <c r="AJ1038">
        <v>2</v>
      </c>
      <c r="AK1038">
        <v>2</v>
      </c>
      <c r="AL1038">
        <v>2</v>
      </c>
      <c r="AM1038" t="str">
        <f t="shared" si="115"/>
        <v>Below Avg</v>
      </c>
      <c r="AN1038" s="21">
        <f t="shared" si="116"/>
        <v>25.517241379310345</v>
      </c>
      <c r="AO1038" t="str">
        <f t="shared" ca="1" si="117"/>
        <v>No</v>
      </c>
      <c r="AP1038" t="str">
        <f t="shared" si="118"/>
        <v>Low Risk</v>
      </c>
    </row>
    <row r="1039" spans="1:42" x14ac:dyDescent="0.3">
      <c r="A1039" s="5">
        <v>45</v>
      </c>
      <c r="B1039" s="5" t="s">
        <v>43</v>
      </c>
      <c r="C1039" s="5" t="str">
        <f t="shared" si="112"/>
        <v>No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 s="5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 s="5">
        <v>9380</v>
      </c>
      <c r="U1039">
        <v>14720</v>
      </c>
      <c r="V1039">
        <v>4</v>
      </c>
      <c r="W1039" t="s">
        <v>42</v>
      </c>
      <c r="X1039" t="s">
        <v>35</v>
      </c>
      <c r="Y1039" t="str">
        <f t="shared" si="113"/>
        <v>Yes</v>
      </c>
      <c r="Z1039">
        <v>18</v>
      </c>
      <c r="AA1039">
        <v>3</v>
      </c>
      <c r="AB1039">
        <v>4</v>
      </c>
      <c r="AC1039">
        <v>80</v>
      </c>
      <c r="AD1039">
        <v>2</v>
      </c>
      <c r="AE1039" s="5">
        <v>10</v>
      </c>
      <c r="AF1039" t="str">
        <f t="shared" si="114"/>
        <v>6-15</v>
      </c>
      <c r="AG1039">
        <v>4</v>
      </c>
      <c r="AH1039">
        <v>4</v>
      </c>
      <c r="AI1039" s="5">
        <v>3</v>
      </c>
      <c r="AJ1039">
        <v>1</v>
      </c>
      <c r="AK1039">
        <v>1</v>
      </c>
      <c r="AL1039">
        <v>2</v>
      </c>
      <c r="AM1039" t="str">
        <f t="shared" si="115"/>
        <v>Ok</v>
      </c>
      <c r="AN1039" s="21">
        <f t="shared" si="116"/>
        <v>25.576036866359448</v>
      </c>
      <c r="AO1039" t="str">
        <f t="shared" ca="1" si="117"/>
        <v>No</v>
      </c>
      <c r="AP1039" t="str">
        <f t="shared" si="118"/>
        <v>Low Risk</v>
      </c>
    </row>
    <row r="1040" spans="1:42" x14ac:dyDescent="0.3">
      <c r="A1040" s="5">
        <v>48</v>
      </c>
      <c r="B1040" s="5" t="s">
        <v>43</v>
      </c>
      <c r="C1040" s="5" t="str">
        <f t="shared" si="112"/>
        <v>No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 s="5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 s="5">
        <v>5486</v>
      </c>
      <c r="U1040">
        <v>24795</v>
      </c>
      <c r="V1040">
        <v>4</v>
      </c>
      <c r="W1040" t="s">
        <v>42</v>
      </c>
      <c r="X1040" t="s">
        <v>43</v>
      </c>
      <c r="Y1040" t="str">
        <f t="shared" si="113"/>
        <v>No</v>
      </c>
      <c r="Z1040">
        <v>11</v>
      </c>
      <c r="AA1040">
        <v>3</v>
      </c>
      <c r="AB1040">
        <v>1</v>
      </c>
      <c r="AC1040">
        <v>80</v>
      </c>
      <c r="AD1040">
        <v>3</v>
      </c>
      <c r="AE1040" s="5">
        <v>15</v>
      </c>
      <c r="AF1040" t="str">
        <f t="shared" si="114"/>
        <v>6-15</v>
      </c>
      <c r="AG1040">
        <v>3</v>
      </c>
      <c r="AH1040">
        <v>3</v>
      </c>
      <c r="AI1040" s="5">
        <v>2</v>
      </c>
      <c r="AJ1040">
        <v>2</v>
      </c>
      <c r="AK1040">
        <v>2</v>
      </c>
      <c r="AL1040">
        <v>2</v>
      </c>
      <c r="AM1040" t="str">
        <f t="shared" si="115"/>
        <v>Below Avg</v>
      </c>
      <c r="AN1040" s="21">
        <f t="shared" si="116"/>
        <v>25.404157043879909</v>
      </c>
      <c r="AO1040" t="str">
        <f t="shared" ca="1" si="117"/>
        <v>No</v>
      </c>
      <c r="AP1040" t="str">
        <f t="shared" si="118"/>
        <v>Low Risk</v>
      </c>
    </row>
    <row r="1041" spans="1:42" x14ac:dyDescent="0.3">
      <c r="A1041" s="5">
        <v>34</v>
      </c>
      <c r="B1041" s="5" t="s">
        <v>35</v>
      </c>
      <c r="C1041" s="5" t="str">
        <f t="shared" si="112"/>
        <v>Yes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 s="5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 s="5">
        <v>2742</v>
      </c>
      <c r="U1041">
        <v>3072</v>
      </c>
      <c r="V1041">
        <v>1</v>
      </c>
      <c r="W1041" t="s">
        <v>42</v>
      </c>
      <c r="X1041" t="s">
        <v>43</v>
      </c>
      <c r="Y1041" t="str">
        <f t="shared" si="113"/>
        <v>No</v>
      </c>
      <c r="Z1041">
        <v>15</v>
      </c>
      <c r="AA1041">
        <v>3</v>
      </c>
      <c r="AB1041">
        <v>4</v>
      </c>
      <c r="AC1041">
        <v>80</v>
      </c>
      <c r="AD1041">
        <v>0</v>
      </c>
      <c r="AE1041" s="5">
        <v>2</v>
      </c>
      <c r="AF1041" t="str">
        <f t="shared" si="114"/>
        <v>0-5</v>
      </c>
      <c r="AG1041">
        <v>0</v>
      </c>
      <c r="AH1041">
        <v>3</v>
      </c>
      <c r="AI1041" s="5">
        <v>2</v>
      </c>
      <c r="AJ1041">
        <v>2</v>
      </c>
      <c r="AK1041">
        <v>2</v>
      </c>
      <c r="AL1041">
        <v>2</v>
      </c>
      <c r="AM1041" t="str">
        <f t="shared" si="115"/>
        <v>Below Avg</v>
      </c>
      <c r="AN1041" s="21">
        <f t="shared" si="116"/>
        <v>25.231481481481481</v>
      </c>
      <c r="AO1041" t="str">
        <f t="shared" ca="1" si="117"/>
        <v>No</v>
      </c>
      <c r="AP1041" t="str">
        <f t="shared" si="118"/>
        <v>Low Risk</v>
      </c>
    </row>
    <row r="1042" spans="1:42" x14ac:dyDescent="0.3">
      <c r="A1042" s="5">
        <v>40</v>
      </c>
      <c r="B1042" s="5" t="s">
        <v>43</v>
      </c>
      <c r="C1042" s="5" t="str">
        <f t="shared" si="112"/>
        <v>No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 s="5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 s="5">
        <v>13757</v>
      </c>
      <c r="U1042">
        <v>25178</v>
      </c>
      <c r="V1042">
        <v>2</v>
      </c>
      <c r="W1042" t="s">
        <v>42</v>
      </c>
      <c r="X1042" t="s">
        <v>43</v>
      </c>
      <c r="Y1042" t="str">
        <f t="shared" si="113"/>
        <v>No</v>
      </c>
      <c r="Z1042">
        <v>11</v>
      </c>
      <c r="AA1042">
        <v>3</v>
      </c>
      <c r="AB1042">
        <v>3</v>
      </c>
      <c r="AC1042">
        <v>80</v>
      </c>
      <c r="AD1042">
        <v>1</v>
      </c>
      <c r="AE1042" s="5">
        <v>16</v>
      </c>
      <c r="AF1042" t="str">
        <f t="shared" si="114"/>
        <v>&gt;15</v>
      </c>
      <c r="AG1042">
        <v>5</v>
      </c>
      <c r="AH1042">
        <v>3</v>
      </c>
      <c r="AI1042" s="5">
        <v>9</v>
      </c>
      <c r="AJ1042">
        <v>8</v>
      </c>
      <c r="AK1042">
        <v>4</v>
      </c>
      <c r="AL1042">
        <v>8</v>
      </c>
      <c r="AM1042" t="str">
        <f t="shared" si="115"/>
        <v>Ok</v>
      </c>
      <c r="AN1042" s="21">
        <f t="shared" si="116"/>
        <v>25.290023201856147</v>
      </c>
      <c r="AO1042" t="str">
        <f t="shared" ca="1" si="117"/>
        <v>No</v>
      </c>
      <c r="AP1042" t="str">
        <f t="shared" si="118"/>
        <v>Low Risk</v>
      </c>
    </row>
    <row r="1043" spans="1:42" x14ac:dyDescent="0.3">
      <c r="A1043" s="5">
        <v>28</v>
      </c>
      <c r="B1043" s="5" t="s">
        <v>43</v>
      </c>
      <c r="C1043" s="5" t="str">
        <f t="shared" si="112"/>
        <v>No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 s="5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 s="5">
        <v>8463</v>
      </c>
      <c r="U1043">
        <v>23490</v>
      </c>
      <c r="V1043">
        <v>0</v>
      </c>
      <c r="W1043" t="s">
        <v>42</v>
      </c>
      <c r="X1043" t="s">
        <v>43</v>
      </c>
      <c r="Y1043" t="str">
        <f t="shared" si="113"/>
        <v>No</v>
      </c>
      <c r="Z1043">
        <v>18</v>
      </c>
      <c r="AA1043">
        <v>3</v>
      </c>
      <c r="AB1043">
        <v>4</v>
      </c>
      <c r="AC1043">
        <v>80</v>
      </c>
      <c r="AD1043">
        <v>0</v>
      </c>
      <c r="AE1043" s="5">
        <v>6</v>
      </c>
      <c r="AF1043" t="str">
        <f t="shared" si="114"/>
        <v>6-15</v>
      </c>
      <c r="AG1043">
        <v>4</v>
      </c>
      <c r="AH1043">
        <v>3</v>
      </c>
      <c r="AI1043" s="5">
        <v>5</v>
      </c>
      <c r="AJ1043">
        <v>4</v>
      </c>
      <c r="AK1043">
        <v>1</v>
      </c>
      <c r="AL1043">
        <v>3</v>
      </c>
      <c r="AM1043" t="str">
        <f t="shared" si="115"/>
        <v>Ok</v>
      </c>
      <c r="AN1043" s="21">
        <f t="shared" si="116"/>
        <v>25.348837209302328</v>
      </c>
      <c r="AO1043" t="str">
        <f t="shared" ca="1" si="117"/>
        <v>No</v>
      </c>
      <c r="AP1043" t="str">
        <f t="shared" si="118"/>
        <v>Low Risk</v>
      </c>
    </row>
    <row r="1044" spans="1:42" x14ac:dyDescent="0.3">
      <c r="A1044" s="5">
        <v>44</v>
      </c>
      <c r="B1044" s="5" t="s">
        <v>43</v>
      </c>
      <c r="C1044" s="5" t="str">
        <f t="shared" si="112"/>
        <v>No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 s="5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 s="5">
        <v>3162</v>
      </c>
      <c r="U1044">
        <v>7973</v>
      </c>
      <c r="V1044">
        <v>3</v>
      </c>
      <c r="W1044" t="s">
        <v>42</v>
      </c>
      <c r="X1044" t="s">
        <v>43</v>
      </c>
      <c r="Y1044" t="str">
        <f t="shared" si="113"/>
        <v>No</v>
      </c>
      <c r="Z1044">
        <v>14</v>
      </c>
      <c r="AA1044">
        <v>3</v>
      </c>
      <c r="AB1044">
        <v>4</v>
      </c>
      <c r="AC1044">
        <v>80</v>
      </c>
      <c r="AD1044">
        <v>0</v>
      </c>
      <c r="AE1044" s="5">
        <v>7</v>
      </c>
      <c r="AF1044" t="str">
        <f t="shared" si="114"/>
        <v>6-15</v>
      </c>
      <c r="AG1044">
        <v>5</v>
      </c>
      <c r="AH1044">
        <v>3</v>
      </c>
      <c r="AI1044" s="5">
        <v>5</v>
      </c>
      <c r="AJ1044">
        <v>2</v>
      </c>
      <c r="AK1044">
        <v>0</v>
      </c>
      <c r="AL1044">
        <v>3</v>
      </c>
      <c r="AM1044" t="str">
        <f t="shared" si="115"/>
        <v>Below Avg</v>
      </c>
      <c r="AN1044" s="21">
        <f t="shared" si="116"/>
        <v>25.407925407925408</v>
      </c>
      <c r="AO1044" t="str">
        <f t="shared" ca="1" si="117"/>
        <v>No</v>
      </c>
      <c r="AP1044" t="str">
        <f t="shared" si="118"/>
        <v>Low Risk</v>
      </c>
    </row>
    <row r="1045" spans="1:42" x14ac:dyDescent="0.3">
      <c r="A1045" s="5">
        <v>53</v>
      </c>
      <c r="B1045" s="5" t="s">
        <v>43</v>
      </c>
      <c r="C1045" s="5" t="str">
        <f t="shared" si="112"/>
        <v>No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 s="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 s="5">
        <v>16598</v>
      </c>
      <c r="U1045">
        <v>19764</v>
      </c>
      <c r="V1045">
        <v>4</v>
      </c>
      <c r="W1045" t="s">
        <v>42</v>
      </c>
      <c r="X1045" t="s">
        <v>43</v>
      </c>
      <c r="Y1045" t="str">
        <f t="shared" si="113"/>
        <v>No</v>
      </c>
      <c r="Z1045">
        <v>12</v>
      </c>
      <c r="AA1045">
        <v>3</v>
      </c>
      <c r="AB1045">
        <v>2</v>
      </c>
      <c r="AC1045">
        <v>80</v>
      </c>
      <c r="AD1045">
        <v>0</v>
      </c>
      <c r="AE1045" s="5">
        <v>35</v>
      </c>
      <c r="AF1045" t="str">
        <f t="shared" si="114"/>
        <v>&gt;15</v>
      </c>
      <c r="AG1045">
        <v>2</v>
      </c>
      <c r="AH1045">
        <v>2</v>
      </c>
      <c r="AI1045" s="5">
        <v>9</v>
      </c>
      <c r="AJ1045">
        <v>8</v>
      </c>
      <c r="AK1045">
        <v>8</v>
      </c>
      <c r="AL1045">
        <v>8</v>
      </c>
      <c r="AM1045" t="str">
        <f t="shared" si="115"/>
        <v>Ok</v>
      </c>
      <c r="AN1045" s="21">
        <f t="shared" si="116"/>
        <v>25.467289719626169</v>
      </c>
      <c r="AO1045" t="str">
        <f t="shared" ca="1" si="117"/>
        <v>No</v>
      </c>
      <c r="AP1045" t="str">
        <f t="shared" si="118"/>
        <v>Low Risk</v>
      </c>
    </row>
    <row r="1046" spans="1:42" x14ac:dyDescent="0.3">
      <c r="A1046" s="5">
        <v>49</v>
      </c>
      <c r="B1046" s="5" t="s">
        <v>43</v>
      </c>
      <c r="C1046" s="5" t="str">
        <f t="shared" si="112"/>
        <v>No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 s="5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 s="5">
        <v>6651</v>
      </c>
      <c r="U1046">
        <v>21534</v>
      </c>
      <c r="V1046">
        <v>2</v>
      </c>
      <c r="W1046" t="s">
        <v>42</v>
      </c>
      <c r="X1046" t="s">
        <v>43</v>
      </c>
      <c r="Y1046" t="str">
        <f t="shared" si="113"/>
        <v>No</v>
      </c>
      <c r="Z1046">
        <v>14</v>
      </c>
      <c r="AA1046">
        <v>3</v>
      </c>
      <c r="AB1046">
        <v>2</v>
      </c>
      <c r="AC1046">
        <v>80</v>
      </c>
      <c r="AD1046">
        <v>1</v>
      </c>
      <c r="AE1046" s="5">
        <v>20</v>
      </c>
      <c r="AF1046" t="str">
        <f t="shared" si="114"/>
        <v>&gt;15</v>
      </c>
      <c r="AG1046">
        <v>0</v>
      </c>
      <c r="AH1046">
        <v>2</v>
      </c>
      <c r="AI1046" s="5">
        <v>3</v>
      </c>
      <c r="AJ1046">
        <v>2</v>
      </c>
      <c r="AK1046">
        <v>1</v>
      </c>
      <c r="AL1046">
        <v>2</v>
      </c>
      <c r="AM1046" t="str">
        <f t="shared" si="115"/>
        <v>Ok</v>
      </c>
      <c r="AN1046" s="21">
        <f t="shared" si="116"/>
        <v>25.526932084309134</v>
      </c>
      <c r="AO1046" t="str">
        <f t="shared" ca="1" si="117"/>
        <v>No</v>
      </c>
      <c r="AP1046" t="str">
        <f t="shared" si="118"/>
        <v>Low Risk</v>
      </c>
    </row>
    <row r="1047" spans="1:42" x14ac:dyDescent="0.3">
      <c r="A1047" s="5">
        <v>40</v>
      </c>
      <c r="B1047" s="5" t="s">
        <v>43</v>
      </c>
      <c r="C1047" s="5" t="str">
        <f t="shared" si="112"/>
        <v>No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 s="5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 s="5">
        <v>2345</v>
      </c>
      <c r="U1047">
        <v>8045</v>
      </c>
      <c r="V1047">
        <v>2</v>
      </c>
      <c r="W1047" t="s">
        <v>42</v>
      </c>
      <c r="X1047" t="s">
        <v>43</v>
      </c>
      <c r="Y1047" t="str">
        <f t="shared" si="113"/>
        <v>No</v>
      </c>
      <c r="Z1047">
        <v>14</v>
      </c>
      <c r="AA1047">
        <v>3</v>
      </c>
      <c r="AB1047">
        <v>3</v>
      </c>
      <c r="AC1047">
        <v>80</v>
      </c>
      <c r="AD1047">
        <v>1</v>
      </c>
      <c r="AE1047" s="5">
        <v>8</v>
      </c>
      <c r="AF1047" t="str">
        <f t="shared" si="114"/>
        <v>6-15</v>
      </c>
      <c r="AG1047">
        <v>3</v>
      </c>
      <c r="AH1047">
        <v>4</v>
      </c>
      <c r="AI1047" s="5">
        <v>3</v>
      </c>
      <c r="AJ1047">
        <v>1</v>
      </c>
      <c r="AK1047">
        <v>1</v>
      </c>
      <c r="AL1047">
        <v>2</v>
      </c>
      <c r="AM1047" t="str">
        <f t="shared" si="115"/>
        <v>Below Avg</v>
      </c>
      <c r="AN1047" s="21">
        <f t="shared" si="116"/>
        <v>25.586854460093893</v>
      </c>
      <c r="AO1047" t="str">
        <f t="shared" ca="1" si="117"/>
        <v>No</v>
      </c>
      <c r="AP1047" t="str">
        <f t="shared" si="118"/>
        <v>Low Risk</v>
      </c>
    </row>
    <row r="1048" spans="1:42" x14ac:dyDescent="0.3">
      <c r="A1048" s="5">
        <v>44</v>
      </c>
      <c r="B1048" s="5" t="s">
        <v>43</v>
      </c>
      <c r="C1048" s="5" t="str">
        <f t="shared" si="112"/>
        <v>No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 s="5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 s="5">
        <v>3420</v>
      </c>
      <c r="U1048">
        <v>21158</v>
      </c>
      <c r="V1048">
        <v>1</v>
      </c>
      <c r="W1048" t="s">
        <v>42</v>
      </c>
      <c r="X1048" t="s">
        <v>43</v>
      </c>
      <c r="Y1048" t="str">
        <f t="shared" si="113"/>
        <v>No</v>
      </c>
      <c r="Z1048">
        <v>13</v>
      </c>
      <c r="AA1048">
        <v>3</v>
      </c>
      <c r="AB1048">
        <v>3</v>
      </c>
      <c r="AC1048">
        <v>80</v>
      </c>
      <c r="AD1048">
        <v>0</v>
      </c>
      <c r="AE1048" s="5">
        <v>6</v>
      </c>
      <c r="AF1048" t="str">
        <f t="shared" si="114"/>
        <v>6-15</v>
      </c>
      <c r="AG1048">
        <v>3</v>
      </c>
      <c r="AH1048">
        <v>2</v>
      </c>
      <c r="AI1048" s="5">
        <v>5</v>
      </c>
      <c r="AJ1048">
        <v>2</v>
      </c>
      <c r="AK1048">
        <v>1</v>
      </c>
      <c r="AL1048">
        <v>3</v>
      </c>
      <c r="AM1048" t="str">
        <f t="shared" si="115"/>
        <v>Below Avg</v>
      </c>
      <c r="AN1048" s="21">
        <f t="shared" si="116"/>
        <v>25.647058823529413</v>
      </c>
      <c r="AO1048" t="str">
        <f t="shared" ca="1" si="117"/>
        <v>No</v>
      </c>
      <c r="AP1048" t="str">
        <f t="shared" si="118"/>
        <v>Low Risk</v>
      </c>
    </row>
    <row r="1049" spans="1:42" x14ac:dyDescent="0.3">
      <c r="A1049" s="5">
        <v>33</v>
      </c>
      <c r="B1049" s="5" t="s">
        <v>43</v>
      </c>
      <c r="C1049" s="5" t="str">
        <f t="shared" si="112"/>
        <v>No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 s="5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 s="5">
        <v>4373</v>
      </c>
      <c r="U1049">
        <v>17456</v>
      </c>
      <c r="V1049">
        <v>0</v>
      </c>
      <c r="W1049" t="s">
        <v>42</v>
      </c>
      <c r="X1049" t="s">
        <v>43</v>
      </c>
      <c r="Y1049" t="str">
        <f t="shared" si="113"/>
        <v>No</v>
      </c>
      <c r="Z1049">
        <v>14</v>
      </c>
      <c r="AA1049">
        <v>3</v>
      </c>
      <c r="AB1049">
        <v>1</v>
      </c>
      <c r="AC1049">
        <v>80</v>
      </c>
      <c r="AD1049">
        <v>2</v>
      </c>
      <c r="AE1049" s="5">
        <v>5</v>
      </c>
      <c r="AF1049" t="str">
        <f t="shared" si="114"/>
        <v>0-5</v>
      </c>
      <c r="AG1049">
        <v>2</v>
      </c>
      <c r="AH1049">
        <v>3</v>
      </c>
      <c r="AI1049" s="5">
        <v>4</v>
      </c>
      <c r="AJ1049">
        <v>3</v>
      </c>
      <c r="AK1049">
        <v>0</v>
      </c>
      <c r="AL1049">
        <v>3</v>
      </c>
      <c r="AM1049" t="str">
        <f t="shared" si="115"/>
        <v>Below Avg</v>
      </c>
      <c r="AN1049" s="21">
        <f t="shared" si="116"/>
        <v>25.707547169811324</v>
      </c>
      <c r="AO1049" t="str">
        <f t="shared" ca="1" si="117"/>
        <v>No</v>
      </c>
      <c r="AP1049" t="str">
        <f t="shared" si="118"/>
        <v>Low Risk</v>
      </c>
    </row>
    <row r="1050" spans="1:42" x14ac:dyDescent="0.3">
      <c r="A1050" s="5">
        <v>34</v>
      </c>
      <c r="B1050" s="5" t="s">
        <v>43</v>
      </c>
      <c r="C1050" s="5" t="str">
        <f t="shared" si="112"/>
        <v>No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 s="5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 s="5">
        <v>4759</v>
      </c>
      <c r="U1050">
        <v>15891</v>
      </c>
      <c r="V1050">
        <v>3</v>
      </c>
      <c r="W1050" t="s">
        <v>42</v>
      </c>
      <c r="X1050" t="s">
        <v>43</v>
      </c>
      <c r="Y1050" t="str">
        <f t="shared" si="113"/>
        <v>No</v>
      </c>
      <c r="Z1050">
        <v>18</v>
      </c>
      <c r="AA1050">
        <v>3</v>
      </c>
      <c r="AB1050">
        <v>4</v>
      </c>
      <c r="AC1050">
        <v>80</v>
      </c>
      <c r="AD1050">
        <v>0</v>
      </c>
      <c r="AE1050" s="5">
        <v>15</v>
      </c>
      <c r="AF1050" t="str">
        <f t="shared" si="114"/>
        <v>6-15</v>
      </c>
      <c r="AG1050">
        <v>2</v>
      </c>
      <c r="AH1050">
        <v>3</v>
      </c>
      <c r="AI1050" s="5">
        <v>13</v>
      </c>
      <c r="AJ1050">
        <v>9</v>
      </c>
      <c r="AK1050">
        <v>3</v>
      </c>
      <c r="AL1050">
        <v>12</v>
      </c>
      <c r="AM1050" t="str">
        <f t="shared" si="115"/>
        <v>Below Avg</v>
      </c>
      <c r="AN1050" s="21">
        <f t="shared" si="116"/>
        <v>25.768321513002363</v>
      </c>
      <c r="AO1050" t="str">
        <f t="shared" ca="1" si="117"/>
        <v>No</v>
      </c>
      <c r="AP1050" t="str">
        <f t="shared" si="118"/>
        <v>Low Risk</v>
      </c>
    </row>
    <row r="1051" spans="1:42" x14ac:dyDescent="0.3">
      <c r="A1051" s="5">
        <v>30</v>
      </c>
      <c r="B1051" s="5" t="s">
        <v>43</v>
      </c>
      <c r="C1051" s="5" t="str">
        <f t="shared" si="112"/>
        <v>No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 s="5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 s="5">
        <v>5301</v>
      </c>
      <c r="U1051">
        <v>2939</v>
      </c>
      <c r="V1051">
        <v>8</v>
      </c>
      <c r="W1051" t="s">
        <v>42</v>
      </c>
      <c r="X1051" t="s">
        <v>43</v>
      </c>
      <c r="Y1051" t="str">
        <f t="shared" si="113"/>
        <v>No</v>
      </c>
      <c r="Z1051">
        <v>15</v>
      </c>
      <c r="AA1051">
        <v>3</v>
      </c>
      <c r="AB1051">
        <v>3</v>
      </c>
      <c r="AC1051">
        <v>80</v>
      </c>
      <c r="AD1051">
        <v>2</v>
      </c>
      <c r="AE1051" s="5">
        <v>4</v>
      </c>
      <c r="AF1051" t="str">
        <f t="shared" si="114"/>
        <v>0-5</v>
      </c>
      <c r="AG1051">
        <v>2</v>
      </c>
      <c r="AH1051">
        <v>2</v>
      </c>
      <c r="AI1051" s="5">
        <v>2</v>
      </c>
      <c r="AJ1051">
        <v>1</v>
      </c>
      <c r="AK1051">
        <v>2</v>
      </c>
      <c r="AL1051">
        <v>2</v>
      </c>
      <c r="AM1051" t="str">
        <f t="shared" si="115"/>
        <v>Below Avg</v>
      </c>
      <c r="AN1051" s="21">
        <f t="shared" si="116"/>
        <v>25.829383886255926</v>
      </c>
      <c r="AO1051" t="str">
        <f t="shared" ca="1" si="117"/>
        <v>No</v>
      </c>
      <c r="AP1051" t="str">
        <f t="shared" si="118"/>
        <v>Low Risk</v>
      </c>
    </row>
    <row r="1052" spans="1:42" x14ac:dyDescent="0.3">
      <c r="A1052" s="5">
        <v>42</v>
      </c>
      <c r="B1052" s="5" t="s">
        <v>43</v>
      </c>
      <c r="C1052" s="5" t="str">
        <f t="shared" si="112"/>
        <v>No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 s="5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 s="5">
        <v>3673</v>
      </c>
      <c r="U1052">
        <v>16458</v>
      </c>
      <c r="V1052">
        <v>1</v>
      </c>
      <c r="W1052" t="s">
        <v>42</v>
      </c>
      <c r="X1052" t="s">
        <v>43</v>
      </c>
      <c r="Y1052" t="str">
        <f t="shared" si="113"/>
        <v>No</v>
      </c>
      <c r="Z1052">
        <v>13</v>
      </c>
      <c r="AA1052">
        <v>3</v>
      </c>
      <c r="AB1052">
        <v>3</v>
      </c>
      <c r="AC1052">
        <v>80</v>
      </c>
      <c r="AD1052">
        <v>0</v>
      </c>
      <c r="AE1052" s="5">
        <v>12</v>
      </c>
      <c r="AF1052" t="str">
        <f t="shared" si="114"/>
        <v>6-15</v>
      </c>
      <c r="AG1052">
        <v>3</v>
      </c>
      <c r="AH1052">
        <v>3</v>
      </c>
      <c r="AI1052" s="5">
        <v>12</v>
      </c>
      <c r="AJ1052">
        <v>9</v>
      </c>
      <c r="AK1052">
        <v>5</v>
      </c>
      <c r="AL1052">
        <v>8</v>
      </c>
      <c r="AM1052" t="str">
        <f t="shared" si="115"/>
        <v>Below Avg</v>
      </c>
      <c r="AN1052" s="21">
        <f t="shared" si="116"/>
        <v>25.890736342042754</v>
      </c>
      <c r="AO1052" t="str">
        <f t="shared" ca="1" si="117"/>
        <v>No</v>
      </c>
      <c r="AP1052" t="str">
        <f t="shared" si="118"/>
        <v>Low Risk</v>
      </c>
    </row>
    <row r="1053" spans="1:42" x14ac:dyDescent="0.3">
      <c r="A1053" s="5">
        <v>44</v>
      </c>
      <c r="B1053" s="5" t="s">
        <v>43</v>
      </c>
      <c r="C1053" s="5" t="str">
        <f t="shared" si="112"/>
        <v>No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 s="5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 s="5">
        <v>4768</v>
      </c>
      <c r="U1053">
        <v>9282</v>
      </c>
      <c r="V1053">
        <v>7</v>
      </c>
      <c r="W1053" t="s">
        <v>42</v>
      </c>
      <c r="X1053" t="s">
        <v>43</v>
      </c>
      <c r="Y1053" t="str">
        <f t="shared" si="113"/>
        <v>No</v>
      </c>
      <c r="Z1053">
        <v>12</v>
      </c>
      <c r="AA1053">
        <v>3</v>
      </c>
      <c r="AB1053">
        <v>3</v>
      </c>
      <c r="AC1053">
        <v>80</v>
      </c>
      <c r="AD1053">
        <v>1</v>
      </c>
      <c r="AE1053" s="5">
        <v>11</v>
      </c>
      <c r="AF1053" t="str">
        <f t="shared" si="114"/>
        <v>6-15</v>
      </c>
      <c r="AG1053">
        <v>4</v>
      </c>
      <c r="AH1053">
        <v>2</v>
      </c>
      <c r="AI1053" s="5">
        <v>1</v>
      </c>
      <c r="AJ1053">
        <v>0</v>
      </c>
      <c r="AK1053">
        <v>0</v>
      </c>
      <c r="AL1053">
        <v>0</v>
      </c>
      <c r="AM1053" t="str">
        <f t="shared" si="115"/>
        <v>Below Avg</v>
      </c>
      <c r="AN1053" s="21">
        <f t="shared" si="116"/>
        <v>25.952380952380956</v>
      </c>
      <c r="AO1053" t="str">
        <f t="shared" ca="1" si="117"/>
        <v>No</v>
      </c>
      <c r="AP1053" t="str">
        <f t="shared" si="118"/>
        <v>Low Risk</v>
      </c>
    </row>
    <row r="1054" spans="1:42" x14ac:dyDescent="0.3">
      <c r="A1054" s="5">
        <v>30</v>
      </c>
      <c r="B1054" s="5" t="s">
        <v>43</v>
      </c>
      <c r="C1054" s="5" t="str">
        <f t="shared" si="112"/>
        <v>No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 s="5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 s="5">
        <v>1274</v>
      </c>
      <c r="U1054">
        <v>7152</v>
      </c>
      <c r="V1054">
        <v>1</v>
      </c>
      <c r="W1054" t="s">
        <v>42</v>
      </c>
      <c r="X1054" t="s">
        <v>43</v>
      </c>
      <c r="Y1054" t="str">
        <f t="shared" si="113"/>
        <v>No</v>
      </c>
      <c r="Z1054">
        <v>13</v>
      </c>
      <c r="AA1054">
        <v>3</v>
      </c>
      <c r="AB1054">
        <v>2</v>
      </c>
      <c r="AC1054">
        <v>80</v>
      </c>
      <c r="AD1054">
        <v>2</v>
      </c>
      <c r="AE1054" s="5">
        <v>1</v>
      </c>
      <c r="AF1054" t="str">
        <f t="shared" si="114"/>
        <v>0-5</v>
      </c>
      <c r="AG1054">
        <v>2</v>
      </c>
      <c r="AH1054">
        <v>2</v>
      </c>
      <c r="AI1054" s="5">
        <v>1</v>
      </c>
      <c r="AJ1054">
        <v>0</v>
      </c>
      <c r="AK1054">
        <v>0</v>
      </c>
      <c r="AL1054">
        <v>0</v>
      </c>
      <c r="AM1054" t="str">
        <f t="shared" si="115"/>
        <v>Below Avg</v>
      </c>
      <c r="AN1054" s="21">
        <f t="shared" si="116"/>
        <v>26.014319809069214</v>
      </c>
      <c r="AO1054" t="str">
        <f t="shared" ca="1" si="117"/>
        <v>No</v>
      </c>
      <c r="AP1054" t="str">
        <f t="shared" si="118"/>
        <v>Low Risk</v>
      </c>
    </row>
    <row r="1055" spans="1:42" x14ac:dyDescent="0.3">
      <c r="A1055" s="5">
        <v>57</v>
      </c>
      <c r="B1055" s="5" t="s">
        <v>43</v>
      </c>
      <c r="C1055" s="5" t="str">
        <f t="shared" si="112"/>
        <v>No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 s="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 s="5">
        <v>4900</v>
      </c>
      <c r="U1055">
        <v>2721</v>
      </c>
      <c r="V1055">
        <v>0</v>
      </c>
      <c r="W1055" t="s">
        <v>42</v>
      </c>
      <c r="X1055" t="s">
        <v>43</v>
      </c>
      <c r="Y1055" t="str">
        <f t="shared" si="113"/>
        <v>No</v>
      </c>
      <c r="Z1055">
        <v>24</v>
      </c>
      <c r="AA1055">
        <v>4</v>
      </c>
      <c r="AB1055">
        <v>1</v>
      </c>
      <c r="AC1055">
        <v>80</v>
      </c>
      <c r="AD1055">
        <v>1</v>
      </c>
      <c r="AE1055" s="5">
        <v>13</v>
      </c>
      <c r="AF1055" t="str">
        <f t="shared" si="114"/>
        <v>6-15</v>
      </c>
      <c r="AG1055">
        <v>2</v>
      </c>
      <c r="AH1055">
        <v>2</v>
      </c>
      <c r="AI1055" s="5">
        <v>12</v>
      </c>
      <c r="AJ1055">
        <v>9</v>
      </c>
      <c r="AK1055">
        <v>2</v>
      </c>
      <c r="AL1055">
        <v>8</v>
      </c>
      <c r="AM1055" t="str">
        <f t="shared" si="115"/>
        <v>Below Avg</v>
      </c>
      <c r="AN1055" s="21">
        <f t="shared" si="116"/>
        <v>26.076555023923444</v>
      </c>
      <c r="AO1055" t="str">
        <f t="shared" ca="1" si="117"/>
        <v>No</v>
      </c>
      <c r="AP1055" t="str">
        <f t="shared" si="118"/>
        <v>Low Risk</v>
      </c>
    </row>
    <row r="1056" spans="1:42" x14ac:dyDescent="0.3">
      <c r="A1056" s="5">
        <v>49</v>
      </c>
      <c r="B1056" s="5" t="s">
        <v>43</v>
      </c>
      <c r="C1056" s="5" t="str">
        <f t="shared" si="112"/>
        <v>No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 s="5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 s="5">
        <v>10466</v>
      </c>
      <c r="U1056">
        <v>20948</v>
      </c>
      <c r="V1056">
        <v>3</v>
      </c>
      <c r="W1056" t="s">
        <v>42</v>
      </c>
      <c r="X1056" t="s">
        <v>43</v>
      </c>
      <c r="Y1056" t="str">
        <f t="shared" si="113"/>
        <v>No</v>
      </c>
      <c r="Z1056">
        <v>14</v>
      </c>
      <c r="AA1056">
        <v>3</v>
      </c>
      <c r="AB1056">
        <v>2</v>
      </c>
      <c r="AC1056">
        <v>80</v>
      </c>
      <c r="AD1056">
        <v>2</v>
      </c>
      <c r="AE1056" s="5">
        <v>29</v>
      </c>
      <c r="AF1056" t="str">
        <f t="shared" si="114"/>
        <v>&gt;15</v>
      </c>
      <c r="AG1056">
        <v>3</v>
      </c>
      <c r="AH1056">
        <v>3</v>
      </c>
      <c r="AI1056" s="5">
        <v>8</v>
      </c>
      <c r="AJ1056">
        <v>7</v>
      </c>
      <c r="AK1056">
        <v>0</v>
      </c>
      <c r="AL1056">
        <v>7</v>
      </c>
      <c r="AM1056" t="str">
        <f t="shared" si="115"/>
        <v>Ok</v>
      </c>
      <c r="AN1056" s="21">
        <f t="shared" si="116"/>
        <v>26.139088729016784</v>
      </c>
      <c r="AO1056" t="str">
        <f t="shared" ca="1" si="117"/>
        <v>No</v>
      </c>
      <c r="AP1056" t="str">
        <f t="shared" si="118"/>
        <v>Low Risk</v>
      </c>
    </row>
    <row r="1057" spans="1:42" x14ac:dyDescent="0.3">
      <c r="A1057" s="5">
        <v>34</v>
      </c>
      <c r="B1057" s="5" t="s">
        <v>43</v>
      </c>
      <c r="C1057" s="5" t="str">
        <f t="shared" si="112"/>
        <v>No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 s="5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 s="5">
        <v>17007</v>
      </c>
      <c r="U1057">
        <v>11929</v>
      </c>
      <c r="V1057">
        <v>7</v>
      </c>
      <c r="W1057" t="s">
        <v>42</v>
      </c>
      <c r="X1057" t="s">
        <v>43</v>
      </c>
      <c r="Y1057" t="str">
        <f t="shared" si="113"/>
        <v>No</v>
      </c>
      <c r="Z1057">
        <v>14</v>
      </c>
      <c r="AA1057">
        <v>3</v>
      </c>
      <c r="AB1057">
        <v>4</v>
      </c>
      <c r="AC1057">
        <v>80</v>
      </c>
      <c r="AD1057">
        <v>2</v>
      </c>
      <c r="AE1057" s="5">
        <v>16</v>
      </c>
      <c r="AF1057" t="str">
        <f t="shared" si="114"/>
        <v>&gt;15</v>
      </c>
      <c r="AG1057">
        <v>3</v>
      </c>
      <c r="AH1057">
        <v>2</v>
      </c>
      <c r="AI1057" s="5">
        <v>14</v>
      </c>
      <c r="AJ1057">
        <v>8</v>
      </c>
      <c r="AK1057">
        <v>6</v>
      </c>
      <c r="AL1057">
        <v>9</v>
      </c>
      <c r="AM1057" t="str">
        <f t="shared" si="115"/>
        <v>Ok</v>
      </c>
      <c r="AN1057" s="21">
        <f t="shared" si="116"/>
        <v>26.201923076923077</v>
      </c>
      <c r="AO1057" t="str">
        <f t="shared" ca="1" si="117"/>
        <v>No</v>
      </c>
      <c r="AP1057" t="str">
        <f t="shared" si="118"/>
        <v>Low Risk</v>
      </c>
    </row>
    <row r="1058" spans="1:42" x14ac:dyDescent="0.3">
      <c r="A1058" s="5">
        <v>28</v>
      </c>
      <c r="B1058" s="5" t="s">
        <v>35</v>
      </c>
      <c r="C1058" s="5" t="str">
        <f t="shared" si="112"/>
        <v>Yes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 s="5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 s="5">
        <v>2909</v>
      </c>
      <c r="U1058">
        <v>15747</v>
      </c>
      <c r="V1058">
        <v>3</v>
      </c>
      <c r="W1058" t="s">
        <v>42</v>
      </c>
      <c r="X1058" t="s">
        <v>43</v>
      </c>
      <c r="Y1058" t="str">
        <f t="shared" si="113"/>
        <v>No</v>
      </c>
      <c r="Z1058">
        <v>15</v>
      </c>
      <c r="AA1058">
        <v>3</v>
      </c>
      <c r="AB1058">
        <v>4</v>
      </c>
      <c r="AC1058">
        <v>80</v>
      </c>
      <c r="AD1058">
        <v>1</v>
      </c>
      <c r="AE1058" s="5">
        <v>5</v>
      </c>
      <c r="AF1058" t="str">
        <f t="shared" si="114"/>
        <v>0-5</v>
      </c>
      <c r="AG1058">
        <v>3</v>
      </c>
      <c r="AH1058">
        <v>4</v>
      </c>
      <c r="AI1058" s="5">
        <v>3</v>
      </c>
      <c r="AJ1058">
        <v>2</v>
      </c>
      <c r="AK1058">
        <v>1</v>
      </c>
      <c r="AL1058">
        <v>2</v>
      </c>
      <c r="AM1058" t="str">
        <f t="shared" si="115"/>
        <v>Below Avg</v>
      </c>
      <c r="AN1058" s="21">
        <f t="shared" si="116"/>
        <v>26.265060240963855</v>
      </c>
      <c r="AO1058" t="str">
        <f t="shared" ca="1" si="117"/>
        <v>No</v>
      </c>
      <c r="AP1058" t="str">
        <f t="shared" si="118"/>
        <v>Low Risk</v>
      </c>
    </row>
    <row r="1059" spans="1:42" x14ac:dyDescent="0.3">
      <c r="A1059" s="5">
        <v>29</v>
      </c>
      <c r="B1059" s="5" t="s">
        <v>35</v>
      </c>
      <c r="C1059" s="5" t="str">
        <f t="shared" si="112"/>
        <v>Yes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 s="5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 s="5">
        <v>5765</v>
      </c>
      <c r="U1059">
        <v>17485</v>
      </c>
      <c r="V1059">
        <v>5</v>
      </c>
      <c r="W1059" t="s">
        <v>42</v>
      </c>
      <c r="X1059" t="s">
        <v>43</v>
      </c>
      <c r="Y1059" t="str">
        <f t="shared" si="113"/>
        <v>No</v>
      </c>
      <c r="Z1059">
        <v>11</v>
      </c>
      <c r="AA1059">
        <v>3</v>
      </c>
      <c r="AB1059">
        <v>1</v>
      </c>
      <c r="AC1059">
        <v>80</v>
      </c>
      <c r="AD1059">
        <v>0</v>
      </c>
      <c r="AE1059" s="5">
        <v>7</v>
      </c>
      <c r="AF1059" t="str">
        <f t="shared" si="114"/>
        <v>6-15</v>
      </c>
      <c r="AG1059">
        <v>4</v>
      </c>
      <c r="AH1059">
        <v>1</v>
      </c>
      <c r="AI1059" s="5">
        <v>5</v>
      </c>
      <c r="AJ1059">
        <v>3</v>
      </c>
      <c r="AK1059">
        <v>0</v>
      </c>
      <c r="AL1059">
        <v>0</v>
      </c>
      <c r="AM1059" t="str">
        <f t="shared" si="115"/>
        <v>Below Avg</v>
      </c>
      <c r="AN1059" s="21">
        <f t="shared" si="116"/>
        <v>26.328502415458939</v>
      </c>
      <c r="AO1059" t="str">
        <f t="shared" ca="1" si="117"/>
        <v>No</v>
      </c>
      <c r="AP1059" t="str">
        <f t="shared" si="118"/>
        <v>Low Risk</v>
      </c>
    </row>
    <row r="1060" spans="1:42" x14ac:dyDescent="0.3">
      <c r="A1060" s="5">
        <v>34</v>
      </c>
      <c r="B1060" s="5" t="s">
        <v>35</v>
      </c>
      <c r="C1060" s="5" t="str">
        <f t="shared" si="112"/>
        <v>Yes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 s="5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 s="5">
        <v>4599</v>
      </c>
      <c r="U1060">
        <v>7815</v>
      </c>
      <c r="V1060">
        <v>0</v>
      </c>
      <c r="W1060" t="s">
        <v>42</v>
      </c>
      <c r="X1060" t="s">
        <v>35</v>
      </c>
      <c r="Y1060" t="str">
        <f t="shared" si="113"/>
        <v>Yes</v>
      </c>
      <c r="Z1060">
        <v>23</v>
      </c>
      <c r="AA1060">
        <v>4</v>
      </c>
      <c r="AB1060">
        <v>3</v>
      </c>
      <c r="AC1060">
        <v>80</v>
      </c>
      <c r="AD1060">
        <v>0</v>
      </c>
      <c r="AE1060" s="5">
        <v>16</v>
      </c>
      <c r="AF1060" t="str">
        <f t="shared" si="114"/>
        <v>&gt;15</v>
      </c>
      <c r="AG1060">
        <v>2</v>
      </c>
      <c r="AH1060">
        <v>4</v>
      </c>
      <c r="AI1060" s="5">
        <v>15</v>
      </c>
      <c r="AJ1060">
        <v>9</v>
      </c>
      <c r="AK1060">
        <v>10</v>
      </c>
      <c r="AL1060">
        <v>10</v>
      </c>
      <c r="AM1060" t="str">
        <f t="shared" si="115"/>
        <v>Below Avg</v>
      </c>
      <c r="AN1060" s="21">
        <f t="shared" si="116"/>
        <v>26.392251815980629</v>
      </c>
      <c r="AO1060" t="str">
        <f t="shared" ca="1" si="117"/>
        <v>No</v>
      </c>
      <c r="AP1060" t="str">
        <f t="shared" si="118"/>
        <v>Low Risk</v>
      </c>
    </row>
    <row r="1061" spans="1:42" x14ac:dyDescent="0.3">
      <c r="A1061" s="5">
        <v>35</v>
      </c>
      <c r="B1061" s="5" t="s">
        <v>43</v>
      </c>
      <c r="C1061" s="5" t="str">
        <f t="shared" si="112"/>
        <v>No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 s="5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 s="5">
        <v>2404</v>
      </c>
      <c r="U1061">
        <v>16192</v>
      </c>
      <c r="V1061">
        <v>1</v>
      </c>
      <c r="W1061" t="s">
        <v>42</v>
      </c>
      <c r="X1061" t="s">
        <v>43</v>
      </c>
      <c r="Y1061" t="str">
        <f t="shared" si="113"/>
        <v>No</v>
      </c>
      <c r="Z1061">
        <v>13</v>
      </c>
      <c r="AA1061">
        <v>3</v>
      </c>
      <c r="AB1061">
        <v>1</v>
      </c>
      <c r="AC1061">
        <v>80</v>
      </c>
      <c r="AD1061">
        <v>1</v>
      </c>
      <c r="AE1061" s="5">
        <v>1</v>
      </c>
      <c r="AF1061" t="str">
        <f t="shared" si="114"/>
        <v>0-5</v>
      </c>
      <c r="AG1061">
        <v>3</v>
      </c>
      <c r="AH1061">
        <v>3</v>
      </c>
      <c r="AI1061" s="5">
        <v>1</v>
      </c>
      <c r="AJ1061">
        <v>0</v>
      </c>
      <c r="AK1061">
        <v>0</v>
      </c>
      <c r="AL1061">
        <v>0</v>
      </c>
      <c r="AM1061" t="str">
        <f t="shared" si="115"/>
        <v>Below Avg</v>
      </c>
      <c r="AN1061" s="21">
        <f t="shared" si="116"/>
        <v>26.456310679611651</v>
      </c>
      <c r="AO1061" t="str">
        <f t="shared" ca="1" si="117"/>
        <v>No</v>
      </c>
      <c r="AP1061" t="str">
        <f t="shared" si="118"/>
        <v>Low Risk</v>
      </c>
    </row>
    <row r="1062" spans="1:42" x14ac:dyDescent="0.3">
      <c r="A1062" s="5">
        <v>24</v>
      </c>
      <c r="B1062" s="5" t="s">
        <v>35</v>
      </c>
      <c r="C1062" s="5" t="str">
        <f t="shared" si="112"/>
        <v>Yes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 s="5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 s="5">
        <v>3172</v>
      </c>
      <c r="U1062">
        <v>16998</v>
      </c>
      <c r="V1062">
        <v>2</v>
      </c>
      <c r="W1062" t="s">
        <v>42</v>
      </c>
      <c r="X1062" t="s">
        <v>35</v>
      </c>
      <c r="Y1062" t="str">
        <f t="shared" si="113"/>
        <v>Yes</v>
      </c>
      <c r="Z1062">
        <v>11</v>
      </c>
      <c r="AA1062">
        <v>3</v>
      </c>
      <c r="AB1062">
        <v>3</v>
      </c>
      <c r="AC1062">
        <v>80</v>
      </c>
      <c r="AD1062">
        <v>0</v>
      </c>
      <c r="AE1062" s="5">
        <v>4</v>
      </c>
      <c r="AF1062" t="str">
        <f t="shared" si="114"/>
        <v>0-5</v>
      </c>
      <c r="AG1062">
        <v>2</v>
      </c>
      <c r="AH1062">
        <v>2</v>
      </c>
      <c r="AI1062" s="5">
        <v>0</v>
      </c>
      <c r="AJ1062">
        <v>0</v>
      </c>
      <c r="AK1062">
        <v>0</v>
      </c>
      <c r="AL1062">
        <v>0</v>
      </c>
      <c r="AM1062" t="str">
        <f t="shared" si="115"/>
        <v>Below Avg</v>
      </c>
      <c r="AN1062" s="21">
        <f t="shared" si="116"/>
        <v>26.277372262773724</v>
      </c>
      <c r="AO1062" t="str">
        <f t="shared" ca="1" si="117"/>
        <v>No</v>
      </c>
      <c r="AP1062" t="str">
        <f t="shared" si="118"/>
        <v>High Risk</v>
      </c>
    </row>
    <row r="1063" spans="1:42" x14ac:dyDescent="0.3">
      <c r="A1063" s="5">
        <v>24</v>
      </c>
      <c r="B1063" s="5" t="s">
        <v>43</v>
      </c>
      <c r="C1063" s="5" t="str">
        <f t="shared" si="112"/>
        <v>No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 s="5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 s="5">
        <v>2033</v>
      </c>
      <c r="U1063">
        <v>7103</v>
      </c>
      <c r="V1063">
        <v>1</v>
      </c>
      <c r="W1063" t="s">
        <v>42</v>
      </c>
      <c r="X1063" t="s">
        <v>43</v>
      </c>
      <c r="Y1063" t="str">
        <f t="shared" si="113"/>
        <v>No</v>
      </c>
      <c r="Z1063">
        <v>13</v>
      </c>
      <c r="AA1063">
        <v>3</v>
      </c>
      <c r="AB1063">
        <v>3</v>
      </c>
      <c r="AC1063">
        <v>80</v>
      </c>
      <c r="AD1063">
        <v>1</v>
      </c>
      <c r="AE1063" s="5">
        <v>1</v>
      </c>
      <c r="AF1063" t="str">
        <f t="shared" si="114"/>
        <v>0-5</v>
      </c>
      <c r="AG1063">
        <v>2</v>
      </c>
      <c r="AH1063">
        <v>3</v>
      </c>
      <c r="AI1063" s="5">
        <v>1</v>
      </c>
      <c r="AJ1063">
        <v>0</v>
      </c>
      <c r="AK1063">
        <v>0</v>
      </c>
      <c r="AL1063">
        <v>0</v>
      </c>
      <c r="AM1063" t="str">
        <f t="shared" si="115"/>
        <v>Below Avg</v>
      </c>
      <c r="AN1063" s="21">
        <f t="shared" si="116"/>
        <v>26.341463414634148</v>
      </c>
      <c r="AO1063" t="str">
        <f t="shared" ca="1" si="117"/>
        <v>No</v>
      </c>
      <c r="AP1063" t="str">
        <f t="shared" si="118"/>
        <v>Low Risk</v>
      </c>
    </row>
    <row r="1064" spans="1:42" x14ac:dyDescent="0.3">
      <c r="A1064" s="5">
        <v>44</v>
      </c>
      <c r="B1064" s="5" t="s">
        <v>43</v>
      </c>
      <c r="C1064" s="5" t="str">
        <f t="shared" si="112"/>
        <v>No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 s="5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 s="5">
        <v>10209</v>
      </c>
      <c r="U1064">
        <v>19719</v>
      </c>
      <c r="V1064">
        <v>5</v>
      </c>
      <c r="W1064" t="s">
        <v>42</v>
      </c>
      <c r="X1064" t="s">
        <v>35</v>
      </c>
      <c r="Y1064" t="str">
        <f t="shared" si="113"/>
        <v>Yes</v>
      </c>
      <c r="Z1064">
        <v>18</v>
      </c>
      <c r="AA1064">
        <v>3</v>
      </c>
      <c r="AB1064">
        <v>2</v>
      </c>
      <c r="AC1064">
        <v>80</v>
      </c>
      <c r="AD1064">
        <v>0</v>
      </c>
      <c r="AE1064" s="5">
        <v>16</v>
      </c>
      <c r="AF1064" t="str">
        <f t="shared" si="114"/>
        <v>&gt;15</v>
      </c>
      <c r="AG1064">
        <v>2</v>
      </c>
      <c r="AH1064">
        <v>2</v>
      </c>
      <c r="AI1064" s="5">
        <v>2</v>
      </c>
      <c r="AJ1064">
        <v>2</v>
      </c>
      <c r="AK1064">
        <v>2</v>
      </c>
      <c r="AL1064">
        <v>2</v>
      </c>
      <c r="AM1064" t="str">
        <f t="shared" si="115"/>
        <v>Ok</v>
      </c>
      <c r="AN1064" s="21">
        <f t="shared" si="116"/>
        <v>26.161369193154034</v>
      </c>
      <c r="AO1064" t="str">
        <f t="shared" ca="1" si="117"/>
        <v>No</v>
      </c>
      <c r="AP1064" t="str">
        <f t="shared" si="118"/>
        <v>Low Risk</v>
      </c>
    </row>
    <row r="1065" spans="1:42" x14ac:dyDescent="0.3">
      <c r="A1065" s="5">
        <v>29</v>
      </c>
      <c r="B1065" s="5" t="s">
        <v>43</v>
      </c>
      <c r="C1065" s="5" t="str">
        <f t="shared" si="112"/>
        <v>No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 s="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 s="5">
        <v>8620</v>
      </c>
      <c r="U1065">
        <v>23757</v>
      </c>
      <c r="V1065">
        <v>1</v>
      </c>
      <c r="W1065" t="s">
        <v>42</v>
      </c>
      <c r="X1065" t="s">
        <v>43</v>
      </c>
      <c r="Y1065" t="str">
        <f t="shared" si="113"/>
        <v>No</v>
      </c>
      <c r="Z1065">
        <v>14</v>
      </c>
      <c r="AA1065">
        <v>3</v>
      </c>
      <c r="AB1065">
        <v>3</v>
      </c>
      <c r="AC1065">
        <v>80</v>
      </c>
      <c r="AD1065">
        <v>2</v>
      </c>
      <c r="AE1065" s="5">
        <v>10</v>
      </c>
      <c r="AF1065" t="str">
        <f t="shared" si="114"/>
        <v>6-15</v>
      </c>
      <c r="AG1065">
        <v>3</v>
      </c>
      <c r="AH1065">
        <v>3</v>
      </c>
      <c r="AI1065" s="5">
        <v>10</v>
      </c>
      <c r="AJ1065">
        <v>7</v>
      </c>
      <c r="AK1065">
        <v>0</v>
      </c>
      <c r="AL1065">
        <v>4</v>
      </c>
      <c r="AM1065" t="str">
        <f t="shared" si="115"/>
        <v>Ok</v>
      </c>
      <c r="AN1065" s="21">
        <f t="shared" si="116"/>
        <v>26.225490196078432</v>
      </c>
      <c r="AO1065" t="str">
        <f t="shared" ca="1" si="117"/>
        <v>No</v>
      </c>
      <c r="AP1065" t="str">
        <f t="shared" si="118"/>
        <v>Low Risk</v>
      </c>
    </row>
    <row r="1066" spans="1:42" x14ac:dyDescent="0.3">
      <c r="A1066" s="5">
        <v>30</v>
      </c>
      <c r="B1066" s="5" t="s">
        <v>43</v>
      </c>
      <c r="C1066" s="5" t="str">
        <f t="shared" si="112"/>
        <v>No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 s="5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 s="5">
        <v>2064</v>
      </c>
      <c r="U1066">
        <v>15428</v>
      </c>
      <c r="V1066">
        <v>0</v>
      </c>
      <c r="W1066" t="s">
        <v>42</v>
      </c>
      <c r="X1066" t="s">
        <v>43</v>
      </c>
      <c r="Y1066" t="str">
        <f t="shared" si="113"/>
        <v>No</v>
      </c>
      <c r="Z1066">
        <v>21</v>
      </c>
      <c r="AA1066">
        <v>4</v>
      </c>
      <c r="AB1066">
        <v>1</v>
      </c>
      <c r="AC1066">
        <v>80</v>
      </c>
      <c r="AD1066">
        <v>1</v>
      </c>
      <c r="AE1066" s="5">
        <v>6</v>
      </c>
      <c r="AF1066" t="str">
        <f t="shared" si="114"/>
        <v>6-15</v>
      </c>
      <c r="AG1066">
        <v>3</v>
      </c>
      <c r="AH1066">
        <v>4</v>
      </c>
      <c r="AI1066" s="5">
        <v>5</v>
      </c>
      <c r="AJ1066">
        <v>3</v>
      </c>
      <c r="AK1066">
        <v>1</v>
      </c>
      <c r="AL1066">
        <v>3</v>
      </c>
      <c r="AM1066" t="str">
        <f t="shared" si="115"/>
        <v>Below Avg</v>
      </c>
      <c r="AN1066" s="21">
        <f t="shared" si="116"/>
        <v>26.044226044226043</v>
      </c>
      <c r="AO1066" t="str">
        <f t="shared" ca="1" si="117"/>
        <v>No</v>
      </c>
      <c r="AP1066" t="str">
        <f t="shared" si="118"/>
        <v>Low Risk</v>
      </c>
    </row>
    <row r="1067" spans="1:42" x14ac:dyDescent="0.3">
      <c r="A1067" s="5">
        <v>55</v>
      </c>
      <c r="B1067" s="5" t="s">
        <v>43</v>
      </c>
      <c r="C1067" s="5" t="str">
        <f t="shared" si="112"/>
        <v>No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 s="5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 s="5">
        <v>4035</v>
      </c>
      <c r="U1067">
        <v>16143</v>
      </c>
      <c r="V1067">
        <v>0</v>
      </c>
      <c r="W1067" t="s">
        <v>42</v>
      </c>
      <c r="X1067" t="s">
        <v>35</v>
      </c>
      <c r="Y1067" t="str">
        <f t="shared" si="113"/>
        <v>Yes</v>
      </c>
      <c r="Z1067">
        <v>16</v>
      </c>
      <c r="AA1067">
        <v>3</v>
      </c>
      <c r="AB1067">
        <v>2</v>
      </c>
      <c r="AC1067">
        <v>80</v>
      </c>
      <c r="AD1067">
        <v>0</v>
      </c>
      <c r="AE1067" s="5">
        <v>4</v>
      </c>
      <c r="AF1067" t="str">
        <f t="shared" si="114"/>
        <v>0-5</v>
      </c>
      <c r="AG1067">
        <v>2</v>
      </c>
      <c r="AH1067">
        <v>3</v>
      </c>
      <c r="AI1067" s="5">
        <v>3</v>
      </c>
      <c r="AJ1067">
        <v>2</v>
      </c>
      <c r="AK1067">
        <v>1</v>
      </c>
      <c r="AL1067">
        <v>2</v>
      </c>
      <c r="AM1067" t="str">
        <f t="shared" si="115"/>
        <v>Below Avg</v>
      </c>
      <c r="AN1067" s="21">
        <f t="shared" si="116"/>
        <v>26.108374384236456</v>
      </c>
      <c r="AO1067" t="str">
        <f t="shared" ca="1" si="117"/>
        <v>No</v>
      </c>
      <c r="AP1067" t="str">
        <f t="shared" si="118"/>
        <v>Low Risk</v>
      </c>
    </row>
    <row r="1068" spans="1:42" x14ac:dyDescent="0.3">
      <c r="A1068" s="5">
        <v>33</v>
      </c>
      <c r="B1068" s="5" t="s">
        <v>43</v>
      </c>
      <c r="C1068" s="5" t="str">
        <f t="shared" si="112"/>
        <v>No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 s="5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 s="5">
        <v>3838</v>
      </c>
      <c r="U1068">
        <v>8192</v>
      </c>
      <c r="V1068">
        <v>8</v>
      </c>
      <c r="W1068" t="s">
        <v>42</v>
      </c>
      <c r="X1068" t="s">
        <v>43</v>
      </c>
      <c r="Y1068" t="str">
        <f t="shared" si="113"/>
        <v>No</v>
      </c>
      <c r="Z1068">
        <v>11</v>
      </c>
      <c r="AA1068">
        <v>3</v>
      </c>
      <c r="AB1068">
        <v>4</v>
      </c>
      <c r="AC1068">
        <v>80</v>
      </c>
      <c r="AD1068">
        <v>0</v>
      </c>
      <c r="AE1068" s="5">
        <v>8</v>
      </c>
      <c r="AF1068" t="str">
        <f t="shared" si="114"/>
        <v>6-15</v>
      </c>
      <c r="AG1068">
        <v>5</v>
      </c>
      <c r="AH1068">
        <v>3</v>
      </c>
      <c r="AI1068" s="5">
        <v>5</v>
      </c>
      <c r="AJ1068">
        <v>4</v>
      </c>
      <c r="AK1068">
        <v>0</v>
      </c>
      <c r="AL1068">
        <v>2</v>
      </c>
      <c r="AM1068" t="str">
        <f t="shared" si="115"/>
        <v>Below Avg</v>
      </c>
      <c r="AN1068" s="21">
        <f t="shared" si="116"/>
        <v>26.172839506172842</v>
      </c>
      <c r="AO1068" t="str">
        <f t="shared" ca="1" si="117"/>
        <v>No</v>
      </c>
      <c r="AP1068" t="str">
        <f t="shared" si="118"/>
        <v>Low Risk</v>
      </c>
    </row>
    <row r="1069" spans="1:42" x14ac:dyDescent="0.3">
      <c r="A1069" s="5">
        <v>47</v>
      </c>
      <c r="B1069" s="5" t="s">
        <v>43</v>
      </c>
      <c r="C1069" s="5" t="str">
        <f t="shared" si="112"/>
        <v>No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 s="5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 s="5">
        <v>4591</v>
      </c>
      <c r="U1069">
        <v>24200</v>
      </c>
      <c r="V1069">
        <v>3</v>
      </c>
      <c r="W1069" t="s">
        <v>42</v>
      </c>
      <c r="X1069" t="s">
        <v>35</v>
      </c>
      <c r="Y1069" t="str">
        <f t="shared" si="113"/>
        <v>Yes</v>
      </c>
      <c r="Z1069">
        <v>17</v>
      </c>
      <c r="AA1069">
        <v>3</v>
      </c>
      <c r="AB1069">
        <v>3</v>
      </c>
      <c r="AC1069">
        <v>80</v>
      </c>
      <c r="AD1069">
        <v>1</v>
      </c>
      <c r="AE1069" s="5">
        <v>11</v>
      </c>
      <c r="AF1069" t="str">
        <f t="shared" si="114"/>
        <v>6-15</v>
      </c>
      <c r="AG1069">
        <v>4</v>
      </c>
      <c r="AH1069">
        <v>2</v>
      </c>
      <c r="AI1069" s="5">
        <v>5</v>
      </c>
      <c r="AJ1069">
        <v>4</v>
      </c>
      <c r="AK1069">
        <v>1</v>
      </c>
      <c r="AL1069">
        <v>2</v>
      </c>
      <c r="AM1069" t="str">
        <f t="shared" si="115"/>
        <v>Below Avg</v>
      </c>
      <c r="AN1069" s="21">
        <f t="shared" si="116"/>
        <v>25.990099009900991</v>
      </c>
      <c r="AO1069" t="str">
        <f t="shared" ca="1" si="117"/>
        <v>No</v>
      </c>
      <c r="AP1069" t="str">
        <f t="shared" si="118"/>
        <v>Low Risk</v>
      </c>
    </row>
    <row r="1070" spans="1:42" x14ac:dyDescent="0.3">
      <c r="A1070" s="5">
        <v>28</v>
      </c>
      <c r="B1070" s="5" t="s">
        <v>35</v>
      </c>
      <c r="C1070" s="5" t="str">
        <f t="shared" si="112"/>
        <v>Yes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 s="5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 s="5">
        <v>2561</v>
      </c>
      <c r="U1070">
        <v>5355</v>
      </c>
      <c r="V1070">
        <v>7</v>
      </c>
      <c r="W1070" t="s">
        <v>42</v>
      </c>
      <c r="X1070" t="s">
        <v>43</v>
      </c>
      <c r="Y1070" t="str">
        <f t="shared" si="113"/>
        <v>No</v>
      </c>
      <c r="Z1070">
        <v>11</v>
      </c>
      <c r="AA1070">
        <v>3</v>
      </c>
      <c r="AB1070">
        <v>3</v>
      </c>
      <c r="AC1070">
        <v>80</v>
      </c>
      <c r="AD1070">
        <v>0</v>
      </c>
      <c r="AE1070" s="5">
        <v>8</v>
      </c>
      <c r="AF1070" t="str">
        <f t="shared" si="114"/>
        <v>6-15</v>
      </c>
      <c r="AG1070">
        <v>2</v>
      </c>
      <c r="AH1070">
        <v>2</v>
      </c>
      <c r="AI1070" s="5">
        <v>0</v>
      </c>
      <c r="AJ1070">
        <v>0</v>
      </c>
      <c r="AK1070">
        <v>0</v>
      </c>
      <c r="AL1070">
        <v>0</v>
      </c>
      <c r="AM1070" t="str">
        <f t="shared" si="115"/>
        <v>Below Avg</v>
      </c>
      <c r="AN1070" s="21">
        <f t="shared" si="116"/>
        <v>26.054590570719604</v>
      </c>
      <c r="AO1070" t="str">
        <f t="shared" ca="1" si="117"/>
        <v>No</v>
      </c>
      <c r="AP1070" t="str">
        <f t="shared" si="118"/>
        <v>High Risk</v>
      </c>
    </row>
    <row r="1071" spans="1:42" x14ac:dyDescent="0.3">
      <c r="A1071" s="5">
        <v>28</v>
      </c>
      <c r="B1071" s="5" t="s">
        <v>43</v>
      </c>
      <c r="C1071" s="5" t="str">
        <f t="shared" si="112"/>
        <v>No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 s="5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 s="5">
        <v>1563</v>
      </c>
      <c r="U1071">
        <v>12530</v>
      </c>
      <c r="V1071">
        <v>1</v>
      </c>
      <c r="W1071" t="s">
        <v>42</v>
      </c>
      <c r="X1071" t="s">
        <v>43</v>
      </c>
      <c r="Y1071" t="str">
        <f t="shared" si="113"/>
        <v>No</v>
      </c>
      <c r="Z1071">
        <v>14</v>
      </c>
      <c r="AA1071">
        <v>3</v>
      </c>
      <c r="AB1071">
        <v>4</v>
      </c>
      <c r="AC1071">
        <v>80</v>
      </c>
      <c r="AD1071">
        <v>1</v>
      </c>
      <c r="AE1071" s="5">
        <v>1</v>
      </c>
      <c r="AF1071" t="str">
        <f t="shared" si="114"/>
        <v>0-5</v>
      </c>
      <c r="AG1071">
        <v>2</v>
      </c>
      <c r="AH1071">
        <v>1</v>
      </c>
      <c r="AI1071" s="5">
        <v>1</v>
      </c>
      <c r="AJ1071">
        <v>0</v>
      </c>
      <c r="AK1071">
        <v>0</v>
      </c>
      <c r="AL1071">
        <v>0</v>
      </c>
      <c r="AM1071" t="str">
        <f t="shared" si="115"/>
        <v>Below Avg</v>
      </c>
      <c r="AN1071" s="21">
        <f t="shared" si="116"/>
        <v>25.870646766169152</v>
      </c>
      <c r="AO1071" t="str">
        <f t="shared" ca="1" si="117"/>
        <v>No</v>
      </c>
      <c r="AP1071" t="str">
        <f t="shared" si="118"/>
        <v>Low Risk</v>
      </c>
    </row>
    <row r="1072" spans="1:42" x14ac:dyDescent="0.3">
      <c r="A1072" s="5">
        <v>28</v>
      </c>
      <c r="B1072" s="5" t="s">
        <v>43</v>
      </c>
      <c r="C1072" s="5" t="str">
        <f t="shared" si="112"/>
        <v>No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 s="5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 s="5">
        <v>4898</v>
      </c>
      <c r="U1072">
        <v>11827</v>
      </c>
      <c r="V1072">
        <v>0</v>
      </c>
      <c r="W1072" t="s">
        <v>42</v>
      </c>
      <c r="X1072" t="s">
        <v>43</v>
      </c>
      <c r="Y1072" t="str">
        <f t="shared" si="113"/>
        <v>No</v>
      </c>
      <c r="Z1072">
        <v>14</v>
      </c>
      <c r="AA1072">
        <v>3</v>
      </c>
      <c r="AB1072">
        <v>4</v>
      </c>
      <c r="AC1072">
        <v>80</v>
      </c>
      <c r="AD1072">
        <v>0</v>
      </c>
      <c r="AE1072" s="5">
        <v>5</v>
      </c>
      <c r="AF1072" t="str">
        <f t="shared" si="114"/>
        <v>0-5</v>
      </c>
      <c r="AG1072">
        <v>5</v>
      </c>
      <c r="AH1072">
        <v>3</v>
      </c>
      <c r="AI1072" s="5">
        <v>4</v>
      </c>
      <c r="AJ1072">
        <v>2</v>
      </c>
      <c r="AK1072">
        <v>1</v>
      </c>
      <c r="AL1072">
        <v>3</v>
      </c>
      <c r="AM1072" t="str">
        <f t="shared" si="115"/>
        <v>Below Avg</v>
      </c>
      <c r="AN1072" s="21">
        <f t="shared" si="116"/>
        <v>25.935162094763093</v>
      </c>
      <c r="AO1072" t="str">
        <f t="shared" ca="1" si="117"/>
        <v>No</v>
      </c>
      <c r="AP1072" t="str">
        <f t="shared" si="118"/>
        <v>Low Risk</v>
      </c>
    </row>
    <row r="1073" spans="1:42" x14ac:dyDescent="0.3">
      <c r="A1073" s="5">
        <v>49</v>
      </c>
      <c r="B1073" s="5" t="s">
        <v>43</v>
      </c>
      <c r="C1073" s="5" t="str">
        <f t="shared" si="112"/>
        <v>No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 s="5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 s="5">
        <v>4789</v>
      </c>
      <c r="U1073">
        <v>23070</v>
      </c>
      <c r="V1073">
        <v>4</v>
      </c>
      <c r="W1073" t="s">
        <v>42</v>
      </c>
      <c r="X1073" t="s">
        <v>43</v>
      </c>
      <c r="Y1073" t="str">
        <f t="shared" si="113"/>
        <v>No</v>
      </c>
      <c r="Z1073">
        <v>25</v>
      </c>
      <c r="AA1073">
        <v>4</v>
      </c>
      <c r="AB1073">
        <v>1</v>
      </c>
      <c r="AC1073">
        <v>80</v>
      </c>
      <c r="AD1073">
        <v>1</v>
      </c>
      <c r="AE1073" s="5">
        <v>10</v>
      </c>
      <c r="AF1073" t="str">
        <f t="shared" si="114"/>
        <v>6-15</v>
      </c>
      <c r="AG1073">
        <v>3</v>
      </c>
      <c r="AH1073">
        <v>3</v>
      </c>
      <c r="AI1073" s="5">
        <v>3</v>
      </c>
      <c r="AJ1073">
        <v>2</v>
      </c>
      <c r="AK1073">
        <v>1</v>
      </c>
      <c r="AL1073">
        <v>2</v>
      </c>
      <c r="AM1073" t="str">
        <f t="shared" si="115"/>
        <v>Below Avg</v>
      </c>
      <c r="AN1073" s="21">
        <f t="shared" si="116"/>
        <v>26</v>
      </c>
      <c r="AO1073" t="str">
        <f t="shared" ca="1" si="117"/>
        <v>No</v>
      </c>
      <c r="AP1073" t="str">
        <f t="shared" si="118"/>
        <v>Low Risk</v>
      </c>
    </row>
    <row r="1074" spans="1:42" x14ac:dyDescent="0.3">
      <c r="A1074" s="5">
        <v>29</v>
      </c>
      <c r="B1074" s="5" t="s">
        <v>43</v>
      </c>
      <c r="C1074" s="5" t="str">
        <f t="shared" si="112"/>
        <v>No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 s="5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 s="5">
        <v>3180</v>
      </c>
      <c r="U1074">
        <v>4668</v>
      </c>
      <c r="V1074">
        <v>0</v>
      </c>
      <c r="W1074" t="s">
        <v>42</v>
      </c>
      <c r="X1074" t="s">
        <v>43</v>
      </c>
      <c r="Y1074" t="str">
        <f t="shared" si="113"/>
        <v>No</v>
      </c>
      <c r="Z1074">
        <v>13</v>
      </c>
      <c r="AA1074">
        <v>3</v>
      </c>
      <c r="AB1074">
        <v>3</v>
      </c>
      <c r="AC1074">
        <v>80</v>
      </c>
      <c r="AD1074">
        <v>3</v>
      </c>
      <c r="AE1074" s="5">
        <v>4</v>
      </c>
      <c r="AF1074" t="str">
        <f t="shared" si="114"/>
        <v>0-5</v>
      </c>
      <c r="AG1074">
        <v>3</v>
      </c>
      <c r="AH1074">
        <v>3</v>
      </c>
      <c r="AI1074" s="5">
        <v>3</v>
      </c>
      <c r="AJ1074">
        <v>2</v>
      </c>
      <c r="AK1074">
        <v>0</v>
      </c>
      <c r="AL1074">
        <v>2</v>
      </c>
      <c r="AM1074" t="str">
        <f t="shared" si="115"/>
        <v>Below Avg</v>
      </c>
      <c r="AN1074" s="21">
        <f t="shared" si="116"/>
        <v>26.065162907268167</v>
      </c>
      <c r="AO1074" t="str">
        <f t="shared" ca="1" si="117"/>
        <v>No</v>
      </c>
      <c r="AP1074" t="str">
        <f t="shared" si="118"/>
        <v>Low Risk</v>
      </c>
    </row>
    <row r="1075" spans="1:42" x14ac:dyDescent="0.3">
      <c r="A1075" s="5">
        <v>28</v>
      </c>
      <c r="B1075" s="5" t="s">
        <v>43</v>
      </c>
      <c r="C1075" s="5" t="str">
        <f t="shared" si="112"/>
        <v>No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 s="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 s="5">
        <v>6549</v>
      </c>
      <c r="U1075">
        <v>3173</v>
      </c>
      <c r="V1075">
        <v>1</v>
      </c>
      <c r="W1075" t="s">
        <v>42</v>
      </c>
      <c r="X1075" t="s">
        <v>43</v>
      </c>
      <c r="Y1075" t="str">
        <f t="shared" si="113"/>
        <v>No</v>
      </c>
      <c r="Z1075">
        <v>14</v>
      </c>
      <c r="AA1075">
        <v>3</v>
      </c>
      <c r="AB1075">
        <v>2</v>
      </c>
      <c r="AC1075">
        <v>80</v>
      </c>
      <c r="AD1075">
        <v>2</v>
      </c>
      <c r="AE1075" s="5">
        <v>8</v>
      </c>
      <c r="AF1075" t="str">
        <f t="shared" si="114"/>
        <v>6-15</v>
      </c>
      <c r="AG1075">
        <v>2</v>
      </c>
      <c r="AH1075">
        <v>2</v>
      </c>
      <c r="AI1075" s="5">
        <v>8</v>
      </c>
      <c r="AJ1075">
        <v>6</v>
      </c>
      <c r="AK1075">
        <v>1</v>
      </c>
      <c r="AL1075">
        <v>7</v>
      </c>
      <c r="AM1075" t="str">
        <f t="shared" si="115"/>
        <v>Ok</v>
      </c>
      <c r="AN1075" s="21">
        <f t="shared" si="116"/>
        <v>26.13065326633166</v>
      </c>
      <c r="AO1075" t="str">
        <f t="shared" ca="1" si="117"/>
        <v>No</v>
      </c>
      <c r="AP1075" t="str">
        <f t="shared" si="118"/>
        <v>Low Risk</v>
      </c>
    </row>
    <row r="1076" spans="1:42" x14ac:dyDescent="0.3">
      <c r="A1076" s="5">
        <v>33</v>
      </c>
      <c r="B1076" s="5" t="s">
        <v>43</v>
      </c>
      <c r="C1076" s="5" t="str">
        <f t="shared" si="112"/>
        <v>No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 s="5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 s="5">
        <v>6388</v>
      </c>
      <c r="U1076">
        <v>22049</v>
      </c>
      <c r="V1076">
        <v>2</v>
      </c>
      <c r="W1076" t="s">
        <v>42</v>
      </c>
      <c r="X1076" t="s">
        <v>35</v>
      </c>
      <c r="Y1076" t="str">
        <f t="shared" si="113"/>
        <v>Yes</v>
      </c>
      <c r="Z1076">
        <v>17</v>
      </c>
      <c r="AA1076">
        <v>3</v>
      </c>
      <c r="AB1076">
        <v>1</v>
      </c>
      <c r="AC1076">
        <v>80</v>
      </c>
      <c r="AD1076">
        <v>0</v>
      </c>
      <c r="AE1076" s="5">
        <v>14</v>
      </c>
      <c r="AF1076" t="str">
        <f t="shared" si="114"/>
        <v>6-15</v>
      </c>
      <c r="AG1076">
        <v>6</v>
      </c>
      <c r="AH1076">
        <v>3</v>
      </c>
      <c r="AI1076" s="5">
        <v>0</v>
      </c>
      <c r="AJ1076">
        <v>0</v>
      </c>
      <c r="AK1076">
        <v>0</v>
      </c>
      <c r="AL1076">
        <v>0</v>
      </c>
      <c r="AM1076" t="str">
        <f t="shared" si="115"/>
        <v>Ok</v>
      </c>
      <c r="AN1076" s="21">
        <f t="shared" si="116"/>
        <v>26.196473551637279</v>
      </c>
      <c r="AO1076" t="str">
        <f t="shared" ca="1" si="117"/>
        <v>No</v>
      </c>
      <c r="AP1076" t="str">
        <f t="shared" si="118"/>
        <v>Low Risk</v>
      </c>
    </row>
    <row r="1077" spans="1:42" x14ac:dyDescent="0.3">
      <c r="A1077" s="5">
        <v>32</v>
      </c>
      <c r="B1077" s="5" t="s">
        <v>43</v>
      </c>
      <c r="C1077" s="5" t="str">
        <f t="shared" si="112"/>
        <v>No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 s="5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 s="5">
        <v>11244</v>
      </c>
      <c r="U1077">
        <v>21072</v>
      </c>
      <c r="V1077">
        <v>2</v>
      </c>
      <c r="W1077" t="s">
        <v>42</v>
      </c>
      <c r="X1077" t="s">
        <v>43</v>
      </c>
      <c r="Y1077" t="str">
        <f t="shared" si="113"/>
        <v>No</v>
      </c>
      <c r="Z1077">
        <v>25</v>
      </c>
      <c r="AA1077">
        <v>4</v>
      </c>
      <c r="AB1077">
        <v>2</v>
      </c>
      <c r="AC1077">
        <v>80</v>
      </c>
      <c r="AD1077">
        <v>0</v>
      </c>
      <c r="AE1077" s="5">
        <v>10</v>
      </c>
      <c r="AF1077" t="str">
        <f t="shared" si="114"/>
        <v>6-15</v>
      </c>
      <c r="AG1077">
        <v>5</v>
      </c>
      <c r="AH1077">
        <v>4</v>
      </c>
      <c r="AI1077" s="5">
        <v>5</v>
      </c>
      <c r="AJ1077">
        <v>2</v>
      </c>
      <c r="AK1077">
        <v>0</v>
      </c>
      <c r="AL1077">
        <v>0</v>
      </c>
      <c r="AM1077" t="str">
        <f t="shared" si="115"/>
        <v>Ok</v>
      </c>
      <c r="AN1077" s="21">
        <f t="shared" si="116"/>
        <v>26.262626262626267</v>
      </c>
      <c r="AO1077" t="str">
        <f t="shared" ca="1" si="117"/>
        <v>No</v>
      </c>
      <c r="AP1077" t="str">
        <f t="shared" si="118"/>
        <v>Low Risk</v>
      </c>
    </row>
    <row r="1078" spans="1:42" x14ac:dyDescent="0.3">
      <c r="A1078" s="5">
        <v>54</v>
      </c>
      <c r="B1078" s="5" t="s">
        <v>43</v>
      </c>
      <c r="C1078" s="5" t="str">
        <f t="shared" si="112"/>
        <v>No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 s="5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 s="5">
        <v>16032</v>
      </c>
      <c r="U1078">
        <v>24456</v>
      </c>
      <c r="V1078">
        <v>3</v>
      </c>
      <c r="W1078" t="s">
        <v>42</v>
      </c>
      <c r="X1078" t="s">
        <v>43</v>
      </c>
      <c r="Y1078" t="str">
        <f t="shared" si="113"/>
        <v>No</v>
      </c>
      <c r="Z1078">
        <v>20</v>
      </c>
      <c r="AA1078">
        <v>4</v>
      </c>
      <c r="AB1078">
        <v>1</v>
      </c>
      <c r="AC1078">
        <v>80</v>
      </c>
      <c r="AD1078">
        <v>1</v>
      </c>
      <c r="AE1078" s="5">
        <v>26</v>
      </c>
      <c r="AF1078" t="str">
        <f t="shared" si="114"/>
        <v>&gt;15</v>
      </c>
      <c r="AG1078">
        <v>2</v>
      </c>
      <c r="AH1078">
        <v>3</v>
      </c>
      <c r="AI1078" s="5">
        <v>14</v>
      </c>
      <c r="AJ1078">
        <v>9</v>
      </c>
      <c r="AK1078">
        <v>1</v>
      </c>
      <c r="AL1078">
        <v>12</v>
      </c>
      <c r="AM1078" t="str">
        <f t="shared" si="115"/>
        <v>Ok</v>
      </c>
      <c r="AN1078" s="21">
        <f t="shared" si="116"/>
        <v>26.075949367088608</v>
      </c>
      <c r="AO1078" t="str">
        <f t="shared" ca="1" si="117"/>
        <v>No</v>
      </c>
      <c r="AP1078" t="str">
        <f t="shared" si="118"/>
        <v>Low Risk</v>
      </c>
    </row>
    <row r="1079" spans="1:42" x14ac:dyDescent="0.3">
      <c r="A1079" s="5">
        <v>29</v>
      </c>
      <c r="B1079" s="5" t="s">
        <v>35</v>
      </c>
      <c r="C1079" s="5" t="str">
        <f t="shared" si="112"/>
        <v>Yes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 s="5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 s="5">
        <v>2362</v>
      </c>
      <c r="U1079">
        <v>7568</v>
      </c>
      <c r="V1079">
        <v>6</v>
      </c>
      <c r="W1079" t="s">
        <v>42</v>
      </c>
      <c r="X1079" t="s">
        <v>43</v>
      </c>
      <c r="Y1079" t="str">
        <f t="shared" si="113"/>
        <v>No</v>
      </c>
      <c r="Z1079">
        <v>13</v>
      </c>
      <c r="AA1079">
        <v>3</v>
      </c>
      <c r="AB1079">
        <v>3</v>
      </c>
      <c r="AC1079">
        <v>80</v>
      </c>
      <c r="AD1079">
        <v>0</v>
      </c>
      <c r="AE1079" s="5">
        <v>11</v>
      </c>
      <c r="AF1079" t="str">
        <f t="shared" si="114"/>
        <v>6-15</v>
      </c>
      <c r="AG1079">
        <v>2</v>
      </c>
      <c r="AH1079">
        <v>1</v>
      </c>
      <c r="AI1079" s="5">
        <v>9</v>
      </c>
      <c r="AJ1079">
        <v>7</v>
      </c>
      <c r="AK1079">
        <v>0</v>
      </c>
      <c r="AL1079">
        <v>7</v>
      </c>
      <c r="AM1079" t="str">
        <f t="shared" si="115"/>
        <v>Below Avg</v>
      </c>
      <c r="AN1079" s="21">
        <f t="shared" si="116"/>
        <v>26.142131979695431</v>
      </c>
      <c r="AO1079" t="str">
        <f t="shared" ca="1" si="117"/>
        <v>No</v>
      </c>
      <c r="AP1079" t="str">
        <f t="shared" si="118"/>
        <v>Low Risk</v>
      </c>
    </row>
    <row r="1080" spans="1:42" x14ac:dyDescent="0.3">
      <c r="A1080" s="5">
        <v>44</v>
      </c>
      <c r="B1080" s="5" t="s">
        <v>43</v>
      </c>
      <c r="C1080" s="5" t="str">
        <f t="shared" si="112"/>
        <v>No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 s="5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 s="5">
        <v>16328</v>
      </c>
      <c r="U1080">
        <v>22074</v>
      </c>
      <c r="V1080">
        <v>3</v>
      </c>
      <c r="W1080" t="s">
        <v>42</v>
      </c>
      <c r="X1080" t="s">
        <v>43</v>
      </c>
      <c r="Y1080" t="str">
        <f t="shared" si="113"/>
        <v>No</v>
      </c>
      <c r="Z1080">
        <v>13</v>
      </c>
      <c r="AA1080">
        <v>3</v>
      </c>
      <c r="AB1080">
        <v>3</v>
      </c>
      <c r="AC1080">
        <v>80</v>
      </c>
      <c r="AD1080">
        <v>1</v>
      </c>
      <c r="AE1080" s="5">
        <v>24</v>
      </c>
      <c r="AF1080" t="str">
        <f t="shared" si="114"/>
        <v>&gt;15</v>
      </c>
      <c r="AG1080">
        <v>1</v>
      </c>
      <c r="AH1080">
        <v>4</v>
      </c>
      <c r="AI1080" s="5">
        <v>20</v>
      </c>
      <c r="AJ1080">
        <v>6</v>
      </c>
      <c r="AK1080">
        <v>14</v>
      </c>
      <c r="AL1080">
        <v>17</v>
      </c>
      <c r="AM1080" t="str">
        <f t="shared" si="115"/>
        <v>Ok</v>
      </c>
      <c r="AN1080" s="21">
        <f t="shared" si="116"/>
        <v>26.208651399491096</v>
      </c>
      <c r="AO1080" t="str">
        <f t="shared" ca="1" si="117"/>
        <v>No</v>
      </c>
      <c r="AP1080" t="str">
        <f t="shared" si="118"/>
        <v>Low Risk</v>
      </c>
    </row>
    <row r="1081" spans="1:42" x14ac:dyDescent="0.3">
      <c r="A1081" s="5">
        <v>39</v>
      </c>
      <c r="B1081" s="5" t="s">
        <v>43</v>
      </c>
      <c r="C1081" s="5" t="str">
        <f t="shared" si="112"/>
        <v>No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 s="5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 s="5">
        <v>8376</v>
      </c>
      <c r="U1081">
        <v>9150</v>
      </c>
      <c r="V1081">
        <v>4</v>
      </c>
      <c r="W1081" t="s">
        <v>42</v>
      </c>
      <c r="X1081" t="s">
        <v>43</v>
      </c>
      <c r="Y1081" t="str">
        <f t="shared" si="113"/>
        <v>No</v>
      </c>
      <c r="Z1081">
        <v>18</v>
      </c>
      <c r="AA1081">
        <v>3</v>
      </c>
      <c r="AB1081">
        <v>4</v>
      </c>
      <c r="AC1081">
        <v>80</v>
      </c>
      <c r="AD1081">
        <v>0</v>
      </c>
      <c r="AE1081" s="5">
        <v>9</v>
      </c>
      <c r="AF1081" t="str">
        <f t="shared" si="114"/>
        <v>6-15</v>
      </c>
      <c r="AG1081">
        <v>3</v>
      </c>
      <c r="AH1081">
        <v>3</v>
      </c>
      <c r="AI1081" s="5">
        <v>2</v>
      </c>
      <c r="AJ1081">
        <v>0</v>
      </c>
      <c r="AK1081">
        <v>2</v>
      </c>
      <c r="AL1081">
        <v>2</v>
      </c>
      <c r="AM1081" t="str">
        <f t="shared" si="115"/>
        <v>Ok</v>
      </c>
      <c r="AN1081" s="21">
        <f t="shared" si="116"/>
        <v>26.27551020408163</v>
      </c>
      <c r="AO1081" t="str">
        <f t="shared" ca="1" si="117"/>
        <v>No</v>
      </c>
      <c r="AP1081" t="str">
        <f t="shared" si="118"/>
        <v>Low Risk</v>
      </c>
    </row>
    <row r="1082" spans="1:42" x14ac:dyDescent="0.3">
      <c r="A1082" s="5">
        <v>46</v>
      </c>
      <c r="B1082" s="5" t="s">
        <v>43</v>
      </c>
      <c r="C1082" s="5" t="str">
        <f t="shared" si="112"/>
        <v>No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 s="5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 s="5">
        <v>16606</v>
      </c>
      <c r="U1082">
        <v>11380</v>
      </c>
      <c r="V1082">
        <v>8</v>
      </c>
      <c r="W1082" t="s">
        <v>42</v>
      </c>
      <c r="X1082" t="s">
        <v>43</v>
      </c>
      <c r="Y1082" t="str">
        <f t="shared" si="113"/>
        <v>No</v>
      </c>
      <c r="Z1082">
        <v>12</v>
      </c>
      <c r="AA1082">
        <v>3</v>
      </c>
      <c r="AB1082">
        <v>4</v>
      </c>
      <c r="AC1082">
        <v>80</v>
      </c>
      <c r="AD1082">
        <v>1</v>
      </c>
      <c r="AE1082" s="5">
        <v>23</v>
      </c>
      <c r="AF1082" t="str">
        <f t="shared" si="114"/>
        <v>&gt;15</v>
      </c>
      <c r="AG1082">
        <v>2</v>
      </c>
      <c r="AH1082">
        <v>4</v>
      </c>
      <c r="AI1082" s="5">
        <v>13</v>
      </c>
      <c r="AJ1082">
        <v>12</v>
      </c>
      <c r="AK1082">
        <v>5</v>
      </c>
      <c r="AL1082">
        <v>1</v>
      </c>
      <c r="AM1082" t="str">
        <f t="shared" si="115"/>
        <v>Ok</v>
      </c>
      <c r="AN1082" s="21">
        <f t="shared" si="116"/>
        <v>26.342710997442452</v>
      </c>
      <c r="AO1082" t="str">
        <f t="shared" ca="1" si="117"/>
        <v>No</v>
      </c>
      <c r="AP1082" t="str">
        <f t="shared" si="118"/>
        <v>Low Risk</v>
      </c>
    </row>
    <row r="1083" spans="1:42" x14ac:dyDescent="0.3">
      <c r="A1083" s="5">
        <v>35</v>
      </c>
      <c r="B1083" s="5" t="s">
        <v>43</v>
      </c>
      <c r="C1083" s="5" t="str">
        <f t="shared" si="112"/>
        <v>No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 s="5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 s="5">
        <v>8606</v>
      </c>
      <c r="U1083">
        <v>21195</v>
      </c>
      <c r="V1083">
        <v>1</v>
      </c>
      <c r="W1083" t="s">
        <v>42</v>
      </c>
      <c r="X1083" t="s">
        <v>43</v>
      </c>
      <c r="Y1083" t="str">
        <f t="shared" si="113"/>
        <v>No</v>
      </c>
      <c r="Z1083">
        <v>19</v>
      </c>
      <c r="AA1083">
        <v>3</v>
      </c>
      <c r="AB1083">
        <v>4</v>
      </c>
      <c r="AC1083">
        <v>80</v>
      </c>
      <c r="AD1083">
        <v>0</v>
      </c>
      <c r="AE1083" s="5">
        <v>11</v>
      </c>
      <c r="AF1083" t="str">
        <f t="shared" si="114"/>
        <v>6-15</v>
      </c>
      <c r="AG1083">
        <v>3</v>
      </c>
      <c r="AH1083">
        <v>1</v>
      </c>
      <c r="AI1083" s="5">
        <v>11</v>
      </c>
      <c r="AJ1083">
        <v>8</v>
      </c>
      <c r="AK1083">
        <v>3</v>
      </c>
      <c r="AL1083">
        <v>3</v>
      </c>
      <c r="AM1083" t="str">
        <f t="shared" si="115"/>
        <v>Ok</v>
      </c>
      <c r="AN1083" s="21">
        <f t="shared" si="116"/>
        <v>26.410256410256412</v>
      </c>
      <c r="AO1083" t="str">
        <f t="shared" ca="1" si="117"/>
        <v>No</v>
      </c>
      <c r="AP1083" t="str">
        <f t="shared" si="118"/>
        <v>Low Risk</v>
      </c>
    </row>
    <row r="1084" spans="1:42" x14ac:dyDescent="0.3">
      <c r="A1084" s="5">
        <v>23</v>
      </c>
      <c r="B1084" s="5" t="s">
        <v>43</v>
      </c>
      <c r="C1084" s="5" t="str">
        <f t="shared" si="112"/>
        <v>No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 s="5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 s="5">
        <v>2272</v>
      </c>
      <c r="U1084">
        <v>24812</v>
      </c>
      <c r="V1084">
        <v>0</v>
      </c>
      <c r="W1084" t="s">
        <v>42</v>
      </c>
      <c r="X1084" t="s">
        <v>43</v>
      </c>
      <c r="Y1084" t="str">
        <f t="shared" si="113"/>
        <v>No</v>
      </c>
      <c r="Z1084">
        <v>14</v>
      </c>
      <c r="AA1084">
        <v>3</v>
      </c>
      <c r="AB1084">
        <v>2</v>
      </c>
      <c r="AC1084">
        <v>80</v>
      </c>
      <c r="AD1084">
        <v>0</v>
      </c>
      <c r="AE1084" s="5">
        <v>5</v>
      </c>
      <c r="AF1084" t="str">
        <f t="shared" si="114"/>
        <v>0-5</v>
      </c>
      <c r="AG1084">
        <v>2</v>
      </c>
      <c r="AH1084">
        <v>3</v>
      </c>
      <c r="AI1084" s="5">
        <v>4</v>
      </c>
      <c r="AJ1084">
        <v>3</v>
      </c>
      <c r="AK1084">
        <v>1</v>
      </c>
      <c r="AL1084">
        <v>2</v>
      </c>
      <c r="AM1084" t="str">
        <f t="shared" si="115"/>
        <v>Below Avg</v>
      </c>
      <c r="AN1084" s="21">
        <f t="shared" si="116"/>
        <v>26.47814910025707</v>
      </c>
      <c r="AO1084" t="str">
        <f t="shared" ca="1" si="117"/>
        <v>No</v>
      </c>
      <c r="AP1084" t="str">
        <f t="shared" si="118"/>
        <v>Low Risk</v>
      </c>
    </row>
    <row r="1085" spans="1:42" x14ac:dyDescent="0.3">
      <c r="A1085" s="5">
        <v>40</v>
      </c>
      <c r="B1085" s="5" t="s">
        <v>35</v>
      </c>
      <c r="C1085" s="5" t="str">
        <f t="shared" si="112"/>
        <v>Yes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 s="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 s="5">
        <v>2018</v>
      </c>
      <c r="U1085">
        <v>21831</v>
      </c>
      <c r="V1085">
        <v>3</v>
      </c>
      <c r="W1085" t="s">
        <v>42</v>
      </c>
      <c r="X1085" t="s">
        <v>43</v>
      </c>
      <c r="Y1085" t="str">
        <f t="shared" si="113"/>
        <v>No</v>
      </c>
      <c r="Z1085">
        <v>14</v>
      </c>
      <c r="AA1085">
        <v>3</v>
      </c>
      <c r="AB1085">
        <v>2</v>
      </c>
      <c r="AC1085">
        <v>80</v>
      </c>
      <c r="AD1085">
        <v>0</v>
      </c>
      <c r="AE1085" s="5">
        <v>15</v>
      </c>
      <c r="AF1085" t="str">
        <f t="shared" si="114"/>
        <v>6-15</v>
      </c>
      <c r="AG1085">
        <v>3</v>
      </c>
      <c r="AH1085">
        <v>1</v>
      </c>
      <c r="AI1085" s="5">
        <v>5</v>
      </c>
      <c r="AJ1085">
        <v>4</v>
      </c>
      <c r="AK1085">
        <v>1</v>
      </c>
      <c r="AL1085">
        <v>0</v>
      </c>
      <c r="AM1085" t="str">
        <f t="shared" si="115"/>
        <v>Below Avg</v>
      </c>
      <c r="AN1085" s="21">
        <f t="shared" si="116"/>
        <v>26.546391752577321</v>
      </c>
      <c r="AO1085" t="str">
        <f t="shared" ca="1" si="117"/>
        <v>No</v>
      </c>
      <c r="AP1085" t="str">
        <f t="shared" si="118"/>
        <v>Low Risk</v>
      </c>
    </row>
    <row r="1086" spans="1:42" x14ac:dyDescent="0.3">
      <c r="A1086" s="5">
        <v>34</v>
      </c>
      <c r="B1086" s="5" t="s">
        <v>43</v>
      </c>
      <c r="C1086" s="5" t="str">
        <f t="shared" si="112"/>
        <v>No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 s="5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 s="5">
        <v>7083</v>
      </c>
      <c r="U1086">
        <v>12288</v>
      </c>
      <c r="V1086">
        <v>1</v>
      </c>
      <c r="W1086" t="s">
        <v>42</v>
      </c>
      <c r="X1086" t="s">
        <v>35</v>
      </c>
      <c r="Y1086" t="str">
        <f t="shared" si="113"/>
        <v>Yes</v>
      </c>
      <c r="Z1086">
        <v>14</v>
      </c>
      <c r="AA1086">
        <v>3</v>
      </c>
      <c r="AB1086">
        <v>4</v>
      </c>
      <c r="AC1086">
        <v>80</v>
      </c>
      <c r="AD1086">
        <v>0</v>
      </c>
      <c r="AE1086" s="5">
        <v>10</v>
      </c>
      <c r="AF1086" t="str">
        <f t="shared" si="114"/>
        <v>6-15</v>
      </c>
      <c r="AG1086">
        <v>3</v>
      </c>
      <c r="AH1086">
        <v>3</v>
      </c>
      <c r="AI1086" s="5">
        <v>10</v>
      </c>
      <c r="AJ1086">
        <v>9</v>
      </c>
      <c r="AK1086">
        <v>8</v>
      </c>
      <c r="AL1086">
        <v>6</v>
      </c>
      <c r="AM1086" t="str">
        <f t="shared" si="115"/>
        <v>Ok</v>
      </c>
      <c r="AN1086" s="21">
        <f t="shared" si="116"/>
        <v>26.614987080103358</v>
      </c>
      <c r="AO1086" t="str">
        <f t="shared" ca="1" si="117"/>
        <v>No</v>
      </c>
      <c r="AP1086" t="str">
        <f t="shared" si="118"/>
        <v>Low Risk</v>
      </c>
    </row>
    <row r="1087" spans="1:42" x14ac:dyDescent="0.3">
      <c r="A1087" s="5">
        <v>31</v>
      </c>
      <c r="B1087" s="5" t="s">
        <v>35</v>
      </c>
      <c r="C1087" s="5" t="str">
        <f t="shared" si="112"/>
        <v>Yes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 s="5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 s="5">
        <v>4084</v>
      </c>
      <c r="U1087">
        <v>4156</v>
      </c>
      <c r="V1087">
        <v>1</v>
      </c>
      <c r="W1087" t="s">
        <v>42</v>
      </c>
      <c r="X1087" t="s">
        <v>43</v>
      </c>
      <c r="Y1087" t="str">
        <f t="shared" si="113"/>
        <v>No</v>
      </c>
      <c r="Z1087">
        <v>12</v>
      </c>
      <c r="AA1087">
        <v>3</v>
      </c>
      <c r="AB1087">
        <v>1</v>
      </c>
      <c r="AC1087">
        <v>80</v>
      </c>
      <c r="AD1087">
        <v>0</v>
      </c>
      <c r="AE1087" s="5">
        <v>7</v>
      </c>
      <c r="AF1087" t="str">
        <f t="shared" si="114"/>
        <v>6-15</v>
      </c>
      <c r="AG1087">
        <v>2</v>
      </c>
      <c r="AH1087">
        <v>1</v>
      </c>
      <c r="AI1087" s="5">
        <v>7</v>
      </c>
      <c r="AJ1087">
        <v>2</v>
      </c>
      <c r="AK1087">
        <v>7</v>
      </c>
      <c r="AL1087">
        <v>7</v>
      </c>
      <c r="AM1087" t="str">
        <f t="shared" si="115"/>
        <v>Below Avg</v>
      </c>
      <c r="AN1087" s="21">
        <f t="shared" si="116"/>
        <v>26.683937823834196</v>
      </c>
      <c r="AO1087" t="str">
        <f t="shared" ca="1" si="117"/>
        <v>No</v>
      </c>
      <c r="AP1087" t="str">
        <f t="shared" si="118"/>
        <v>Low Risk</v>
      </c>
    </row>
    <row r="1088" spans="1:42" x14ac:dyDescent="0.3">
      <c r="A1088" s="5">
        <v>50</v>
      </c>
      <c r="B1088" s="5" t="s">
        <v>43</v>
      </c>
      <c r="C1088" s="5" t="str">
        <f t="shared" si="112"/>
        <v>No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 s="5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 s="5">
        <v>14411</v>
      </c>
      <c r="U1088">
        <v>24450</v>
      </c>
      <c r="V1088">
        <v>1</v>
      </c>
      <c r="W1088" t="s">
        <v>42</v>
      </c>
      <c r="X1088" t="s">
        <v>35</v>
      </c>
      <c r="Y1088" t="str">
        <f t="shared" si="113"/>
        <v>Yes</v>
      </c>
      <c r="Z1088">
        <v>13</v>
      </c>
      <c r="AA1088">
        <v>3</v>
      </c>
      <c r="AB1088">
        <v>4</v>
      </c>
      <c r="AC1088">
        <v>80</v>
      </c>
      <c r="AD1088">
        <v>0</v>
      </c>
      <c r="AE1088" s="5">
        <v>32</v>
      </c>
      <c r="AF1088" t="str">
        <f t="shared" si="114"/>
        <v>&gt;15</v>
      </c>
      <c r="AG1088">
        <v>2</v>
      </c>
      <c r="AH1088">
        <v>3</v>
      </c>
      <c r="AI1088" s="5">
        <v>32</v>
      </c>
      <c r="AJ1088">
        <v>6</v>
      </c>
      <c r="AK1088">
        <v>13</v>
      </c>
      <c r="AL1088">
        <v>9</v>
      </c>
      <c r="AM1088" t="str">
        <f t="shared" si="115"/>
        <v>Ok</v>
      </c>
      <c r="AN1088" s="21">
        <f t="shared" si="116"/>
        <v>26.493506493506491</v>
      </c>
      <c r="AO1088" t="str">
        <f t="shared" ca="1" si="117"/>
        <v>No</v>
      </c>
      <c r="AP1088" t="str">
        <f t="shared" si="118"/>
        <v>Low Risk</v>
      </c>
    </row>
    <row r="1089" spans="1:42" x14ac:dyDescent="0.3">
      <c r="A1089" s="5">
        <v>34</v>
      </c>
      <c r="B1089" s="5" t="s">
        <v>43</v>
      </c>
      <c r="C1089" s="5" t="str">
        <f t="shared" si="112"/>
        <v>No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 s="5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 s="5">
        <v>2308</v>
      </c>
      <c r="U1089">
        <v>4944</v>
      </c>
      <c r="V1089">
        <v>0</v>
      </c>
      <c r="W1089" t="s">
        <v>42</v>
      </c>
      <c r="X1089" t="s">
        <v>35</v>
      </c>
      <c r="Y1089" t="str">
        <f t="shared" si="113"/>
        <v>Yes</v>
      </c>
      <c r="Z1089">
        <v>25</v>
      </c>
      <c r="AA1089">
        <v>4</v>
      </c>
      <c r="AB1089">
        <v>2</v>
      </c>
      <c r="AC1089">
        <v>80</v>
      </c>
      <c r="AD1089">
        <v>1</v>
      </c>
      <c r="AE1089" s="5">
        <v>12</v>
      </c>
      <c r="AF1089" t="str">
        <f t="shared" si="114"/>
        <v>6-15</v>
      </c>
      <c r="AG1089">
        <v>4</v>
      </c>
      <c r="AH1089">
        <v>3</v>
      </c>
      <c r="AI1089" s="5">
        <v>11</v>
      </c>
      <c r="AJ1089">
        <v>10</v>
      </c>
      <c r="AK1089">
        <v>5</v>
      </c>
      <c r="AL1089">
        <v>7</v>
      </c>
      <c r="AM1089" t="str">
        <f t="shared" si="115"/>
        <v>Below Avg</v>
      </c>
      <c r="AN1089" s="21">
        <f t="shared" si="116"/>
        <v>26.5625</v>
      </c>
      <c r="AO1089" t="str">
        <f t="shared" ca="1" si="117"/>
        <v>No</v>
      </c>
      <c r="AP1089" t="str">
        <f t="shared" si="118"/>
        <v>Low Risk</v>
      </c>
    </row>
    <row r="1090" spans="1:42" x14ac:dyDescent="0.3">
      <c r="A1090" s="5">
        <v>42</v>
      </c>
      <c r="B1090" s="5" t="s">
        <v>43</v>
      </c>
      <c r="C1090" s="5" t="str">
        <f t="shared" si="112"/>
        <v>No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 s="5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 s="5">
        <v>4841</v>
      </c>
      <c r="U1090">
        <v>24052</v>
      </c>
      <c r="V1090">
        <v>4</v>
      </c>
      <c r="W1090" t="s">
        <v>42</v>
      </c>
      <c r="X1090" t="s">
        <v>43</v>
      </c>
      <c r="Y1090" t="str">
        <f t="shared" si="113"/>
        <v>No</v>
      </c>
      <c r="Z1090">
        <v>14</v>
      </c>
      <c r="AA1090">
        <v>3</v>
      </c>
      <c r="AB1090">
        <v>2</v>
      </c>
      <c r="AC1090">
        <v>80</v>
      </c>
      <c r="AD1090">
        <v>1</v>
      </c>
      <c r="AE1090" s="5">
        <v>4</v>
      </c>
      <c r="AF1090" t="str">
        <f t="shared" si="114"/>
        <v>0-5</v>
      </c>
      <c r="AG1090">
        <v>3</v>
      </c>
      <c r="AH1090">
        <v>3</v>
      </c>
      <c r="AI1090" s="5">
        <v>1</v>
      </c>
      <c r="AJ1090">
        <v>0</v>
      </c>
      <c r="AK1090">
        <v>0</v>
      </c>
      <c r="AL1090">
        <v>0</v>
      </c>
      <c r="AM1090" t="str">
        <f t="shared" si="115"/>
        <v>Below Avg</v>
      </c>
      <c r="AN1090" s="21">
        <f t="shared" si="116"/>
        <v>26.370757180156655</v>
      </c>
      <c r="AO1090" t="str">
        <f t="shared" ca="1" si="117"/>
        <v>No</v>
      </c>
      <c r="AP1090" t="str">
        <f t="shared" si="118"/>
        <v>Low Risk</v>
      </c>
    </row>
    <row r="1091" spans="1:42" x14ac:dyDescent="0.3">
      <c r="A1091" s="5">
        <v>37</v>
      </c>
      <c r="B1091" s="5" t="s">
        <v>43</v>
      </c>
      <c r="C1091" s="5" t="str">
        <f t="shared" ref="C1091:C1154" si="119">IF(LOWER(B1091)="yes","Yes","No")</f>
        <v>No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 s="5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 s="5">
        <v>4285</v>
      </c>
      <c r="U1091">
        <v>3031</v>
      </c>
      <c r="V1091">
        <v>1</v>
      </c>
      <c r="W1091" t="s">
        <v>42</v>
      </c>
      <c r="X1091" t="s">
        <v>43</v>
      </c>
      <c r="Y1091" t="str">
        <f t="shared" ref="Y1091:Y1154" si="120">IF(LOWER(X1091)="yes","Yes","No")</f>
        <v>No</v>
      </c>
      <c r="Z1091">
        <v>17</v>
      </c>
      <c r="AA1091">
        <v>3</v>
      </c>
      <c r="AB1091">
        <v>1</v>
      </c>
      <c r="AC1091">
        <v>80</v>
      </c>
      <c r="AD1091">
        <v>0</v>
      </c>
      <c r="AE1091" s="5">
        <v>10</v>
      </c>
      <c r="AF1091" t="str">
        <f t="shared" ref="AF1091:AF1154" si="121">IF(AE1091&lt;=5,"0-5",IF(AE1091&lt;=15,"6-15","&gt;15"))</f>
        <v>6-15</v>
      </c>
      <c r="AG1091">
        <v>2</v>
      </c>
      <c r="AH1091">
        <v>3</v>
      </c>
      <c r="AI1091" s="5">
        <v>10</v>
      </c>
      <c r="AJ1091">
        <v>8</v>
      </c>
      <c r="AK1091">
        <v>3</v>
      </c>
      <c r="AL1091">
        <v>7</v>
      </c>
      <c r="AM1091" t="str">
        <f t="shared" ref="AM1091:AM1154" si="122">IF(T1091&lt;AVERAGEIF($F1090:$F2560,F1091,$T1090:$T2560),"Below Avg","Ok")</f>
        <v>Below Avg</v>
      </c>
      <c r="AN1091" s="21">
        <f t="shared" ref="AN1091:AN1154" si="123">COUNTIF(X1090:X2560,"Yes")/COUNTA(X1090:X2560)*100</f>
        <v>26.178010471204189</v>
      </c>
      <c r="AO1091" t="str">
        <f t="shared" ref="AO1091:AO1154" ca="1" si="124">IF(AND(AA1091&gt;=4,Z1091&lt;AVERAGEIF($F1090:$F2560,F1091,$Z1091:$Z2560)),"Yes","No")</f>
        <v>No</v>
      </c>
      <c r="AP1091" t="str">
        <f t="shared" ref="AP1091:AP1154" si="125">IF(AND(AI1091&lt;2,C1091="Yes"),"High Risk","Low Risk")</f>
        <v>Low Risk</v>
      </c>
    </row>
    <row r="1092" spans="1:42" x14ac:dyDescent="0.3">
      <c r="A1092" s="5">
        <v>29</v>
      </c>
      <c r="B1092" s="5" t="s">
        <v>43</v>
      </c>
      <c r="C1092" s="5" t="str">
        <f t="shared" si="119"/>
        <v>No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 s="5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 s="5">
        <v>9715</v>
      </c>
      <c r="U1092">
        <v>7288</v>
      </c>
      <c r="V1092">
        <v>3</v>
      </c>
      <c r="W1092" t="s">
        <v>42</v>
      </c>
      <c r="X1092" t="s">
        <v>43</v>
      </c>
      <c r="Y1092" t="str">
        <f t="shared" si="120"/>
        <v>No</v>
      </c>
      <c r="Z1092">
        <v>13</v>
      </c>
      <c r="AA1092">
        <v>3</v>
      </c>
      <c r="AB1092">
        <v>3</v>
      </c>
      <c r="AC1092">
        <v>80</v>
      </c>
      <c r="AD1092">
        <v>1</v>
      </c>
      <c r="AE1092" s="5">
        <v>9</v>
      </c>
      <c r="AF1092" t="str">
        <f t="shared" si="121"/>
        <v>6-15</v>
      </c>
      <c r="AG1092">
        <v>3</v>
      </c>
      <c r="AH1092">
        <v>3</v>
      </c>
      <c r="AI1092" s="5">
        <v>7</v>
      </c>
      <c r="AJ1092">
        <v>7</v>
      </c>
      <c r="AK1092">
        <v>0</v>
      </c>
      <c r="AL1092">
        <v>7</v>
      </c>
      <c r="AM1092" t="str">
        <f t="shared" si="122"/>
        <v>Ok</v>
      </c>
      <c r="AN1092" s="21">
        <f t="shared" si="123"/>
        <v>26.246719160104988</v>
      </c>
      <c r="AO1092" t="str">
        <f t="shared" ca="1" si="124"/>
        <v>No</v>
      </c>
      <c r="AP1092" t="str">
        <f t="shared" si="125"/>
        <v>Low Risk</v>
      </c>
    </row>
    <row r="1093" spans="1:42" x14ac:dyDescent="0.3">
      <c r="A1093" s="5">
        <v>33</v>
      </c>
      <c r="B1093" s="5" t="s">
        <v>43</v>
      </c>
      <c r="C1093" s="5" t="str">
        <f t="shared" si="119"/>
        <v>No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 s="5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 s="5">
        <v>4320</v>
      </c>
      <c r="U1093">
        <v>24152</v>
      </c>
      <c r="V1093">
        <v>1</v>
      </c>
      <c r="W1093" t="s">
        <v>42</v>
      </c>
      <c r="X1093" t="s">
        <v>43</v>
      </c>
      <c r="Y1093" t="str">
        <f t="shared" si="120"/>
        <v>No</v>
      </c>
      <c r="Z1093">
        <v>13</v>
      </c>
      <c r="AA1093">
        <v>3</v>
      </c>
      <c r="AB1093">
        <v>4</v>
      </c>
      <c r="AC1093">
        <v>80</v>
      </c>
      <c r="AD1093">
        <v>0</v>
      </c>
      <c r="AE1093" s="5">
        <v>5</v>
      </c>
      <c r="AF1093" t="str">
        <f t="shared" si="121"/>
        <v>0-5</v>
      </c>
      <c r="AG1093">
        <v>2</v>
      </c>
      <c r="AH1093">
        <v>3</v>
      </c>
      <c r="AI1093" s="5">
        <v>5</v>
      </c>
      <c r="AJ1093">
        <v>3</v>
      </c>
      <c r="AK1093">
        <v>0</v>
      </c>
      <c r="AL1093">
        <v>2</v>
      </c>
      <c r="AM1093" t="str">
        <f t="shared" si="122"/>
        <v>Below Avg</v>
      </c>
      <c r="AN1093" s="21">
        <f t="shared" si="123"/>
        <v>26.315789473684209</v>
      </c>
      <c r="AO1093" t="str">
        <f t="shared" ca="1" si="124"/>
        <v>No</v>
      </c>
      <c r="AP1093" t="str">
        <f t="shared" si="125"/>
        <v>Low Risk</v>
      </c>
    </row>
    <row r="1094" spans="1:42" x14ac:dyDescent="0.3">
      <c r="A1094" s="5">
        <v>45</v>
      </c>
      <c r="B1094" s="5" t="s">
        <v>43</v>
      </c>
      <c r="C1094" s="5" t="str">
        <f t="shared" si="119"/>
        <v>No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 s="5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 s="5">
        <v>2132</v>
      </c>
      <c r="U1094">
        <v>4585</v>
      </c>
      <c r="V1094">
        <v>4</v>
      </c>
      <c r="W1094" t="s">
        <v>42</v>
      </c>
      <c r="X1094" t="s">
        <v>43</v>
      </c>
      <c r="Y1094" t="str">
        <f t="shared" si="120"/>
        <v>No</v>
      </c>
      <c r="Z1094">
        <v>20</v>
      </c>
      <c r="AA1094">
        <v>4</v>
      </c>
      <c r="AB1094">
        <v>4</v>
      </c>
      <c r="AC1094">
        <v>80</v>
      </c>
      <c r="AD1094">
        <v>1</v>
      </c>
      <c r="AE1094" s="5">
        <v>8</v>
      </c>
      <c r="AF1094" t="str">
        <f t="shared" si="121"/>
        <v>6-15</v>
      </c>
      <c r="AG1094">
        <v>3</v>
      </c>
      <c r="AH1094">
        <v>3</v>
      </c>
      <c r="AI1094" s="5">
        <v>5</v>
      </c>
      <c r="AJ1094">
        <v>4</v>
      </c>
      <c r="AK1094">
        <v>0</v>
      </c>
      <c r="AL1094">
        <v>3</v>
      </c>
      <c r="AM1094" t="str">
        <f t="shared" si="122"/>
        <v>Below Avg</v>
      </c>
      <c r="AN1094" s="21">
        <f t="shared" si="123"/>
        <v>26.385224274406333</v>
      </c>
      <c r="AO1094" t="str">
        <f t="shared" ca="1" si="124"/>
        <v>No</v>
      </c>
      <c r="AP1094" t="str">
        <f t="shared" si="125"/>
        <v>Low Risk</v>
      </c>
    </row>
    <row r="1095" spans="1:42" x14ac:dyDescent="0.3">
      <c r="A1095" s="5">
        <v>42</v>
      </c>
      <c r="B1095" s="5" t="s">
        <v>43</v>
      </c>
      <c r="C1095" s="5" t="str">
        <f t="shared" si="119"/>
        <v>No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 s="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 s="5">
        <v>10124</v>
      </c>
      <c r="U1095">
        <v>18611</v>
      </c>
      <c r="V1095">
        <v>2</v>
      </c>
      <c r="W1095" t="s">
        <v>42</v>
      </c>
      <c r="X1095" t="s">
        <v>35</v>
      </c>
      <c r="Y1095" t="str">
        <f t="shared" si="120"/>
        <v>Yes</v>
      </c>
      <c r="Z1095">
        <v>14</v>
      </c>
      <c r="AA1095">
        <v>3</v>
      </c>
      <c r="AB1095">
        <v>3</v>
      </c>
      <c r="AC1095">
        <v>80</v>
      </c>
      <c r="AD1095">
        <v>1</v>
      </c>
      <c r="AE1095" s="5">
        <v>24</v>
      </c>
      <c r="AF1095" t="str">
        <f t="shared" si="121"/>
        <v>&gt;15</v>
      </c>
      <c r="AG1095">
        <v>3</v>
      </c>
      <c r="AH1095">
        <v>1</v>
      </c>
      <c r="AI1095" s="5">
        <v>20</v>
      </c>
      <c r="AJ1095">
        <v>8</v>
      </c>
      <c r="AK1095">
        <v>13</v>
      </c>
      <c r="AL1095">
        <v>9</v>
      </c>
      <c r="AM1095" t="str">
        <f t="shared" si="122"/>
        <v>Ok</v>
      </c>
      <c r="AN1095" s="21">
        <f t="shared" si="123"/>
        <v>26.455026455026452</v>
      </c>
      <c r="AO1095" t="str">
        <f t="shared" ca="1" si="124"/>
        <v>No</v>
      </c>
      <c r="AP1095" t="str">
        <f t="shared" si="125"/>
        <v>Low Risk</v>
      </c>
    </row>
    <row r="1096" spans="1:42" x14ac:dyDescent="0.3">
      <c r="A1096" s="5">
        <v>40</v>
      </c>
      <c r="B1096" s="5" t="s">
        <v>43</v>
      </c>
      <c r="C1096" s="5" t="str">
        <f t="shared" si="119"/>
        <v>No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 s="5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 s="5">
        <v>5473</v>
      </c>
      <c r="U1096">
        <v>19345</v>
      </c>
      <c r="V1096">
        <v>0</v>
      </c>
      <c r="W1096" t="s">
        <v>42</v>
      </c>
      <c r="X1096" t="s">
        <v>43</v>
      </c>
      <c r="Y1096" t="str">
        <f t="shared" si="120"/>
        <v>No</v>
      </c>
      <c r="Z1096">
        <v>12</v>
      </c>
      <c r="AA1096">
        <v>3</v>
      </c>
      <c r="AB1096">
        <v>4</v>
      </c>
      <c r="AC1096">
        <v>80</v>
      </c>
      <c r="AD1096">
        <v>0</v>
      </c>
      <c r="AE1096" s="5">
        <v>9</v>
      </c>
      <c r="AF1096" t="str">
        <f t="shared" si="121"/>
        <v>6-15</v>
      </c>
      <c r="AG1096">
        <v>5</v>
      </c>
      <c r="AH1096">
        <v>4</v>
      </c>
      <c r="AI1096" s="5">
        <v>8</v>
      </c>
      <c r="AJ1096">
        <v>4</v>
      </c>
      <c r="AK1096">
        <v>7</v>
      </c>
      <c r="AL1096">
        <v>1</v>
      </c>
      <c r="AM1096" t="str">
        <f t="shared" si="122"/>
        <v>Below Avg</v>
      </c>
      <c r="AN1096" s="21">
        <f t="shared" si="123"/>
        <v>26.525198938992045</v>
      </c>
      <c r="AO1096" t="str">
        <f t="shared" ca="1" si="124"/>
        <v>No</v>
      </c>
      <c r="AP1096" t="str">
        <f t="shared" si="125"/>
        <v>Low Risk</v>
      </c>
    </row>
    <row r="1097" spans="1:42" x14ac:dyDescent="0.3">
      <c r="A1097" s="5">
        <v>33</v>
      </c>
      <c r="B1097" s="5" t="s">
        <v>43</v>
      </c>
      <c r="C1097" s="5" t="str">
        <f t="shared" si="119"/>
        <v>No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 s="5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 s="5">
        <v>5207</v>
      </c>
      <c r="U1097">
        <v>22949</v>
      </c>
      <c r="V1097">
        <v>1</v>
      </c>
      <c r="W1097" t="s">
        <v>42</v>
      </c>
      <c r="X1097" t="s">
        <v>35</v>
      </c>
      <c r="Y1097" t="str">
        <f t="shared" si="120"/>
        <v>Yes</v>
      </c>
      <c r="Z1097">
        <v>12</v>
      </c>
      <c r="AA1097">
        <v>3</v>
      </c>
      <c r="AB1097">
        <v>2</v>
      </c>
      <c r="AC1097">
        <v>80</v>
      </c>
      <c r="AD1097">
        <v>1</v>
      </c>
      <c r="AE1097" s="5">
        <v>15</v>
      </c>
      <c r="AF1097" t="str">
        <f t="shared" si="121"/>
        <v>6-15</v>
      </c>
      <c r="AG1097">
        <v>3</v>
      </c>
      <c r="AH1097">
        <v>3</v>
      </c>
      <c r="AI1097" s="5">
        <v>15</v>
      </c>
      <c r="AJ1097">
        <v>14</v>
      </c>
      <c r="AK1097">
        <v>5</v>
      </c>
      <c r="AL1097">
        <v>7</v>
      </c>
      <c r="AM1097" t="str">
        <f t="shared" si="122"/>
        <v>Below Avg</v>
      </c>
      <c r="AN1097" s="21">
        <f t="shared" si="123"/>
        <v>26.329787234042552</v>
      </c>
      <c r="AO1097" t="str">
        <f t="shared" ca="1" si="124"/>
        <v>No</v>
      </c>
      <c r="AP1097" t="str">
        <f t="shared" si="125"/>
        <v>Low Risk</v>
      </c>
    </row>
    <row r="1098" spans="1:42" x14ac:dyDescent="0.3">
      <c r="A1098" s="5">
        <v>40</v>
      </c>
      <c r="B1098" s="5" t="s">
        <v>43</v>
      </c>
      <c r="C1098" s="5" t="str">
        <f t="shared" si="119"/>
        <v>No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 s="5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 s="5">
        <v>16437</v>
      </c>
      <c r="U1098">
        <v>17381</v>
      </c>
      <c r="V1098">
        <v>1</v>
      </c>
      <c r="W1098" t="s">
        <v>42</v>
      </c>
      <c r="X1098" t="s">
        <v>35</v>
      </c>
      <c r="Y1098" t="str">
        <f t="shared" si="120"/>
        <v>Yes</v>
      </c>
      <c r="Z1098">
        <v>21</v>
      </c>
      <c r="AA1098">
        <v>4</v>
      </c>
      <c r="AB1098">
        <v>4</v>
      </c>
      <c r="AC1098">
        <v>80</v>
      </c>
      <c r="AD1098">
        <v>0</v>
      </c>
      <c r="AE1098" s="5">
        <v>21</v>
      </c>
      <c r="AF1098" t="str">
        <f t="shared" si="121"/>
        <v>&gt;15</v>
      </c>
      <c r="AG1098">
        <v>2</v>
      </c>
      <c r="AH1098">
        <v>3</v>
      </c>
      <c r="AI1098" s="5">
        <v>21</v>
      </c>
      <c r="AJ1098">
        <v>7</v>
      </c>
      <c r="AK1098">
        <v>7</v>
      </c>
      <c r="AL1098">
        <v>7</v>
      </c>
      <c r="AM1098" t="str">
        <f t="shared" si="122"/>
        <v>Ok</v>
      </c>
      <c r="AN1098" s="21">
        <f t="shared" si="123"/>
        <v>26.400000000000002</v>
      </c>
      <c r="AO1098" t="str">
        <f t="shared" ca="1" si="124"/>
        <v>No</v>
      </c>
      <c r="AP1098" t="str">
        <f t="shared" si="125"/>
        <v>Low Risk</v>
      </c>
    </row>
    <row r="1099" spans="1:42" x14ac:dyDescent="0.3">
      <c r="A1099" s="5">
        <v>24</v>
      </c>
      <c r="B1099" s="5" t="s">
        <v>43</v>
      </c>
      <c r="C1099" s="5" t="str">
        <f t="shared" si="119"/>
        <v>No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 s="5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 s="5">
        <v>2296</v>
      </c>
      <c r="U1099">
        <v>10036</v>
      </c>
      <c r="V1099">
        <v>0</v>
      </c>
      <c r="W1099" t="s">
        <v>42</v>
      </c>
      <c r="X1099" t="s">
        <v>43</v>
      </c>
      <c r="Y1099" t="str">
        <f t="shared" si="120"/>
        <v>No</v>
      </c>
      <c r="Z1099">
        <v>14</v>
      </c>
      <c r="AA1099">
        <v>3</v>
      </c>
      <c r="AB1099">
        <v>2</v>
      </c>
      <c r="AC1099">
        <v>80</v>
      </c>
      <c r="AD1099">
        <v>3</v>
      </c>
      <c r="AE1099" s="5">
        <v>2</v>
      </c>
      <c r="AF1099" t="str">
        <f t="shared" si="121"/>
        <v>0-5</v>
      </c>
      <c r="AG1099">
        <v>3</v>
      </c>
      <c r="AH1099">
        <v>3</v>
      </c>
      <c r="AI1099" s="5">
        <v>1</v>
      </c>
      <c r="AJ1099">
        <v>1</v>
      </c>
      <c r="AK1099">
        <v>0</v>
      </c>
      <c r="AL1099">
        <v>0</v>
      </c>
      <c r="AM1099" t="str">
        <f t="shared" si="122"/>
        <v>Below Avg</v>
      </c>
      <c r="AN1099" s="21">
        <f t="shared" si="123"/>
        <v>26.203208556149733</v>
      </c>
      <c r="AO1099" t="str">
        <f t="shared" ca="1" si="124"/>
        <v>No</v>
      </c>
      <c r="AP1099" t="str">
        <f t="shared" si="125"/>
        <v>Low Risk</v>
      </c>
    </row>
    <row r="1100" spans="1:42" x14ac:dyDescent="0.3">
      <c r="A1100" s="5">
        <v>40</v>
      </c>
      <c r="B1100" s="5" t="s">
        <v>43</v>
      </c>
      <c r="C1100" s="5" t="str">
        <f t="shared" si="119"/>
        <v>No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 s="5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 s="5">
        <v>4069</v>
      </c>
      <c r="U1100">
        <v>8841</v>
      </c>
      <c r="V1100">
        <v>3</v>
      </c>
      <c r="W1100" t="s">
        <v>42</v>
      </c>
      <c r="X1100" t="s">
        <v>35</v>
      </c>
      <c r="Y1100" t="str">
        <f t="shared" si="120"/>
        <v>Yes</v>
      </c>
      <c r="Z1100">
        <v>18</v>
      </c>
      <c r="AA1100">
        <v>3</v>
      </c>
      <c r="AB1100">
        <v>3</v>
      </c>
      <c r="AC1100">
        <v>80</v>
      </c>
      <c r="AD1100">
        <v>0</v>
      </c>
      <c r="AE1100" s="5">
        <v>8</v>
      </c>
      <c r="AF1100" t="str">
        <f t="shared" si="121"/>
        <v>6-15</v>
      </c>
      <c r="AG1100">
        <v>2</v>
      </c>
      <c r="AH1100">
        <v>3</v>
      </c>
      <c r="AI1100" s="5">
        <v>2</v>
      </c>
      <c r="AJ1100">
        <v>2</v>
      </c>
      <c r="AK1100">
        <v>2</v>
      </c>
      <c r="AL1100">
        <v>2</v>
      </c>
      <c r="AM1100" t="str">
        <f t="shared" si="122"/>
        <v>Below Avg</v>
      </c>
      <c r="AN1100" s="21">
        <f t="shared" si="123"/>
        <v>26.005361930294907</v>
      </c>
      <c r="AO1100" t="str">
        <f t="shared" ca="1" si="124"/>
        <v>No</v>
      </c>
      <c r="AP1100" t="str">
        <f t="shared" si="125"/>
        <v>Low Risk</v>
      </c>
    </row>
    <row r="1101" spans="1:42" x14ac:dyDescent="0.3">
      <c r="A1101" s="5">
        <v>45</v>
      </c>
      <c r="B1101" s="5" t="s">
        <v>43</v>
      </c>
      <c r="C1101" s="5" t="str">
        <f t="shared" si="119"/>
        <v>No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 s="5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 s="5">
        <v>7441</v>
      </c>
      <c r="U1101">
        <v>20933</v>
      </c>
      <c r="V1101">
        <v>1</v>
      </c>
      <c r="W1101" t="s">
        <v>42</v>
      </c>
      <c r="X1101" t="s">
        <v>43</v>
      </c>
      <c r="Y1101" t="str">
        <f t="shared" si="120"/>
        <v>No</v>
      </c>
      <c r="Z1101">
        <v>12</v>
      </c>
      <c r="AA1101">
        <v>3</v>
      </c>
      <c r="AB1101">
        <v>1</v>
      </c>
      <c r="AC1101">
        <v>80</v>
      </c>
      <c r="AD1101">
        <v>3</v>
      </c>
      <c r="AE1101" s="5">
        <v>10</v>
      </c>
      <c r="AF1101" t="str">
        <f t="shared" si="121"/>
        <v>6-15</v>
      </c>
      <c r="AG1101">
        <v>4</v>
      </c>
      <c r="AH1101">
        <v>3</v>
      </c>
      <c r="AI1101" s="5">
        <v>10</v>
      </c>
      <c r="AJ1101">
        <v>8</v>
      </c>
      <c r="AK1101">
        <v>7</v>
      </c>
      <c r="AL1101">
        <v>7</v>
      </c>
      <c r="AM1101" t="str">
        <f t="shared" si="122"/>
        <v>Ok</v>
      </c>
      <c r="AN1101" s="21">
        <f t="shared" si="123"/>
        <v>26.0752688172043</v>
      </c>
      <c r="AO1101" t="str">
        <f t="shared" ca="1" si="124"/>
        <v>No</v>
      </c>
      <c r="AP1101" t="str">
        <f t="shared" si="125"/>
        <v>Low Risk</v>
      </c>
    </row>
    <row r="1102" spans="1:42" x14ac:dyDescent="0.3">
      <c r="A1102" s="5">
        <v>35</v>
      </c>
      <c r="B1102" s="5" t="s">
        <v>43</v>
      </c>
      <c r="C1102" s="5" t="str">
        <f t="shared" si="119"/>
        <v>No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 s="5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 s="5">
        <v>2430</v>
      </c>
      <c r="U1102">
        <v>26204</v>
      </c>
      <c r="V1102">
        <v>0</v>
      </c>
      <c r="W1102" t="s">
        <v>42</v>
      </c>
      <c r="X1102" t="s">
        <v>43</v>
      </c>
      <c r="Y1102" t="str">
        <f t="shared" si="120"/>
        <v>No</v>
      </c>
      <c r="Z1102">
        <v>23</v>
      </c>
      <c r="AA1102">
        <v>4</v>
      </c>
      <c r="AB1102">
        <v>1</v>
      </c>
      <c r="AC1102">
        <v>80</v>
      </c>
      <c r="AD1102">
        <v>2</v>
      </c>
      <c r="AE1102" s="5">
        <v>6</v>
      </c>
      <c r="AF1102" t="str">
        <f t="shared" si="121"/>
        <v>6-15</v>
      </c>
      <c r="AG1102">
        <v>5</v>
      </c>
      <c r="AH1102">
        <v>3</v>
      </c>
      <c r="AI1102" s="5">
        <v>5</v>
      </c>
      <c r="AJ1102">
        <v>3</v>
      </c>
      <c r="AK1102">
        <v>4</v>
      </c>
      <c r="AL1102">
        <v>2</v>
      </c>
      <c r="AM1102" t="str">
        <f t="shared" si="122"/>
        <v>Below Avg</v>
      </c>
      <c r="AN1102" s="21">
        <f t="shared" si="123"/>
        <v>25.876010781671159</v>
      </c>
      <c r="AO1102" t="str">
        <f t="shared" ca="1" si="124"/>
        <v>No</v>
      </c>
      <c r="AP1102" t="str">
        <f t="shared" si="125"/>
        <v>Low Risk</v>
      </c>
    </row>
    <row r="1103" spans="1:42" x14ac:dyDescent="0.3">
      <c r="A1103" s="5">
        <v>32</v>
      </c>
      <c r="B1103" s="5" t="s">
        <v>43</v>
      </c>
      <c r="C1103" s="5" t="str">
        <f t="shared" si="119"/>
        <v>No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 s="5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 s="5">
        <v>5878</v>
      </c>
      <c r="U1103">
        <v>15624</v>
      </c>
      <c r="V1103">
        <v>3</v>
      </c>
      <c r="W1103" t="s">
        <v>42</v>
      </c>
      <c r="X1103" t="s">
        <v>43</v>
      </c>
      <c r="Y1103" t="str">
        <f t="shared" si="120"/>
        <v>No</v>
      </c>
      <c r="Z1103">
        <v>12</v>
      </c>
      <c r="AA1103">
        <v>3</v>
      </c>
      <c r="AB1103">
        <v>1</v>
      </c>
      <c r="AC1103">
        <v>80</v>
      </c>
      <c r="AD1103">
        <v>1</v>
      </c>
      <c r="AE1103" s="5">
        <v>12</v>
      </c>
      <c r="AF1103" t="str">
        <f t="shared" si="121"/>
        <v>6-15</v>
      </c>
      <c r="AG1103">
        <v>2</v>
      </c>
      <c r="AH1103">
        <v>3</v>
      </c>
      <c r="AI1103" s="5">
        <v>7</v>
      </c>
      <c r="AJ1103">
        <v>1</v>
      </c>
      <c r="AK1103">
        <v>2</v>
      </c>
      <c r="AL1103">
        <v>5</v>
      </c>
      <c r="AM1103" t="str">
        <f t="shared" si="122"/>
        <v>Below Avg</v>
      </c>
      <c r="AN1103" s="21">
        <f t="shared" si="123"/>
        <v>25.945945945945947</v>
      </c>
      <c r="AO1103" t="str">
        <f t="shared" ca="1" si="124"/>
        <v>No</v>
      </c>
      <c r="AP1103" t="str">
        <f t="shared" si="125"/>
        <v>Low Risk</v>
      </c>
    </row>
    <row r="1104" spans="1:42" x14ac:dyDescent="0.3">
      <c r="A1104" s="5">
        <v>36</v>
      </c>
      <c r="B1104" s="5" t="s">
        <v>43</v>
      </c>
      <c r="C1104" s="5" t="str">
        <f t="shared" si="119"/>
        <v>No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 s="5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 s="5">
        <v>2644</v>
      </c>
      <c r="U1104">
        <v>17001</v>
      </c>
      <c r="V1104">
        <v>3</v>
      </c>
      <c r="W1104" t="s">
        <v>42</v>
      </c>
      <c r="X1104" t="s">
        <v>35</v>
      </c>
      <c r="Y1104" t="str">
        <f t="shared" si="120"/>
        <v>Yes</v>
      </c>
      <c r="Z1104">
        <v>21</v>
      </c>
      <c r="AA1104">
        <v>4</v>
      </c>
      <c r="AB1104">
        <v>4</v>
      </c>
      <c r="AC1104">
        <v>80</v>
      </c>
      <c r="AD1104">
        <v>0</v>
      </c>
      <c r="AE1104" s="5">
        <v>7</v>
      </c>
      <c r="AF1104" t="str">
        <f t="shared" si="121"/>
        <v>6-15</v>
      </c>
      <c r="AG1104">
        <v>3</v>
      </c>
      <c r="AH1104">
        <v>2</v>
      </c>
      <c r="AI1104" s="5">
        <v>3</v>
      </c>
      <c r="AJ1104">
        <v>2</v>
      </c>
      <c r="AK1104">
        <v>1</v>
      </c>
      <c r="AL1104">
        <v>2</v>
      </c>
      <c r="AM1104" t="str">
        <f t="shared" si="122"/>
        <v>Below Avg</v>
      </c>
      <c r="AN1104" s="21">
        <f t="shared" si="123"/>
        <v>26.016260162601629</v>
      </c>
      <c r="AO1104" t="str">
        <f t="shared" ca="1" si="124"/>
        <v>No</v>
      </c>
      <c r="AP1104" t="str">
        <f t="shared" si="125"/>
        <v>Low Risk</v>
      </c>
    </row>
    <row r="1105" spans="1:42" x14ac:dyDescent="0.3">
      <c r="A1105" s="5">
        <v>48</v>
      </c>
      <c r="B1105" s="5" t="s">
        <v>43</v>
      </c>
      <c r="C1105" s="5" t="str">
        <f t="shared" si="119"/>
        <v>No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 s="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 s="5">
        <v>6439</v>
      </c>
      <c r="U1105">
        <v>13693</v>
      </c>
      <c r="V1105">
        <v>8</v>
      </c>
      <c r="W1105" t="s">
        <v>42</v>
      </c>
      <c r="X1105" t="s">
        <v>43</v>
      </c>
      <c r="Y1105" t="str">
        <f t="shared" si="120"/>
        <v>No</v>
      </c>
      <c r="Z1105">
        <v>14</v>
      </c>
      <c r="AA1105">
        <v>3</v>
      </c>
      <c r="AB1105">
        <v>3</v>
      </c>
      <c r="AC1105">
        <v>80</v>
      </c>
      <c r="AD1105">
        <v>1</v>
      </c>
      <c r="AE1105" s="5">
        <v>18</v>
      </c>
      <c r="AF1105" t="str">
        <f t="shared" si="121"/>
        <v>&gt;15</v>
      </c>
      <c r="AG1105">
        <v>2</v>
      </c>
      <c r="AH1105">
        <v>3</v>
      </c>
      <c r="AI1105" s="5">
        <v>8</v>
      </c>
      <c r="AJ1105">
        <v>7</v>
      </c>
      <c r="AK1105">
        <v>7</v>
      </c>
      <c r="AL1105">
        <v>7</v>
      </c>
      <c r="AM1105" t="str">
        <f t="shared" si="122"/>
        <v>Below Avg</v>
      </c>
      <c r="AN1105" s="21">
        <f t="shared" si="123"/>
        <v>26.086956521739129</v>
      </c>
      <c r="AO1105" t="str">
        <f t="shared" ca="1" si="124"/>
        <v>No</v>
      </c>
      <c r="AP1105" t="str">
        <f t="shared" si="125"/>
        <v>Low Risk</v>
      </c>
    </row>
    <row r="1106" spans="1:42" x14ac:dyDescent="0.3">
      <c r="A1106" s="5">
        <v>29</v>
      </c>
      <c r="B1106" s="5" t="s">
        <v>43</v>
      </c>
      <c r="C1106" s="5" t="str">
        <f t="shared" si="119"/>
        <v>No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 s="5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 s="5">
        <v>2451</v>
      </c>
      <c r="U1106">
        <v>22376</v>
      </c>
      <c r="V1106">
        <v>6</v>
      </c>
      <c r="W1106" t="s">
        <v>42</v>
      </c>
      <c r="X1106" t="s">
        <v>43</v>
      </c>
      <c r="Y1106" t="str">
        <f t="shared" si="120"/>
        <v>No</v>
      </c>
      <c r="Z1106">
        <v>18</v>
      </c>
      <c r="AA1106">
        <v>3</v>
      </c>
      <c r="AB1106">
        <v>1</v>
      </c>
      <c r="AC1106">
        <v>80</v>
      </c>
      <c r="AD1106">
        <v>2</v>
      </c>
      <c r="AE1106" s="5">
        <v>5</v>
      </c>
      <c r="AF1106" t="str">
        <f t="shared" si="121"/>
        <v>0-5</v>
      </c>
      <c r="AG1106">
        <v>2</v>
      </c>
      <c r="AH1106">
        <v>2</v>
      </c>
      <c r="AI1106" s="5">
        <v>1</v>
      </c>
      <c r="AJ1106">
        <v>0</v>
      </c>
      <c r="AK1106">
        <v>0</v>
      </c>
      <c r="AL1106">
        <v>0</v>
      </c>
      <c r="AM1106" t="str">
        <f t="shared" si="122"/>
        <v>Below Avg</v>
      </c>
      <c r="AN1106" s="21">
        <f t="shared" si="123"/>
        <v>25.885558583106267</v>
      </c>
      <c r="AO1106" t="str">
        <f t="shared" ca="1" si="124"/>
        <v>No</v>
      </c>
      <c r="AP1106" t="str">
        <f t="shared" si="125"/>
        <v>Low Risk</v>
      </c>
    </row>
    <row r="1107" spans="1:42" x14ac:dyDescent="0.3">
      <c r="A1107" s="5">
        <v>33</v>
      </c>
      <c r="B1107" s="5" t="s">
        <v>43</v>
      </c>
      <c r="C1107" s="5" t="str">
        <f t="shared" si="119"/>
        <v>No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 s="5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 s="5">
        <v>6392</v>
      </c>
      <c r="U1107">
        <v>10589</v>
      </c>
      <c r="V1107">
        <v>2</v>
      </c>
      <c r="W1107" t="s">
        <v>42</v>
      </c>
      <c r="X1107" t="s">
        <v>43</v>
      </c>
      <c r="Y1107" t="str">
        <f t="shared" si="120"/>
        <v>No</v>
      </c>
      <c r="Z1107">
        <v>13</v>
      </c>
      <c r="AA1107">
        <v>3</v>
      </c>
      <c r="AB1107">
        <v>4</v>
      </c>
      <c r="AC1107">
        <v>80</v>
      </c>
      <c r="AD1107">
        <v>1</v>
      </c>
      <c r="AE1107" s="5">
        <v>8</v>
      </c>
      <c r="AF1107" t="str">
        <f t="shared" si="121"/>
        <v>6-15</v>
      </c>
      <c r="AG1107">
        <v>6</v>
      </c>
      <c r="AH1107">
        <v>1</v>
      </c>
      <c r="AI1107" s="5">
        <v>2</v>
      </c>
      <c r="AJ1107">
        <v>2</v>
      </c>
      <c r="AK1107">
        <v>2</v>
      </c>
      <c r="AL1107">
        <v>2</v>
      </c>
      <c r="AM1107" t="str">
        <f t="shared" si="122"/>
        <v>Below Avg</v>
      </c>
      <c r="AN1107" s="21">
        <f t="shared" si="123"/>
        <v>25.956284153005466</v>
      </c>
      <c r="AO1107" t="str">
        <f t="shared" ca="1" si="124"/>
        <v>No</v>
      </c>
      <c r="AP1107" t="str">
        <f t="shared" si="125"/>
        <v>Low Risk</v>
      </c>
    </row>
    <row r="1108" spans="1:42" x14ac:dyDescent="0.3">
      <c r="A1108" s="5">
        <v>30</v>
      </c>
      <c r="B1108" s="5" t="s">
        <v>35</v>
      </c>
      <c r="C1108" s="5" t="str">
        <f t="shared" si="119"/>
        <v>Yes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 s="5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 s="5">
        <v>9714</v>
      </c>
      <c r="U1108">
        <v>5323</v>
      </c>
      <c r="V1108">
        <v>1</v>
      </c>
      <c r="W1108" t="s">
        <v>42</v>
      </c>
      <c r="X1108" t="s">
        <v>43</v>
      </c>
      <c r="Y1108" t="str">
        <f t="shared" si="120"/>
        <v>No</v>
      </c>
      <c r="Z1108">
        <v>11</v>
      </c>
      <c r="AA1108">
        <v>3</v>
      </c>
      <c r="AB1108">
        <v>4</v>
      </c>
      <c r="AC1108">
        <v>80</v>
      </c>
      <c r="AD1108">
        <v>1</v>
      </c>
      <c r="AE1108" s="5">
        <v>10</v>
      </c>
      <c r="AF1108" t="str">
        <f t="shared" si="121"/>
        <v>6-15</v>
      </c>
      <c r="AG1108">
        <v>4</v>
      </c>
      <c r="AH1108">
        <v>3</v>
      </c>
      <c r="AI1108" s="5">
        <v>10</v>
      </c>
      <c r="AJ1108">
        <v>8</v>
      </c>
      <c r="AK1108">
        <v>6</v>
      </c>
      <c r="AL1108">
        <v>7</v>
      </c>
      <c r="AM1108" t="str">
        <f t="shared" si="122"/>
        <v>Ok</v>
      </c>
      <c r="AN1108" s="21">
        <f t="shared" si="123"/>
        <v>26.027397260273972</v>
      </c>
      <c r="AO1108" t="str">
        <f t="shared" ca="1" si="124"/>
        <v>No</v>
      </c>
      <c r="AP1108" t="str">
        <f t="shared" si="125"/>
        <v>Low Risk</v>
      </c>
    </row>
    <row r="1109" spans="1:42" x14ac:dyDescent="0.3">
      <c r="A1109" s="5">
        <v>38</v>
      </c>
      <c r="B1109" s="5" t="s">
        <v>43</v>
      </c>
      <c r="C1109" s="5" t="str">
        <f t="shared" si="119"/>
        <v>No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 s="5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 s="5">
        <v>6077</v>
      </c>
      <c r="U1109">
        <v>14814</v>
      </c>
      <c r="V1109">
        <v>3</v>
      </c>
      <c r="W1109" t="s">
        <v>42</v>
      </c>
      <c r="X1109" t="s">
        <v>43</v>
      </c>
      <c r="Y1109" t="str">
        <f t="shared" si="120"/>
        <v>No</v>
      </c>
      <c r="Z1109">
        <v>11</v>
      </c>
      <c r="AA1109">
        <v>3</v>
      </c>
      <c r="AB1109">
        <v>3</v>
      </c>
      <c r="AC1109">
        <v>80</v>
      </c>
      <c r="AD1109">
        <v>0</v>
      </c>
      <c r="AE1109" s="5">
        <v>10</v>
      </c>
      <c r="AF1109" t="str">
        <f t="shared" si="121"/>
        <v>6-15</v>
      </c>
      <c r="AG1109">
        <v>2</v>
      </c>
      <c r="AH1109">
        <v>3</v>
      </c>
      <c r="AI1109" s="5">
        <v>6</v>
      </c>
      <c r="AJ1109">
        <v>3</v>
      </c>
      <c r="AK1109">
        <v>1</v>
      </c>
      <c r="AL1109">
        <v>2</v>
      </c>
      <c r="AM1109" t="str">
        <f t="shared" si="122"/>
        <v>Ok</v>
      </c>
      <c r="AN1109" s="21">
        <f t="shared" si="123"/>
        <v>26.098901098901102</v>
      </c>
      <c r="AO1109" t="str">
        <f t="shared" ca="1" si="124"/>
        <v>No</v>
      </c>
      <c r="AP1109" t="str">
        <f t="shared" si="125"/>
        <v>Low Risk</v>
      </c>
    </row>
    <row r="1110" spans="1:42" x14ac:dyDescent="0.3">
      <c r="A1110" s="5">
        <v>35</v>
      </c>
      <c r="B1110" s="5" t="s">
        <v>43</v>
      </c>
      <c r="C1110" s="5" t="str">
        <f t="shared" si="119"/>
        <v>No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 s="5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 s="5">
        <v>2450</v>
      </c>
      <c r="U1110">
        <v>21731</v>
      </c>
      <c r="V1110">
        <v>1</v>
      </c>
      <c r="W1110" t="s">
        <v>42</v>
      </c>
      <c r="X1110" t="s">
        <v>43</v>
      </c>
      <c r="Y1110" t="str">
        <f t="shared" si="120"/>
        <v>No</v>
      </c>
      <c r="Z1110">
        <v>19</v>
      </c>
      <c r="AA1110">
        <v>3</v>
      </c>
      <c r="AB1110">
        <v>2</v>
      </c>
      <c r="AC1110">
        <v>80</v>
      </c>
      <c r="AD1110">
        <v>0</v>
      </c>
      <c r="AE1110" s="5">
        <v>3</v>
      </c>
      <c r="AF1110" t="str">
        <f t="shared" si="121"/>
        <v>0-5</v>
      </c>
      <c r="AG1110">
        <v>3</v>
      </c>
      <c r="AH1110">
        <v>3</v>
      </c>
      <c r="AI1110" s="5">
        <v>3</v>
      </c>
      <c r="AJ1110">
        <v>0</v>
      </c>
      <c r="AK1110">
        <v>1</v>
      </c>
      <c r="AL1110">
        <v>2</v>
      </c>
      <c r="AM1110" t="str">
        <f t="shared" si="122"/>
        <v>Below Avg</v>
      </c>
      <c r="AN1110" s="21">
        <f t="shared" si="123"/>
        <v>26.170798898071624</v>
      </c>
      <c r="AO1110" t="str">
        <f t="shared" ca="1" si="124"/>
        <v>No</v>
      </c>
      <c r="AP1110" t="str">
        <f t="shared" si="125"/>
        <v>Low Risk</v>
      </c>
    </row>
    <row r="1111" spans="1:42" x14ac:dyDescent="0.3">
      <c r="A1111" s="5">
        <v>30</v>
      </c>
      <c r="B1111" s="5" t="s">
        <v>43</v>
      </c>
      <c r="C1111" s="5" t="str">
        <f t="shared" si="119"/>
        <v>No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 s="5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 s="5">
        <v>9250</v>
      </c>
      <c r="U1111">
        <v>17799</v>
      </c>
      <c r="V1111">
        <v>3</v>
      </c>
      <c r="W1111" t="s">
        <v>42</v>
      </c>
      <c r="X1111" t="s">
        <v>43</v>
      </c>
      <c r="Y1111" t="str">
        <f t="shared" si="120"/>
        <v>No</v>
      </c>
      <c r="Z1111">
        <v>12</v>
      </c>
      <c r="AA1111">
        <v>3</v>
      </c>
      <c r="AB1111">
        <v>2</v>
      </c>
      <c r="AC1111">
        <v>80</v>
      </c>
      <c r="AD1111">
        <v>1</v>
      </c>
      <c r="AE1111" s="5">
        <v>9</v>
      </c>
      <c r="AF1111" t="str">
        <f t="shared" si="121"/>
        <v>6-15</v>
      </c>
      <c r="AG1111">
        <v>3</v>
      </c>
      <c r="AH1111">
        <v>3</v>
      </c>
      <c r="AI1111" s="5">
        <v>4</v>
      </c>
      <c r="AJ1111">
        <v>2</v>
      </c>
      <c r="AK1111">
        <v>1</v>
      </c>
      <c r="AL1111">
        <v>3</v>
      </c>
      <c r="AM1111" t="str">
        <f t="shared" si="122"/>
        <v>Ok</v>
      </c>
      <c r="AN1111" s="21">
        <f t="shared" si="123"/>
        <v>26.243093922651934</v>
      </c>
      <c r="AO1111" t="str">
        <f t="shared" ca="1" si="124"/>
        <v>No</v>
      </c>
      <c r="AP1111" t="str">
        <f t="shared" si="125"/>
        <v>Low Risk</v>
      </c>
    </row>
    <row r="1112" spans="1:42" x14ac:dyDescent="0.3">
      <c r="A1112" s="5">
        <v>35</v>
      </c>
      <c r="B1112" s="5" t="s">
        <v>35</v>
      </c>
      <c r="C1112" s="5" t="str">
        <f t="shared" si="119"/>
        <v>Yes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 s="5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 s="5">
        <v>2074</v>
      </c>
      <c r="U1112">
        <v>26619</v>
      </c>
      <c r="V1112">
        <v>1</v>
      </c>
      <c r="W1112" t="s">
        <v>42</v>
      </c>
      <c r="X1112" t="s">
        <v>35</v>
      </c>
      <c r="Y1112" t="str">
        <f t="shared" si="120"/>
        <v>Yes</v>
      </c>
      <c r="Z1112">
        <v>12</v>
      </c>
      <c r="AA1112">
        <v>3</v>
      </c>
      <c r="AB1112">
        <v>4</v>
      </c>
      <c r="AC1112">
        <v>80</v>
      </c>
      <c r="AD1112">
        <v>1</v>
      </c>
      <c r="AE1112" s="5">
        <v>1</v>
      </c>
      <c r="AF1112" t="str">
        <f t="shared" si="121"/>
        <v>0-5</v>
      </c>
      <c r="AG1112">
        <v>2</v>
      </c>
      <c r="AH1112">
        <v>3</v>
      </c>
      <c r="AI1112" s="5">
        <v>1</v>
      </c>
      <c r="AJ1112">
        <v>0</v>
      </c>
      <c r="AK1112">
        <v>0</v>
      </c>
      <c r="AL1112">
        <v>0</v>
      </c>
      <c r="AM1112" t="str">
        <f t="shared" si="122"/>
        <v>Below Avg</v>
      </c>
      <c r="AN1112" s="21">
        <f t="shared" si="123"/>
        <v>26.315789473684209</v>
      </c>
      <c r="AO1112" t="str">
        <f t="shared" ca="1" si="124"/>
        <v>No</v>
      </c>
      <c r="AP1112" t="str">
        <f t="shared" si="125"/>
        <v>High Risk</v>
      </c>
    </row>
    <row r="1113" spans="1:42" x14ac:dyDescent="0.3">
      <c r="A1113" s="5">
        <v>53</v>
      </c>
      <c r="B1113" s="5" t="s">
        <v>35</v>
      </c>
      <c r="C1113" s="5" t="str">
        <f t="shared" si="119"/>
        <v>Yes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 s="5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 s="5">
        <v>10169</v>
      </c>
      <c r="U1113">
        <v>14618</v>
      </c>
      <c r="V1113">
        <v>0</v>
      </c>
      <c r="W1113" t="s">
        <v>42</v>
      </c>
      <c r="X1113" t="s">
        <v>43</v>
      </c>
      <c r="Y1113" t="str">
        <f t="shared" si="120"/>
        <v>No</v>
      </c>
      <c r="Z1113">
        <v>16</v>
      </c>
      <c r="AA1113">
        <v>3</v>
      </c>
      <c r="AB1113">
        <v>2</v>
      </c>
      <c r="AC1113">
        <v>80</v>
      </c>
      <c r="AD1113">
        <v>1</v>
      </c>
      <c r="AE1113" s="5">
        <v>34</v>
      </c>
      <c r="AF1113" t="str">
        <f t="shared" si="121"/>
        <v>&gt;15</v>
      </c>
      <c r="AG1113">
        <v>4</v>
      </c>
      <c r="AH1113">
        <v>3</v>
      </c>
      <c r="AI1113" s="5">
        <v>33</v>
      </c>
      <c r="AJ1113">
        <v>7</v>
      </c>
      <c r="AK1113">
        <v>1</v>
      </c>
      <c r="AL1113">
        <v>9</v>
      </c>
      <c r="AM1113" t="str">
        <f t="shared" si="122"/>
        <v>Ok</v>
      </c>
      <c r="AN1113" s="21">
        <f t="shared" si="123"/>
        <v>26.388888888888889</v>
      </c>
      <c r="AO1113" t="str">
        <f t="shared" ca="1" si="124"/>
        <v>No</v>
      </c>
      <c r="AP1113" t="str">
        <f t="shared" si="125"/>
        <v>Low Risk</v>
      </c>
    </row>
    <row r="1114" spans="1:42" x14ac:dyDescent="0.3">
      <c r="A1114" s="5">
        <v>38</v>
      </c>
      <c r="B1114" s="5" t="s">
        <v>35</v>
      </c>
      <c r="C1114" s="5" t="str">
        <f t="shared" si="119"/>
        <v>Yes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 s="5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 s="5">
        <v>4855</v>
      </c>
      <c r="U1114">
        <v>7653</v>
      </c>
      <c r="V1114">
        <v>4</v>
      </c>
      <c r="W1114" t="s">
        <v>42</v>
      </c>
      <c r="X1114" t="s">
        <v>43</v>
      </c>
      <c r="Y1114" t="str">
        <f t="shared" si="120"/>
        <v>No</v>
      </c>
      <c r="Z1114">
        <v>11</v>
      </c>
      <c r="AA1114">
        <v>3</v>
      </c>
      <c r="AB1114">
        <v>1</v>
      </c>
      <c r="AC1114">
        <v>80</v>
      </c>
      <c r="AD1114">
        <v>2</v>
      </c>
      <c r="AE1114" s="5">
        <v>7</v>
      </c>
      <c r="AF1114" t="str">
        <f t="shared" si="121"/>
        <v>6-15</v>
      </c>
      <c r="AG1114">
        <v>2</v>
      </c>
      <c r="AH1114">
        <v>3</v>
      </c>
      <c r="AI1114" s="5">
        <v>5</v>
      </c>
      <c r="AJ1114">
        <v>2</v>
      </c>
      <c r="AK1114">
        <v>1</v>
      </c>
      <c r="AL1114">
        <v>4</v>
      </c>
      <c r="AM1114" t="str">
        <f t="shared" si="122"/>
        <v>Below Avg</v>
      </c>
      <c r="AN1114" s="21">
        <f t="shared" si="123"/>
        <v>26.18384401114206</v>
      </c>
      <c r="AO1114" t="str">
        <f t="shared" ca="1" si="124"/>
        <v>No</v>
      </c>
      <c r="AP1114" t="str">
        <f t="shared" si="125"/>
        <v>Low Risk</v>
      </c>
    </row>
    <row r="1115" spans="1:42" x14ac:dyDescent="0.3">
      <c r="A1115" s="5">
        <v>32</v>
      </c>
      <c r="B1115" s="5" t="s">
        <v>43</v>
      </c>
      <c r="C1115" s="5" t="str">
        <f t="shared" si="119"/>
        <v>No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 s="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 s="5">
        <v>4087</v>
      </c>
      <c r="U1115">
        <v>25174</v>
      </c>
      <c r="V1115">
        <v>4</v>
      </c>
      <c r="W1115" t="s">
        <v>42</v>
      </c>
      <c r="X1115" t="s">
        <v>43</v>
      </c>
      <c r="Y1115" t="str">
        <f t="shared" si="120"/>
        <v>No</v>
      </c>
      <c r="Z1115">
        <v>14</v>
      </c>
      <c r="AA1115">
        <v>3</v>
      </c>
      <c r="AB1115">
        <v>2</v>
      </c>
      <c r="AC1115">
        <v>80</v>
      </c>
      <c r="AD1115">
        <v>1</v>
      </c>
      <c r="AE1115" s="5">
        <v>9</v>
      </c>
      <c r="AF1115" t="str">
        <f t="shared" si="121"/>
        <v>6-15</v>
      </c>
      <c r="AG1115">
        <v>3</v>
      </c>
      <c r="AH1115">
        <v>2</v>
      </c>
      <c r="AI1115" s="5">
        <v>6</v>
      </c>
      <c r="AJ1115">
        <v>5</v>
      </c>
      <c r="AK1115">
        <v>1</v>
      </c>
      <c r="AL1115">
        <v>2</v>
      </c>
      <c r="AM1115" t="str">
        <f t="shared" si="122"/>
        <v>Below Avg</v>
      </c>
      <c r="AN1115" s="21">
        <f t="shared" si="123"/>
        <v>26.256983240223462</v>
      </c>
      <c r="AO1115" t="str">
        <f t="shared" ca="1" si="124"/>
        <v>No</v>
      </c>
      <c r="AP1115" t="str">
        <f t="shared" si="125"/>
        <v>Low Risk</v>
      </c>
    </row>
    <row r="1116" spans="1:42" x14ac:dyDescent="0.3">
      <c r="A1116" s="5">
        <v>48</v>
      </c>
      <c r="B1116" s="5" t="s">
        <v>43</v>
      </c>
      <c r="C1116" s="5" t="str">
        <f t="shared" si="119"/>
        <v>No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 s="5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 s="5">
        <v>2367</v>
      </c>
      <c r="U1116">
        <v>16530</v>
      </c>
      <c r="V1116">
        <v>8</v>
      </c>
      <c r="W1116" t="s">
        <v>42</v>
      </c>
      <c r="X1116" t="s">
        <v>43</v>
      </c>
      <c r="Y1116" t="str">
        <f t="shared" si="120"/>
        <v>No</v>
      </c>
      <c r="Z1116">
        <v>12</v>
      </c>
      <c r="AA1116">
        <v>3</v>
      </c>
      <c r="AB1116">
        <v>4</v>
      </c>
      <c r="AC1116">
        <v>80</v>
      </c>
      <c r="AD1116">
        <v>1</v>
      </c>
      <c r="AE1116" s="5">
        <v>10</v>
      </c>
      <c r="AF1116" t="str">
        <f t="shared" si="121"/>
        <v>6-15</v>
      </c>
      <c r="AG1116">
        <v>3</v>
      </c>
      <c r="AH1116">
        <v>2</v>
      </c>
      <c r="AI1116" s="5">
        <v>8</v>
      </c>
      <c r="AJ1116">
        <v>2</v>
      </c>
      <c r="AK1116">
        <v>7</v>
      </c>
      <c r="AL1116">
        <v>6</v>
      </c>
      <c r="AM1116" t="str">
        <f t="shared" si="122"/>
        <v>Below Avg</v>
      </c>
      <c r="AN1116" s="21">
        <f t="shared" si="123"/>
        <v>26.330532212885156</v>
      </c>
      <c r="AO1116" t="str">
        <f t="shared" ca="1" si="124"/>
        <v>No</v>
      </c>
      <c r="AP1116" t="str">
        <f t="shared" si="125"/>
        <v>Low Risk</v>
      </c>
    </row>
    <row r="1117" spans="1:42" x14ac:dyDescent="0.3">
      <c r="A1117" s="5">
        <v>34</v>
      </c>
      <c r="B1117" s="5" t="s">
        <v>43</v>
      </c>
      <c r="C1117" s="5" t="str">
        <f t="shared" si="119"/>
        <v>No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 s="5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 s="5">
        <v>2972</v>
      </c>
      <c r="U1117">
        <v>22061</v>
      </c>
      <c r="V1117">
        <v>1</v>
      </c>
      <c r="W1117" t="s">
        <v>42</v>
      </c>
      <c r="X1117" t="s">
        <v>43</v>
      </c>
      <c r="Y1117" t="str">
        <f t="shared" si="120"/>
        <v>No</v>
      </c>
      <c r="Z1117">
        <v>13</v>
      </c>
      <c r="AA1117">
        <v>3</v>
      </c>
      <c r="AB1117">
        <v>3</v>
      </c>
      <c r="AC1117">
        <v>80</v>
      </c>
      <c r="AD1117">
        <v>0</v>
      </c>
      <c r="AE1117" s="5">
        <v>1</v>
      </c>
      <c r="AF1117" t="str">
        <f t="shared" si="121"/>
        <v>0-5</v>
      </c>
      <c r="AG1117">
        <v>4</v>
      </c>
      <c r="AH1117">
        <v>1</v>
      </c>
      <c r="AI1117" s="5">
        <v>1</v>
      </c>
      <c r="AJ1117">
        <v>0</v>
      </c>
      <c r="AK1117">
        <v>0</v>
      </c>
      <c r="AL1117">
        <v>0</v>
      </c>
      <c r="AM1117" t="str">
        <f t="shared" si="122"/>
        <v>Below Avg</v>
      </c>
      <c r="AN1117" s="21">
        <f t="shared" si="123"/>
        <v>26.40449438202247</v>
      </c>
      <c r="AO1117" t="str">
        <f t="shared" ca="1" si="124"/>
        <v>No</v>
      </c>
      <c r="AP1117" t="str">
        <f t="shared" si="125"/>
        <v>Low Risk</v>
      </c>
    </row>
    <row r="1118" spans="1:42" x14ac:dyDescent="0.3">
      <c r="A1118" s="5">
        <v>55</v>
      </c>
      <c r="B1118" s="5" t="s">
        <v>43</v>
      </c>
      <c r="C1118" s="5" t="str">
        <f t="shared" si="119"/>
        <v>No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 s="5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 s="5">
        <v>19586</v>
      </c>
      <c r="U1118">
        <v>23037</v>
      </c>
      <c r="V1118">
        <v>1</v>
      </c>
      <c r="W1118" t="s">
        <v>42</v>
      </c>
      <c r="X1118" t="s">
        <v>43</v>
      </c>
      <c r="Y1118" t="str">
        <f t="shared" si="120"/>
        <v>No</v>
      </c>
      <c r="Z1118">
        <v>21</v>
      </c>
      <c r="AA1118">
        <v>4</v>
      </c>
      <c r="AB1118">
        <v>3</v>
      </c>
      <c r="AC1118">
        <v>80</v>
      </c>
      <c r="AD1118">
        <v>1</v>
      </c>
      <c r="AE1118" s="5">
        <v>36</v>
      </c>
      <c r="AF1118" t="str">
        <f t="shared" si="121"/>
        <v>&gt;15</v>
      </c>
      <c r="AG1118">
        <v>3</v>
      </c>
      <c r="AH1118">
        <v>3</v>
      </c>
      <c r="AI1118" s="5">
        <v>36</v>
      </c>
      <c r="AJ1118">
        <v>6</v>
      </c>
      <c r="AK1118">
        <v>2</v>
      </c>
      <c r="AL1118">
        <v>13</v>
      </c>
      <c r="AM1118" t="str">
        <f t="shared" si="122"/>
        <v>Ok</v>
      </c>
      <c r="AN1118" s="21">
        <f t="shared" si="123"/>
        <v>26.478873239436616</v>
      </c>
      <c r="AO1118" t="str">
        <f t="shared" ca="1" si="124"/>
        <v>No</v>
      </c>
      <c r="AP1118" t="str">
        <f t="shared" si="125"/>
        <v>Low Risk</v>
      </c>
    </row>
    <row r="1119" spans="1:42" x14ac:dyDescent="0.3">
      <c r="A1119" s="5">
        <v>34</v>
      </c>
      <c r="B1119" s="5" t="s">
        <v>43</v>
      </c>
      <c r="C1119" s="5" t="str">
        <f t="shared" si="119"/>
        <v>No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 s="5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 s="5">
        <v>5484</v>
      </c>
      <c r="U1119">
        <v>13008</v>
      </c>
      <c r="V1119">
        <v>9</v>
      </c>
      <c r="W1119" t="s">
        <v>42</v>
      </c>
      <c r="X1119" t="s">
        <v>43</v>
      </c>
      <c r="Y1119" t="str">
        <f t="shared" si="120"/>
        <v>No</v>
      </c>
      <c r="Z1119">
        <v>17</v>
      </c>
      <c r="AA1119">
        <v>3</v>
      </c>
      <c r="AB1119">
        <v>2</v>
      </c>
      <c r="AC1119">
        <v>80</v>
      </c>
      <c r="AD1119">
        <v>1</v>
      </c>
      <c r="AE1119" s="5">
        <v>9</v>
      </c>
      <c r="AF1119" t="str">
        <f t="shared" si="121"/>
        <v>6-15</v>
      </c>
      <c r="AG1119">
        <v>3</v>
      </c>
      <c r="AH1119">
        <v>2</v>
      </c>
      <c r="AI1119" s="5">
        <v>2</v>
      </c>
      <c r="AJ1119">
        <v>2</v>
      </c>
      <c r="AK1119">
        <v>2</v>
      </c>
      <c r="AL1119">
        <v>1</v>
      </c>
      <c r="AM1119" t="str">
        <f t="shared" si="122"/>
        <v>Below Avg</v>
      </c>
      <c r="AN1119" s="21">
        <f t="shared" si="123"/>
        <v>26.55367231638418</v>
      </c>
      <c r="AO1119" t="str">
        <f t="shared" ca="1" si="124"/>
        <v>No</v>
      </c>
      <c r="AP1119" t="str">
        <f t="shared" si="125"/>
        <v>Low Risk</v>
      </c>
    </row>
    <row r="1120" spans="1:42" x14ac:dyDescent="0.3">
      <c r="A1120" s="5">
        <v>26</v>
      </c>
      <c r="B1120" s="5" t="s">
        <v>43</v>
      </c>
      <c r="C1120" s="5" t="str">
        <f t="shared" si="119"/>
        <v>No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 s="5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 s="5">
        <v>2061</v>
      </c>
      <c r="U1120">
        <v>11133</v>
      </c>
      <c r="V1120">
        <v>1</v>
      </c>
      <c r="W1120" t="s">
        <v>42</v>
      </c>
      <c r="X1120" t="s">
        <v>43</v>
      </c>
      <c r="Y1120" t="str">
        <f t="shared" si="120"/>
        <v>No</v>
      </c>
      <c r="Z1120">
        <v>21</v>
      </c>
      <c r="AA1120">
        <v>4</v>
      </c>
      <c r="AB1120">
        <v>1</v>
      </c>
      <c r="AC1120">
        <v>80</v>
      </c>
      <c r="AD1120">
        <v>0</v>
      </c>
      <c r="AE1120" s="5">
        <v>1</v>
      </c>
      <c r="AF1120" t="str">
        <f t="shared" si="121"/>
        <v>0-5</v>
      </c>
      <c r="AG1120">
        <v>5</v>
      </c>
      <c r="AH1120">
        <v>3</v>
      </c>
      <c r="AI1120" s="5">
        <v>1</v>
      </c>
      <c r="AJ1120">
        <v>0</v>
      </c>
      <c r="AK1120">
        <v>0</v>
      </c>
      <c r="AL1120">
        <v>0</v>
      </c>
      <c r="AM1120" t="str">
        <f t="shared" si="122"/>
        <v>Below Avg</v>
      </c>
      <c r="AN1120" s="21">
        <f t="shared" si="123"/>
        <v>26.628895184135974</v>
      </c>
      <c r="AO1120" t="str">
        <f t="shared" ca="1" si="124"/>
        <v>No</v>
      </c>
      <c r="AP1120" t="str">
        <f t="shared" si="125"/>
        <v>Low Risk</v>
      </c>
    </row>
    <row r="1121" spans="1:42" x14ac:dyDescent="0.3">
      <c r="A1121" s="5">
        <v>38</v>
      </c>
      <c r="B1121" s="5" t="s">
        <v>43</v>
      </c>
      <c r="C1121" s="5" t="str">
        <f t="shared" si="119"/>
        <v>No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 s="5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 s="5">
        <v>9924</v>
      </c>
      <c r="U1121">
        <v>12355</v>
      </c>
      <c r="V1121">
        <v>0</v>
      </c>
      <c r="W1121" t="s">
        <v>42</v>
      </c>
      <c r="X1121" t="s">
        <v>43</v>
      </c>
      <c r="Y1121" t="str">
        <f t="shared" si="120"/>
        <v>No</v>
      </c>
      <c r="Z1121">
        <v>11</v>
      </c>
      <c r="AA1121">
        <v>3</v>
      </c>
      <c r="AB1121">
        <v>4</v>
      </c>
      <c r="AC1121">
        <v>80</v>
      </c>
      <c r="AD1121">
        <v>1</v>
      </c>
      <c r="AE1121" s="5">
        <v>10</v>
      </c>
      <c r="AF1121" t="str">
        <f t="shared" si="121"/>
        <v>6-15</v>
      </c>
      <c r="AG1121">
        <v>3</v>
      </c>
      <c r="AH1121">
        <v>3</v>
      </c>
      <c r="AI1121" s="5">
        <v>9</v>
      </c>
      <c r="AJ1121">
        <v>8</v>
      </c>
      <c r="AK1121">
        <v>7</v>
      </c>
      <c r="AL1121">
        <v>7</v>
      </c>
      <c r="AM1121" t="str">
        <f t="shared" si="122"/>
        <v>Ok</v>
      </c>
      <c r="AN1121" s="21">
        <f t="shared" si="123"/>
        <v>26.704545454545453</v>
      </c>
      <c r="AO1121" t="str">
        <f t="shared" ca="1" si="124"/>
        <v>No</v>
      </c>
      <c r="AP1121" t="str">
        <f t="shared" si="125"/>
        <v>Low Risk</v>
      </c>
    </row>
    <row r="1122" spans="1:42" x14ac:dyDescent="0.3">
      <c r="A1122" s="5">
        <v>38</v>
      </c>
      <c r="B1122" s="5" t="s">
        <v>43</v>
      </c>
      <c r="C1122" s="5" t="str">
        <f t="shared" si="119"/>
        <v>No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 s="5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 s="5">
        <v>4198</v>
      </c>
      <c r="U1122">
        <v>16379</v>
      </c>
      <c r="V1122">
        <v>2</v>
      </c>
      <c r="W1122" t="s">
        <v>42</v>
      </c>
      <c r="X1122" t="s">
        <v>43</v>
      </c>
      <c r="Y1122" t="str">
        <f t="shared" si="120"/>
        <v>No</v>
      </c>
      <c r="Z1122">
        <v>12</v>
      </c>
      <c r="AA1122">
        <v>3</v>
      </c>
      <c r="AB1122">
        <v>2</v>
      </c>
      <c r="AC1122">
        <v>80</v>
      </c>
      <c r="AD1122">
        <v>0</v>
      </c>
      <c r="AE1122" s="5">
        <v>8</v>
      </c>
      <c r="AF1122" t="str">
        <f t="shared" si="121"/>
        <v>6-15</v>
      </c>
      <c r="AG1122">
        <v>5</v>
      </c>
      <c r="AH1122">
        <v>4</v>
      </c>
      <c r="AI1122" s="5">
        <v>3</v>
      </c>
      <c r="AJ1122">
        <v>2</v>
      </c>
      <c r="AK1122">
        <v>1</v>
      </c>
      <c r="AL1122">
        <v>2</v>
      </c>
      <c r="AM1122" t="str">
        <f t="shared" si="122"/>
        <v>Below Avg</v>
      </c>
      <c r="AN1122" s="21">
        <f t="shared" si="123"/>
        <v>26.780626780626783</v>
      </c>
      <c r="AO1122" t="str">
        <f t="shared" ca="1" si="124"/>
        <v>No</v>
      </c>
      <c r="AP1122" t="str">
        <f t="shared" si="125"/>
        <v>Low Risk</v>
      </c>
    </row>
    <row r="1123" spans="1:42" x14ac:dyDescent="0.3">
      <c r="A1123" s="5">
        <v>36</v>
      </c>
      <c r="B1123" s="5" t="s">
        <v>43</v>
      </c>
      <c r="C1123" s="5" t="str">
        <f t="shared" si="119"/>
        <v>No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 s="5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 s="5">
        <v>6815</v>
      </c>
      <c r="U1123">
        <v>21447</v>
      </c>
      <c r="V1123">
        <v>6</v>
      </c>
      <c r="W1123" t="s">
        <v>42</v>
      </c>
      <c r="X1123" t="s">
        <v>43</v>
      </c>
      <c r="Y1123" t="str">
        <f t="shared" si="120"/>
        <v>No</v>
      </c>
      <c r="Z1123">
        <v>13</v>
      </c>
      <c r="AA1123">
        <v>3</v>
      </c>
      <c r="AB1123">
        <v>1</v>
      </c>
      <c r="AC1123">
        <v>80</v>
      </c>
      <c r="AD1123">
        <v>0</v>
      </c>
      <c r="AE1123" s="5">
        <v>15</v>
      </c>
      <c r="AF1123" t="str">
        <f t="shared" si="121"/>
        <v>6-15</v>
      </c>
      <c r="AG1123">
        <v>5</v>
      </c>
      <c r="AH1123">
        <v>3</v>
      </c>
      <c r="AI1123" s="5">
        <v>1</v>
      </c>
      <c r="AJ1123">
        <v>0</v>
      </c>
      <c r="AK1123">
        <v>0</v>
      </c>
      <c r="AL1123">
        <v>0</v>
      </c>
      <c r="AM1123" t="str">
        <f t="shared" si="122"/>
        <v>Ok</v>
      </c>
      <c r="AN1123" s="21">
        <f t="shared" si="123"/>
        <v>26.857142857142858</v>
      </c>
      <c r="AO1123" t="str">
        <f t="shared" ca="1" si="124"/>
        <v>No</v>
      </c>
      <c r="AP1123" t="str">
        <f t="shared" si="125"/>
        <v>Low Risk</v>
      </c>
    </row>
    <row r="1124" spans="1:42" x14ac:dyDescent="0.3">
      <c r="A1124" s="5">
        <v>29</v>
      </c>
      <c r="B1124" s="5" t="s">
        <v>43</v>
      </c>
      <c r="C1124" s="5" t="str">
        <f t="shared" si="119"/>
        <v>No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 s="5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 s="5">
        <v>4723</v>
      </c>
      <c r="U1124">
        <v>16213</v>
      </c>
      <c r="V1124">
        <v>1</v>
      </c>
      <c r="W1124" t="s">
        <v>42</v>
      </c>
      <c r="X1124" t="s">
        <v>35</v>
      </c>
      <c r="Y1124" t="str">
        <f t="shared" si="120"/>
        <v>Yes</v>
      </c>
      <c r="Z1124">
        <v>18</v>
      </c>
      <c r="AA1124">
        <v>3</v>
      </c>
      <c r="AB1124">
        <v>4</v>
      </c>
      <c r="AC1124">
        <v>80</v>
      </c>
      <c r="AD1124">
        <v>0</v>
      </c>
      <c r="AE1124" s="5">
        <v>10</v>
      </c>
      <c r="AF1124" t="str">
        <f t="shared" si="121"/>
        <v>6-15</v>
      </c>
      <c r="AG1124">
        <v>3</v>
      </c>
      <c r="AH1124">
        <v>3</v>
      </c>
      <c r="AI1124" s="5">
        <v>10</v>
      </c>
      <c r="AJ1124">
        <v>9</v>
      </c>
      <c r="AK1124">
        <v>1</v>
      </c>
      <c r="AL1124">
        <v>5</v>
      </c>
      <c r="AM1124" t="str">
        <f t="shared" si="122"/>
        <v>Below Avg</v>
      </c>
      <c r="AN1124" s="21">
        <f t="shared" si="123"/>
        <v>26.93409742120344</v>
      </c>
      <c r="AO1124" t="str">
        <f t="shared" ca="1" si="124"/>
        <v>No</v>
      </c>
      <c r="AP1124" t="str">
        <f t="shared" si="125"/>
        <v>Low Risk</v>
      </c>
    </row>
    <row r="1125" spans="1:42" x14ac:dyDescent="0.3">
      <c r="A1125" s="5">
        <v>35</v>
      </c>
      <c r="B1125" s="5" t="s">
        <v>43</v>
      </c>
      <c r="C1125" s="5" t="str">
        <f t="shared" si="119"/>
        <v>No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 s="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 s="5">
        <v>6142</v>
      </c>
      <c r="U1125">
        <v>4223</v>
      </c>
      <c r="V1125">
        <v>3</v>
      </c>
      <c r="W1125" t="s">
        <v>42</v>
      </c>
      <c r="X1125" t="s">
        <v>35</v>
      </c>
      <c r="Y1125" t="str">
        <f t="shared" si="120"/>
        <v>Yes</v>
      </c>
      <c r="Z1125">
        <v>16</v>
      </c>
      <c r="AA1125">
        <v>3</v>
      </c>
      <c r="AB1125">
        <v>3</v>
      </c>
      <c r="AC1125">
        <v>80</v>
      </c>
      <c r="AD1125">
        <v>0</v>
      </c>
      <c r="AE1125" s="5">
        <v>10</v>
      </c>
      <c r="AF1125" t="str">
        <f t="shared" si="121"/>
        <v>6-15</v>
      </c>
      <c r="AG1125">
        <v>4</v>
      </c>
      <c r="AH1125">
        <v>3</v>
      </c>
      <c r="AI1125" s="5">
        <v>5</v>
      </c>
      <c r="AJ1125">
        <v>2</v>
      </c>
      <c r="AK1125">
        <v>0</v>
      </c>
      <c r="AL1125">
        <v>4</v>
      </c>
      <c r="AM1125" t="str">
        <f t="shared" si="122"/>
        <v>Ok</v>
      </c>
      <c r="AN1125" s="21">
        <f t="shared" si="123"/>
        <v>27.011494252873565</v>
      </c>
      <c r="AO1125" t="str">
        <f t="shared" ca="1" si="124"/>
        <v>No</v>
      </c>
      <c r="AP1125" t="str">
        <f t="shared" si="125"/>
        <v>Low Risk</v>
      </c>
    </row>
    <row r="1126" spans="1:42" x14ac:dyDescent="0.3">
      <c r="A1126" s="5">
        <v>39</v>
      </c>
      <c r="B1126" s="5" t="s">
        <v>43</v>
      </c>
      <c r="C1126" s="5" t="str">
        <f t="shared" si="119"/>
        <v>No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 s="5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 s="5">
        <v>8237</v>
      </c>
      <c r="U1126">
        <v>4658</v>
      </c>
      <c r="V1126">
        <v>2</v>
      </c>
      <c r="W1126" t="s">
        <v>42</v>
      </c>
      <c r="X1126" t="s">
        <v>43</v>
      </c>
      <c r="Y1126" t="str">
        <f t="shared" si="120"/>
        <v>No</v>
      </c>
      <c r="Z1126">
        <v>11</v>
      </c>
      <c r="AA1126">
        <v>3</v>
      </c>
      <c r="AB1126">
        <v>1</v>
      </c>
      <c r="AC1126">
        <v>80</v>
      </c>
      <c r="AD1126">
        <v>1</v>
      </c>
      <c r="AE1126" s="5">
        <v>11</v>
      </c>
      <c r="AF1126" t="str">
        <f t="shared" si="121"/>
        <v>6-15</v>
      </c>
      <c r="AG1126">
        <v>3</v>
      </c>
      <c r="AH1126">
        <v>3</v>
      </c>
      <c r="AI1126" s="5">
        <v>7</v>
      </c>
      <c r="AJ1126">
        <v>6</v>
      </c>
      <c r="AK1126">
        <v>7</v>
      </c>
      <c r="AL1126">
        <v>6</v>
      </c>
      <c r="AM1126" t="str">
        <f t="shared" si="122"/>
        <v>Ok</v>
      </c>
      <c r="AN1126" s="21">
        <f t="shared" si="123"/>
        <v>26.801152737752158</v>
      </c>
      <c r="AO1126" t="str">
        <f t="shared" ca="1" si="124"/>
        <v>No</v>
      </c>
      <c r="AP1126" t="str">
        <f t="shared" si="125"/>
        <v>Low Risk</v>
      </c>
    </row>
    <row r="1127" spans="1:42" x14ac:dyDescent="0.3">
      <c r="A1127" s="5">
        <v>29</v>
      </c>
      <c r="B1127" s="5" t="s">
        <v>43</v>
      </c>
      <c r="C1127" s="5" t="str">
        <f t="shared" si="119"/>
        <v>No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 s="5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 s="5">
        <v>8853</v>
      </c>
      <c r="U1127">
        <v>24483</v>
      </c>
      <c r="V1127">
        <v>1</v>
      </c>
      <c r="W1127" t="s">
        <v>42</v>
      </c>
      <c r="X1127" t="s">
        <v>43</v>
      </c>
      <c r="Y1127" t="str">
        <f t="shared" si="120"/>
        <v>No</v>
      </c>
      <c r="Z1127">
        <v>19</v>
      </c>
      <c r="AA1127">
        <v>3</v>
      </c>
      <c r="AB1127">
        <v>4</v>
      </c>
      <c r="AC1127">
        <v>80</v>
      </c>
      <c r="AD1127">
        <v>1</v>
      </c>
      <c r="AE1127" s="5">
        <v>6</v>
      </c>
      <c r="AF1127" t="str">
        <f t="shared" si="121"/>
        <v>6-15</v>
      </c>
      <c r="AG1127">
        <v>0</v>
      </c>
      <c r="AH1127">
        <v>4</v>
      </c>
      <c r="AI1127" s="5">
        <v>6</v>
      </c>
      <c r="AJ1127">
        <v>4</v>
      </c>
      <c r="AK1127">
        <v>1</v>
      </c>
      <c r="AL1127">
        <v>3</v>
      </c>
      <c r="AM1127" t="str">
        <f t="shared" si="122"/>
        <v>Ok</v>
      </c>
      <c r="AN1127" s="21">
        <f t="shared" si="123"/>
        <v>26.589595375722542</v>
      </c>
      <c r="AO1127" t="str">
        <f t="shared" ca="1" si="124"/>
        <v>No</v>
      </c>
      <c r="AP1127" t="str">
        <f t="shared" si="125"/>
        <v>Low Risk</v>
      </c>
    </row>
    <row r="1128" spans="1:42" x14ac:dyDescent="0.3">
      <c r="A1128" s="5">
        <v>50</v>
      </c>
      <c r="B1128" s="5" t="s">
        <v>43</v>
      </c>
      <c r="C1128" s="5" t="str">
        <f t="shared" si="119"/>
        <v>No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 s="5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 s="5">
        <v>19331</v>
      </c>
      <c r="U1128">
        <v>19519</v>
      </c>
      <c r="V1128">
        <v>4</v>
      </c>
      <c r="W1128" t="s">
        <v>42</v>
      </c>
      <c r="X1128" t="s">
        <v>35</v>
      </c>
      <c r="Y1128" t="str">
        <f t="shared" si="120"/>
        <v>Yes</v>
      </c>
      <c r="Z1128">
        <v>16</v>
      </c>
      <c r="AA1128">
        <v>3</v>
      </c>
      <c r="AB1128">
        <v>3</v>
      </c>
      <c r="AC1128">
        <v>80</v>
      </c>
      <c r="AD1128">
        <v>1</v>
      </c>
      <c r="AE1128" s="5">
        <v>27</v>
      </c>
      <c r="AF1128" t="str">
        <f t="shared" si="121"/>
        <v>&gt;15</v>
      </c>
      <c r="AG1128">
        <v>2</v>
      </c>
      <c r="AH1128">
        <v>3</v>
      </c>
      <c r="AI1128" s="5">
        <v>1</v>
      </c>
      <c r="AJ1128">
        <v>0</v>
      </c>
      <c r="AK1128">
        <v>0</v>
      </c>
      <c r="AL1128">
        <v>0</v>
      </c>
      <c r="AM1128" t="str">
        <f t="shared" si="122"/>
        <v>Ok</v>
      </c>
      <c r="AN1128" s="21">
        <f t="shared" si="123"/>
        <v>26.666666666666668</v>
      </c>
      <c r="AO1128" t="str">
        <f t="shared" ca="1" si="124"/>
        <v>No</v>
      </c>
      <c r="AP1128" t="str">
        <f t="shared" si="125"/>
        <v>Low Risk</v>
      </c>
    </row>
    <row r="1129" spans="1:42" x14ac:dyDescent="0.3">
      <c r="A1129" s="5">
        <v>23</v>
      </c>
      <c r="B1129" s="5" t="s">
        <v>43</v>
      </c>
      <c r="C1129" s="5" t="str">
        <f t="shared" si="119"/>
        <v>No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 s="5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 s="5">
        <v>2073</v>
      </c>
      <c r="U1129">
        <v>12826</v>
      </c>
      <c r="V1129">
        <v>2</v>
      </c>
      <c r="W1129" t="s">
        <v>42</v>
      </c>
      <c r="X1129" t="s">
        <v>43</v>
      </c>
      <c r="Y1129" t="str">
        <f t="shared" si="120"/>
        <v>No</v>
      </c>
      <c r="Z1129">
        <v>16</v>
      </c>
      <c r="AA1129">
        <v>3</v>
      </c>
      <c r="AB1129">
        <v>4</v>
      </c>
      <c r="AC1129">
        <v>80</v>
      </c>
      <c r="AD1129">
        <v>1</v>
      </c>
      <c r="AE1129" s="5">
        <v>4</v>
      </c>
      <c r="AF1129" t="str">
        <f t="shared" si="121"/>
        <v>0-5</v>
      </c>
      <c r="AG1129">
        <v>2</v>
      </c>
      <c r="AH1129">
        <v>3</v>
      </c>
      <c r="AI1129" s="5">
        <v>2</v>
      </c>
      <c r="AJ1129">
        <v>2</v>
      </c>
      <c r="AK1129">
        <v>2</v>
      </c>
      <c r="AL1129">
        <v>2</v>
      </c>
      <c r="AM1129" t="str">
        <f t="shared" si="122"/>
        <v>Below Avg</v>
      </c>
      <c r="AN1129" s="21">
        <f t="shared" si="123"/>
        <v>26.744186046511626</v>
      </c>
      <c r="AO1129" t="str">
        <f t="shared" ca="1" si="124"/>
        <v>No</v>
      </c>
      <c r="AP1129" t="str">
        <f t="shared" si="125"/>
        <v>Low Risk</v>
      </c>
    </row>
    <row r="1130" spans="1:42" x14ac:dyDescent="0.3">
      <c r="A1130" s="5">
        <v>36</v>
      </c>
      <c r="B1130" s="5" t="s">
        <v>43</v>
      </c>
      <c r="C1130" s="5" t="str">
        <f t="shared" si="119"/>
        <v>No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 s="5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 s="5">
        <v>5562</v>
      </c>
      <c r="U1130">
        <v>19711</v>
      </c>
      <c r="V1130">
        <v>3</v>
      </c>
      <c r="W1130" t="s">
        <v>42</v>
      </c>
      <c r="X1130" t="s">
        <v>35</v>
      </c>
      <c r="Y1130" t="str">
        <f t="shared" si="120"/>
        <v>Yes</v>
      </c>
      <c r="Z1130">
        <v>13</v>
      </c>
      <c r="AA1130">
        <v>3</v>
      </c>
      <c r="AB1130">
        <v>4</v>
      </c>
      <c r="AC1130">
        <v>80</v>
      </c>
      <c r="AD1130">
        <v>1</v>
      </c>
      <c r="AE1130" s="5">
        <v>9</v>
      </c>
      <c r="AF1130" t="str">
        <f t="shared" si="121"/>
        <v>6-15</v>
      </c>
      <c r="AG1130">
        <v>3</v>
      </c>
      <c r="AH1130">
        <v>3</v>
      </c>
      <c r="AI1130" s="5">
        <v>3</v>
      </c>
      <c r="AJ1130">
        <v>2</v>
      </c>
      <c r="AK1130">
        <v>0</v>
      </c>
      <c r="AL1130">
        <v>2</v>
      </c>
      <c r="AM1130" t="str">
        <f t="shared" si="122"/>
        <v>Below Avg</v>
      </c>
      <c r="AN1130" s="21">
        <f t="shared" si="123"/>
        <v>26.530612244897959</v>
      </c>
      <c r="AO1130" t="str">
        <f t="shared" ca="1" si="124"/>
        <v>No</v>
      </c>
      <c r="AP1130" t="str">
        <f t="shared" si="125"/>
        <v>Low Risk</v>
      </c>
    </row>
    <row r="1131" spans="1:42" x14ac:dyDescent="0.3">
      <c r="A1131" s="5">
        <v>42</v>
      </c>
      <c r="B1131" s="5" t="s">
        <v>43</v>
      </c>
      <c r="C1131" s="5" t="str">
        <f t="shared" si="119"/>
        <v>No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 s="5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 s="5">
        <v>19613</v>
      </c>
      <c r="U1131">
        <v>26362</v>
      </c>
      <c r="V1131">
        <v>8</v>
      </c>
      <c r="W1131" t="s">
        <v>42</v>
      </c>
      <c r="X1131" t="s">
        <v>43</v>
      </c>
      <c r="Y1131" t="str">
        <f t="shared" si="120"/>
        <v>No</v>
      </c>
      <c r="Z1131">
        <v>22</v>
      </c>
      <c r="AA1131">
        <v>4</v>
      </c>
      <c r="AB1131">
        <v>4</v>
      </c>
      <c r="AC1131">
        <v>80</v>
      </c>
      <c r="AD1131">
        <v>0</v>
      </c>
      <c r="AE1131" s="5">
        <v>24</v>
      </c>
      <c r="AF1131" t="str">
        <f t="shared" si="121"/>
        <v>&gt;15</v>
      </c>
      <c r="AG1131">
        <v>2</v>
      </c>
      <c r="AH1131">
        <v>3</v>
      </c>
      <c r="AI1131" s="5">
        <v>1</v>
      </c>
      <c r="AJ1131">
        <v>0</v>
      </c>
      <c r="AK1131">
        <v>0</v>
      </c>
      <c r="AL1131">
        <v>1</v>
      </c>
      <c r="AM1131" t="str">
        <f t="shared" si="122"/>
        <v>Ok</v>
      </c>
      <c r="AN1131" s="21">
        <f t="shared" si="123"/>
        <v>26.608187134502927</v>
      </c>
      <c r="AO1131" t="str">
        <f t="shared" ca="1" si="124"/>
        <v>No</v>
      </c>
      <c r="AP1131" t="str">
        <f t="shared" si="125"/>
        <v>Low Risk</v>
      </c>
    </row>
    <row r="1132" spans="1:42" x14ac:dyDescent="0.3">
      <c r="A1132" s="5">
        <v>35</v>
      </c>
      <c r="B1132" s="5" t="s">
        <v>43</v>
      </c>
      <c r="C1132" s="5" t="str">
        <f t="shared" si="119"/>
        <v>No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 s="5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 s="5">
        <v>3407</v>
      </c>
      <c r="U1132">
        <v>25348</v>
      </c>
      <c r="V1132">
        <v>1</v>
      </c>
      <c r="W1132" t="s">
        <v>42</v>
      </c>
      <c r="X1132" t="s">
        <v>43</v>
      </c>
      <c r="Y1132" t="str">
        <f t="shared" si="120"/>
        <v>No</v>
      </c>
      <c r="Z1132">
        <v>17</v>
      </c>
      <c r="AA1132">
        <v>3</v>
      </c>
      <c r="AB1132">
        <v>4</v>
      </c>
      <c r="AC1132">
        <v>80</v>
      </c>
      <c r="AD1132">
        <v>2</v>
      </c>
      <c r="AE1132" s="5">
        <v>10</v>
      </c>
      <c r="AF1132" t="str">
        <f t="shared" si="121"/>
        <v>6-15</v>
      </c>
      <c r="AG1132">
        <v>3</v>
      </c>
      <c r="AH1132">
        <v>2</v>
      </c>
      <c r="AI1132" s="5">
        <v>10</v>
      </c>
      <c r="AJ1132">
        <v>9</v>
      </c>
      <c r="AK1132">
        <v>6</v>
      </c>
      <c r="AL1132">
        <v>8</v>
      </c>
      <c r="AM1132" t="str">
        <f t="shared" si="122"/>
        <v>Below Avg</v>
      </c>
      <c r="AN1132" s="21">
        <f t="shared" si="123"/>
        <v>26.392961876832842</v>
      </c>
      <c r="AO1132" t="str">
        <f t="shared" ca="1" si="124"/>
        <v>No</v>
      </c>
      <c r="AP1132" t="str">
        <f t="shared" si="125"/>
        <v>Low Risk</v>
      </c>
    </row>
    <row r="1133" spans="1:42" x14ac:dyDescent="0.3">
      <c r="A1133" s="5">
        <v>34</v>
      </c>
      <c r="B1133" s="5" t="s">
        <v>43</v>
      </c>
      <c r="C1133" s="5" t="str">
        <f t="shared" si="119"/>
        <v>No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 s="5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 s="5">
        <v>5063</v>
      </c>
      <c r="U1133">
        <v>15332</v>
      </c>
      <c r="V1133">
        <v>1</v>
      </c>
      <c r="W1133" t="s">
        <v>42</v>
      </c>
      <c r="X1133" t="s">
        <v>43</v>
      </c>
      <c r="Y1133" t="str">
        <f t="shared" si="120"/>
        <v>No</v>
      </c>
      <c r="Z1133">
        <v>14</v>
      </c>
      <c r="AA1133">
        <v>3</v>
      </c>
      <c r="AB1133">
        <v>2</v>
      </c>
      <c r="AC1133">
        <v>80</v>
      </c>
      <c r="AD1133">
        <v>1</v>
      </c>
      <c r="AE1133" s="5">
        <v>8</v>
      </c>
      <c r="AF1133" t="str">
        <f t="shared" si="121"/>
        <v>6-15</v>
      </c>
      <c r="AG1133">
        <v>3</v>
      </c>
      <c r="AH1133">
        <v>2</v>
      </c>
      <c r="AI1133" s="5">
        <v>8</v>
      </c>
      <c r="AJ1133">
        <v>2</v>
      </c>
      <c r="AK1133">
        <v>7</v>
      </c>
      <c r="AL1133">
        <v>7</v>
      </c>
      <c r="AM1133" t="str">
        <f t="shared" si="122"/>
        <v>Below Avg</v>
      </c>
      <c r="AN1133" s="21">
        <f t="shared" si="123"/>
        <v>26.47058823529412</v>
      </c>
      <c r="AO1133" t="str">
        <f t="shared" ca="1" si="124"/>
        <v>No</v>
      </c>
      <c r="AP1133" t="str">
        <f t="shared" si="125"/>
        <v>Low Risk</v>
      </c>
    </row>
    <row r="1134" spans="1:42" x14ac:dyDescent="0.3">
      <c r="A1134" s="5">
        <v>40</v>
      </c>
      <c r="B1134" s="5" t="s">
        <v>43</v>
      </c>
      <c r="C1134" s="5" t="str">
        <f t="shared" si="119"/>
        <v>No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 s="5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 s="5">
        <v>4639</v>
      </c>
      <c r="U1134">
        <v>11262</v>
      </c>
      <c r="V1134">
        <v>1</v>
      </c>
      <c r="W1134" t="s">
        <v>42</v>
      </c>
      <c r="X1134" t="s">
        <v>43</v>
      </c>
      <c r="Y1134" t="str">
        <f t="shared" si="120"/>
        <v>No</v>
      </c>
      <c r="Z1134">
        <v>15</v>
      </c>
      <c r="AA1134">
        <v>3</v>
      </c>
      <c r="AB1134">
        <v>3</v>
      </c>
      <c r="AC1134">
        <v>80</v>
      </c>
      <c r="AD1134">
        <v>1</v>
      </c>
      <c r="AE1134" s="5">
        <v>5</v>
      </c>
      <c r="AF1134" t="str">
        <f t="shared" si="121"/>
        <v>0-5</v>
      </c>
      <c r="AG1134">
        <v>2</v>
      </c>
      <c r="AH1134">
        <v>3</v>
      </c>
      <c r="AI1134" s="5">
        <v>5</v>
      </c>
      <c r="AJ1134">
        <v>4</v>
      </c>
      <c r="AK1134">
        <v>1</v>
      </c>
      <c r="AL1134">
        <v>2</v>
      </c>
      <c r="AM1134" t="str">
        <f t="shared" si="122"/>
        <v>Below Avg</v>
      </c>
      <c r="AN1134" s="21">
        <f t="shared" si="123"/>
        <v>26.548672566371685</v>
      </c>
      <c r="AO1134" t="str">
        <f t="shared" ca="1" si="124"/>
        <v>No</v>
      </c>
      <c r="AP1134" t="str">
        <f t="shared" si="125"/>
        <v>Low Risk</v>
      </c>
    </row>
    <row r="1135" spans="1:42" x14ac:dyDescent="0.3">
      <c r="A1135" s="5">
        <v>43</v>
      </c>
      <c r="B1135" s="5" t="s">
        <v>43</v>
      </c>
      <c r="C1135" s="5" t="str">
        <f t="shared" si="119"/>
        <v>No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 s="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 s="5">
        <v>4876</v>
      </c>
      <c r="U1135">
        <v>5855</v>
      </c>
      <c r="V1135">
        <v>5</v>
      </c>
      <c r="W1135" t="s">
        <v>42</v>
      </c>
      <c r="X1135" t="s">
        <v>43</v>
      </c>
      <c r="Y1135" t="str">
        <f t="shared" si="120"/>
        <v>No</v>
      </c>
      <c r="Z1135">
        <v>12</v>
      </c>
      <c r="AA1135">
        <v>3</v>
      </c>
      <c r="AB1135">
        <v>3</v>
      </c>
      <c r="AC1135">
        <v>80</v>
      </c>
      <c r="AD1135">
        <v>1</v>
      </c>
      <c r="AE1135" s="5">
        <v>8</v>
      </c>
      <c r="AF1135" t="str">
        <f t="shared" si="121"/>
        <v>6-15</v>
      </c>
      <c r="AG1135">
        <v>0</v>
      </c>
      <c r="AH1135">
        <v>3</v>
      </c>
      <c r="AI1135" s="5">
        <v>6</v>
      </c>
      <c r="AJ1135">
        <v>4</v>
      </c>
      <c r="AK1135">
        <v>0</v>
      </c>
      <c r="AL1135">
        <v>2</v>
      </c>
      <c r="AM1135" t="str">
        <f t="shared" si="122"/>
        <v>Below Avg</v>
      </c>
      <c r="AN1135" s="21">
        <f t="shared" si="123"/>
        <v>26.627218934911244</v>
      </c>
      <c r="AO1135" t="str">
        <f t="shared" ca="1" si="124"/>
        <v>No</v>
      </c>
      <c r="AP1135" t="str">
        <f t="shared" si="125"/>
        <v>Low Risk</v>
      </c>
    </row>
    <row r="1136" spans="1:42" x14ac:dyDescent="0.3">
      <c r="A1136" s="5">
        <v>35</v>
      </c>
      <c r="B1136" s="5" t="s">
        <v>43</v>
      </c>
      <c r="C1136" s="5" t="str">
        <f t="shared" si="119"/>
        <v>No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 s="5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 s="5">
        <v>2690</v>
      </c>
      <c r="U1136">
        <v>7713</v>
      </c>
      <c r="V1136">
        <v>1</v>
      </c>
      <c r="W1136" t="s">
        <v>42</v>
      </c>
      <c r="X1136" t="s">
        <v>43</v>
      </c>
      <c r="Y1136" t="str">
        <f t="shared" si="120"/>
        <v>No</v>
      </c>
      <c r="Z1136">
        <v>18</v>
      </c>
      <c r="AA1136">
        <v>3</v>
      </c>
      <c r="AB1136">
        <v>4</v>
      </c>
      <c r="AC1136">
        <v>80</v>
      </c>
      <c r="AD1136">
        <v>1</v>
      </c>
      <c r="AE1136" s="5">
        <v>1</v>
      </c>
      <c r="AF1136" t="str">
        <f t="shared" si="121"/>
        <v>0-5</v>
      </c>
      <c r="AG1136">
        <v>5</v>
      </c>
      <c r="AH1136">
        <v>2</v>
      </c>
      <c r="AI1136" s="5">
        <v>1</v>
      </c>
      <c r="AJ1136">
        <v>0</v>
      </c>
      <c r="AK1136">
        <v>0</v>
      </c>
      <c r="AL1136">
        <v>1</v>
      </c>
      <c r="AM1136" t="str">
        <f t="shared" si="122"/>
        <v>Below Avg</v>
      </c>
      <c r="AN1136" s="21">
        <f t="shared" si="123"/>
        <v>26.706231454005934</v>
      </c>
      <c r="AO1136" t="str">
        <f t="shared" ca="1" si="124"/>
        <v>No</v>
      </c>
      <c r="AP1136" t="str">
        <f t="shared" si="125"/>
        <v>Low Risk</v>
      </c>
    </row>
    <row r="1137" spans="1:42" x14ac:dyDescent="0.3">
      <c r="A1137" s="5">
        <v>46</v>
      </c>
      <c r="B1137" s="5" t="s">
        <v>43</v>
      </c>
      <c r="C1137" s="5" t="str">
        <f t="shared" si="119"/>
        <v>No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 s="5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 s="5">
        <v>17567</v>
      </c>
      <c r="U1137">
        <v>3156</v>
      </c>
      <c r="V1137">
        <v>1</v>
      </c>
      <c r="W1137" t="s">
        <v>42</v>
      </c>
      <c r="X1137" t="s">
        <v>43</v>
      </c>
      <c r="Y1137" t="str">
        <f t="shared" si="120"/>
        <v>No</v>
      </c>
      <c r="Z1137">
        <v>15</v>
      </c>
      <c r="AA1137">
        <v>3</v>
      </c>
      <c r="AB1137">
        <v>2</v>
      </c>
      <c r="AC1137">
        <v>80</v>
      </c>
      <c r="AD1137">
        <v>0</v>
      </c>
      <c r="AE1137" s="5">
        <v>27</v>
      </c>
      <c r="AF1137" t="str">
        <f t="shared" si="121"/>
        <v>&gt;15</v>
      </c>
      <c r="AG1137">
        <v>5</v>
      </c>
      <c r="AH1137">
        <v>1</v>
      </c>
      <c r="AI1137" s="5">
        <v>26</v>
      </c>
      <c r="AJ1137">
        <v>0</v>
      </c>
      <c r="AK1137">
        <v>0</v>
      </c>
      <c r="AL1137">
        <v>12</v>
      </c>
      <c r="AM1137" t="str">
        <f t="shared" si="122"/>
        <v>Ok</v>
      </c>
      <c r="AN1137" s="21">
        <f t="shared" si="123"/>
        <v>26.785714285714285</v>
      </c>
      <c r="AO1137" t="str">
        <f t="shared" ca="1" si="124"/>
        <v>No</v>
      </c>
      <c r="AP1137" t="str">
        <f t="shared" si="125"/>
        <v>Low Risk</v>
      </c>
    </row>
    <row r="1138" spans="1:42" x14ac:dyDescent="0.3">
      <c r="A1138" s="5">
        <v>28</v>
      </c>
      <c r="B1138" s="5" t="s">
        <v>35</v>
      </c>
      <c r="C1138" s="5" t="str">
        <f t="shared" si="119"/>
        <v>Yes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 s="5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 s="5">
        <v>2408</v>
      </c>
      <c r="U1138">
        <v>7324</v>
      </c>
      <c r="V1138">
        <v>1</v>
      </c>
      <c r="W1138" t="s">
        <v>42</v>
      </c>
      <c r="X1138" t="s">
        <v>35</v>
      </c>
      <c r="Y1138" t="str">
        <f t="shared" si="120"/>
        <v>Yes</v>
      </c>
      <c r="Z1138">
        <v>17</v>
      </c>
      <c r="AA1138">
        <v>3</v>
      </c>
      <c r="AB1138">
        <v>3</v>
      </c>
      <c r="AC1138">
        <v>80</v>
      </c>
      <c r="AD1138">
        <v>3</v>
      </c>
      <c r="AE1138" s="5">
        <v>1</v>
      </c>
      <c r="AF1138" t="str">
        <f t="shared" si="121"/>
        <v>0-5</v>
      </c>
      <c r="AG1138">
        <v>3</v>
      </c>
      <c r="AH1138">
        <v>3</v>
      </c>
      <c r="AI1138" s="5">
        <v>1</v>
      </c>
      <c r="AJ1138">
        <v>1</v>
      </c>
      <c r="AK1138">
        <v>0</v>
      </c>
      <c r="AL1138">
        <v>0</v>
      </c>
      <c r="AM1138" t="str">
        <f t="shared" si="122"/>
        <v>Below Avg</v>
      </c>
      <c r="AN1138" s="21">
        <f t="shared" si="123"/>
        <v>26.865671641791046</v>
      </c>
      <c r="AO1138" t="str">
        <f t="shared" ca="1" si="124"/>
        <v>No</v>
      </c>
      <c r="AP1138" t="str">
        <f t="shared" si="125"/>
        <v>High Risk</v>
      </c>
    </row>
    <row r="1139" spans="1:42" x14ac:dyDescent="0.3">
      <c r="A1139" s="5">
        <v>22</v>
      </c>
      <c r="B1139" s="5" t="s">
        <v>43</v>
      </c>
      <c r="C1139" s="5" t="str">
        <f t="shared" si="119"/>
        <v>No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 s="5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 s="5">
        <v>2814</v>
      </c>
      <c r="U1139">
        <v>10293</v>
      </c>
      <c r="V1139">
        <v>1</v>
      </c>
      <c r="W1139" t="s">
        <v>42</v>
      </c>
      <c r="X1139" t="s">
        <v>35</v>
      </c>
      <c r="Y1139" t="str">
        <f t="shared" si="120"/>
        <v>Yes</v>
      </c>
      <c r="Z1139">
        <v>14</v>
      </c>
      <c r="AA1139">
        <v>3</v>
      </c>
      <c r="AB1139">
        <v>2</v>
      </c>
      <c r="AC1139">
        <v>80</v>
      </c>
      <c r="AD1139">
        <v>0</v>
      </c>
      <c r="AE1139" s="5">
        <v>4</v>
      </c>
      <c r="AF1139" t="str">
        <f t="shared" si="121"/>
        <v>0-5</v>
      </c>
      <c r="AG1139">
        <v>2</v>
      </c>
      <c r="AH1139">
        <v>2</v>
      </c>
      <c r="AI1139" s="5">
        <v>4</v>
      </c>
      <c r="AJ1139">
        <v>2</v>
      </c>
      <c r="AK1139">
        <v>1</v>
      </c>
      <c r="AL1139">
        <v>3</v>
      </c>
      <c r="AM1139" t="str">
        <f t="shared" si="122"/>
        <v>Below Avg</v>
      </c>
      <c r="AN1139" s="21">
        <f t="shared" si="123"/>
        <v>26.946107784431138</v>
      </c>
      <c r="AO1139" t="str">
        <f t="shared" ca="1" si="124"/>
        <v>No</v>
      </c>
      <c r="AP1139" t="str">
        <f t="shared" si="125"/>
        <v>Low Risk</v>
      </c>
    </row>
    <row r="1140" spans="1:42" x14ac:dyDescent="0.3">
      <c r="A1140" s="5">
        <v>50</v>
      </c>
      <c r="B1140" s="5" t="s">
        <v>43</v>
      </c>
      <c r="C1140" s="5" t="str">
        <f t="shared" si="119"/>
        <v>No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 s="5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 s="5">
        <v>11245</v>
      </c>
      <c r="U1140">
        <v>20689</v>
      </c>
      <c r="V1140">
        <v>2</v>
      </c>
      <c r="W1140" t="s">
        <v>42</v>
      </c>
      <c r="X1140" t="s">
        <v>35</v>
      </c>
      <c r="Y1140" t="str">
        <f t="shared" si="120"/>
        <v>Yes</v>
      </c>
      <c r="Z1140">
        <v>15</v>
      </c>
      <c r="AA1140">
        <v>3</v>
      </c>
      <c r="AB1140">
        <v>3</v>
      </c>
      <c r="AC1140">
        <v>80</v>
      </c>
      <c r="AD1140">
        <v>1</v>
      </c>
      <c r="AE1140" s="5">
        <v>32</v>
      </c>
      <c r="AF1140" t="str">
        <f t="shared" si="121"/>
        <v>&gt;15</v>
      </c>
      <c r="AG1140">
        <v>3</v>
      </c>
      <c r="AH1140">
        <v>3</v>
      </c>
      <c r="AI1140" s="5">
        <v>30</v>
      </c>
      <c r="AJ1140">
        <v>8</v>
      </c>
      <c r="AK1140">
        <v>12</v>
      </c>
      <c r="AL1140">
        <v>13</v>
      </c>
      <c r="AM1140" t="str">
        <f t="shared" si="122"/>
        <v>Ok</v>
      </c>
      <c r="AN1140" s="21">
        <f t="shared" si="123"/>
        <v>26.726726726726728</v>
      </c>
      <c r="AO1140" t="str">
        <f t="shared" ca="1" si="124"/>
        <v>No</v>
      </c>
      <c r="AP1140" t="str">
        <f t="shared" si="125"/>
        <v>Low Risk</v>
      </c>
    </row>
    <row r="1141" spans="1:42" x14ac:dyDescent="0.3">
      <c r="A1141" s="5">
        <v>32</v>
      </c>
      <c r="B1141" s="5" t="s">
        <v>43</v>
      </c>
      <c r="C1141" s="5" t="str">
        <f t="shared" si="119"/>
        <v>No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 s="5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 s="5">
        <v>3312</v>
      </c>
      <c r="U1141">
        <v>18783</v>
      </c>
      <c r="V1141">
        <v>3</v>
      </c>
      <c r="W1141" t="s">
        <v>42</v>
      </c>
      <c r="X1141" t="s">
        <v>43</v>
      </c>
      <c r="Y1141" t="str">
        <f t="shared" si="120"/>
        <v>No</v>
      </c>
      <c r="Z1141">
        <v>17</v>
      </c>
      <c r="AA1141">
        <v>3</v>
      </c>
      <c r="AB1141">
        <v>4</v>
      </c>
      <c r="AC1141">
        <v>80</v>
      </c>
      <c r="AD1141">
        <v>2</v>
      </c>
      <c r="AE1141" s="5">
        <v>6</v>
      </c>
      <c r="AF1141" t="str">
        <f t="shared" si="121"/>
        <v>6-15</v>
      </c>
      <c r="AG1141">
        <v>3</v>
      </c>
      <c r="AH1141">
        <v>3</v>
      </c>
      <c r="AI1141" s="5">
        <v>3</v>
      </c>
      <c r="AJ1141">
        <v>2</v>
      </c>
      <c r="AK1141">
        <v>0</v>
      </c>
      <c r="AL1141">
        <v>2</v>
      </c>
      <c r="AM1141" t="str">
        <f t="shared" si="122"/>
        <v>Below Avg</v>
      </c>
      <c r="AN1141" s="21">
        <f t="shared" si="123"/>
        <v>26.506024096385545</v>
      </c>
      <c r="AO1141" t="str">
        <f t="shared" ca="1" si="124"/>
        <v>No</v>
      </c>
      <c r="AP1141" t="str">
        <f t="shared" si="125"/>
        <v>Low Risk</v>
      </c>
    </row>
    <row r="1142" spans="1:42" x14ac:dyDescent="0.3">
      <c r="A1142" s="5">
        <v>44</v>
      </c>
      <c r="B1142" s="5" t="s">
        <v>43</v>
      </c>
      <c r="C1142" s="5" t="str">
        <f t="shared" si="119"/>
        <v>No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 s="5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 s="5">
        <v>19049</v>
      </c>
      <c r="U1142">
        <v>3549</v>
      </c>
      <c r="V1142">
        <v>0</v>
      </c>
      <c r="W1142" t="s">
        <v>42</v>
      </c>
      <c r="X1142" t="s">
        <v>35</v>
      </c>
      <c r="Y1142" t="str">
        <f t="shared" si="120"/>
        <v>Yes</v>
      </c>
      <c r="Z1142">
        <v>14</v>
      </c>
      <c r="AA1142">
        <v>3</v>
      </c>
      <c r="AB1142">
        <v>4</v>
      </c>
      <c r="AC1142">
        <v>80</v>
      </c>
      <c r="AD1142">
        <v>1</v>
      </c>
      <c r="AE1142" s="5">
        <v>23</v>
      </c>
      <c r="AF1142" t="str">
        <f t="shared" si="121"/>
        <v>&gt;15</v>
      </c>
      <c r="AG1142">
        <v>4</v>
      </c>
      <c r="AH1142">
        <v>2</v>
      </c>
      <c r="AI1142" s="5">
        <v>22</v>
      </c>
      <c r="AJ1142">
        <v>7</v>
      </c>
      <c r="AK1142">
        <v>1</v>
      </c>
      <c r="AL1142">
        <v>10</v>
      </c>
      <c r="AM1142" t="str">
        <f t="shared" si="122"/>
        <v>Ok</v>
      </c>
      <c r="AN1142" s="21">
        <f t="shared" si="123"/>
        <v>26.283987915407852</v>
      </c>
      <c r="AO1142" t="str">
        <f t="shared" ca="1" si="124"/>
        <v>No</v>
      </c>
      <c r="AP1142" t="str">
        <f t="shared" si="125"/>
        <v>Low Risk</v>
      </c>
    </row>
    <row r="1143" spans="1:42" x14ac:dyDescent="0.3">
      <c r="A1143" s="5">
        <v>30</v>
      </c>
      <c r="B1143" s="5" t="s">
        <v>43</v>
      </c>
      <c r="C1143" s="5" t="str">
        <f t="shared" si="119"/>
        <v>No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 s="5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 s="5">
        <v>2141</v>
      </c>
      <c r="U1143">
        <v>5348</v>
      </c>
      <c r="V1143">
        <v>1</v>
      </c>
      <c r="W1143" t="s">
        <v>42</v>
      </c>
      <c r="X1143" t="s">
        <v>43</v>
      </c>
      <c r="Y1143" t="str">
        <f t="shared" si="120"/>
        <v>No</v>
      </c>
      <c r="Z1143">
        <v>12</v>
      </c>
      <c r="AA1143">
        <v>3</v>
      </c>
      <c r="AB1143">
        <v>2</v>
      </c>
      <c r="AC1143">
        <v>80</v>
      </c>
      <c r="AD1143">
        <v>1</v>
      </c>
      <c r="AE1143" s="5">
        <v>6</v>
      </c>
      <c r="AF1143" t="str">
        <f t="shared" si="121"/>
        <v>6-15</v>
      </c>
      <c r="AG1143">
        <v>3</v>
      </c>
      <c r="AH1143">
        <v>2</v>
      </c>
      <c r="AI1143" s="5">
        <v>6</v>
      </c>
      <c r="AJ1143">
        <v>4</v>
      </c>
      <c r="AK1143">
        <v>1</v>
      </c>
      <c r="AL1143">
        <v>1</v>
      </c>
      <c r="AM1143" t="str">
        <f t="shared" si="122"/>
        <v>Below Avg</v>
      </c>
      <c r="AN1143" s="21">
        <f t="shared" si="123"/>
        <v>26.36363636363636</v>
      </c>
      <c r="AO1143" t="str">
        <f t="shared" ca="1" si="124"/>
        <v>No</v>
      </c>
      <c r="AP1143" t="str">
        <f t="shared" si="125"/>
        <v>Low Risk</v>
      </c>
    </row>
    <row r="1144" spans="1:42" x14ac:dyDescent="0.3">
      <c r="A1144" s="5">
        <v>45</v>
      </c>
      <c r="B1144" s="5" t="s">
        <v>43</v>
      </c>
      <c r="C1144" s="5" t="str">
        <f t="shared" si="119"/>
        <v>No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 s="5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 s="5">
        <v>5769</v>
      </c>
      <c r="U1144">
        <v>23447</v>
      </c>
      <c r="V1144">
        <v>1</v>
      </c>
      <c r="W1144" t="s">
        <v>42</v>
      </c>
      <c r="X1144" t="s">
        <v>35</v>
      </c>
      <c r="Y1144" t="str">
        <f t="shared" si="120"/>
        <v>Yes</v>
      </c>
      <c r="Z1144">
        <v>14</v>
      </c>
      <c r="AA1144">
        <v>3</v>
      </c>
      <c r="AB1144">
        <v>1</v>
      </c>
      <c r="AC1144">
        <v>80</v>
      </c>
      <c r="AD1144">
        <v>0</v>
      </c>
      <c r="AE1144" s="5">
        <v>10</v>
      </c>
      <c r="AF1144" t="str">
        <f t="shared" si="121"/>
        <v>6-15</v>
      </c>
      <c r="AG1144">
        <v>3</v>
      </c>
      <c r="AH1144">
        <v>3</v>
      </c>
      <c r="AI1144" s="5">
        <v>10</v>
      </c>
      <c r="AJ1144">
        <v>7</v>
      </c>
      <c r="AK1144">
        <v>1</v>
      </c>
      <c r="AL1144">
        <v>4</v>
      </c>
      <c r="AM1144" t="str">
        <f t="shared" si="122"/>
        <v>Below Avg</v>
      </c>
      <c r="AN1144" s="21">
        <f t="shared" si="123"/>
        <v>26.13981762917933</v>
      </c>
      <c r="AO1144" t="str">
        <f t="shared" ca="1" si="124"/>
        <v>No</v>
      </c>
      <c r="AP1144" t="str">
        <f t="shared" si="125"/>
        <v>Low Risk</v>
      </c>
    </row>
    <row r="1145" spans="1:42" x14ac:dyDescent="0.3">
      <c r="A1145" s="5">
        <v>45</v>
      </c>
      <c r="B1145" s="5" t="s">
        <v>43</v>
      </c>
      <c r="C1145" s="5" t="str">
        <f t="shared" si="119"/>
        <v>No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 s="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 s="5">
        <v>4385</v>
      </c>
      <c r="U1145">
        <v>24162</v>
      </c>
      <c r="V1145">
        <v>1</v>
      </c>
      <c r="W1145" t="s">
        <v>42</v>
      </c>
      <c r="X1145" t="s">
        <v>43</v>
      </c>
      <c r="Y1145" t="str">
        <f t="shared" si="120"/>
        <v>No</v>
      </c>
      <c r="Z1145">
        <v>15</v>
      </c>
      <c r="AA1145">
        <v>3</v>
      </c>
      <c r="AB1145">
        <v>1</v>
      </c>
      <c r="AC1145">
        <v>80</v>
      </c>
      <c r="AD1145">
        <v>1</v>
      </c>
      <c r="AE1145" s="5">
        <v>10</v>
      </c>
      <c r="AF1145" t="str">
        <f t="shared" si="121"/>
        <v>6-15</v>
      </c>
      <c r="AG1145">
        <v>2</v>
      </c>
      <c r="AH1145">
        <v>3</v>
      </c>
      <c r="AI1145" s="5">
        <v>10</v>
      </c>
      <c r="AJ1145">
        <v>7</v>
      </c>
      <c r="AK1145">
        <v>4</v>
      </c>
      <c r="AL1145">
        <v>5</v>
      </c>
      <c r="AM1145" t="str">
        <f t="shared" si="122"/>
        <v>Below Avg</v>
      </c>
      <c r="AN1145" s="21">
        <f t="shared" si="123"/>
        <v>26.219512195121951</v>
      </c>
      <c r="AO1145" t="str">
        <f t="shared" ca="1" si="124"/>
        <v>No</v>
      </c>
      <c r="AP1145" t="str">
        <f t="shared" si="125"/>
        <v>Low Risk</v>
      </c>
    </row>
    <row r="1146" spans="1:42" x14ac:dyDescent="0.3">
      <c r="A1146" s="5">
        <v>31</v>
      </c>
      <c r="B1146" s="5" t="s">
        <v>43</v>
      </c>
      <c r="C1146" s="5" t="str">
        <f t="shared" si="119"/>
        <v>No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 s="5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 s="5">
        <v>5332</v>
      </c>
      <c r="U1146">
        <v>21602</v>
      </c>
      <c r="V1146">
        <v>7</v>
      </c>
      <c r="W1146" t="s">
        <v>42</v>
      </c>
      <c r="X1146" t="s">
        <v>43</v>
      </c>
      <c r="Y1146" t="str">
        <f t="shared" si="120"/>
        <v>No</v>
      </c>
      <c r="Z1146">
        <v>13</v>
      </c>
      <c r="AA1146">
        <v>3</v>
      </c>
      <c r="AB1146">
        <v>4</v>
      </c>
      <c r="AC1146">
        <v>80</v>
      </c>
      <c r="AD1146">
        <v>0</v>
      </c>
      <c r="AE1146" s="5">
        <v>10</v>
      </c>
      <c r="AF1146" t="str">
        <f t="shared" si="121"/>
        <v>6-15</v>
      </c>
      <c r="AG1146">
        <v>3</v>
      </c>
      <c r="AH1146">
        <v>3</v>
      </c>
      <c r="AI1146" s="5">
        <v>5</v>
      </c>
      <c r="AJ1146">
        <v>2</v>
      </c>
      <c r="AK1146">
        <v>0</v>
      </c>
      <c r="AL1146">
        <v>3</v>
      </c>
      <c r="AM1146" t="str">
        <f t="shared" si="122"/>
        <v>Below Avg</v>
      </c>
      <c r="AN1146" s="21">
        <f t="shared" si="123"/>
        <v>25.993883792048926</v>
      </c>
      <c r="AO1146" t="str">
        <f t="shared" ca="1" si="124"/>
        <v>No</v>
      </c>
      <c r="AP1146" t="str">
        <f t="shared" si="125"/>
        <v>Low Risk</v>
      </c>
    </row>
    <row r="1147" spans="1:42" x14ac:dyDescent="0.3">
      <c r="A1147" s="5">
        <v>36</v>
      </c>
      <c r="B1147" s="5" t="s">
        <v>43</v>
      </c>
      <c r="C1147" s="5" t="str">
        <f t="shared" si="119"/>
        <v>No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 s="5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 s="5">
        <v>4663</v>
      </c>
      <c r="U1147">
        <v>12421</v>
      </c>
      <c r="V1147">
        <v>9</v>
      </c>
      <c r="W1147" t="s">
        <v>42</v>
      </c>
      <c r="X1147" t="s">
        <v>35</v>
      </c>
      <c r="Y1147" t="str">
        <f t="shared" si="120"/>
        <v>Yes</v>
      </c>
      <c r="Z1147">
        <v>12</v>
      </c>
      <c r="AA1147">
        <v>3</v>
      </c>
      <c r="AB1147">
        <v>2</v>
      </c>
      <c r="AC1147">
        <v>80</v>
      </c>
      <c r="AD1147">
        <v>2</v>
      </c>
      <c r="AE1147" s="5">
        <v>7</v>
      </c>
      <c r="AF1147" t="str">
        <f t="shared" si="121"/>
        <v>6-15</v>
      </c>
      <c r="AG1147">
        <v>2</v>
      </c>
      <c r="AH1147">
        <v>3</v>
      </c>
      <c r="AI1147" s="5">
        <v>3</v>
      </c>
      <c r="AJ1147">
        <v>2</v>
      </c>
      <c r="AK1147">
        <v>1</v>
      </c>
      <c r="AL1147">
        <v>1</v>
      </c>
      <c r="AM1147" t="str">
        <f t="shared" si="122"/>
        <v>Below Avg</v>
      </c>
      <c r="AN1147" s="21">
        <f t="shared" si="123"/>
        <v>26.073619631901838</v>
      </c>
      <c r="AO1147" t="str">
        <f t="shared" ca="1" si="124"/>
        <v>No</v>
      </c>
      <c r="AP1147" t="str">
        <f t="shared" si="125"/>
        <v>Low Risk</v>
      </c>
    </row>
    <row r="1148" spans="1:42" x14ac:dyDescent="0.3">
      <c r="A1148" s="5">
        <v>34</v>
      </c>
      <c r="B1148" s="5" t="s">
        <v>43</v>
      </c>
      <c r="C1148" s="5" t="str">
        <f t="shared" si="119"/>
        <v>No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 s="5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 s="5">
        <v>4724</v>
      </c>
      <c r="U1148">
        <v>17000</v>
      </c>
      <c r="V1148">
        <v>1</v>
      </c>
      <c r="W1148" t="s">
        <v>42</v>
      </c>
      <c r="X1148" t="s">
        <v>43</v>
      </c>
      <c r="Y1148" t="str">
        <f t="shared" si="120"/>
        <v>No</v>
      </c>
      <c r="Z1148">
        <v>13</v>
      </c>
      <c r="AA1148">
        <v>3</v>
      </c>
      <c r="AB1148">
        <v>1</v>
      </c>
      <c r="AC1148">
        <v>80</v>
      </c>
      <c r="AD1148">
        <v>1</v>
      </c>
      <c r="AE1148" s="5">
        <v>9</v>
      </c>
      <c r="AF1148" t="str">
        <f t="shared" si="121"/>
        <v>6-15</v>
      </c>
      <c r="AG1148">
        <v>3</v>
      </c>
      <c r="AH1148">
        <v>3</v>
      </c>
      <c r="AI1148" s="5">
        <v>9</v>
      </c>
      <c r="AJ1148">
        <v>7</v>
      </c>
      <c r="AK1148">
        <v>7</v>
      </c>
      <c r="AL1148">
        <v>2</v>
      </c>
      <c r="AM1148" t="str">
        <f t="shared" si="122"/>
        <v>Below Avg</v>
      </c>
      <c r="AN1148" s="21">
        <f t="shared" si="123"/>
        <v>26.153846153846157</v>
      </c>
      <c r="AO1148" t="str">
        <f t="shared" ca="1" si="124"/>
        <v>No</v>
      </c>
      <c r="AP1148" t="str">
        <f t="shared" si="125"/>
        <v>Low Risk</v>
      </c>
    </row>
    <row r="1149" spans="1:42" x14ac:dyDescent="0.3">
      <c r="A1149" s="5">
        <v>49</v>
      </c>
      <c r="B1149" s="5" t="s">
        <v>43</v>
      </c>
      <c r="C1149" s="5" t="str">
        <f t="shared" si="119"/>
        <v>No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 s="5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 s="5">
        <v>3211</v>
      </c>
      <c r="U1149">
        <v>22102</v>
      </c>
      <c r="V1149">
        <v>1</v>
      </c>
      <c r="W1149" t="s">
        <v>42</v>
      </c>
      <c r="X1149" t="s">
        <v>43</v>
      </c>
      <c r="Y1149" t="str">
        <f t="shared" si="120"/>
        <v>No</v>
      </c>
      <c r="Z1149">
        <v>14</v>
      </c>
      <c r="AA1149">
        <v>3</v>
      </c>
      <c r="AB1149">
        <v>4</v>
      </c>
      <c r="AC1149">
        <v>80</v>
      </c>
      <c r="AD1149">
        <v>1</v>
      </c>
      <c r="AE1149" s="5">
        <v>10</v>
      </c>
      <c r="AF1149" t="str">
        <f t="shared" si="121"/>
        <v>6-15</v>
      </c>
      <c r="AG1149">
        <v>3</v>
      </c>
      <c r="AH1149">
        <v>2</v>
      </c>
      <c r="AI1149" s="5">
        <v>9</v>
      </c>
      <c r="AJ1149">
        <v>6</v>
      </c>
      <c r="AK1149">
        <v>1</v>
      </c>
      <c r="AL1149">
        <v>4</v>
      </c>
      <c r="AM1149" t="str">
        <f t="shared" si="122"/>
        <v>Below Avg</v>
      </c>
      <c r="AN1149" s="21">
        <f t="shared" si="123"/>
        <v>25.925925925925924</v>
      </c>
      <c r="AO1149" t="str">
        <f t="shared" ca="1" si="124"/>
        <v>No</v>
      </c>
      <c r="AP1149" t="str">
        <f t="shared" si="125"/>
        <v>Low Risk</v>
      </c>
    </row>
    <row r="1150" spans="1:42" x14ac:dyDescent="0.3">
      <c r="A1150" s="5">
        <v>39</v>
      </c>
      <c r="B1150" s="5" t="s">
        <v>43</v>
      </c>
      <c r="C1150" s="5" t="str">
        <f t="shared" si="119"/>
        <v>No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 s="5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 s="5">
        <v>5377</v>
      </c>
      <c r="U1150">
        <v>3835</v>
      </c>
      <c r="V1150">
        <v>2</v>
      </c>
      <c r="W1150" t="s">
        <v>42</v>
      </c>
      <c r="X1150" t="s">
        <v>43</v>
      </c>
      <c r="Y1150" t="str">
        <f t="shared" si="120"/>
        <v>No</v>
      </c>
      <c r="Z1150">
        <v>13</v>
      </c>
      <c r="AA1150">
        <v>3</v>
      </c>
      <c r="AB1150">
        <v>4</v>
      </c>
      <c r="AC1150">
        <v>80</v>
      </c>
      <c r="AD1150">
        <v>3</v>
      </c>
      <c r="AE1150" s="5">
        <v>10</v>
      </c>
      <c r="AF1150" t="str">
        <f t="shared" si="121"/>
        <v>6-15</v>
      </c>
      <c r="AG1150">
        <v>3</v>
      </c>
      <c r="AH1150">
        <v>3</v>
      </c>
      <c r="AI1150" s="5">
        <v>7</v>
      </c>
      <c r="AJ1150">
        <v>7</v>
      </c>
      <c r="AK1150">
        <v>7</v>
      </c>
      <c r="AL1150">
        <v>7</v>
      </c>
      <c r="AM1150" t="str">
        <f t="shared" si="122"/>
        <v>Below Avg</v>
      </c>
      <c r="AN1150" s="21">
        <f t="shared" si="123"/>
        <v>26.006191950464398</v>
      </c>
      <c r="AO1150" t="str">
        <f t="shared" ca="1" si="124"/>
        <v>No</v>
      </c>
      <c r="AP1150" t="str">
        <f t="shared" si="125"/>
        <v>Low Risk</v>
      </c>
    </row>
    <row r="1151" spans="1:42" x14ac:dyDescent="0.3">
      <c r="A1151" s="5">
        <v>27</v>
      </c>
      <c r="B1151" s="5" t="s">
        <v>43</v>
      </c>
      <c r="C1151" s="5" t="str">
        <f t="shared" si="119"/>
        <v>No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 s="5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 s="5">
        <v>4066</v>
      </c>
      <c r="U1151">
        <v>16290</v>
      </c>
      <c r="V1151">
        <v>1</v>
      </c>
      <c r="W1151" t="s">
        <v>42</v>
      </c>
      <c r="X1151" t="s">
        <v>43</v>
      </c>
      <c r="Y1151" t="str">
        <f t="shared" si="120"/>
        <v>No</v>
      </c>
      <c r="Z1151">
        <v>11</v>
      </c>
      <c r="AA1151">
        <v>3</v>
      </c>
      <c r="AB1151">
        <v>1</v>
      </c>
      <c r="AC1151">
        <v>80</v>
      </c>
      <c r="AD1151">
        <v>2</v>
      </c>
      <c r="AE1151" s="5">
        <v>7</v>
      </c>
      <c r="AF1151" t="str">
        <f t="shared" si="121"/>
        <v>6-15</v>
      </c>
      <c r="AG1151">
        <v>3</v>
      </c>
      <c r="AH1151">
        <v>3</v>
      </c>
      <c r="AI1151" s="5">
        <v>7</v>
      </c>
      <c r="AJ1151">
        <v>7</v>
      </c>
      <c r="AK1151">
        <v>0</v>
      </c>
      <c r="AL1151">
        <v>7</v>
      </c>
      <c r="AM1151" t="str">
        <f t="shared" si="122"/>
        <v>Below Avg</v>
      </c>
      <c r="AN1151" s="21">
        <f t="shared" si="123"/>
        <v>26.086956521739129</v>
      </c>
      <c r="AO1151" t="str">
        <f t="shared" ca="1" si="124"/>
        <v>No</v>
      </c>
      <c r="AP1151" t="str">
        <f t="shared" si="125"/>
        <v>Low Risk</v>
      </c>
    </row>
    <row r="1152" spans="1:42" x14ac:dyDescent="0.3">
      <c r="A1152" s="5">
        <v>35</v>
      </c>
      <c r="B1152" s="5" t="s">
        <v>43</v>
      </c>
      <c r="C1152" s="5" t="str">
        <f t="shared" si="119"/>
        <v>No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 s="5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 s="5">
        <v>5208</v>
      </c>
      <c r="U1152">
        <v>26312</v>
      </c>
      <c r="V1152">
        <v>1</v>
      </c>
      <c r="W1152" t="s">
        <v>42</v>
      </c>
      <c r="X1152" t="s">
        <v>43</v>
      </c>
      <c r="Y1152" t="str">
        <f t="shared" si="120"/>
        <v>No</v>
      </c>
      <c r="Z1152">
        <v>11</v>
      </c>
      <c r="AA1152">
        <v>3</v>
      </c>
      <c r="AB1152">
        <v>4</v>
      </c>
      <c r="AC1152">
        <v>80</v>
      </c>
      <c r="AD1152">
        <v>0</v>
      </c>
      <c r="AE1152" s="5">
        <v>16</v>
      </c>
      <c r="AF1152" t="str">
        <f t="shared" si="121"/>
        <v>&gt;15</v>
      </c>
      <c r="AG1152">
        <v>2</v>
      </c>
      <c r="AH1152">
        <v>3</v>
      </c>
      <c r="AI1152" s="5">
        <v>16</v>
      </c>
      <c r="AJ1152">
        <v>15</v>
      </c>
      <c r="AK1152">
        <v>1</v>
      </c>
      <c r="AL1152">
        <v>10</v>
      </c>
      <c r="AM1152" t="str">
        <f t="shared" si="122"/>
        <v>Below Avg</v>
      </c>
      <c r="AN1152" s="21">
        <f t="shared" si="123"/>
        <v>26.168224299065418</v>
      </c>
      <c r="AO1152" t="str">
        <f t="shared" ca="1" si="124"/>
        <v>No</v>
      </c>
      <c r="AP1152" t="str">
        <f t="shared" si="125"/>
        <v>Low Risk</v>
      </c>
    </row>
    <row r="1153" spans="1:42" x14ac:dyDescent="0.3">
      <c r="A1153" s="5">
        <v>28</v>
      </c>
      <c r="B1153" s="5" t="s">
        <v>43</v>
      </c>
      <c r="C1153" s="5" t="str">
        <f t="shared" si="119"/>
        <v>No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 s="5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 s="5">
        <v>4877</v>
      </c>
      <c r="U1153">
        <v>20460</v>
      </c>
      <c r="V1153">
        <v>0</v>
      </c>
      <c r="W1153" t="s">
        <v>42</v>
      </c>
      <c r="X1153" t="s">
        <v>43</v>
      </c>
      <c r="Y1153" t="str">
        <f t="shared" si="120"/>
        <v>No</v>
      </c>
      <c r="Z1153">
        <v>21</v>
      </c>
      <c r="AA1153">
        <v>4</v>
      </c>
      <c r="AB1153">
        <v>2</v>
      </c>
      <c r="AC1153">
        <v>80</v>
      </c>
      <c r="AD1153">
        <v>1</v>
      </c>
      <c r="AE1153" s="5">
        <v>6</v>
      </c>
      <c r="AF1153" t="str">
        <f t="shared" si="121"/>
        <v>6-15</v>
      </c>
      <c r="AG1153">
        <v>5</v>
      </c>
      <c r="AH1153">
        <v>2</v>
      </c>
      <c r="AI1153" s="5">
        <v>5</v>
      </c>
      <c r="AJ1153">
        <v>3</v>
      </c>
      <c r="AK1153">
        <v>0</v>
      </c>
      <c r="AL1153">
        <v>0</v>
      </c>
      <c r="AM1153" t="str">
        <f t="shared" si="122"/>
        <v>Below Avg</v>
      </c>
      <c r="AN1153" s="21">
        <f t="shared" si="123"/>
        <v>26.25</v>
      </c>
      <c r="AO1153" t="str">
        <f t="shared" ca="1" si="124"/>
        <v>No</v>
      </c>
      <c r="AP1153" t="str">
        <f t="shared" si="125"/>
        <v>Low Risk</v>
      </c>
    </row>
    <row r="1154" spans="1:42" x14ac:dyDescent="0.3">
      <c r="A1154" s="5">
        <v>21</v>
      </c>
      <c r="B1154" s="5" t="s">
        <v>43</v>
      </c>
      <c r="C1154" s="5" t="str">
        <f t="shared" si="119"/>
        <v>No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 s="5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 s="5">
        <v>3117</v>
      </c>
      <c r="U1154">
        <v>26009</v>
      </c>
      <c r="V1154">
        <v>1</v>
      </c>
      <c r="W1154" t="s">
        <v>42</v>
      </c>
      <c r="X1154" t="s">
        <v>43</v>
      </c>
      <c r="Y1154" t="str">
        <f t="shared" si="120"/>
        <v>No</v>
      </c>
      <c r="Z1154">
        <v>18</v>
      </c>
      <c r="AA1154">
        <v>3</v>
      </c>
      <c r="AB1154">
        <v>3</v>
      </c>
      <c r="AC1154">
        <v>80</v>
      </c>
      <c r="AD1154">
        <v>0</v>
      </c>
      <c r="AE1154" s="5">
        <v>3</v>
      </c>
      <c r="AF1154" t="str">
        <f t="shared" si="121"/>
        <v>0-5</v>
      </c>
      <c r="AG1154">
        <v>2</v>
      </c>
      <c r="AH1154">
        <v>3</v>
      </c>
      <c r="AI1154" s="5">
        <v>2</v>
      </c>
      <c r="AJ1154">
        <v>2</v>
      </c>
      <c r="AK1154">
        <v>2</v>
      </c>
      <c r="AL1154">
        <v>2</v>
      </c>
      <c r="AM1154" t="str">
        <f t="shared" si="122"/>
        <v>Below Avg</v>
      </c>
      <c r="AN1154" s="21">
        <f t="shared" si="123"/>
        <v>26.332288401253916</v>
      </c>
      <c r="AO1154" t="str">
        <f t="shared" ca="1" si="124"/>
        <v>No</v>
      </c>
      <c r="AP1154" t="str">
        <f t="shared" si="125"/>
        <v>Low Risk</v>
      </c>
    </row>
    <row r="1155" spans="1:42" x14ac:dyDescent="0.3">
      <c r="A1155" s="5">
        <v>18</v>
      </c>
      <c r="B1155" s="5" t="s">
        <v>35</v>
      </c>
      <c r="C1155" s="5" t="str">
        <f t="shared" ref="C1155:C1218" si="126">IF(LOWER(B1155)="yes","Yes","No")</f>
        <v>Yes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 s="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 s="5">
        <v>1569</v>
      </c>
      <c r="U1155">
        <v>18420</v>
      </c>
      <c r="V1155">
        <v>1</v>
      </c>
      <c r="W1155" t="s">
        <v>42</v>
      </c>
      <c r="X1155" t="s">
        <v>35</v>
      </c>
      <c r="Y1155" t="str">
        <f t="shared" ref="Y1155:Y1218" si="127">IF(LOWER(X1155)="yes","Yes","No")</f>
        <v>Yes</v>
      </c>
      <c r="Z1155">
        <v>12</v>
      </c>
      <c r="AA1155">
        <v>3</v>
      </c>
      <c r="AB1155">
        <v>3</v>
      </c>
      <c r="AC1155">
        <v>80</v>
      </c>
      <c r="AD1155">
        <v>0</v>
      </c>
      <c r="AE1155" s="5">
        <v>0</v>
      </c>
      <c r="AF1155" t="str">
        <f t="shared" ref="AF1155:AF1218" si="128">IF(AE1155&lt;=5,"0-5",IF(AE1155&lt;=15,"6-15","&gt;15"))</f>
        <v>0-5</v>
      </c>
      <c r="AG1155">
        <v>2</v>
      </c>
      <c r="AH1155">
        <v>4</v>
      </c>
      <c r="AI1155" s="5">
        <v>0</v>
      </c>
      <c r="AJ1155">
        <v>0</v>
      </c>
      <c r="AK1155">
        <v>0</v>
      </c>
      <c r="AL1155">
        <v>0</v>
      </c>
      <c r="AM1155" t="str">
        <f t="shared" ref="AM1155:AM1218" si="129">IF(T1155&lt;AVERAGEIF($F1154:$F2624,F1155,$T1154:$T2624),"Below Avg","Ok")</f>
        <v>Below Avg</v>
      </c>
      <c r="AN1155" s="21">
        <f t="shared" ref="AN1155:AN1218" si="130">COUNTIF(X1154:X2624,"Yes")/COUNTA(X1154:X2624)*100</f>
        <v>26.415094339622641</v>
      </c>
      <c r="AO1155" t="str">
        <f t="shared" ref="AO1155:AO1218" ca="1" si="131">IF(AND(AA1155&gt;=4,Z1155&lt;AVERAGEIF($F1154:$F2624,F1155,$Z1155:$Z2624)),"Yes","No")</f>
        <v>No</v>
      </c>
      <c r="AP1155" t="str">
        <f t="shared" ref="AP1155:AP1218" si="132">IF(AND(AI1155&lt;2,C1155="Yes"),"High Risk","Low Risk")</f>
        <v>High Risk</v>
      </c>
    </row>
    <row r="1156" spans="1:42" x14ac:dyDescent="0.3">
      <c r="A1156" s="5">
        <v>47</v>
      </c>
      <c r="B1156" s="5" t="s">
        <v>43</v>
      </c>
      <c r="C1156" s="5" t="str">
        <f t="shared" si="126"/>
        <v>No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 s="5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 s="5">
        <v>19658</v>
      </c>
      <c r="U1156">
        <v>5220</v>
      </c>
      <c r="V1156">
        <v>3</v>
      </c>
      <c r="W1156" t="s">
        <v>42</v>
      </c>
      <c r="X1156" t="s">
        <v>43</v>
      </c>
      <c r="Y1156" t="str">
        <f t="shared" si="127"/>
        <v>No</v>
      </c>
      <c r="Z1156">
        <v>11</v>
      </c>
      <c r="AA1156">
        <v>3</v>
      </c>
      <c r="AB1156">
        <v>3</v>
      </c>
      <c r="AC1156">
        <v>80</v>
      </c>
      <c r="AD1156">
        <v>1</v>
      </c>
      <c r="AE1156" s="5">
        <v>27</v>
      </c>
      <c r="AF1156" t="str">
        <f t="shared" si="128"/>
        <v>&gt;15</v>
      </c>
      <c r="AG1156">
        <v>2</v>
      </c>
      <c r="AH1156">
        <v>3</v>
      </c>
      <c r="AI1156" s="5">
        <v>5</v>
      </c>
      <c r="AJ1156">
        <v>2</v>
      </c>
      <c r="AK1156">
        <v>1</v>
      </c>
      <c r="AL1156">
        <v>0</v>
      </c>
      <c r="AM1156" t="str">
        <f t="shared" si="129"/>
        <v>Ok</v>
      </c>
      <c r="AN1156" s="21">
        <f t="shared" si="130"/>
        <v>26.498422712933756</v>
      </c>
      <c r="AO1156" t="str">
        <f t="shared" ca="1" si="131"/>
        <v>No</v>
      </c>
      <c r="AP1156" t="str">
        <f t="shared" si="132"/>
        <v>Low Risk</v>
      </c>
    </row>
    <row r="1157" spans="1:42" x14ac:dyDescent="0.3">
      <c r="A1157" s="5">
        <v>39</v>
      </c>
      <c r="B1157" s="5" t="s">
        <v>43</v>
      </c>
      <c r="C1157" s="5" t="str">
        <f t="shared" si="126"/>
        <v>No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 s="5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 s="5">
        <v>3069</v>
      </c>
      <c r="U1157">
        <v>10302</v>
      </c>
      <c r="V1157">
        <v>0</v>
      </c>
      <c r="W1157" t="s">
        <v>42</v>
      </c>
      <c r="X1157" t="s">
        <v>43</v>
      </c>
      <c r="Y1157" t="str">
        <f t="shared" si="127"/>
        <v>No</v>
      </c>
      <c r="Z1157">
        <v>15</v>
      </c>
      <c r="AA1157">
        <v>3</v>
      </c>
      <c r="AB1157">
        <v>4</v>
      </c>
      <c r="AC1157">
        <v>80</v>
      </c>
      <c r="AD1157">
        <v>1</v>
      </c>
      <c r="AE1157" s="5">
        <v>11</v>
      </c>
      <c r="AF1157" t="str">
        <f t="shared" si="128"/>
        <v>6-15</v>
      </c>
      <c r="AG1157">
        <v>3</v>
      </c>
      <c r="AH1157">
        <v>3</v>
      </c>
      <c r="AI1157" s="5">
        <v>10</v>
      </c>
      <c r="AJ1157">
        <v>8</v>
      </c>
      <c r="AK1157">
        <v>0</v>
      </c>
      <c r="AL1157">
        <v>7</v>
      </c>
      <c r="AM1157" t="str">
        <f t="shared" si="129"/>
        <v>Below Avg</v>
      </c>
      <c r="AN1157" s="21">
        <f t="shared" si="130"/>
        <v>26.265822784810126</v>
      </c>
      <c r="AO1157" t="str">
        <f t="shared" ca="1" si="131"/>
        <v>No</v>
      </c>
      <c r="AP1157" t="str">
        <f t="shared" si="132"/>
        <v>Low Risk</v>
      </c>
    </row>
    <row r="1158" spans="1:42" x14ac:dyDescent="0.3">
      <c r="A1158" s="5">
        <v>40</v>
      </c>
      <c r="B1158" s="5" t="s">
        <v>43</v>
      </c>
      <c r="C1158" s="5" t="str">
        <f t="shared" si="126"/>
        <v>No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 s="5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 s="5">
        <v>10435</v>
      </c>
      <c r="U1158">
        <v>25800</v>
      </c>
      <c r="V1158">
        <v>1</v>
      </c>
      <c r="W1158" t="s">
        <v>42</v>
      </c>
      <c r="X1158" t="s">
        <v>43</v>
      </c>
      <c r="Y1158" t="str">
        <f t="shared" si="127"/>
        <v>No</v>
      </c>
      <c r="Z1158">
        <v>13</v>
      </c>
      <c r="AA1158">
        <v>3</v>
      </c>
      <c r="AB1158">
        <v>4</v>
      </c>
      <c r="AC1158">
        <v>80</v>
      </c>
      <c r="AD1158">
        <v>2</v>
      </c>
      <c r="AE1158" s="5">
        <v>18</v>
      </c>
      <c r="AF1158" t="str">
        <f t="shared" si="128"/>
        <v>&gt;15</v>
      </c>
      <c r="AG1158">
        <v>2</v>
      </c>
      <c r="AH1158">
        <v>3</v>
      </c>
      <c r="AI1158" s="5">
        <v>18</v>
      </c>
      <c r="AJ1158">
        <v>15</v>
      </c>
      <c r="AK1158">
        <v>14</v>
      </c>
      <c r="AL1158">
        <v>12</v>
      </c>
      <c r="AM1158" t="str">
        <f t="shared" si="129"/>
        <v>Ok</v>
      </c>
      <c r="AN1158" s="21">
        <f t="shared" si="130"/>
        <v>26.349206349206352</v>
      </c>
      <c r="AO1158" t="str">
        <f t="shared" ca="1" si="131"/>
        <v>No</v>
      </c>
      <c r="AP1158" t="str">
        <f t="shared" si="132"/>
        <v>Low Risk</v>
      </c>
    </row>
    <row r="1159" spans="1:42" x14ac:dyDescent="0.3">
      <c r="A1159" s="5">
        <v>35</v>
      </c>
      <c r="B1159" s="5" t="s">
        <v>43</v>
      </c>
      <c r="C1159" s="5" t="str">
        <f t="shared" si="126"/>
        <v>No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 s="5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 s="5">
        <v>4148</v>
      </c>
      <c r="U1159">
        <v>12250</v>
      </c>
      <c r="V1159">
        <v>1</v>
      </c>
      <c r="W1159" t="s">
        <v>42</v>
      </c>
      <c r="X1159" t="s">
        <v>43</v>
      </c>
      <c r="Y1159" t="str">
        <f t="shared" si="127"/>
        <v>No</v>
      </c>
      <c r="Z1159">
        <v>12</v>
      </c>
      <c r="AA1159">
        <v>3</v>
      </c>
      <c r="AB1159">
        <v>4</v>
      </c>
      <c r="AC1159">
        <v>80</v>
      </c>
      <c r="AD1159">
        <v>1</v>
      </c>
      <c r="AE1159" s="5">
        <v>15</v>
      </c>
      <c r="AF1159" t="str">
        <f t="shared" si="128"/>
        <v>6-15</v>
      </c>
      <c r="AG1159">
        <v>5</v>
      </c>
      <c r="AH1159">
        <v>3</v>
      </c>
      <c r="AI1159" s="5">
        <v>14</v>
      </c>
      <c r="AJ1159">
        <v>11</v>
      </c>
      <c r="AK1159">
        <v>2</v>
      </c>
      <c r="AL1159">
        <v>9</v>
      </c>
      <c r="AM1159" t="str">
        <f t="shared" si="129"/>
        <v>Below Avg</v>
      </c>
      <c r="AN1159" s="21">
        <f t="shared" si="130"/>
        <v>26.433121019108281</v>
      </c>
      <c r="AO1159" t="str">
        <f t="shared" ca="1" si="131"/>
        <v>No</v>
      </c>
      <c r="AP1159" t="str">
        <f t="shared" si="132"/>
        <v>Low Risk</v>
      </c>
    </row>
    <row r="1160" spans="1:42" x14ac:dyDescent="0.3">
      <c r="A1160" s="5">
        <v>37</v>
      </c>
      <c r="B1160" s="5" t="s">
        <v>43</v>
      </c>
      <c r="C1160" s="5" t="str">
        <f t="shared" si="126"/>
        <v>No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 s="5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 s="5">
        <v>5768</v>
      </c>
      <c r="U1160">
        <v>26493</v>
      </c>
      <c r="V1160">
        <v>3</v>
      </c>
      <c r="W1160" t="s">
        <v>42</v>
      </c>
      <c r="X1160" t="s">
        <v>43</v>
      </c>
      <c r="Y1160" t="str">
        <f t="shared" si="127"/>
        <v>No</v>
      </c>
      <c r="Z1160">
        <v>17</v>
      </c>
      <c r="AA1160">
        <v>3</v>
      </c>
      <c r="AB1160">
        <v>1</v>
      </c>
      <c r="AC1160">
        <v>80</v>
      </c>
      <c r="AD1160">
        <v>3</v>
      </c>
      <c r="AE1160" s="5">
        <v>9</v>
      </c>
      <c r="AF1160" t="str">
        <f t="shared" si="128"/>
        <v>6-15</v>
      </c>
      <c r="AG1160">
        <v>2</v>
      </c>
      <c r="AH1160">
        <v>2</v>
      </c>
      <c r="AI1160" s="5">
        <v>4</v>
      </c>
      <c r="AJ1160">
        <v>3</v>
      </c>
      <c r="AK1160">
        <v>0</v>
      </c>
      <c r="AL1160">
        <v>2</v>
      </c>
      <c r="AM1160" t="str">
        <f t="shared" si="129"/>
        <v>Below Avg</v>
      </c>
      <c r="AN1160" s="21">
        <f t="shared" si="130"/>
        <v>26.517571884984026</v>
      </c>
      <c r="AO1160" t="str">
        <f t="shared" ca="1" si="131"/>
        <v>No</v>
      </c>
      <c r="AP1160" t="str">
        <f t="shared" si="132"/>
        <v>Low Risk</v>
      </c>
    </row>
    <row r="1161" spans="1:42" x14ac:dyDescent="0.3">
      <c r="A1161" s="5">
        <v>39</v>
      </c>
      <c r="B1161" s="5" t="s">
        <v>43</v>
      </c>
      <c r="C1161" s="5" t="str">
        <f t="shared" si="126"/>
        <v>No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 s="5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 s="5">
        <v>5042</v>
      </c>
      <c r="U1161">
        <v>3140</v>
      </c>
      <c r="V1161">
        <v>0</v>
      </c>
      <c r="W1161" t="s">
        <v>42</v>
      </c>
      <c r="X1161" t="s">
        <v>43</v>
      </c>
      <c r="Y1161" t="str">
        <f t="shared" si="127"/>
        <v>No</v>
      </c>
      <c r="Z1161">
        <v>13</v>
      </c>
      <c r="AA1161">
        <v>3</v>
      </c>
      <c r="AB1161">
        <v>4</v>
      </c>
      <c r="AC1161">
        <v>80</v>
      </c>
      <c r="AD1161">
        <v>0</v>
      </c>
      <c r="AE1161" s="5">
        <v>10</v>
      </c>
      <c r="AF1161" t="str">
        <f t="shared" si="128"/>
        <v>6-15</v>
      </c>
      <c r="AG1161">
        <v>2</v>
      </c>
      <c r="AH1161">
        <v>1</v>
      </c>
      <c r="AI1161" s="5">
        <v>9</v>
      </c>
      <c r="AJ1161">
        <v>2</v>
      </c>
      <c r="AK1161">
        <v>3</v>
      </c>
      <c r="AL1161">
        <v>8</v>
      </c>
      <c r="AM1161" t="str">
        <f t="shared" si="129"/>
        <v>Below Avg</v>
      </c>
      <c r="AN1161" s="21">
        <f t="shared" si="130"/>
        <v>26.602564102564102</v>
      </c>
      <c r="AO1161" t="str">
        <f t="shared" ca="1" si="131"/>
        <v>No</v>
      </c>
      <c r="AP1161" t="str">
        <f t="shared" si="132"/>
        <v>Low Risk</v>
      </c>
    </row>
    <row r="1162" spans="1:42" x14ac:dyDescent="0.3">
      <c r="A1162" s="5">
        <v>45</v>
      </c>
      <c r="B1162" s="5" t="s">
        <v>43</v>
      </c>
      <c r="C1162" s="5" t="str">
        <f t="shared" si="126"/>
        <v>No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 s="5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 s="5">
        <v>5770</v>
      </c>
      <c r="U1162">
        <v>5388</v>
      </c>
      <c r="V1162">
        <v>1</v>
      </c>
      <c r="W1162" t="s">
        <v>42</v>
      </c>
      <c r="X1162" t="s">
        <v>43</v>
      </c>
      <c r="Y1162" t="str">
        <f t="shared" si="127"/>
        <v>No</v>
      </c>
      <c r="Z1162">
        <v>19</v>
      </c>
      <c r="AA1162">
        <v>3</v>
      </c>
      <c r="AB1162">
        <v>1</v>
      </c>
      <c r="AC1162">
        <v>80</v>
      </c>
      <c r="AD1162">
        <v>2</v>
      </c>
      <c r="AE1162" s="5">
        <v>10</v>
      </c>
      <c r="AF1162" t="str">
        <f t="shared" si="128"/>
        <v>6-15</v>
      </c>
      <c r="AG1162">
        <v>3</v>
      </c>
      <c r="AH1162">
        <v>3</v>
      </c>
      <c r="AI1162" s="5">
        <v>10</v>
      </c>
      <c r="AJ1162">
        <v>7</v>
      </c>
      <c r="AK1162">
        <v>3</v>
      </c>
      <c r="AL1162">
        <v>9</v>
      </c>
      <c r="AM1162" t="str">
        <f t="shared" si="129"/>
        <v>Below Avg</v>
      </c>
      <c r="AN1162" s="21">
        <f t="shared" si="130"/>
        <v>26.688102893890676</v>
      </c>
      <c r="AO1162" t="str">
        <f t="shared" ca="1" si="131"/>
        <v>No</v>
      </c>
      <c r="AP1162" t="str">
        <f t="shared" si="132"/>
        <v>Low Risk</v>
      </c>
    </row>
    <row r="1163" spans="1:42" x14ac:dyDescent="0.3">
      <c r="A1163" s="5">
        <v>38</v>
      </c>
      <c r="B1163" s="5" t="s">
        <v>43</v>
      </c>
      <c r="C1163" s="5" t="str">
        <f t="shared" si="126"/>
        <v>No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 s="5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 s="5">
        <v>7756</v>
      </c>
      <c r="U1163">
        <v>14199</v>
      </c>
      <c r="V1163">
        <v>3</v>
      </c>
      <c r="W1163" t="s">
        <v>42</v>
      </c>
      <c r="X1163" t="s">
        <v>35</v>
      </c>
      <c r="Y1163" t="str">
        <f t="shared" si="127"/>
        <v>Yes</v>
      </c>
      <c r="Z1163">
        <v>19</v>
      </c>
      <c r="AA1163">
        <v>3</v>
      </c>
      <c r="AB1163">
        <v>4</v>
      </c>
      <c r="AC1163">
        <v>80</v>
      </c>
      <c r="AD1163">
        <v>1</v>
      </c>
      <c r="AE1163" s="5">
        <v>10</v>
      </c>
      <c r="AF1163" t="str">
        <f t="shared" si="128"/>
        <v>6-15</v>
      </c>
      <c r="AG1163">
        <v>6</v>
      </c>
      <c r="AH1163">
        <v>4</v>
      </c>
      <c r="AI1163" s="5">
        <v>5</v>
      </c>
      <c r="AJ1163">
        <v>4</v>
      </c>
      <c r="AK1163">
        <v>0</v>
      </c>
      <c r="AL1163">
        <v>2</v>
      </c>
      <c r="AM1163" t="str">
        <f t="shared" si="129"/>
        <v>Ok</v>
      </c>
      <c r="AN1163" s="21">
        <f t="shared" si="130"/>
        <v>26.7741935483871</v>
      </c>
      <c r="AO1163" t="str">
        <f t="shared" ca="1" si="131"/>
        <v>No</v>
      </c>
      <c r="AP1163" t="str">
        <f t="shared" si="132"/>
        <v>Low Risk</v>
      </c>
    </row>
    <row r="1164" spans="1:42" x14ac:dyDescent="0.3">
      <c r="A1164" s="5">
        <v>35</v>
      </c>
      <c r="B1164" s="5" t="s">
        <v>35</v>
      </c>
      <c r="C1164" s="5" t="str">
        <f t="shared" si="126"/>
        <v>Yes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 s="5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 s="5">
        <v>10306</v>
      </c>
      <c r="U1164">
        <v>21530</v>
      </c>
      <c r="V1164">
        <v>9</v>
      </c>
      <c r="W1164" t="s">
        <v>42</v>
      </c>
      <c r="X1164" t="s">
        <v>43</v>
      </c>
      <c r="Y1164" t="str">
        <f t="shared" si="127"/>
        <v>No</v>
      </c>
      <c r="Z1164">
        <v>17</v>
      </c>
      <c r="AA1164">
        <v>3</v>
      </c>
      <c r="AB1164">
        <v>3</v>
      </c>
      <c r="AC1164">
        <v>80</v>
      </c>
      <c r="AD1164">
        <v>0</v>
      </c>
      <c r="AE1164" s="5">
        <v>15</v>
      </c>
      <c r="AF1164" t="str">
        <f t="shared" si="128"/>
        <v>6-15</v>
      </c>
      <c r="AG1164">
        <v>3</v>
      </c>
      <c r="AH1164">
        <v>3</v>
      </c>
      <c r="AI1164" s="5">
        <v>13</v>
      </c>
      <c r="AJ1164">
        <v>12</v>
      </c>
      <c r="AK1164">
        <v>6</v>
      </c>
      <c r="AL1164">
        <v>0</v>
      </c>
      <c r="AM1164" t="str">
        <f t="shared" si="129"/>
        <v>Ok</v>
      </c>
      <c r="AN1164" s="21">
        <f t="shared" si="130"/>
        <v>26.860841423948216</v>
      </c>
      <c r="AO1164" t="str">
        <f t="shared" ca="1" si="131"/>
        <v>No</v>
      </c>
      <c r="AP1164" t="str">
        <f t="shared" si="132"/>
        <v>Low Risk</v>
      </c>
    </row>
    <row r="1165" spans="1:42" x14ac:dyDescent="0.3">
      <c r="A1165" s="5">
        <v>37</v>
      </c>
      <c r="B1165" s="5" t="s">
        <v>43</v>
      </c>
      <c r="C1165" s="5" t="str">
        <f t="shared" si="126"/>
        <v>No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 s="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 s="5">
        <v>3936</v>
      </c>
      <c r="U1165">
        <v>9953</v>
      </c>
      <c r="V1165">
        <v>1</v>
      </c>
      <c r="W1165" t="s">
        <v>42</v>
      </c>
      <c r="X1165" t="s">
        <v>43</v>
      </c>
      <c r="Y1165" t="str">
        <f t="shared" si="127"/>
        <v>No</v>
      </c>
      <c r="Z1165">
        <v>11</v>
      </c>
      <c r="AA1165">
        <v>3</v>
      </c>
      <c r="AB1165">
        <v>1</v>
      </c>
      <c r="AC1165">
        <v>80</v>
      </c>
      <c r="AD1165">
        <v>1</v>
      </c>
      <c r="AE1165" s="5">
        <v>8</v>
      </c>
      <c r="AF1165" t="str">
        <f t="shared" si="128"/>
        <v>6-15</v>
      </c>
      <c r="AG1165">
        <v>2</v>
      </c>
      <c r="AH1165">
        <v>1</v>
      </c>
      <c r="AI1165" s="5">
        <v>8</v>
      </c>
      <c r="AJ1165">
        <v>4</v>
      </c>
      <c r="AK1165">
        <v>7</v>
      </c>
      <c r="AL1165">
        <v>7</v>
      </c>
      <c r="AM1165" t="str">
        <f t="shared" si="129"/>
        <v>Below Avg</v>
      </c>
      <c r="AN1165" s="21">
        <f t="shared" si="130"/>
        <v>26.623376623376622</v>
      </c>
      <c r="AO1165" t="str">
        <f t="shared" ca="1" si="131"/>
        <v>No</v>
      </c>
      <c r="AP1165" t="str">
        <f t="shared" si="132"/>
        <v>Low Risk</v>
      </c>
    </row>
    <row r="1166" spans="1:42" x14ac:dyDescent="0.3">
      <c r="A1166" s="5">
        <v>40</v>
      </c>
      <c r="B1166" s="5" t="s">
        <v>43</v>
      </c>
      <c r="C1166" s="5" t="str">
        <f t="shared" si="126"/>
        <v>No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 s="5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 s="5">
        <v>7945</v>
      </c>
      <c r="U1166">
        <v>19948</v>
      </c>
      <c r="V1166">
        <v>6</v>
      </c>
      <c r="W1166" t="s">
        <v>42</v>
      </c>
      <c r="X1166" t="s">
        <v>35</v>
      </c>
      <c r="Y1166" t="str">
        <f t="shared" si="127"/>
        <v>Yes</v>
      </c>
      <c r="Z1166">
        <v>15</v>
      </c>
      <c r="AA1166">
        <v>3</v>
      </c>
      <c r="AB1166">
        <v>4</v>
      </c>
      <c r="AC1166">
        <v>80</v>
      </c>
      <c r="AD1166">
        <v>0</v>
      </c>
      <c r="AE1166" s="5">
        <v>18</v>
      </c>
      <c r="AF1166" t="str">
        <f t="shared" si="128"/>
        <v>&gt;15</v>
      </c>
      <c r="AG1166">
        <v>2</v>
      </c>
      <c r="AH1166">
        <v>2</v>
      </c>
      <c r="AI1166" s="5">
        <v>4</v>
      </c>
      <c r="AJ1166">
        <v>2</v>
      </c>
      <c r="AK1166">
        <v>3</v>
      </c>
      <c r="AL1166">
        <v>3</v>
      </c>
      <c r="AM1166" t="str">
        <f t="shared" si="129"/>
        <v>Ok</v>
      </c>
      <c r="AN1166" s="21">
        <f t="shared" si="130"/>
        <v>26.710097719869708</v>
      </c>
      <c r="AO1166" t="str">
        <f t="shared" ca="1" si="131"/>
        <v>No</v>
      </c>
      <c r="AP1166" t="str">
        <f t="shared" si="132"/>
        <v>Low Risk</v>
      </c>
    </row>
    <row r="1167" spans="1:42" x14ac:dyDescent="0.3">
      <c r="A1167" s="5">
        <v>44</v>
      </c>
      <c r="B1167" s="5" t="s">
        <v>43</v>
      </c>
      <c r="C1167" s="5" t="str">
        <f t="shared" si="126"/>
        <v>No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 s="5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 s="5">
        <v>5743</v>
      </c>
      <c r="U1167">
        <v>10503</v>
      </c>
      <c r="V1167">
        <v>4</v>
      </c>
      <c r="W1167" t="s">
        <v>42</v>
      </c>
      <c r="X1167" t="s">
        <v>35</v>
      </c>
      <c r="Y1167" t="str">
        <f t="shared" si="127"/>
        <v>Yes</v>
      </c>
      <c r="Z1167">
        <v>11</v>
      </c>
      <c r="AA1167">
        <v>3</v>
      </c>
      <c r="AB1167">
        <v>3</v>
      </c>
      <c r="AC1167">
        <v>80</v>
      </c>
      <c r="AD1167">
        <v>0</v>
      </c>
      <c r="AE1167" s="5">
        <v>14</v>
      </c>
      <c r="AF1167" t="str">
        <f t="shared" si="128"/>
        <v>6-15</v>
      </c>
      <c r="AG1167">
        <v>3</v>
      </c>
      <c r="AH1167">
        <v>3</v>
      </c>
      <c r="AI1167" s="5">
        <v>10</v>
      </c>
      <c r="AJ1167">
        <v>7</v>
      </c>
      <c r="AK1167">
        <v>0</v>
      </c>
      <c r="AL1167">
        <v>2</v>
      </c>
      <c r="AM1167" t="str">
        <f t="shared" si="129"/>
        <v>Ok</v>
      </c>
      <c r="AN1167" s="21">
        <f t="shared" si="130"/>
        <v>26.797385620915033</v>
      </c>
      <c r="AO1167" t="str">
        <f t="shared" ca="1" si="131"/>
        <v>No</v>
      </c>
      <c r="AP1167" t="str">
        <f t="shared" si="132"/>
        <v>Low Risk</v>
      </c>
    </row>
    <row r="1168" spans="1:42" x14ac:dyDescent="0.3">
      <c r="A1168" s="5">
        <v>48</v>
      </c>
      <c r="B1168" s="5" t="s">
        <v>43</v>
      </c>
      <c r="C1168" s="5" t="str">
        <f t="shared" si="126"/>
        <v>No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 s="5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 s="5">
        <v>15202</v>
      </c>
      <c r="U1168">
        <v>5602</v>
      </c>
      <c r="V1168">
        <v>2</v>
      </c>
      <c r="W1168" t="s">
        <v>42</v>
      </c>
      <c r="X1168" t="s">
        <v>43</v>
      </c>
      <c r="Y1168" t="str">
        <f t="shared" si="127"/>
        <v>No</v>
      </c>
      <c r="Z1168">
        <v>25</v>
      </c>
      <c r="AA1168">
        <v>4</v>
      </c>
      <c r="AB1168">
        <v>2</v>
      </c>
      <c r="AC1168">
        <v>80</v>
      </c>
      <c r="AD1168">
        <v>1</v>
      </c>
      <c r="AE1168" s="5">
        <v>23</v>
      </c>
      <c r="AF1168" t="str">
        <f t="shared" si="128"/>
        <v>&gt;15</v>
      </c>
      <c r="AG1168">
        <v>3</v>
      </c>
      <c r="AH1168">
        <v>3</v>
      </c>
      <c r="AI1168" s="5">
        <v>2</v>
      </c>
      <c r="AJ1168">
        <v>2</v>
      </c>
      <c r="AK1168">
        <v>2</v>
      </c>
      <c r="AL1168">
        <v>2</v>
      </c>
      <c r="AM1168" t="str">
        <f t="shared" si="129"/>
        <v>Ok</v>
      </c>
      <c r="AN1168" s="21">
        <f t="shared" si="130"/>
        <v>26.557377049180324</v>
      </c>
      <c r="AO1168" t="str">
        <f t="shared" ca="1" si="131"/>
        <v>No</v>
      </c>
      <c r="AP1168" t="str">
        <f t="shared" si="132"/>
        <v>Low Risk</v>
      </c>
    </row>
    <row r="1169" spans="1:42" x14ac:dyDescent="0.3">
      <c r="A1169" s="5">
        <v>35</v>
      </c>
      <c r="B1169" s="5" t="s">
        <v>35</v>
      </c>
      <c r="C1169" s="5" t="str">
        <f t="shared" si="126"/>
        <v>Yes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 s="5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 s="5">
        <v>5440</v>
      </c>
      <c r="U1169">
        <v>22098</v>
      </c>
      <c r="V1169">
        <v>6</v>
      </c>
      <c r="W1169" t="s">
        <v>42</v>
      </c>
      <c r="X1169" t="s">
        <v>35</v>
      </c>
      <c r="Y1169" t="str">
        <f t="shared" si="127"/>
        <v>Yes</v>
      </c>
      <c r="Z1169">
        <v>14</v>
      </c>
      <c r="AA1169">
        <v>3</v>
      </c>
      <c r="AB1169">
        <v>4</v>
      </c>
      <c r="AC1169">
        <v>80</v>
      </c>
      <c r="AD1169">
        <v>2</v>
      </c>
      <c r="AE1169" s="5">
        <v>7</v>
      </c>
      <c r="AF1169" t="str">
        <f t="shared" si="128"/>
        <v>6-15</v>
      </c>
      <c r="AG1169">
        <v>2</v>
      </c>
      <c r="AH1169">
        <v>2</v>
      </c>
      <c r="AI1169" s="5">
        <v>2</v>
      </c>
      <c r="AJ1169">
        <v>2</v>
      </c>
      <c r="AK1169">
        <v>2</v>
      </c>
      <c r="AL1169">
        <v>2</v>
      </c>
      <c r="AM1169" t="str">
        <f t="shared" si="129"/>
        <v>Below Avg</v>
      </c>
      <c r="AN1169" s="21">
        <f t="shared" si="130"/>
        <v>26.315789473684209</v>
      </c>
      <c r="AO1169" t="str">
        <f t="shared" ca="1" si="131"/>
        <v>No</v>
      </c>
      <c r="AP1169" t="str">
        <f t="shared" si="132"/>
        <v>Low Risk</v>
      </c>
    </row>
    <row r="1170" spans="1:42" x14ac:dyDescent="0.3">
      <c r="A1170" s="5">
        <v>24</v>
      </c>
      <c r="B1170" s="5" t="s">
        <v>43</v>
      </c>
      <c r="C1170" s="5" t="str">
        <f t="shared" si="126"/>
        <v>No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 s="5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 s="5">
        <v>3760</v>
      </c>
      <c r="U1170">
        <v>17218</v>
      </c>
      <c r="V1170">
        <v>1</v>
      </c>
      <c r="W1170" t="s">
        <v>42</v>
      </c>
      <c r="X1170" t="s">
        <v>35</v>
      </c>
      <c r="Y1170" t="str">
        <f t="shared" si="127"/>
        <v>Yes</v>
      </c>
      <c r="Z1170">
        <v>13</v>
      </c>
      <c r="AA1170">
        <v>3</v>
      </c>
      <c r="AB1170">
        <v>3</v>
      </c>
      <c r="AC1170">
        <v>80</v>
      </c>
      <c r="AD1170">
        <v>0</v>
      </c>
      <c r="AE1170" s="5">
        <v>6</v>
      </c>
      <c r="AF1170" t="str">
        <f t="shared" si="128"/>
        <v>6-15</v>
      </c>
      <c r="AG1170">
        <v>2</v>
      </c>
      <c r="AH1170">
        <v>3</v>
      </c>
      <c r="AI1170" s="5">
        <v>6</v>
      </c>
      <c r="AJ1170">
        <v>3</v>
      </c>
      <c r="AK1170">
        <v>1</v>
      </c>
      <c r="AL1170">
        <v>3</v>
      </c>
      <c r="AM1170" t="str">
        <f t="shared" si="129"/>
        <v>Below Avg</v>
      </c>
      <c r="AN1170" s="21">
        <f t="shared" si="130"/>
        <v>26.402640264026399</v>
      </c>
      <c r="AO1170" t="str">
        <f t="shared" ca="1" si="131"/>
        <v>No</v>
      </c>
      <c r="AP1170" t="str">
        <f t="shared" si="132"/>
        <v>Low Risk</v>
      </c>
    </row>
    <row r="1171" spans="1:42" x14ac:dyDescent="0.3">
      <c r="A1171" s="5">
        <v>27</v>
      </c>
      <c r="B1171" s="5" t="s">
        <v>43</v>
      </c>
      <c r="C1171" s="5" t="str">
        <f t="shared" si="126"/>
        <v>No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 s="5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 s="5">
        <v>3517</v>
      </c>
      <c r="U1171">
        <v>22490</v>
      </c>
      <c r="V1171">
        <v>7</v>
      </c>
      <c r="W1171" t="s">
        <v>42</v>
      </c>
      <c r="X1171" t="s">
        <v>43</v>
      </c>
      <c r="Y1171" t="str">
        <f t="shared" si="127"/>
        <v>No</v>
      </c>
      <c r="Z1171">
        <v>17</v>
      </c>
      <c r="AA1171">
        <v>3</v>
      </c>
      <c r="AB1171">
        <v>1</v>
      </c>
      <c r="AC1171">
        <v>80</v>
      </c>
      <c r="AD1171">
        <v>0</v>
      </c>
      <c r="AE1171" s="5">
        <v>5</v>
      </c>
      <c r="AF1171" t="str">
        <f t="shared" si="128"/>
        <v>0-5</v>
      </c>
      <c r="AG1171">
        <v>0</v>
      </c>
      <c r="AH1171">
        <v>3</v>
      </c>
      <c r="AI1171" s="5">
        <v>3</v>
      </c>
      <c r="AJ1171">
        <v>2</v>
      </c>
      <c r="AK1171">
        <v>0</v>
      </c>
      <c r="AL1171">
        <v>2</v>
      </c>
      <c r="AM1171" t="str">
        <f t="shared" si="129"/>
        <v>Below Avg</v>
      </c>
      <c r="AN1171" s="21">
        <f t="shared" si="130"/>
        <v>26.158940397350992</v>
      </c>
      <c r="AO1171" t="str">
        <f t="shared" ca="1" si="131"/>
        <v>No</v>
      </c>
      <c r="AP1171" t="str">
        <f t="shared" si="132"/>
        <v>Low Risk</v>
      </c>
    </row>
    <row r="1172" spans="1:42" x14ac:dyDescent="0.3">
      <c r="A1172" s="5">
        <v>27</v>
      </c>
      <c r="B1172" s="5" t="s">
        <v>43</v>
      </c>
      <c r="C1172" s="5" t="str">
        <f t="shared" si="126"/>
        <v>No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 s="5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 s="5">
        <v>2580</v>
      </c>
      <c r="U1172">
        <v>6297</v>
      </c>
      <c r="V1172">
        <v>2</v>
      </c>
      <c r="W1172" t="s">
        <v>42</v>
      </c>
      <c r="X1172" t="s">
        <v>43</v>
      </c>
      <c r="Y1172" t="str">
        <f t="shared" si="127"/>
        <v>No</v>
      </c>
      <c r="Z1172">
        <v>13</v>
      </c>
      <c r="AA1172">
        <v>3</v>
      </c>
      <c r="AB1172">
        <v>3</v>
      </c>
      <c r="AC1172">
        <v>80</v>
      </c>
      <c r="AD1172">
        <v>0</v>
      </c>
      <c r="AE1172" s="5">
        <v>6</v>
      </c>
      <c r="AF1172" t="str">
        <f t="shared" si="128"/>
        <v>6-15</v>
      </c>
      <c r="AG1172">
        <v>0</v>
      </c>
      <c r="AH1172">
        <v>2</v>
      </c>
      <c r="AI1172" s="5">
        <v>4</v>
      </c>
      <c r="AJ1172">
        <v>2</v>
      </c>
      <c r="AK1172">
        <v>1</v>
      </c>
      <c r="AL1172">
        <v>2</v>
      </c>
      <c r="AM1172" t="str">
        <f t="shared" si="129"/>
        <v>Below Avg</v>
      </c>
      <c r="AN1172" s="21">
        <f t="shared" si="130"/>
        <v>25.91362126245847</v>
      </c>
      <c r="AO1172" t="str">
        <f t="shared" ca="1" si="131"/>
        <v>No</v>
      </c>
      <c r="AP1172" t="str">
        <f t="shared" si="132"/>
        <v>Low Risk</v>
      </c>
    </row>
    <row r="1173" spans="1:42" x14ac:dyDescent="0.3">
      <c r="A1173" s="5">
        <v>40</v>
      </c>
      <c r="B1173" s="5" t="s">
        <v>35</v>
      </c>
      <c r="C1173" s="5" t="str">
        <f t="shared" si="126"/>
        <v>Yes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 s="5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 s="5">
        <v>2166</v>
      </c>
      <c r="U1173">
        <v>3339</v>
      </c>
      <c r="V1173">
        <v>3</v>
      </c>
      <c r="W1173" t="s">
        <v>42</v>
      </c>
      <c r="X1173" t="s">
        <v>35</v>
      </c>
      <c r="Y1173" t="str">
        <f t="shared" si="127"/>
        <v>Yes</v>
      </c>
      <c r="Z1173">
        <v>14</v>
      </c>
      <c r="AA1173">
        <v>3</v>
      </c>
      <c r="AB1173">
        <v>2</v>
      </c>
      <c r="AC1173">
        <v>80</v>
      </c>
      <c r="AD1173">
        <v>0</v>
      </c>
      <c r="AE1173" s="5">
        <v>10</v>
      </c>
      <c r="AF1173" t="str">
        <f t="shared" si="128"/>
        <v>6-15</v>
      </c>
      <c r="AG1173">
        <v>3</v>
      </c>
      <c r="AH1173">
        <v>1</v>
      </c>
      <c r="AI1173" s="5">
        <v>4</v>
      </c>
      <c r="AJ1173">
        <v>2</v>
      </c>
      <c r="AK1173">
        <v>0</v>
      </c>
      <c r="AL1173">
        <v>3</v>
      </c>
      <c r="AM1173" t="str">
        <f t="shared" si="129"/>
        <v>Below Avg</v>
      </c>
      <c r="AN1173" s="21">
        <f t="shared" si="130"/>
        <v>26</v>
      </c>
      <c r="AO1173" t="str">
        <f t="shared" ca="1" si="131"/>
        <v>No</v>
      </c>
      <c r="AP1173" t="str">
        <f t="shared" si="132"/>
        <v>Low Risk</v>
      </c>
    </row>
    <row r="1174" spans="1:42" x14ac:dyDescent="0.3">
      <c r="A1174" s="5">
        <v>29</v>
      </c>
      <c r="B1174" s="5" t="s">
        <v>43</v>
      </c>
      <c r="C1174" s="5" t="str">
        <f t="shared" si="126"/>
        <v>No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 s="5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 s="5">
        <v>5869</v>
      </c>
      <c r="U1174">
        <v>23413</v>
      </c>
      <c r="V1174">
        <v>9</v>
      </c>
      <c r="W1174" t="s">
        <v>42</v>
      </c>
      <c r="X1174" t="s">
        <v>43</v>
      </c>
      <c r="Y1174" t="str">
        <f t="shared" si="127"/>
        <v>No</v>
      </c>
      <c r="Z1174">
        <v>11</v>
      </c>
      <c r="AA1174">
        <v>3</v>
      </c>
      <c r="AB1174">
        <v>3</v>
      </c>
      <c r="AC1174">
        <v>80</v>
      </c>
      <c r="AD1174">
        <v>0</v>
      </c>
      <c r="AE1174" s="5">
        <v>8</v>
      </c>
      <c r="AF1174" t="str">
        <f t="shared" si="128"/>
        <v>6-15</v>
      </c>
      <c r="AG1174">
        <v>2</v>
      </c>
      <c r="AH1174">
        <v>3</v>
      </c>
      <c r="AI1174" s="5">
        <v>5</v>
      </c>
      <c r="AJ1174">
        <v>2</v>
      </c>
      <c r="AK1174">
        <v>1</v>
      </c>
      <c r="AL1174">
        <v>4</v>
      </c>
      <c r="AM1174" t="str">
        <f t="shared" si="129"/>
        <v>Below Avg</v>
      </c>
      <c r="AN1174" s="21">
        <f t="shared" si="130"/>
        <v>26.086956521739129</v>
      </c>
      <c r="AO1174" t="str">
        <f t="shared" ca="1" si="131"/>
        <v>No</v>
      </c>
      <c r="AP1174" t="str">
        <f t="shared" si="132"/>
        <v>Low Risk</v>
      </c>
    </row>
    <row r="1175" spans="1:42" x14ac:dyDescent="0.3">
      <c r="A1175" s="5">
        <v>36</v>
      </c>
      <c r="B1175" s="5" t="s">
        <v>43</v>
      </c>
      <c r="C1175" s="5" t="str">
        <f t="shared" si="126"/>
        <v>No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 s="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 s="5">
        <v>8008</v>
      </c>
      <c r="U1175">
        <v>22792</v>
      </c>
      <c r="V1175">
        <v>4</v>
      </c>
      <c r="W1175" t="s">
        <v>42</v>
      </c>
      <c r="X1175" t="s">
        <v>43</v>
      </c>
      <c r="Y1175" t="str">
        <f t="shared" si="127"/>
        <v>No</v>
      </c>
      <c r="Z1175">
        <v>12</v>
      </c>
      <c r="AA1175">
        <v>3</v>
      </c>
      <c r="AB1175">
        <v>3</v>
      </c>
      <c r="AC1175">
        <v>80</v>
      </c>
      <c r="AD1175">
        <v>2</v>
      </c>
      <c r="AE1175" s="5">
        <v>9</v>
      </c>
      <c r="AF1175" t="str">
        <f t="shared" si="128"/>
        <v>6-15</v>
      </c>
      <c r="AG1175">
        <v>6</v>
      </c>
      <c r="AH1175">
        <v>3</v>
      </c>
      <c r="AI1175" s="5">
        <v>3</v>
      </c>
      <c r="AJ1175">
        <v>2</v>
      </c>
      <c r="AK1175">
        <v>0</v>
      </c>
      <c r="AL1175">
        <v>2</v>
      </c>
      <c r="AM1175" t="str">
        <f t="shared" si="129"/>
        <v>Ok</v>
      </c>
      <c r="AN1175" s="21">
        <f t="shared" si="130"/>
        <v>25.838926174496645</v>
      </c>
      <c r="AO1175" t="str">
        <f t="shared" ca="1" si="131"/>
        <v>No</v>
      </c>
      <c r="AP1175" t="str">
        <f t="shared" si="132"/>
        <v>Low Risk</v>
      </c>
    </row>
    <row r="1176" spans="1:42" x14ac:dyDescent="0.3">
      <c r="A1176" s="5">
        <v>25</v>
      </c>
      <c r="B1176" s="5" t="s">
        <v>43</v>
      </c>
      <c r="C1176" s="5" t="str">
        <f t="shared" si="126"/>
        <v>No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 s="5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 s="5">
        <v>5206</v>
      </c>
      <c r="U1176">
        <v>4973</v>
      </c>
      <c r="V1176">
        <v>1</v>
      </c>
      <c r="W1176" t="s">
        <v>42</v>
      </c>
      <c r="X1176" t="s">
        <v>43</v>
      </c>
      <c r="Y1176" t="str">
        <f t="shared" si="127"/>
        <v>No</v>
      </c>
      <c r="Z1176">
        <v>17</v>
      </c>
      <c r="AA1176">
        <v>3</v>
      </c>
      <c r="AB1176">
        <v>3</v>
      </c>
      <c r="AC1176">
        <v>80</v>
      </c>
      <c r="AD1176">
        <v>2</v>
      </c>
      <c r="AE1176" s="5">
        <v>7</v>
      </c>
      <c r="AF1176" t="str">
        <f t="shared" si="128"/>
        <v>6-15</v>
      </c>
      <c r="AG1176">
        <v>6</v>
      </c>
      <c r="AH1176">
        <v>3</v>
      </c>
      <c r="AI1176" s="5">
        <v>7</v>
      </c>
      <c r="AJ1176">
        <v>7</v>
      </c>
      <c r="AK1176">
        <v>0</v>
      </c>
      <c r="AL1176">
        <v>7</v>
      </c>
      <c r="AM1176" t="str">
        <f t="shared" si="129"/>
        <v>Below Avg</v>
      </c>
      <c r="AN1176" s="21">
        <f t="shared" si="130"/>
        <v>25.925925925925924</v>
      </c>
      <c r="AO1176" t="str">
        <f t="shared" ca="1" si="131"/>
        <v>No</v>
      </c>
      <c r="AP1176" t="str">
        <f t="shared" si="132"/>
        <v>Low Risk</v>
      </c>
    </row>
    <row r="1177" spans="1:42" x14ac:dyDescent="0.3">
      <c r="A1177" s="5">
        <v>39</v>
      </c>
      <c r="B1177" s="5" t="s">
        <v>43</v>
      </c>
      <c r="C1177" s="5" t="str">
        <f t="shared" si="126"/>
        <v>No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 s="5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 s="5">
        <v>5295</v>
      </c>
      <c r="U1177">
        <v>7693</v>
      </c>
      <c r="V1177">
        <v>4</v>
      </c>
      <c r="W1177" t="s">
        <v>42</v>
      </c>
      <c r="X1177" t="s">
        <v>43</v>
      </c>
      <c r="Y1177" t="str">
        <f t="shared" si="127"/>
        <v>No</v>
      </c>
      <c r="Z1177">
        <v>21</v>
      </c>
      <c r="AA1177">
        <v>4</v>
      </c>
      <c r="AB1177">
        <v>3</v>
      </c>
      <c r="AC1177">
        <v>80</v>
      </c>
      <c r="AD1177">
        <v>0</v>
      </c>
      <c r="AE1177" s="5">
        <v>7</v>
      </c>
      <c r="AF1177" t="str">
        <f t="shared" si="128"/>
        <v>6-15</v>
      </c>
      <c r="AG1177">
        <v>3</v>
      </c>
      <c r="AH1177">
        <v>3</v>
      </c>
      <c r="AI1177" s="5">
        <v>5</v>
      </c>
      <c r="AJ1177">
        <v>4</v>
      </c>
      <c r="AK1177">
        <v>1</v>
      </c>
      <c r="AL1177">
        <v>0</v>
      </c>
      <c r="AM1177" t="str">
        <f t="shared" si="129"/>
        <v>Below Avg</v>
      </c>
      <c r="AN1177" s="21">
        <f t="shared" si="130"/>
        <v>26.013513513513516</v>
      </c>
      <c r="AO1177" t="str">
        <f t="shared" ca="1" si="131"/>
        <v>No</v>
      </c>
      <c r="AP1177" t="str">
        <f t="shared" si="132"/>
        <v>Low Risk</v>
      </c>
    </row>
    <row r="1178" spans="1:42" x14ac:dyDescent="0.3">
      <c r="A1178" s="5">
        <v>49</v>
      </c>
      <c r="B1178" s="5" t="s">
        <v>43</v>
      </c>
      <c r="C1178" s="5" t="str">
        <f t="shared" si="126"/>
        <v>No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 s="5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 s="5">
        <v>16413</v>
      </c>
      <c r="U1178">
        <v>3498</v>
      </c>
      <c r="V1178">
        <v>3</v>
      </c>
      <c r="W1178" t="s">
        <v>42</v>
      </c>
      <c r="X1178" t="s">
        <v>43</v>
      </c>
      <c r="Y1178" t="str">
        <f t="shared" si="127"/>
        <v>No</v>
      </c>
      <c r="Z1178">
        <v>16</v>
      </c>
      <c r="AA1178">
        <v>3</v>
      </c>
      <c r="AB1178">
        <v>2</v>
      </c>
      <c r="AC1178">
        <v>80</v>
      </c>
      <c r="AD1178">
        <v>2</v>
      </c>
      <c r="AE1178" s="5">
        <v>27</v>
      </c>
      <c r="AF1178" t="str">
        <f t="shared" si="128"/>
        <v>&gt;15</v>
      </c>
      <c r="AG1178">
        <v>2</v>
      </c>
      <c r="AH1178">
        <v>3</v>
      </c>
      <c r="AI1178" s="5">
        <v>4</v>
      </c>
      <c r="AJ1178">
        <v>2</v>
      </c>
      <c r="AK1178">
        <v>1</v>
      </c>
      <c r="AL1178">
        <v>2</v>
      </c>
      <c r="AM1178" t="str">
        <f t="shared" si="129"/>
        <v>Ok</v>
      </c>
      <c r="AN1178" s="21">
        <f t="shared" si="130"/>
        <v>26.101694915254235</v>
      </c>
      <c r="AO1178" t="str">
        <f t="shared" ca="1" si="131"/>
        <v>No</v>
      </c>
      <c r="AP1178" t="str">
        <f t="shared" si="132"/>
        <v>Low Risk</v>
      </c>
    </row>
    <row r="1179" spans="1:42" x14ac:dyDescent="0.3">
      <c r="A1179" s="5">
        <v>50</v>
      </c>
      <c r="B1179" s="5" t="s">
        <v>43</v>
      </c>
      <c r="C1179" s="5" t="str">
        <f t="shared" si="126"/>
        <v>No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 s="5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 s="5">
        <v>13269</v>
      </c>
      <c r="U1179">
        <v>21981</v>
      </c>
      <c r="V1179">
        <v>5</v>
      </c>
      <c r="W1179" t="s">
        <v>42</v>
      </c>
      <c r="X1179" t="s">
        <v>43</v>
      </c>
      <c r="Y1179" t="str">
        <f t="shared" si="127"/>
        <v>No</v>
      </c>
      <c r="Z1179">
        <v>15</v>
      </c>
      <c r="AA1179">
        <v>3</v>
      </c>
      <c r="AB1179">
        <v>3</v>
      </c>
      <c r="AC1179">
        <v>80</v>
      </c>
      <c r="AD1179">
        <v>3</v>
      </c>
      <c r="AE1179" s="5">
        <v>19</v>
      </c>
      <c r="AF1179" t="str">
        <f t="shared" si="128"/>
        <v>&gt;15</v>
      </c>
      <c r="AG1179">
        <v>3</v>
      </c>
      <c r="AH1179">
        <v>3</v>
      </c>
      <c r="AI1179" s="5">
        <v>14</v>
      </c>
      <c r="AJ1179">
        <v>11</v>
      </c>
      <c r="AK1179">
        <v>1</v>
      </c>
      <c r="AL1179">
        <v>11</v>
      </c>
      <c r="AM1179" t="str">
        <f t="shared" si="129"/>
        <v>Ok</v>
      </c>
      <c r="AN1179" s="21">
        <f t="shared" si="130"/>
        <v>26.190476190476193</v>
      </c>
      <c r="AO1179" t="str">
        <f t="shared" ca="1" si="131"/>
        <v>No</v>
      </c>
      <c r="AP1179" t="str">
        <f t="shared" si="132"/>
        <v>Low Risk</v>
      </c>
    </row>
    <row r="1180" spans="1:42" x14ac:dyDescent="0.3">
      <c r="A1180" s="5">
        <v>20</v>
      </c>
      <c r="B1180" s="5" t="s">
        <v>43</v>
      </c>
      <c r="C1180" s="5" t="str">
        <f t="shared" si="126"/>
        <v>No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 s="5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 s="5">
        <v>2783</v>
      </c>
      <c r="U1180">
        <v>13251</v>
      </c>
      <c r="V1180">
        <v>1</v>
      </c>
      <c r="W1180" t="s">
        <v>42</v>
      </c>
      <c r="X1180" t="s">
        <v>43</v>
      </c>
      <c r="Y1180" t="str">
        <f t="shared" si="127"/>
        <v>No</v>
      </c>
      <c r="Z1180">
        <v>19</v>
      </c>
      <c r="AA1180">
        <v>3</v>
      </c>
      <c r="AB1180">
        <v>1</v>
      </c>
      <c r="AC1180">
        <v>80</v>
      </c>
      <c r="AD1180">
        <v>0</v>
      </c>
      <c r="AE1180" s="5">
        <v>2</v>
      </c>
      <c r="AF1180" t="str">
        <f t="shared" si="128"/>
        <v>0-5</v>
      </c>
      <c r="AG1180">
        <v>3</v>
      </c>
      <c r="AH1180">
        <v>3</v>
      </c>
      <c r="AI1180" s="5">
        <v>2</v>
      </c>
      <c r="AJ1180">
        <v>2</v>
      </c>
      <c r="AK1180">
        <v>2</v>
      </c>
      <c r="AL1180">
        <v>2</v>
      </c>
      <c r="AM1180" t="str">
        <f t="shared" si="129"/>
        <v>Below Avg</v>
      </c>
      <c r="AN1180" s="21">
        <f t="shared" si="130"/>
        <v>26.27986348122867</v>
      </c>
      <c r="AO1180" t="str">
        <f t="shared" ca="1" si="131"/>
        <v>No</v>
      </c>
      <c r="AP1180" t="str">
        <f t="shared" si="132"/>
        <v>Low Risk</v>
      </c>
    </row>
    <row r="1181" spans="1:42" x14ac:dyDescent="0.3">
      <c r="A1181" s="5">
        <v>34</v>
      </c>
      <c r="B1181" s="5" t="s">
        <v>43</v>
      </c>
      <c r="C1181" s="5" t="str">
        <f t="shared" si="126"/>
        <v>No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 s="5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 s="5">
        <v>5433</v>
      </c>
      <c r="U1181">
        <v>19332</v>
      </c>
      <c r="V1181">
        <v>1</v>
      </c>
      <c r="W1181" t="s">
        <v>42</v>
      </c>
      <c r="X1181" t="s">
        <v>43</v>
      </c>
      <c r="Y1181" t="str">
        <f t="shared" si="127"/>
        <v>No</v>
      </c>
      <c r="Z1181">
        <v>12</v>
      </c>
      <c r="AA1181">
        <v>3</v>
      </c>
      <c r="AB1181">
        <v>3</v>
      </c>
      <c r="AC1181">
        <v>80</v>
      </c>
      <c r="AD1181">
        <v>1</v>
      </c>
      <c r="AE1181" s="5">
        <v>11</v>
      </c>
      <c r="AF1181" t="str">
        <f t="shared" si="128"/>
        <v>6-15</v>
      </c>
      <c r="AG1181">
        <v>2</v>
      </c>
      <c r="AH1181">
        <v>3</v>
      </c>
      <c r="AI1181" s="5">
        <v>11</v>
      </c>
      <c r="AJ1181">
        <v>8</v>
      </c>
      <c r="AK1181">
        <v>7</v>
      </c>
      <c r="AL1181">
        <v>9</v>
      </c>
      <c r="AM1181" t="str">
        <f t="shared" si="129"/>
        <v>Below Avg</v>
      </c>
      <c r="AN1181" s="21">
        <f t="shared" si="130"/>
        <v>26.36986301369863</v>
      </c>
      <c r="AO1181" t="str">
        <f t="shared" ca="1" si="131"/>
        <v>No</v>
      </c>
      <c r="AP1181" t="str">
        <f t="shared" si="132"/>
        <v>Low Risk</v>
      </c>
    </row>
    <row r="1182" spans="1:42" x14ac:dyDescent="0.3">
      <c r="A1182" s="5">
        <v>36</v>
      </c>
      <c r="B1182" s="5" t="s">
        <v>43</v>
      </c>
      <c r="C1182" s="5" t="str">
        <f t="shared" si="126"/>
        <v>No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 s="5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 s="5">
        <v>2013</v>
      </c>
      <c r="U1182">
        <v>10950</v>
      </c>
      <c r="V1182">
        <v>2</v>
      </c>
      <c r="W1182" t="s">
        <v>42</v>
      </c>
      <c r="X1182" t="s">
        <v>43</v>
      </c>
      <c r="Y1182" t="str">
        <f t="shared" si="127"/>
        <v>No</v>
      </c>
      <c r="Z1182">
        <v>11</v>
      </c>
      <c r="AA1182">
        <v>3</v>
      </c>
      <c r="AB1182">
        <v>3</v>
      </c>
      <c r="AC1182">
        <v>80</v>
      </c>
      <c r="AD1182">
        <v>0</v>
      </c>
      <c r="AE1182" s="5">
        <v>15</v>
      </c>
      <c r="AF1182" t="str">
        <f t="shared" si="128"/>
        <v>6-15</v>
      </c>
      <c r="AG1182">
        <v>4</v>
      </c>
      <c r="AH1182">
        <v>3</v>
      </c>
      <c r="AI1182" s="5">
        <v>4</v>
      </c>
      <c r="AJ1182">
        <v>3</v>
      </c>
      <c r="AK1182">
        <v>1</v>
      </c>
      <c r="AL1182">
        <v>3</v>
      </c>
      <c r="AM1182" t="str">
        <f t="shared" si="129"/>
        <v>Below Avg</v>
      </c>
      <c r="AN1182" s="21">
        <f t="shared" si="130"/>
        <v>26.460481099656359</v>
      </c>
      <c r="AO1182" t="str">
        <f t="shared" ca="1" si="131"/>
        <v>No</v>
      </c>
      <c r="AP1182" t="str">
        <f t="shared" si="132"/>
        <v>Low Risk</v>
      </c>
    </row>
    <row r="1183" spans="1:42" x14ac:dyDescent="0.3">
      <c r="A1183" s="5">
        <v>49</v>
      </c>
      <c r="B1183" s="5" t="s">
        <v>43</v>
      </c>
      <c r="C1183" s="5" t="str">
        <f t="shared" si="126"/>
        <v>No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 s="5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 s="5">
        <v>13966</v>
      </c>
      <c r="U1183">
        <v>11652</v>
      </c>
      <c r="V1183">
        <v>2</v>
      </c>
      <c r="W1183" t="s">
        <v>42</v>
      </c>
      <c r="X1183" t="s">
        <v>35</v>
      </c>
      <c r="Y1183" t="str">
        <f t="shared" si="127"/>
        <v>Yes</v>
      </c>
      <c r="Z1183">
        <v>19</v>
      </c>
      <c r="AA1183">
        <v>3</v>
      </c>
      <c r="AB1183">
        <v>2</v>
      </c>
      <c r="AC1183">
        <v>80</v>
      </c>
      <c r="AD1183">
        <v>1</v>
      </c>
      <c r="AE1183" s="5">
        <v>30</v>
      </c>
      <c r="AF1183" t="str">
        <f t="shared" si="128"/>
        <v>&gt;15</v>
      </c>
      <c r="AG1183">
        <v>3</v>
      </c>
      <c r="AH1183">
        <v>3</v>
      </c>
      <c r="AI1183" s="5">
        <v>15</v>
      </c>
      <c r="AJ1183">
        <v>11</v>
      </c>
      <c r="AK1183">
        <v>2</v>
      </c>
      <c r="AL1183">
        <v>12</v>
      </c>
      <c r="AM1183" t="str">
        <f t="shared" si="129"/>
        <v>Ok</v>
      </c>
      <c r="AN1183" s="21">
        <f t="shared" si="130"/>
        <v>26.551724137931032</v>
      </c>
      <c r="AO1183" t="str">
        <f t="shared" ca="1" si="131"/>
        <v>No</v>
      </c>
      <c r="AP1183" t="str">
        <f t="shared" si="132"/>
        <v>Low Risk</v>
      </c>
    </row>
    <row r="1184" spans="1:42" x14ac:dyDescent="0.3">
      <c r="A1184" s="5">
        <v>36</v>
      </c>
      <c r="B1184" s="5" t="s">
        <v>43</v>
      </c>
      <c r="C1184" s="5" t="str">
        <f t="shared" si="126"/>
        <v>No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 s="5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 s="5">
        <v>4374</v>
      </c>
      <c r="U1184">
        <v>15411</v>
      </c>
      <c r="V1184">
        <v>0</v>
      </c>
      <c r="W1184" t="s">
        <v>42</v>
      </c>
      <c r="X1184" t="s">
        <v>43</v>
      </c>
      <c r="Y1184" t="str">
        <f t="shared" si="127"/>
        <v>No</v>
      </c>
      <c r="Z1184">
        <v>15</v>
      </c>
      <c r="AA1184">
        <v>3</v>
      </c>
      <c r="AB1184">
        <v>3</v>
      </c>
      <c r="AC1184">
        <v>80</v>
      </c>
      <c r="AD1184">
        <v>0</v>
      </c>
      <c r="AE1184" s="5">
        <v>4</v>
      </c>
      <c r="AF1184" t="str">
        <f t="shared" si="128"/>
        <v>0-5</v>
      </c>
      <c r="AG1184">
        <v>6</v>
      </c>
      <c r="AH1184">
        <v>3</v>
      </c>
      <c r="AI1184" s="5">
        <v>3</v>
      </c>
      <c r="AJ1184">
        <v>2</v>
      </c>
      <c r="AK1184">
        <v>1</v>
      </c>
      <c r="AL1184">
        <v>2</v>
      </c>
      <c r="AM1184" t="str">
        <f t="shared" si="129"/>
        <v>Below Avg</v>
      </c>
      <c r="AN1184" s="21">
        <f t="shared" si="130"/>
        <v>26.643598615916954</v>
      </c>
      <c r="AO1184" t="str">
        <f t="shared" ca="1" si="131"/>
        <v>No</v>
      </c>
      <c r="AP1184" t="str">
        <f t="shared" si="132"/>
        <v>Low Risk</v>
      </c>
    </row>
    <row r="1185" spans="1:42" x14ac:dyDescent="0.3">
      <c r="A1185" s="5">
        <v>36</v>
      </c>
      <c r="B1185" s="5" t="s">
        <v>43</v>
      </c>
      <c r="C1185" s="5" t="str">
        <f t="shared" si="126"/>
        <v>No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 s="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 s="5">
        <v>6842</v>
      </c>
      <c r="U1185">
        <v>26308</v>
      </c>
      <c r="V1185">
        <v>6</v>
      </c>
      <c r="W1185" t="s">
        <v>42</v>
      </c>
      <c r="X1185" t="s">
        <v>43</v>
      </c>
      <c r="Y1185" t="str">
        <f t="shared" si="127"/>
        <v>No</v>
      </c>
      <c r="Z1185">
        <v>20</v>
      </c>
      <c r="AA1185">
        <v>4</v>
      </c>
      <c r="AB1185">
        <v>1</v>
      </c>
      <c r="AC1185">
        <v>80</v>
      </c>
      <c r="AD1185">
        <v>1</v>
      </c>
      <c r="AE1185" s="5">
        <v>13</v>
      </c>
      <c r="AF1185" t="str">
        <f t="shared" si="128"/>
        <v>6-15</v>
      </c>
      <c r="AG1185">
        <v>3</v>
      </c>
      <c r="AH1185">
        <v>3</v>
      </c>
      <c r="AI1185" s="5">
        <v>5</v>
      </c>
      <c r="AJ1185">
        <v>4</v>
      </c>
      <c r="AK1185">
        <v>0</v>
      </c>
      <c r="AL1185">
        <v>4</v>
      </c>
      <c r="AM1185" t="str">
        <f t="shared" si="129"/>
        <v>Ok</v>
      </c>
      <c r="AN1185" s="21">
        <f t="shared" si="130"/>
        <v>26.388888888888889</v>
      </c>
      <c r="AO1185" t="str">
        <f t="shared" ca="1" si="131"/>
        <v>No</v>
      </c>
      <c r="AP1185" t="str">
        <f t="shared" si="132"/>
        <v>Low Risk</v>
      </c>
    </row>
    <row r="1186" spans="1:42" x14ac:dyDescent="0.3">
      <c r="A1186" s="5">
        <v>54</v>
      </c>
      <c r="B1186" s="5" t="s">
        <v>43</v>
      </c>
      <c r="C1186" s="5" t="str">
        <f t="shared" si="126"/>
        <v>No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 s="5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 s="5">
        <v>17426</v>
      </c>
      <c r="U1186">
        <v>18685</v>
      </c>
      <c r="V1186">
        <v>3</v>
      </c>
      <c r="W1186" t="s">
        <v>42</v>
      </c>
      <c r="X1186" t="s">
        <v>43</v>
      </c>
      <c r="Y1186" t="str">
        <f t="shared" si="127"/>
        <v>No</v>
      </c>
      <c r="Z1186">
        <v>25</v>
      </c>
      <c r="AA1186">
        <v>4</v>
      </c>
      <c r="AB1186">
        <v>3</v>
      </c>
      <c r="AC1186">
        <v>80</v>
      </c>
      <c r="AD1186">
        <v>1</v>
      </c>
      <c r="AE1186" s="5">
        <v>36</v>
      </c>
      <c r="AF1186" t="str">
        <f t="shared" si="128"/>
        <v>&gt;15</v>
      </c>
      <c r="AG1186">
        <v>6</v>
      </c>
      <c r="AH1186">
        <v>3</v>
      </c>
      <c r="AI1186" s="5">
        <v>10</v>
      </c>
      <c r="AJ1186">
        <v>8</v>
      </c>
      <c r="AK1186">
        <v>4</v>
      </c>
      <c r="AL1186">
        <v>7</v>
      </c>
      <c r="AM1186" t="str">
        <f t="shared" si="129"/>
        <v>Ok</v>
      </c>
      <c r="AN1186" s="21">
        <f t="shared" si="130"/>
        <v>26.480836236933797</v>
      </c>
      <c r="AO1186" t="str">
        <f t="shared" ca="1" si="131"/>
        <v>No</v>
      </c>
      <c r="AP1186" t="str">
        <f t="shared" si="132"/>
        <v>Low Risk</v>
      </c>
    </row>
    <row r="1187" spans="1:42" x14ac:dyDescent="0.3">
      <c r="A1187" s="5">
        <v>43</v>
      </c>
      <c r="B1187" s="5" t="s">
        <v>43</v>
      </c>
      <c r="C1187" s="5" t="str">
        <f t="shared" si="126"/>
        <v>No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 s="5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 s="5">
        <v>17603</v>
      </c>
      <c r="U1187">
        <v>3525</v>
      </c>
      <c r="V1187">
        <v>1</v>
      </c>
      <c r="W1187" t="s">
        <v>42</v>
      </c>
      <c r="X1187" t="s">
        <v>43</v>
      </c>
      <c r="Y1187" t="str">
        <f t="shared" si="127"/>
        <v>No</v>
      </c>
      <c r="Z1187">
        <v>24</v>
      </c>
      <c r="AA1187">
        <v>4</v>
      </c>
      <c r="AB1187">
        <v>1</v>
      </c>
      <c r="AC1187">
        <v>80</v>
      </c>
      <c r="AD1187">
        <v>1</v>
      </c>
      <c r="AE1187" s="5">
        <v>14</v>
      </c>
      <c r="AF1187" t="str">
        <f t="shared" si="128"/>
        <v>6-15</v>
      </c>
      <c r="AG1187">
        <v>3</v>
      </c>
      <c r="AH1187">
        <v>3</v>
      </c>
      <c r="AI1187" s="5">
        <v>14</v>
      </c>
      <c r="AJ1187">
        <v>10</v>
      </c>
      <c r="AK1187">
        <v>6</v>
      </c>
      <c r="AL1187">
        <v>11</v>
      </c>
      <c r="AM1187" t="str">
        <f t="shared" si="129"/>
        <v>Ok</v>
      </c>
      <c r="AN1187" s="21">
        <f t="shared" si="130"/>
        <v>26.573426573426573</v>
      </c>
      <c r="AO1187" t="str">
        <f t="shared" ca="1" si="131"/>
        <v>No</v>
      </c>
      <c r="AP1187" t="str">
        <f t="shared" si="132"/>
        <v>Low Risk</v>
      </c>
    </row>
    <row r="1188" spans="1:42" x14ac:dyDescent="0.3">
      <c r="A1188" s="5">
        <v>35</v>
      </c>
      <c r="B1188" s="5" t="s">
        <v>35</v>
      </c>
      <c r="C1188" s="5" t="str">
        <f t="shared" si="126"/>
        <v>Yes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 s="5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 s="5">
        <v>4581</v>
      </c>
      <c r="U1188">
        <v>10414</v>
      </c>
      <c r="V1188">
        <v>3</v>
      </c>
      <c r="W1188" t="s">
        <v>42</v>
      </c>
      <c r="X1188" t="s">
        <v>35</v>
      </c>
      <c r="Y1188" t="str">
        <f t="shared" si="127"/>
        <v>Yes</v>
      </c>
      <c r="Z1188">
        <v>24</v>
      </c>
      <c r="AA1188">
        <v>4</v>
      </c>
      <c r="AB1188">
        <v>1</v>
      </c>
      <c r="AC1188">
        <v>80</v>
      </c>
      <c r="AD1188">
        <v>0</v>
      </c>
      <c r="AE1188" s="5">
        <v>13</v>
      </c>
      <c r="AF1188" t="str">
        <f t="shared" si="128"/>
        <v>6-15</v>
      </c>
      <c r="AG1188">
        <v>2</v>
      </c>
      <c r="AH1188">
        <v>4</v>
      </c>
      <c r="AI1188" s="5">
        <v>11</v>
      </c>
      <c r="AJ1188">
        <v>9</v>
      </c>
      <c r="AK1188">
        <v>6</v>
      </c>
      <c r="AL1188">
        <v>7</v>
      </c>
      <c r="AM1188" t="str">
        <f t="shared" si="129"/>
        <v>Below Avg</v>
      </c>
      <c r="AN1188" s="21">
        <f t="shared" si="130"/>
        <v>26.666666666666668</v>
      </c>
      <c r="AO1188" t="str">
        <f t="shared" ca="1" si="131"/>
        <v>No</v>
      </c>
      <c r="AP1188" t="str">
        <f t="shared" si="132"/>
        <v>Low Risk</v>
      </c>
    </row>
    <row r="1189" spans="1:42" x14ac:dyDescent="0.3">
      <c r="A1189" s="5">
        <v>38</v>
      </c>
      <c r="B1189" s="5" t="s">
        <v>43</v>
      </c>
      <c r="C1189" s="5" t="str">
        <f t="shared" si="126"/>
        <v>No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 s="5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 s="5">
        <v>4735</v>
      </c>
      <c r="U1189">
        <v>9867</v>
      </c>
      <c r="V1189">
        <v>7</v>
      </c>
      <c r="W1189" t="s">
        <v>42</v>
      </c>
      <c r="X1189" t="s">
        <v>43</v>
      </c>
      <c r="Y1189" t="str">
        <f t="shared" si="127"/>
        <v>No</v>
      </c>
      <c r="Z1189">
        <v>15</v>
      </c>
      <c r="AA1189">
        <v>3</v>
      </c>
      <c r="AB1189">
        <v>4</v>
      </c>
      <c r="AC1189">
        <v>80</v>
      </c>
      <c r="AD1189">
        <v>2</v>
      </c>
      <c r="AE1189" s="5">
        <v>19</v>
      </c>
      <c r="AF1189" t="str">
        <f t="shared" si="128"/>
        <v>&gt;15</v>
      </c>
      <c r="AG1189">
        <v>4</v>
      </c>
      <c r="AH1189">
        <v>4</v>
      </c>
      <c r="AI1189" s="5">
        <v>13</v>
      </c>
      <c r="AJ1189">
        <v>11</v>
      </c>
      <c r="AK1189">
        <v>2</v>
      </c>
      <c r="AL1189">
        <v>9</v>
      </c>
      <c r="AM1189" t="str">
        <f t="shared" si="129"/>
        <v>Below Avg</v>
      </c>
      <c r="AN1189" s="21">
        <f t="shared" si="130"/>
        <v>26.760563380281688</v>
      </c>
      <c r="AO1189" t="str">
        <f t="shared" ca="1" si="131"/>
        <v>No</v>
      </c>
      <c r="AP1189" t="str">
        <f t="shared" si="132"/>
        <v>Low Risk</v>
      </c>
    </row>
    <row r="1190" spans="1:42" x14ac:dyDescent="0.3">
      <c r="A1190" s="5">
        <v>29</v>
      </c>
      <c r="B1190" s="5" t="s">
        <v>43</v>
      </c>
      <c r="C1190" s="5" t="str">
        <f t="shared" si="126"/>
        <v>No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 s="5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 s="5">
        <v>4187</v>
      </c>
      <c r="U1190">
        <v>3356</v>
      </c>
      <c r="V1190">
        <v>1</v>
      </c>
      <c r="W1190" t="s">
        <v>42</v>
      </c>
      <c r="X1190" t="s">
        <v>35</v>
      </c>
      <c r="Y1190" t="str">
        <f t="shared" si="127"/>
        <v>Yes</v>
      </c>
      <c r="Z1190">
        <v>13</v>
      </c>
      <c r="AA1190">
        <v>3</v>
      </c>
      <c r="AB1190">
        <v>2</v>
      </c>
      <c r="AC1190">
        <v>80</v>
      </c>
      <c r="AD1190">
        <v>1</v>
      </c>
      <c r="AE1190" s="5">
        <v>10</v>
      </c>
      <c r="AF1190" t="str">
        <f t="shared" si="128"/>
        <v>6-15</v>
      </c>
      <c r="AG1190">
        <v>3</v>
      </c>
      <c r="AH1190">
        <v>2</v>
      </c>
      <c r="AI1190" s="5">
        <v>10</v>
      </c>
      <c r="AJ1190">
        <v>0</v>
      </c>
      <c r="AK1190">
        <v>0</v>
      </c>
      <c r="AL1190">
        <v>9</v>
      </c>
      <c r="AM1190" t="str">
        <f t="shared" si="129"/>
        <v>Below Avg</v>
      </c>
      <c r="AN1190" s="21">
        <f t="shared" si="130"/>
        <v>26.501766784452297</v>
      </c>
      <c r="AO1190" t="str">
        <f t="shared" ca="1" si="131"/>
        <v>No</v>
      </c>
      <c r="AP1190" t="str">
        <f t="shared" si="132"/>
        <v>Low Risk</v>
      </c>
    </row>
    <row r="1191" spans="1:42" x14ac:dyDescent="0.3">
      <c r="A1191" s="5">
        <v>33</v>
      </c>
      <c r="B1191" s="5" t="s">
        <v>43</v>
      </c>
      <c r="C1191" s="5" t="str">
        <f t="shared" si="126"/>
        <v>No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 s="5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 s="5">
        <v>5505</v>
      </c>
      <c r="U1191">
        <v>3921</v>
      </c>
      <c r="V1191">
        <v>1</v>
      </c>
      <c r="W1191" t="s">
        <v>42</v>
      </c>
      <c r="X1191" t="s">
        <v>43</v>
      </c>
      <c r="Y1191" t="str">
        <f t="shared" si="127"/>
        <v>No</v>
      </c>
      <c r="Z1191">
        <v>14</v>
      </c>
      <c r="AA1191">
        <v>3</v>
      </c>
      <c r="AB1191">
        <v>3</v>
      </c>
      <c r="AC1191">
        <v>80</v>
      </c>
      <c r="AD1191">
        <v>2</v>
      </c>
      <c r="AE1191" s="5">
        <v>6</v>
      </c>
      <c r="AF1191" t="str">
        <f t="shared" si="128"/>
        <v>6-15</v>
      </c>
      <c r="AG1191">
        <v>5</v>
      </c>
      <c r="AH1191">
        <v>3</v>
      </c>
      <c r="AI1191" s="5">
        <v>6</v>
      </c>
      <c r="AJ1191">
        <v>2</v>
      </c>
      <c r="AK1191">
        <v>0</v>
      </c>
      <c r="AL1191">
        <v>4</v>
      </c>
      <c r="AM1191" t="str">
        <f t="shared" si="129"/>
        <v>Below Avg</v>
      </c>
      <c r="AN1191" s="21">
        <f t="shared" si="130"/>
        <v>26.595744680851062</v>
      </c>
      <c r="AO1191" t="str">
        <f t="shared" ca="1" si="131"/>
        <v>No</v>
      </c>
      <c r="AP1191" t="str">
        <f t="shared" si="132"/>
        <v>Low Risk</v>
      </c>
    </row>
    <row r="1192" spans="1:42" x14ac:dyDescent="0.3">
      <c r="A1192" s="5">
        <v>32</v>
      </c>
      <c r="B1192" s="5" t="s">
        <v>43</v>
      </c>
      <c r="C1192" s="5" t="str">
        <f t="shared" si="126"/>
        <v>No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 s="5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 s="5">
        <v>5470</v>
      </c>
      <c r="U1192">
        <v>25518</v>
      </c>
      <c r="V1192">
        <v>0</v>
      </c>
      <c r="W1192" t="s">
        <v>42</v>
      </c>
      <c r="X1192" t="s">
        <v>43</v>
      </c>
      <c r="Y1192" t="str">
        <f t="shared" si="127"/>
        <v>No</v>
      </c>
      <c r="Z1192">
        <v>13</v>
      </c>
      <c r="AA1192">
        <v>3</v>
      </c>
      <c r="AB1192">
        <v>3</v>
      </c>
      <c r="AC1192">
        <v>80</v>
      </c>
      <c r="AD1192">
        <v>2</v>
      </c>
      <c r="AE1192" s="5">
        <v>10</v>
      </c>
      <c r="AF1192" t="str">
        <f t="shared" si="128"/>
        <v>6-15</v>
      </c>
      <c r="AG1192">
        <v>4</v>
      </c>
      <c r="AH1192">
        <v>2</v>
      </c>
      <c r="AI1192" s="5">
        <v>9</v>
      </c>
      <c r="AJ1192">
        <v>5</v>
      </c>
      <c r="AK1192">
        <v>1</v>
      </c>
      <c r="AL1192">
        <v>6</v>
      </c>
      <c r="AM1192" t="str">
        <f t="shared" si="129"/>
        <v>Below Avg</v>
      </c>
      <c r="AN1192" s="21">
        <f t="shared" si="130"/>
        <v>26.334519572953734</v>
      </c>
      <c r="AO1192" t="str">
        <f t="shared" ca="1" si="131"/>
        <v>No</v>
      </c>
      <c r="AP1192" t="str">
        <f t="shared" si="132"/>
        <v>Low Risk</v>
      </c>
    </row>
    <row r="1193" spans="1:42" x14ac:dyDescent="0.3">
      <c r="A1193" s="5">
        <v>31</v>
      </c>
      <c r="B1193" s="5" t="s">
        <v>43</v>
      </c>
      <c r="C1193" s="5" t="str">
        <f t="shared" si="126"/>
        <v>No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 s="5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 s="5">
        <v>5476</v>
      </c>
      <c r="U1193">
        <v>22589</v>
      </c>
      <c r="V1193">
        <v>1</v>
      </c>
      <c r="W1193" t="s">
        <v>42</v>
      </c>
      <c r="X1193" t="s">
        <v>43</v>
      </c>
      <c r="Y1193" t="str">
        <f t="shared" si="127"/>
        <v>No</v>
      </c>
      <c r="Z1193">
        <v>11</v>
      </c>
      <c r="AA1193">
        <v>3</v>
      </c>
      <c r="AB1193">
        <v>1</v>
      </c>
      <c r="AC1193">
        <v>80</v>
      </c>
      <c r="AD1193">
        <v>2</v>
      </c>
      <c r="AE1193" s="5">
        <v>10</v>
      </c>
      <c r="AF1193" t="str">
        <f t="shared" si="128"/>
        <v>6-15</v>
      </c>
      <c r="AG1193">
        <v>2</v>
      </c>
      <c r="AH1193">
        <v>3</v>
      </c>
      <c r="AI1193" s="5">
        <v>10</v>
      </c>
      <c r="AJ1193">
        <v>0</v>
      </c>
      <c r="AK1193">
        <v>0</v>
      </c>
      <c r="AL1193">
        <v>2</v>
      </c>
      <c r="AM1193" t="str">
        <f t="shared" si="129"/>
        <v>Below Avg</v>
      </c>
      <c r="AN1193" s="21">
        <f t="shared" si="130"/>
        <v>26.428571428571431</v>
      </c>
      <c r="AO1193" t="str">
        <f t="shared" ca="1" si="131"/>
        <v>No</v>
      </c>
      <c r="AP1193" t="str">
        <f t="shared" si="132"/>
        <v>Low Risk</v>
      </c>
    </row>
    <row r="1194" spans="1:42" x14ac:dyDescent="0.3">
      <c r="A1194" s="5">
        <v>49</v>
      </c>
      <c r="B1194" s="5" t="s">
        <v>43</v>
      </c>
      <c r="C1194" s="5" t="str">
        <f t="shared" si="126"/>
        <v>No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 s="5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 s="5">
        <v>2587</v>
      </c>
      <c r="U1194">
        <v>24941</v>
      </c>
      <c r="V1194">
        <v>4</v>
      </c>
      <c r="W1194" t="s">
        <v>42</v>
      </c>
      <c r="X1194" t="s">
        <v>35</v>
      </c>
      <c r="Y1194" t="str">
        <f t="shared" si="127"/>
        <v>Yes</v>
      </c>
      <c r="Z1194">
        <v>16</v>
      </c>
      <c r="AA1194">
        <v>3</v>
      </c>
      <c r="AB1194">
        <v>2</v>
      </c>
      <c r="AC1194">
        <v>80</v>
      </c>
      <c r="AD1194">
        <v>1</v>
      </c>
      <c r="AE1194" s="5">
        <v>17</v>
      </c>
      <c r="AF1194" t="str">
        <f t="shared" si="128"/>
        <v>&gt;15</v>
      </c>
      <c r="AG1194">
        <v>2</v>
      </c>
      <c r="AH1194">
        <v>2</v>
      </c>
      <c r="AI1194" s="5">
        <v>2</v>
      </c>
      <c r="AJ1194">
        <v>2</v>
      </c>
      <c r="AK1194">
        <v>2</v>
      </c>
      <c r="AL1194">
        <v>2</v>
      </c>
      <c r="AM1194" t="str">
        <f t="shared" si="129"/>
        <v>Below Avg</v>
      </c>
      <c r="AN1194" s="21">
        <f t="shared" si="130"/>
        <v>26.523297491039425</v>
      </c>
      <c r="AO1194" t="str">
        <f t="shared" ca="1" si="131"/>
        <v>No</v>
      </c>
      <c r="AP1194" t="str">
        <f t="shared" si="132"/>
        <v>Low Risk</v>
      </c>
    </row>
    <row r="1195" spans="1:42" x14ac:dyDescent="0.3">
      <c r="A1195" s="5">
        <v>38</v>
      </c>
      <c r="B1195" s="5" t="s">
        <v>43</v>
      </c>
      <c r="C1195" s="5" t="str">
        <f t="shared" si="126"/>
        <v>No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 s="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 s="5">
        <v>2440</v>
      </c>
      <c r="U1195">
        <v>23826</v>
      </c>
      <c r="V1195">
        <v>1</v>
      </c>
      <c r="W1195" t="s">
        <v>42</v>
      </c>
      <c r="X1195" t="s">
        <v>43</v>
      </c>
      <c r="Y1195" t="str">
        <f t="shared" si="127"/>
        <v>No</v>
      </c>
      <c r="Z1195">
        <v>22</v>
      </c>
      <c r="AA1195">
        <v>4</v>
      </c>
      <c r="AB1195">
        <v>2</v>
      </c>
      <c r="AC1195">
        <v>80</v>
      </c>
      <c r="AD1195">
        <v>0</v>
      </c>
      <c r="AE1195" s="5">
        <v>4</v>
      </c>
      <c r="AF1195" t="str">
        <f t="shared" si="128"/>
        <v>0-5</v>
      </c>
      <c r="AG1195">
        <v>3</v>
      </c>
      <c r="AH1195">
        <v>3</v>
      </c>
      <c r="AI1195" s="5">
        <v>4</v>
      </c>
      <c r="AJ1195">
        <v>3</v>
      </c>
      <c r="AK1195">
        <v>3</v>
      </c>
      <c r="AL1195">
        <v>3</v>
      </c>
      <c r="AM1195" t="str">
        <f t="shared" si="129"/>
        <v>Below Avg</v>
      </c>
      <c r="AN1195" s="21">
        <f t="shared" si="130"/>
        <v>26.618705035971225</v>
      </c>
      <c r="AO1195" t="str">
        <f t="shared" ca="1" si="131"/>
        <v>No</v>
      </c>
      <c r="AP1195" t="str">
        <f t="shared" si="132"/>
        <v>Low Risk</v>
      </c>
    </row>
    <row r="1196" spans="1:42" x14ac:dyDescent="0.3">
      <c r="A1196" s="5">
        <v>47</v>
      </c>
      <c r="B1196" s="5" t="s">
        <v>43</v>
      </c>
      <c r="C1196" s="5" t="str">
        <f t="shared" si="126"/>
        <v>No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 s="5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 s="5">
        <v>15972</v>
      </c>
      <c r="U1196">
        <v>21086</v>
      </c>
      <c r="V1196">
        <v>6</v>
      </c>
      <c r="W1196" t="s">
        <v>42</v>
      </c>
      <c r="X1196" t="s">
        <v>43</v>
      </c>
      <c r="Y1196" t="str">
        <f t="shared" si="127"/>
        <v>No</v>
      </c>
      <c r="Z1196">
        <v>14</v>
      </c>
      <c r="AA1196">
        <v>3</v>
      </c>
      <c r="AB1196">
        <v>3</v>
      </c>
      <c r="AC1196">
        <v>80</v>
      </c>
      <c r="AD1196">
        <v>3</v>
      </c>
      <c r="AE1196" s="5">
        <v>29</v>
      </c>
      <c r="AF1196" t="str">
        <f t="shared" si="128"/>
        <v>&gt;15</v>
      </c>
      <c r="AG1196">
        <v>2</v>
      </c>
      <c r="AH1196">
        <v>3</v>
      </c>
      <c r="AI1196" s="5">
        <v>3</v>
      </c>
      <c r="AJ1196">
        <v>2</v>
      </c>
      <c r="AK1196">
        <v>1</v>
      </c>
      <c r="AL1196">
        <v>2</v>
      </c>
      <c r="AM1196" t="str">
        <f t="shared" si="129"/>
        <v>Ok</v>
      </c>
      <c r="AN1196" s="21">
        <f t="shared" si="130"/>
        <v>26.353790613718413</v>
      </c>
      <c r="AO1196" t="str">
        <f t="shared" ca="1" si="131"/>
        <v>No</v>
      </c>
      <c r="AP1196" t="str">
        <f t="shared" si="132"/>
        <v>Low Risk</v>
      </c>
    </row>
    <row r="1197" spans="1:42" x14ac:dyDescent="0.3">
      <c r="A1197" s="5">
        <v>49</v>
      </c>
      <c r="B1197" s="5" t="s">
        <v>43</v>
      </c>
      <c r="C1197" s="5" t="str">
        <f t="shared" si="126"/>
        <v>No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 s="5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 s="5">
        <v>15379</v>
      </c>
      <c r="U1197">
        <v>22384</v>
      </c>
      <c r="V1197">
        <v>4</v>
      </c>
      <c r="W1197" t="s">
        <v>42</v>
      </c>
      <c r="X1197" t="s">
        <v>43</v>
      </c>
      <c r="Y1197" t="str">
        <f t="shared" si="127"/>
        <v>No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 s="5">
        <v>23</v>
      </c>
      <c r="AF1197" t="str">
        <f t="shared" si="128"/>
        <v>&gt;15</v>
      </c>
      <c r="AG1197">
        <v>2</v>
      </c>
      <c r="AH1197">
        <v>3</v>
      </c>
      <c r="AI1197" s="5">
        <v>8</v>
      </c>
      <c r="AJ1197">
        <v>7</v>
      </c>
      <c r="AK1197">
        <v>0</v>
      </c>
      <c r="AL1197">
        <v>0</v>
      </c>
      <c r="AM1197" t="str">
        <f t="shared" si="129"/>
        <v>Ok</v>
      </c>
      <c r="AN1197" s="21">
        <f t="shared" si="130"/>
        <v>26.44927536231884</v>
      </c>
      <c r="AO1197" t="str">
        <f t="shared" ca="1" si="131"/>
        <v>No</v>
      </c>
      <c r="AP1197" t="str">
        <f t="shared" si="132"/>
        <v>Low Risk</v>
      </c>
    </row>
    <row r="1198" spans="1:42" x14ac:dyDescent="0.3">
      <c r="A1198" s="5">
        <v>41</v>
      </c>
      <c r="B1198" s="5" t="s">
        <v>43</v>
      </c>
      <c r="C1198" s="5" t="str">
        <f t="shared" si="126"/>
        <v>No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 s="5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 s="5">
        <v>7082</v>
      </c>
      <c r="U1198">
        <v>11591</v>
      </c>
      <c r="V1198">
        <v>3</v>
      </c>
      <c r="W1198" t="s">
        <v>42</v>
      </c>
      <c r="X1198" t="s">
        <v>35</v>
      </c>
      <c r="Y1198" t="str">
        <f t="shared" si="127"/>
        <v>Yes</v>
      </c>
      <c r="Z1198">
        <v>16</v>
      </c>
      <c r="AA1198">
        <v>3</v>
      </c>
      <c r="AB1198">
        <v>4</v>
      </c>
      <c r="AC1198">
        <v>80</v>
      </c>
      <c r="AD1198">
        <v>0</v>
      </c>
      <c r="AE1198" s="5">
        <v>21</v>
      </c>
      <c r="AF1198" t="str">
        <f t="shared" si="128"/>
        <v>&gt;15</v>
      </c>
      <c r="AG1198">
        <v>2</v>
      </c>
      <c r="AH1198">
        <v>3</v>
      </c>
      <c r="AI1198" s="5">
        <v>2</v>
      </c>
      <c r="AJ1198">
        <v>0</v>
      </c>
      <c r="AK1198">
        <v>0</v>
      </c>
      <c r="AL1198">
        <v>2</v>
      </c>
      <c r="AM1198" t="str">
        <f t="shared" si="129"/>
        <v>Ok</v>
      </c>
      <c r="AN1198" s="21">
        <f t="shared" si="130"/>
        <v>26.545454545454543</v>
      </c>
      <c r="AO1198" t="str">
        <f t="shared" ca="1" si="131"/>
        <v>No</v>
      </c>
      <c r="AP1198" t="str">
        <f t="shared" si="132"/>
        <v>Low Risk</v>
      </c>
    </row>
    <row r="1199" spans="1:42" x14ac:dyDescent="0.3">
      <c r="A1199" s="5">
        <v>20</v>
      </c>
      <c r="B1199" s="5" t="s">
        <v>43</v>
      </c>
      <c r="C1199" s="5" t="str">
        <f t="shared" si="126"/>
        <v>No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 s="5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 s="5">
        <v>2728</v>
      </c>
      <c r="U1199">
        <v>21082</v>
      </c>
      <c r="V1199">
        <v>1</v>
      </c>
      <c r="W1199" t="s">
        <v>42</v>
      </c>
      <c r="X1199" t="s">
        <v>43</v>
      </c>
      <c r="Y1199" t="str">
        <f t="shared" si="127"/>
        <v>No</v>
      </c>
      <c r="Z1199">
        <v>11</v>
      </c>
      <c r="AA1199">
        <v>3</v>
      </c>
      <c r="AB1199">
        <v>1</v>
      </c>
      <c r="AC1199">
        <v>80</v>
      </c>
      <c r="AD1199">
        <v>0</v>
      </c>
      <c r="AE1199" s="5">
        <v>2</v>
      </c>
      <c r="AF1199" t="str">
        <f t="shared" si="128"/>
        <v>0-5</v>
      </c>
      <c r="AG1199">
        <v>3</v>
      </c>
      <c r="AH1199">
        <v>3</v>
      </c>
      <c r="AI1199" s="5">
        <v>2</v>
      </c>
      <c r="AJ1199">
        <v>2</v>
      </c>
      <c r="AK1199">
        <v>0</v>
      </c>
      <c r="AL1199">
        <v>2</v>
      </c>
      <c r="AM1199" t="str">
        <f t="shared" si="129"/>
        <v>Below Avg</v>
      </c>
      <c r="AN1199" s="21">
        <f t="shared" si="130"/>
        <v>26.642335766423358</v>
      </c>
      <c r="AO1199" t="str">
        <f t="shared" ca="1" si="131"/>
        <v>No</v>
      </c>
      <c r="AP1199" t="str">
        <f t="shared" si="132"/>
        <v>Low Risk</v>
      </c>
    </row>
    <row r="1200" spans="1:42" x14ac:dyDescent="0.3">
      <c r="A1200" s="5">
        <v>33</v>
      </c>
      <c r="B1200" s="5" t="s">
        <v>43</v>
      </c>
      <c r="C1200" s="5" t="str">
        <f t="shared" si="126"/>
        <v>No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 s="5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 s="5">
        <v>5368</v>
      </c>
      <c r="U1200">
        <v>16130</v>
      </c>
      <c r="V1200">
        <v>1</v>
      </c>
      <c r="W1200" t="s">
        <v>42</v>
      </c>
      <c r="X1200" t="s">
        <v>35</v>
      </c>
      <c r="Y1200" t="str">
        <f t="shared" si="127"/>
        <v>Yes</v>
      </c>
      <c r="Z1200">
        <v>25</v>
      </c>
      <c r="AA1200">
        <v>4</v>
      </c>
      <c r="AB1200">
        <v>3</v>
      </c>
      <c r="AC1200">
        <v>80</v>
      </c>
      <c r="AD1200">
        <v>1</v>
      </c>
      <c r="AE1200" s="5">
        <v>7</v>
      </c>
      <c r="AF1200" t="str">
        <f t="shared" si="128"/>
        <v>6-15</v>
      </c>
      <c r="AG1200">
        <v>2</v>
      </c>
      <c r="AH1200">
        <v>3</v>
      </c>
      <c r="AI1200" s="5">
        <v>6</v>
      </c>
      <c r="AJ1200">
        <v>5</v>
      </c>
      <c r="AK1200">
        <v>1</v>
      </c>
      <c r="AL1200">
        <v>2</v>
      </c>
      <c r="AM1200" t="str">
        <f t="shared" si="129"/>
        <v>Below Avg</v>
      </c>
      <c r="AN1200" s="21">
        <f t="shared" si="130"/>
        <v>26.373626373626376</v>
      </c>
      <c r="AO1200" t="str">
        <f t="shared" ca="1" si="131"/>
        <v>No</v>
      </c>
      <c r="AP1200" t="str">
        <f t="shared" si="132"/>
        <v>Low Risk</v>
      </c>
    </row>
    <row r="1201" spans="1:42" x14ac:dyDescent="0.3">
      <c r="A1201" s="5">
        <v>36</v>
      </c>
      <c r="B1201" s="5" t="s">
        <v>43</v>
      </c>
      <c r="C1201" s="5" t="str">
        <f t="shared" si="126"/>
        <v>No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 s="5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 s="5">
        <v>5347</v>
      </c>
      <c r="U1201">
        <v>7419</v>
      </c>
      <c r="V1201">
        <v>6</v>
      </c>
      <c r="W1201" t="s">
        <v>42</v>
      </c>
      <c r="X1201" t="s">
        <v>43</v>
      </c>
      <c r="Y1201" t="str">
        <f t="shared" si="127"/>
        <v>No</v>
      </c>
      <c r="Z1201">
        <v>14</v>
      </c>
      <c r="AA1201">
        <v>3</v>
      </c>
      <c r="AB1201">
        <v>2</v>
      </c>
      <c r="AC1201">
        <v>80</v>
      </c>
      <c r="AD1201">
        <v>2</v>
      </c>
      <c r="AE1201" s="5">
        <v>10</v>
      </c>
      <c r="AF1201" t="str">
        <f t="shared" si="128"/>
        <v>6-15</v>
      </c>
      <c r="AG1201">
        <v>2</v>
      </c>
      <c r="AH1201">
        <v>2</v>
      </c>
      <c r="AI1201" s="5">
        <v>3</v>
      </c>
      <c r="AJ1201">
        <v>2</v>
      </c>
      <c r="AK1201">
        <v>0</v>
      </c>
      <c r="AL1201">
        <v>2</v>
      </c>
      <c r="AM1201" t="str">
        <f t="shared" si="129"/>
        <v>Below Avg</v>
      </c>
      <c r="AN1201" s="21">
        <f t="shared" si="130"/>
        <v>26.47058823529412</v>
      </c>
      <c r="AO1201" t="str">
        <f t="shared" ca="1" si="131"/>
        <v>No</v>
      </c>
      <c r="AP1201" t="str">
        <f t="shared" si="132"/>
        <v>Low Risk</v>
      </c>
    </row>
    <row r="1202" spans="1:42" x14ac:dyDescent="0.3">
      <c r="A1202" s="5">
        <v>44</v>
      </c>
      <c r="B1202" s="5" t="s">
        <v>43</v>
      </c>
      <c r="C1202" s="5" t="str">
        <f t="shared" si="126"/>
        <v>No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 s="5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 s="5">
        <v>3195</v>
      </c>
      <c r="U1202">
        <v>4167</v>
      </c>
      <c r="V1202">
        <v>4</v>
      </c>
      <c r="W1202" t="s">
        <v>42</v>
      </c>
      <c r="X1202" t="s">
        <v>35</v>
      </c>
      <c r="Y1202" t="str">
        <f t="shared" si="127"/>
        <v>Yes</v>
      </c>
      <c r="Z1202">
        <v>18</v>
      </c>
      <c r="AA1202">
        <v>3</v>
      </c>
      <c r="AB1202">
        <v>1</v>
      </c>
      <c r="AC1202">
        <v>80</v>
      </c>
      <c r="AD1202">
        <v>3</v>
      </c>
      <c r="AE1202" s="5">
        <v>8</v>
      </c>
      <c r="AF1202" t="str">
        <f t="shared" si="128"/>
        <v>6-15</v>
      </c>
      <c r="AG1202">
        <v>2</v>
      </c>
      <c r="AH1202">
        <v>3</v>
      </c>
      <c r="AI1202" s="5">
        <v>2</v>
      </c>
      <c r="AJ1202">
        <v>2</v>
      </c>
      <c r="AK1202">
        <v>2</v>
      </c>
      <c r="AL1202">
        <v>2</v>
      </c>
      <c r="AM1202" t="str">
        <f t="shared" si="129"/>
        <v>Below Avg</v>
      </c>
      <c r="AN1202" s="21">
        <f t="shared" si="130"/>
        <v>26.199261992619927</v>
      </c>
      <c r="AO1202" t="str">
        <f t="shared" ca="1" si="131"/>
        <v>No</v>
      </c>
      <c r="AP1202" t="str">
        <f t="shared" si="132"/>
        <v>Low Risk</v>
      </c>
    </row>
    <row r="1203" spans="1:42" x14ac:dyDescent="0.3">
      <c r="A1203" s="5">
        <v>23</v>
      </c>
      <c r="B1203" s="5" t="s">
        <v>35</v>
      </c>
      <c r="C1203" s="5" t="str">
        <f t="shared" si="126"/>
        <v>Yes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 s="5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 s="5">
        <v>3989</v>
      </c>
      <c r="U1203">
        <v>20586</v>
      </c>
      <c r="V1203">
        <v>1</v>
      </c>
      <c r="W1203" t="s">
        <v>42</v>
      </c>
      <c r="X1203" t="s">
        <v>35</v>
      </c>
      <c r="Y1203" t="str">
        <f t="shared" si="127"/>
        <v>Yes</v>
      </c>
      <c r="Z1203">
        <v>11</v>
      </c>
      <c r="AA1203">
        <v>3</v>
      </c>
      <c r="AB1203">
        <v>1</v>
      </c>
      <c r="AC1203">
        <v>80</v>
      </c>
      <c r="AD1203">
        <v>0</v>
      </c>
      <c r="AE1203" s="5">
        <v>5</v>
      </c>
      <c r="AF1203" t="str">
        <f t="shared" si="128"/>
        <v>0-5</v>
      </c>
      <c r="AG1203">
        <v>2</v>
      </c>
      <c r="AH1203">
        <v>3</v>
      </c>
      <c r="AI1203" s="5">
        <v>5</v>
      </c>
      <c r="AJ1203">
        <v>4</v>
      </c>
      <c r="AK1203">
        <v>1</v>
      </c>
      <c r="AL1203">
        <v>2</v>
      </c>
      <c r="AM1203" t="str">
        <f t="shared" si="129"/>
        <v>Below Avg</v>
      </c>
      <c r="AN1203" s="21">
        <f t="shared" si="130"/>
        <v>26.296296296296294</v>
      </c>
      <c r="AO1203" t="str">
        <f t="shared" ca="1" si="131"/>
        <v>No</v>
      </c>
      <c r="AP1203" t="str">
        <f t="shared" si="132"/>
        <v>Low Risk</v>
      </c>
    </row>
    <row r="1204" spans="1:42" x14ac:dyDescent="0.3">
      <c r="A1204" s="5">
        <v>38</v>
      </c>
      <c r="B1204" s="5" t="s">
        <v>43</v>
      </c>
      <c r="C1204" s="5" t="str">
        <f t="shared" si="126"/>
        <v>No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 s="5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 s="5">
        <v>3306</v>
      </c>
      <c r="U1204">
        <v>26176</v>
      </c>
      <c r="V1204">
        <v>7</v>
      </c>
      <c r="W1204" t="s">
        <v>42</v>
      </c>
      <c r="X1204" t="s">
        <v>43</v>
      </c>
      <c r="Y1204" t="str">
        <f t="shared" si="127"/>
        <v>No</v>
      </c>
      <c r="Z1204">
        <v>19</v>
      </c>
      <c r="AA1204">
        <v>3</v>
      </c>
      <c r="AB1204">
        <v>4</v>
      </c>
      <c r="AC1204">
        <v>80</v>
      </c>
      <c r="AD1204">
        <v>1</v>
      </c>
      <c r="AE1204" s="5">
        <v>7</v>
      </c>
      <c r="AF1204" t="str">
        <f t="shared" si="128"/>
        <v>6-15</v>
      </c>
      <c r="AG1204">
        <v>5</v>
      </c>
      <c r="AH1204">
        <v>2</v>
      </c>
      <c r="AI1204" s="5">
        <v>0</v>
      </c>
      <c r="AJ1204">
        <v>0</v>
      </c>
      <c r="AK1204">
        <v>0</v>
      </c>
      <c r="AL1204">
        <v>0</v>
      </c>
      <c r="AM1204" t="str">
        <f t="shared" si="129"/>
        <v>Below Avg</v>
      </c>
      <c r="AN1204" s="21">
        <f t="shared" si="130"/>
        <v>26.022304832713754</v>
      </c>
      <c r="AO1204" t="str">
        <f t="shared" ca="1" si="131"/>
        <v>No</v>
      </c>
      <c r="AP1204" t="str">
        <f t="shared" si="132"/>
        <v>Low Risk</v>
      </c>
    </row>
    <row r="1205" spans="1:42" x14ac:dyDescent="0.3">
      <c r="A1205" s="5">
        <v>53</v>
      </c>
      <c r="B1205" s="5" t="s">
        <v>43</v>
      </c>
      <c r="C1205" s="5" t="str">
        <f t="shared" si="126"/>
        <v>No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 s="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 s="5">
        <v>7005</v>
      </c>
      <c r="U1205">
        <v>3458</v>
      </c>
      <c r="V1205">
        <v>3</v>
      </c>
      <c r="W1205" t="s">
        <v>42</v>
      </c>
      <c r="X1205" t="s">
        <v>43</v>
      </c>
      <c r="Y1205" t="str">
        <f t="shared" si="127"/>
        <v>No</v>
      </c>
      <c r="Z1205">
        <v>15</v>
      </c>
      <c r="AA1205">
        <v>3</v>
      </c>
      <c r="AB1205">
        <v>3</v>
      </c>
      <c r="AC1205">
        <v>80</v>
      </c>
      <c r="AD1205">
        <v>0</v>
      </c>
      <c r="AE1205" s="5">
        <v>11</v>
      </c>
      <c r="AF1205" t="str">
        <f t="shared" si="128"/>
        <v>6-15</v>
      </c>
      <c r="AG1205">
        <v>2</v>
      </c>
      <c r="AH1205">
        <v>3</v>
      </c>
      <c r="AI1205" s="5">
        <v>4</v>
      </c>
      <c r="AJ1205">
        <v>3</v>
      </c>
      <c r="AK1205">
        <v>1</v>
      </c>
      <c r="AL1205">
        <v>2</v>
      </c>
      <c r="AM1205" t="str">
        <f t="shared" si="129"/>
        <v>Ok</v>
      </c>
      <c r="AN1205" s="21">
        <f t="shared" si="130"/>
        <v>25.746268656716421</v>
      </c>
      <c r="AO1205" t="str">
        <f t="shared" ca="1" si="131"/>
        <v>No</v>
      </c>
      <c r="AP1205" t="str">
        <f t="shared" si="132"/>
        <v>Low Risk</v>
      </c>
    </row>
    <row r="1206" spans="1:42" x14ac:dyDescent="0.3">
      <c r="A1206" s="5">
        <v>48</v>
      </c>
      <c r="B1206" s="5" t="s">
        <v>35</v>
      </c>
      <c r="C1206" s="5" t="str">
        <f t="shared" si="126"/>
        <v>Yes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 s="5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 s="5">
        <v>2655</v>
      </c>
      <c r="U1206">
        <v>11740</v>
      </c>
      <c r="V1206">
        <v>2</v>
      </c>
      <c r="W1206" t="s">
        <v>42</v>
      </c>
      <c r="X1206" t="s">
        <v>35</v>
      </c>
      <c r="Y1206" t="str">
        <f t="shared" si="127"/>
        <v>Yes</v>
      </c>
      <c r="Z1206">
        <v>11</v>
      </c>
      <c r="AA1206">
        <v>3</v>
      </c>
      <c r="AB1206">
        <v>3</v>
      </c>
      <c r="AC1206">
        <v>80</v>
      </c>
      <c r="AD1206">
        <v>2</v>
      </c>
      <c r="AE1206" s="5">
        <v>19</v>
      </c>
      <c r="AF1206" t="str">
        <f t="shared" si="128"/>
        <v>&gt;15</v>
      </c>
      <c r="AG1206">
        <v>3</v>
      </c>
      <c r="AH1206">
        <v>3</v>
      </c>
      <c r="AI1206" s="5">
        <v>9</v>
      </c>
      <c r="AJ1206">
        <v>7</v>
      </c>
      <c r="AK1206">
        <v>7</v>
      </c>
      <c r="AL1206">
        <v>7</v>
      </c>
      <c r="AM1206" t="str">
        <f t="shared" si="129"/>
        <v>Below Avg</v>
      </c>
      <c r="AN1206" s="21">
        <f t="shared" si="130"/>
        <v>25.842696629213485</v>
      </c>
      <c r="AO1206" t="str">
        <f t="shared" ca="1" si="131"/>
        <v>No</v>
      </c>
      <c r="AP1206" t="str">
        <f t="shared" si="132"/>
        <v>Low Risk</v>
      </c>
    </row>
    <row r="1207" spans="1:42" x14ac:dyDescent="0.3">
      <c r="A1207" s="5">
        <v>32</v>
      </c>
      <c r="B1207" s="5" t="s">
        <v>35</v>
      </c>
      <c r="C1207" s="5" t="str">
        <f t="shared" si="126"/>
        <v>Yes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 s="5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 s="5">
        <v>1393</v>
      </c>
      <c r="U1207">
        <v>24852</v>
      </c>
      <c r="V1207">
        <v>1</v>
      </c>
      <c r="W1207" t="s">
        <v>42</v>
      </c>
      <c r="X1207" t="s">
        <v>43</v>
      </c>
      <c r="Y1207" t="str">
        <f t="shared" si="127"/>
        <v>No</v>
      </c>
      <c r="Z1207">
        <v>12</v>
      </c>
      <c r="AA1207">
        <v>3</v>
      </c>
      <c r="AB1207">
        <v>1</v>
      </c>
      <c r="AC1207">
        <v>80</v>
      </c>
      <c r="AD1207">
        <v>0</v>
      </c>
      <c r="AE1207" s="5">
        <v>1</v>
      </c>
      <c r="AF1207" t="str">
        <f t="shared" si="128"/>
        <v>0-5</v>
      </c>
      <c r="AG1207">
        <v>2</v>
      </c>
      <c r="AH1207">
        <v>3</v>
      </c>
      <c r="AI1207" s="5">
        <v>1</v>
      </c>
      <c r="AJ1207">
        <v>0</v>
      </c>
      <c r="AK1207">
        <v>0</v>
      </c>
      <c r="AL1207">
        <v>0</v>
      </c>
      <c r="AM1207" t="str">
        <f t="shared" si="129"/>
        <v>Below Avg</v>
      </c>
      <c r="AN1207" s="21">
        <f t="shared" si="130"/>
        <v>25.939849624060152</v>
      </c>
      <c r="AO1207" t="str">
        <f t="shared" ca="1" si="131"/>
        <v>No</v>
      </c>
      <c r="AP1207" t="str">
        <f t="shared" si="132"/>
        <v>High Risk</v>
      </c>
    </row>
    <row r="1208" spans="1:42" x14ac:dyDescent="0.3">
      <c r="A1208" s="5">
        <v>26</v>
      </c>
      <c r="B1208" s="5" t="s">
        <v>43</v>
      </c>
      <c r="C1208" s="5" t="str">
        <f t="shared" si="126"/>
        <v>No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 s="5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 s="5">
        <v>2570</v>
      </c>
      <c r="U1208">
        <v>11925</v>
      </c>
      <c r="V1208">
        <v>1</v>
      </c>
      <c r="W1208" t="s">
        <v>42</v>
      </c>
      <c r="X1208" t="s">
        <v>43</v>
      </c>
      <c r="Y1208" t="str">
        <f t="shared" si="127"/>
        <v>No</v>
      </c>
      <c r="Z1208">
        <v>20</v>
      </c>
      <c r="AA1208">
        <v>4</v>
      </c>
      <c r="AB1208">
        <v>3</v>
      </c>
      <c r="AC1208">
        <v>80</v>
      </c>
      <c r="AD1208">
        <v>0</v>
      </c>
      <c r="AE1208" s="5">
        <v>7</v>
      </c>
      <c r="AF1208" t="str">
        <f t="shared" si="128"/>
        <v>6-15</v>
      </c>
      <c r="AG1208">
        <v>5</v>
      </c>
      <c r="AH1208">
        <v>3</v>
      </c>
      <c r="AI1208" s="5">
        <v>7</v>
      </c>
      <c r="AJ1208">
        <v>7</v>
      </c>
      <c r="AK1208">
        <v>5</v>
      </c>
      <c r="AL1208">
        <v>7</v>
      </c>
      <c r="AM1208" t="str">
        <f t="shared" si="129"/>
        <v>Below Avg</v>
      </c>
      <c r="AN1208" s="21">
        <f t="shared" si="130"/>
        <v>25.660377358490567</v>
      </c>
      <c r="AO1208" t="str">
        <f t="shared" ca="1" si="131"/>
        <v>No</v>
      </c>
      <c r="AP1208" t="str">
        <f t="shared" si="132"/>
        <v>Low Risk</v>
      </c>
    </row>
    <row r="1209" spans="1:42" x14ac:dyDescent="0.3">
      <c r="A1209" s="5">
        <v>55</v>
      </c>
      <c r="B1209" s="5" t="s">
        <v>43</v>
      </c>
      <c r="C1209" s="5" t="str">
        <f t="shared" si="126"/>
        <v>No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 s="5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 s="5">
        <v>3537</v>
      </c>
      <c r="U1209">
        <v>23737</v>
      </c>
      <c r="V1209">
        <v>5</v>
      </c>
      <c r="W1209" t="s">
        <v>42</v>
      </c>
      <c r="X1209" t="s">
        <v>43</v>
      </c>
      <c r="Y1209" t="str">
        <f t="shared" si="127"/>
        <v>No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 s="5">
        <v>8</v>
      </c>
      <c r="AF1209" t="str">
        <f t="shared" si="128"/>
        <v>6-15</v>
      </c>
      <c r="AG1209">
        <v>1</v>
      </c>
      <c r="AH1209">
        <v>3</v>
      </c>
      <c r="AI1209" s="5">
        <v>4</v>
      </c>
      <c r="AJ1209">
        <v>2</v>
      </c>
      <c r="AK1209">
        <v>1</v>
      </c>
      <c r="AL1209">
        <v>2</v>
      </c>
      <c r="AM1209" t="str">
        <f t="shared" si="129"/>
        <v>Below Avg</v>
      </c>
      <c r="AN1209" s="21">
        <f t="shared" si="130"/>
        <v>25.757575757575758</v>
      </c>
      <c r="AO1209" t="str">
        <f t="shared" ca="1" si="131"/>
        <v>No</v>
      </c>
      <c r="AP1209" t="str">
        <f t="shared" si="132"/>
        <v>Low Risk</v>
      </c>
    </row>
    <row r="1210" spans="1:42" x14ac:dyDescent="0.3">
      <c r="A1210" s="5">
        <v>34</v>
      </c>
      <c r="B1210" s="5" t="s">
        <v>43</v>
      </c>
      <c r="C1210" s="5" t="str">
        <f t="shared" si="126"/>
        <v>No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 s="5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 s="5">
        <v>3986</v>
      </c>
      <c r="U1210">
        <v>11912</v>
      </c>
      <c r="V1210">
        <v>1</v>
      </c>
      <c r="W1210" t="s">
        <v>42</v>
      </c>
      <c r="X1210" t="s">
        <v>43</v>
      </c>
      <c r="Y1210" t="str">
        <f t="shared" si="127"/>
        <v>No</v>
      </c>
      <c r="Z1210">
        <v>14</v>
      </c>
      <c r="AA1210">
        <v>3</v>
      </c>
      <c r="AB1210">
        <v>3</v>
      </c>
      <c r="AC1210">
        <v>80</v>
      </c>
      <c r="AD1210">
        <v>1</v>
      </c>
      <c r="AE1210" s="5">
        <v>15</v>
      </c>
      <c r="AF1210" t="str">
        <f t="shared" si="128"/>
        <v>6-15</v>
      </c>
      <c r="AG1210">
        <v>3</v>
      </c>
      <c r="AH1210">
        <v>4</v>
      </c>
      <c r="AI1210" s="5">
        <v>15</v>
      </c>
      <c r="AJ1210">
        <v>10</v>
      </c>
      <c r="AK1210">
        <v>4</v>
      </c>
      <c r="AL1210">
        <v>13</v>
      </c>
      <c r="AM1210" t="str">
        <f t="shared" si="129"/>
        <v>Below Avg</v>
      </c>
      <c r="AN1210" s="21">
        <f t="shared" si="130"/>
        <v>25.85551330798479</v>
      </c>
      <c r="AO1210" t="str">
        <f t="shared" ca="1" si="131"/>
        <v>No</v>
      </c>
      <c r="AP1210" t="str">
        <f t="shared" si="132"/>
        <v>Low Risk</v>
      </c>
    </row>
    <row r="1211" spans="1:42" x14ac:dyDescent="0.3">
      <c r="A1211" s="5">
        <v>60</v>
      </c>
      <c r="B1211" s="5" t="s">
        <v>43</v>
      </c>
      <c r="C1211" s="5" t="str">
        <f t="shared" si="126"/>
        <v>No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 s="5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 s="5">
        <v>10883</v>
      </c>
      <c r="U1211">
        <v>20467</v>
      </c>
      <c r="V1211">
        <v>3</v>
      </c>
      <c r="W1211" t="s">
        <v>42</v>
      </c>
      <c r="X1211" t="s">
        <v>43</v>
      </c>
      <c r="Y1211" t="str">
        <f t="shared" si="127"/>
        <v>No</v>
      </c>
      <c r="Z1211">
        <v>20</v>
      </c>
      <c r="AA1211">
        <v>4</v>
      </c>
      <c r="AB1211">
        <v>3</v>
      </c>
      <c r="AC1211">
        <v>80</v>
      </c>
      <c r="AD1211">
        <v>1</v>
      </c>
      <c r="AE1211" s="5">
        <v>19</v>
      </c>
      <c r="AF1211" t="str">
        <f t="shared" si="128"/>
        <v>&gt;15</v>
      </c>
      <c r="AG1211">
        <v>2</v>
      </c>
      <c r="AH1211">
        <v>4</v>
      </c>
      <c r="AI1211" s="5">
        <v>1</v>
      </c>
      <c r="AJ1211">
        <v>0</v>
      </c>
      <c r="AK1211">
        <v>0</v>
      </c>
      <c r="AL1211">
        <v>0</v>
      </c>
      <c r="AM1211" t="str">
        <f t="shared" si="129"/>
        <v>Ok</v>
      </c>
      <c r="AN1211" s="21">
        <f t="shared" si="130"/>
        <v>25.954198473282442</v>
      </c>
      <c r="AO1211" t="str">
        <f t="shared" ca="1" si="131"/>
        <v>No</v>
      </c>
      <c r="AP1211" t="str">
        <f t="shared" si="132"/>
        <v>Low Risk</v>
      </c>
    </row>
    <row r="1212" spans="1:42" x14ac:dyDescent="0.3">
      <c r="A1212" s="5">
        <v>33</v>
      </c>
      <c r="B1212" s="5" t="s">
        <v>43</v>
      </c>
      <c r="C1212" s="5" t="str">
        <f t="shared" si="126"/>
        <v>No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 s="5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 s="5">
        <v>2028</v>
      </c>
      <c r="U1212">
        <v>13637</v>
      </c>
      <c r="V1212">
        <v>1</v>
      </c>
      <c r="W1212" t="s">
        <v>42</v>
      </c>
      <c r="X1212" t="s">
        <v>43</v>
      </c>
      <c r="Y1212" t="str">
        <f t="shared" si="127"/>
        <v>No</v>
      </c>
      <c r="Z1212">
        <v>18</v>
      </c>
      <c r="AA1212">
        <v>3</v>
      </c>
      <c r="AB1212">
        <v>4</v>
      </c>
      <c r="AC1212">
        <v>80</v>
      </c>
      <c r="AD1212">
        <v>3</v>
      </c>
      <c r="AE1212" s="5">
        <v>14</v>
      </c>
      <c r="AF1212" t="str">
        <f t="shared" si="128"/>
        <v>6-15</v>
      </c>
      <c r="AG1212">
        <v>6</v>
      </c>
      <c r="AH1212">
        <v>3</v>
      </c>
      <c r="AI1212" s="5">
        <v>14</v>
      </c>
      <c r="AJ1212">
        <v>11</v>
      </c>
      <c r="AK1212">
        <v>2</v>
      </c>
      <c r="AL1212">
        <v>13</v>
      </c>
      <c r="AM1212" t="str">
        <f t="shared" si="129"/>
        <v>Below Avg</v>
      </c>
      <c r="AN1212" s="21">
        <f t="shared" si="130"/>
        <v>26.053639846743295</v>
      </c>
      <c r="AO1212" t="str">
        <f t="shared" ca="1" si="131"/>
        <v>No</v>
      </c>
      <c r="AP1212" t="str">
        <f t="shared" si="132"/>
        <v>Low Risk</v>
      </c>
    </row>
    <row r="1213" spans="1:42" x14ac:dyDescent="0.3">
      <c r="A1213" s="5">
        <v>37</v>
      </c>
      <c r="B1213" s="5" t="s">
        <v>43</v>
      </c>
      <c r="C1213" s="5" t="str">
        <f t="shared" si="126"/>
        <v>No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 s="5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 s="5">
        <v>9525</v>
      </c>
      <c r="U1213">
        <v>7677</v>
      </c>
      <c r="V1213">
        <v>1</v>
      </c>
      <c r="W1213" t="s">
        <v>42</v>
      </c>
      <c r="X1213" t="s">
        <v>43</v>
      </c>
      <c r="Y1213" t="str">
        <f t="shared" si="127"/>
        <v>No</v>
      </c>
      <c r="Z1213">
        <v>14</v>
      </c>
      <c r="AA1213">
        <v>3</v>
      </c>
      <c r="AB1213">
        <v>3</v>
      </c>
      <c r="AC1213">
        <v>80</v>
      </c>
      <c r="AD1213">
        <v>2</v>
      </c>
      <c r="AE1213" s="5">
        <v>6</v>
      </c>
      <c r="AF1213" t="str">
        <f t="shared" si="128"/>
        <v>6-15</v>
      </c>
      <c r="AG1213">
        <v>2</v>
      </c>
      <c r="AH1213">
        <v>2</v>
      </c>
      <c r="AI1213" s="5">
        <v>6</v>
      </c>
      <c r="AJ1213">
        <v>3</v>
      </c>
      <c r="AK1213">
        <v>1</v>
      </c>
      <c r="AL1213">
        <v>3</v>
      </c>
      <c r="AM1213" t="str">
        <f t="shared" si="129"/>
        <v>Ok</v>
      </c>
      <c r="AN1213" s="21">
        <f t="shared" si="130"/>
        <v>26.153846153846157</v>
      </c>
      <c r="AO1213" t="str">
        <f t="shared" ca="1" si="131"/>
        <v>No</v>
      </c>
      <c r="AP1213" t="str">
        <f t="shared" si="132"/>
        <v>Low Risk</v>
      </c>
    </row>
    <row r="1214" spans="1:42" x14ac:dyDescent="0.3">
      <c r="A1214" s="5">
        <v>34</v>
      </c>
      <c r="B1214" s="5" t="s">
        <v>43</v>
      </c>
      <c r="C1214" s="5" t="str">
        <f t="shared" si="126"/>
        <v>No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 s="5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 s="5">
        <v>2929</v>
      </c>
      <c r="U1214">
        <v>20338</v>
      </c>
      <c r="V1214">
        <v>1</v>
      </c>
      <c r="W1214" t="s">
        <v>42</v>
      </c>
      <c r="X1214" t="s">
        <v>43</v>
      </c>
      <c r="Y1214" t="str">
        <f t="shared" si="127"/>
        <v>No</v>
      </c>
      <c r="Z1214">
        <v>12</v>
      </c>
      <c r="AA1214">
        <v>3</v>
      </c>
      <c r="AB1214">
        <v>2</v>
      </c>
      <c r="AC1214">
        <v>80</v>
      </c>
      <c r="AD1214">
        <v>0</v>
      </c>
      <c r="AE1214" s="5">
        <v>10</v>
      </c>
      <c r="AF1214" t="str">
        <f t="shared" si="128"/>
        <v>6-15</v>
      </c>
      <c r="AG1214">
        <v>3</v>
      </c>
      <c r="AH1214">
        <v>3</v>
      </c>
      <c r="AI1214" s="5">
        <v>10</v>
      </c>
      <c r="AJ1214">
        <v>9</v>
      </c>
      <c r="AK1214">
        <v>8</v>
      </c>
      <c r="AL1214">
        <v>7</v>
      </c>
      <c r="AM1214" t="str">
        <f t="shared" si="129"/>
        <v>Below Avg</v>
      </c>
      <c r="AN1214" s="21">
        <f t="shared" si="130"/>
        <v>26.254826254826252</v>
      </c>
      <c r="AO1214" t="str">
        <f t="shared" ca="1" si="131"/>
        <v>No</v>
      </c>
      <c r="AP1214" t="str">
        <f t="shared" si="132"/>
        <v>Low Risk</v>
      </c>
    </row>
    <row r="1215" spans="1:42" x14ac:dyDescent="0.3">
      <c r="A1215" s="5">
        <v>23</v>
      </c>
      <c r="B1215" s="5" t="s">
        <v>35</v>
      </c>
      <c r="C1215" s="5" t="str">
        <f t="shared" si="126"/>
        <v>Yes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 s="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 s="5">
        <v>2275</v>
      </c>
      <c r="U1215">
        <v>25103</v>
      </c>
      <c r="V1215">
        <v>1</v>
      </c>
      <c r="W1215" t="s">
        <v>42</v>
      </c>
      <c r="X1215" t="s">
        <v>35</v>
      </c>
      <c r="Y1215" t="str">
        <f t="shared" si="127"/>
        <v>Yes</v>
      </c>
      <c r="Z1215">
        <v>21</v>
      </c>
      <c r="AA1215">
        <v>4</v>
      </c>
      <c r="AB1215">
        <v>2</v>
      </c>
      <c r="AC1215">
        <v>80</v>
      </c>
      <c r="AD1215">
        <v>1</v>
      </c>
      <c r="AE1215" s="5">
        <v>3</v>
      </c>
      <c r="AF1215" t="str">
        <f t="shared" si="128"/>
        <v>0-5</v>
      </c>
      <c r="AG1215">
        <v>2</v>
      </c>
      <c r="AH1215">
        <v>3</v>
      </c>
      <c r="AI1215" s="5">
        <v>3</v>
      </c>
      <c r="AJ1215">
        <v>2</v>
      </c>
      <c r="AK1215">
        <v>0</v>
      </c>
      <c r="AL1215">
        <v>2</v>
      </c>
      <c r="AM1215" t="str">
        <f t="shared" si="129"/>
        <v>Below Avg</v>
      </c>
      <c r="AN1215" s="21">
        <f t="shared" si="130"/>
        <v>26.356589147286826</v>
      </c>
      <c r="AO1215" t="str">
        <f t="shared" ca="1" si="131"/>
        <v>No</v>
      </c>
      <c r="AP1215" t="str">
        <f t="shared" si="132"/>
        <v>Low Risk</v>
      </c>
    </row>
    <row r="1216" spans="1:42" x14ac:dyDescent="0.3">
      <c r="A1216" s="5">
        <v>44</v>
      </c>
      <c r="B1216" s="5" t="s">
        <v>43</v>
      </c>
      <c r="C1216" s="5" t="str">
        <f t="shared" si="126"/>
        <v>No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 s="5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 s="5">
        <v>7879</v>
      </c>
      <c r="U1216">
        <v>14810</v>
      </c>
      <c r="V1216">
        <v>1</v>
      </c>
      <c r="W1216" t="s">
        <v>42</v>
      </c>
      <c r="X1216" t="s">
        <v>35</v>
      </c>
      <c r="Y1216" t="str">
        <f t="shared" si="127"/>
        <v>Yes</v>
      </c>
      <c r="Z1216">
        <v>19</v>
      </c>
      <c r="AA1216">
        <v>3</v>
      </c>
      <c r="AB1216">
        <v>2</v>
      </c>
      <c r="AC1216">
        <v>80</v>
      </c>
      <c r="AD1216">
        <v>1</v>
      </c>
      <c r="AE1216" s="5">
        <v>9</v>
      </c>
      <c r="AF1216" t="str">
        <f t="shared" si="128"/>
        <v>6-15</v>
      </c>
      <c r="AG1216">
        <v>2</v>
      </c>
      <c r="AH1216">
        <v>3</v>
      </c>
      <c r="AI1216" s="5">
        <v>8</v>
      </c>
      <c r="AJ1216">
        <v>7</v>
      </c>
      <c r="AK1216">
        <v>6</v>
      </c>
      <c r="AL1216">
        <v>7</v>
      </c>
      <c r="AM1216" t="str">
        <f t="shared" si="129"/>
        <v>Ok</v>
      </c>
      <c r="AN1216" s="21">
        <f t="shared" si="130"/>
        <v>26.459143968871597</v>
      </c>
      <c r="AO1216" t="str">
        <f t="shared" ca="1" si="131"/>
        <v>No</v>
      </c>
      <c r="AP1216" t="str">
        <f t="shared" si="132"/>
        <v>Low Risk</v>
      </c>
    </row>
    <row r="1217" spans="1:42" x14ac:dyDescent="0.3">
      <c r="A1217" s="5">
        <v>35</v>
      </c>
      <c r="B1217" s="5" t="s">
        <v>43</v>
      </c>
      <c r="C1217" s="5" t="str">
        <f t="shared" si="126"/>
        <v>No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 s="5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 s="5">
        <v>4930</v>
      </c>
      <c r="U1217">
        <v>13970</v>
      </c>
      <c r="V1217">
        <v>0</v>
      </c>
      <c r="W1217" t="s">
        <v>42</v>
      </c>
      <c r="X1217" t="s">
        <v>35</v>
      </c>
      <c r="Y1217" t="str">
        <f t="shared" si="127"/>
        <v>Yes</v>
      </c>
      <c r="Z1217">
        <v>14</v>
      </c>
      <c r="AA1217">
        <v>3</v>
      </c>
      <c r="AB1217">
        <v>3</v>
      </c>
      <c r="AC1217">
        <v>80</v>
      </c>
      <c r="AD1217">
        <v>0</v>
      </c>
      <c r="AE1217" s="5">
        <v>6</v>
      </c>
      <c r="AF1217" t="str">
        <f t="shared" si="128"/>
        <v>6-15</v>
      </c>
      <c r="AG1217">
        <v>2</v>
      </c>
      <c r="AH1217">
        <v>4</v>
      </c>
      <c r="AI1217" s="5">
        <v>5</v>
      </c>
      <c r="AJ1217">
        <v>4</v>
      </c>
      <c r="AK1217">
        <v>1</v>
      </c>
      <c r="AL1217">
        <v>4</v>
      </c>
      <c r="AM1217" t="str">
        <f t="shared" si="129"/>
        <v>Below Avg</v>
      </c>
      <c r="AN1217" s="21">
        <f t="shared" si="130"/>
        <v>26.171875</v>
      </c>
      <c r="AO1217" t="str">
        <f t="shared" ca="1" si="131"/>
        <v>No</v>
      </c>
      <c r="AP1217" t="str">
        <f t="shared" si="132"/>
        <v>Low Risk</v>
      </c>
    </row>
    <row r="1218" spans="1:42" x14ac:dyDescent="0.3">
      <c r="A1218" s="5">
        <v>43</v>
      </c>
      <c r="B1218" s="5" t="s">
        <v>43</v>
      </c>
      <c r="C1218" s="5" t="str">
        <f t="shared" si="126"/>
        <v>No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 s="5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 s="5">
        <v>7847</v>
      </c>
      <c r="U1218">
        <v>6069</v>
      </c>
      <c r="V1218">
        <v>1</v>
      </c>
      <c r="W1218" t="s">
        <v>42</v>
      </c>
      <c r="X1218" t="s">
        <v>35</v>
      </c>
      <c r="Y1218" t="str">
        <f t="shared" si="127"/>
        <v>Yes</v>
      </c>
      <c r="Z1218">
        <v>17</v>
      </c>
      <c r="AA1218">
        <v>3</v>
      </c>
      <c r="AB1218">
        <v>1</v>
      </c>
      <c r="AC1218">
        <v>80</v>
      </c>
      <c r="AD1218">
        <v>1</v>
      </c>
      <c r="AE1218" s="5">
        <v>10</v>
      </c>
      <c r="AF1218" t="str">
        <f t="shared" si="128"/>
        <v>6-15</v>
      </c>
      <c r="AG1218">
        <v>3</v>
      </c>
      <c r="AH1218">
        <v>3</v>
      </c>
      <c r="AI1218" s="5">
        <v>10</v>
      </c>
      <c r="AJ1218">
        <v>9</v>
      </c>
      <c r="AK1218">
        <v>8</v>
      </c>
      <c r="AL1218">
        <v>8</v>
      </c>
      <c r="AM1218" t="str">
        <f t="shared" si="129"/>
        <v>Ok</v>
      </c>
      <c r="AN1218" s="21">
        <f t="shared" si="130"/>
        <v>25.882352941176475</v>
      </c>
      <c r="AO1218" t="str">
        <f t="shared" ca="1" si="131"/>
        <v>No</v>
      </c>
      <c r="AP1218" t="str">
        <f t="shared" si="132"/>
        <v>Low Risk</v>
      </c>
    </row>
    <row r="1219" spans="1:42" x14ac:dyDescent="0.3">
      <c r="A1219" s="5">
        <v>24</v>
      </c>
      <c r="B1219" s="5" t="s">
        <v>43</v>
      </c>
      <c r="C1219" s="5" t="str">
        <f t="shared" ref="C1219:C1282" si="133">IF(LOWER(B1219)="yes","Yes","No")</f>
        <v>No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 s="5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 s="5">
        <v>4401</v>
      </c>
      <c r="U1219">
        <v>17616</v>
      </c>
      <c r="V1219">
        <v>1</v>
      </c>
      <c r="W1219" t="s">
        <v>42</v>
      </c>
      <c r="X1219" t="s">
        <v>43</v>
      </c>
      <c r="Y1219" t="str">
        <f t="shared" ref="Y1219:Y1282" si="134">IF(LOWER(X1219)="yes","Yes","No")</f>
        <v>No</v>
      </c>
      <c r="Z1219">
        <v>16</v>
      </c>
      <c r="AA1219">
        <v>3</v>
      </c>
      <c r="AB1219">
        <v>4</v>
      </c>
      <c r="AC1219">
        <v>80</v>
      </c>
      <c r="AD1219">
        <v>1</v>
      </c>
      <c r="AE1219" s="5">
        <v>5</v>
      </c>
      <c r="AF1219" t="str">
        <f t="shared" ref="AF1219:AF1282" si="135">IF(AE1219&lt;=5,"0-5",IF(AE1219&lt;=15,"6-15","&gt;15"))</f>
        <v>0-5</v>
      </c>
      <c r="AG1219">
        <v>1</v>
      </c>
      <c r="AH1219">
        <v>3</v>
      </c>
      <c r="AI1219" s="5">
        <v>5</v>
      </c>
      <c r="AJ1219">
        <v>3</v>
      </c>
      <c r="AK1219">
        <v>0</v>
      </c>
      <c r="AL1219">
        <v>4</v>
      </c>
      <c r="AM1219" t="str">
        <f t="shared" ref="AM1219:AM1282" si="136">IF(T1219&lt;AVERAGEIF($F1218:$F2688,F1219,$T1218:$T2688),"Below Avg","Ok")</f>
        <v>Below Avg</v>
      </c>
      <c r="AN1219" s="21">
        <f t="shared" ref="AN1219:AN1282" si="137">COUNTIF(X1218:X2688,"Yes")/COUNTA(X1218:X2688)*100</f>
        <v>25.590551181102363</v>
      </c>
      <c r="AO1219" t="str">
        <f t="shared" ref="AO1219:AO1282" ca="1" si="138">IF(AND(AA1219&gt;=4,Z1219&lt;AVERAGEIF($F1218:$F2688,F1219,$Z1219:$Z2688)),"Yes","No")</f>
        <v>No</v>
      </c>
      <c r="AP1219" t="str">
        <f t="shared" ref="AP1219:AP1282" si="139">IF(AND(AI1219&lt;2,C1219="Yes"),"High Risk","Low Risk")</f>
        <v>Low Risk</v>
      </c>
    </row>
    <row r="1220" spans="1:42" x14ac:dyDescent="0.3">
      <c r="A1220" s="5">
        <v>41</v>
      </c>
      <c r="B1220" s="5" t="s">
        <v>43</v>
      </c>
      <c r="C1220" s="5" t="str">
        <f t="shared" si="133"/>
        <v>No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 s="5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 s="5">
        <v>9241</v>
      </c>
      <c r="U1220">
        <v>15869</v>
      </c>
      <c r="V1220">
        <v>1</v>
      </c>
      <c r="W1220" t="s">
        <v>42</v>
      </c>
      <c r="X1220" t="s">
        <v>43</v>
      </c>
      <c r="Y1220" t="str">
        <f t="shared" si="134"/>
        <v>No</v>
      </c>
      <c r="Z1220">
        <v>12</v>
      </c>
      <c r="AA1220">
        <v>3</v>
      </c>
      <c r="AB1220">
        <v>2</v>
      </c>
      <c r="AC1220">
        <v>80</v>
      </c>
      <c r="AD1220">
        <v>0</v>
      </c>
      <c r="AE1220" s="5">
        <v>10</v>
      </c>
      <c r="AF1220" t="str">
        <f t="shared" si="135"/>
        <v>6-15</v>
      </c>
      <c r="AG1220">
        <v>3</v>
      </c>
      <c r="AH1220">
        <v>3</v>
      </c>
      <c r="AI1220" s="5">
        <v>10</v>
      </c>
      <c r="AJ1220">
        <v>8</v>
      </c>
      <c r="AK1220">
        <v>8</v>
      </c>
      <c r="AL1220">
        <v>7</v>
      </c>
      <c r="AM1220" t="str">
        <f t="shared" si="136"/>
        <v>Ok</v>
      </c>
      <c r="AN1220" s="21">
        <f t="shared" si="137"/>
        <v>25.296442687747035</v>
      </c>
      <c r="AO1220" t="str">
        <f t="shared" ca="1" si="138"/>
        <v>No</v>
      </c>
      <c r="AP1220" t="str">
        <f t="shared" si="139"/>
        <v>Low Risk</v>
      </c>
    </row>
    <row r="1221" spans="1:42" x14ac:dyDescent="0.3">
      <c r="A1221" s="5">
        <v>29</v>
      </c>
      <c r="B1221" s="5" t="s">
        <v>43</v>
      </c>
      <c r="C1221" s="5" t="str">
        <f t="shared" si="133"/>
        <v>No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 s="5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 s="5">
        <v>2974</v>
      </c>
      <c r="U1221">
        <v>25412</v>
      </c>
      <c r="V1221">
        <v>9</v>
      </c>
      <c r="W1221" t="s">
        <v>42</v>
      </c>
      <c r="X1221" t="s">
        <v>43</v>
      </c>
      <c r="Y1221" t="str">
        <f t="shared" si="134"/>
        <v>No</v>
      </c>
      <c r="Z1221">
        <v>17</v>
      </c>
      <c r="AA1221">
        <v>3</v>
      </c>
      <c r="AB1221">
        <v>3</v>
      </c>
      <c r="AC1221">
        <v>80</v>
      </c>
      <c r="AD1221">
        <v>1</v>
      </c>
      <c r="AE1221" s="5">
        <v>9</v>
      </c>
      <c r="AF1221" t="str">
        <f t="shared" si="135"/>
        <v>6-15</v>
      </c>
      <c r="AG1221">
        <v>2</v>
      </c>
      <c r="AH1221">
        <v>3</v>
      </c>
      <c r="AI1221" s="5">
        <v>5</v>
      </c>
      <c r="AJ1221">
        <v>3</v>
      </c>
      <c r="AK1221">
        <v>1</v>
      </c>
      <c r="AL1221">
        <v>2</v>
      </c>
      <c r="AM1221" t="str">
        <f t="shared" si="136"/>
        <v>Below Avg</v>
      </c>
      <c r="AN1221" s="21">
        <f t="shared" si="137"/>
        <v>25.396825396825395</v>
      </c>
      <c r="AO1221" t="str">
        <f t="shared" ca="1" si="138"/>
        <v>No</v>
      </c>
      <c r="AP1221" t="str">
        <f t="shared" si="139"/>
        <v>Low Risk</v>
      </c>
    </row>
    <row r="1222" spans="1:42" x14ac:dyDescent="0.3">
      <c r="A1222" s="5">
        <v>36</v>
      </c>
      <c r="B1222" s="5" t="s">
        <v>43</v>
      </c>
      <c r="C1222" s="5" t="str">
        <f t="shared" si="133"/>
        <v>No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 s="5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 s="5">
        <v>4502</v>
      </c>
      <c r="U1222">
        <v>7439</v>
      </c>
      <c r="V1222">
        <v>3</v>
      </c>
      <c r="W1222" t="s">
        <v>42</v>
      </c>
      <c r="X1222" t="s">
        <v>43</v>
      </c>
      <c r="Y1222" t="str">
        <f t="shared" si="134"/>
        <v>No</v>
      </c>
      <c r="Z1222">
        <v>15</v>
      </c>
      <c r="AA1222">
        <v>3</v>
      </c>
      <c r="AB1222">
        <v>3</v>
      </c>
      <c r="AC1222">
        <v>80</v>
      </c>
      <c r="AD1222">
        <v>0</v>
      </c>
      <c r="AE1222" s="5">
        <v>17</v>
      </c>
      <c r="AF1222" t="str">
        <f t="shared" si="135"/>
        <v>&gt;15</v>
      </c>
      <c r="AG1222">
        <v>2</v>
      </c>
      <c r="AH1222">
        <v>2</v>
      </c>
      <c r="AI1222" s="5">
        <v>13</v>
      </c>
      <c r="AJ1222">
        <v>7</v>
      </c>
      <c r="AK1222">
        <v>6</v>
      </c>
      <c r="AL1222">
        <v>7</v>
      </c>
      <c r="AM1222" t="str">
        <f t="shared" si="136"/>
        <v>Below Avg</v>
      </c>
      <c r="AN1222" s="21">
        <f t="shared" si="137"/>
        <v>25.498007968127489</v>
      </c>
      <c r="AO1222" t="str">
        <f t="shared" ca="1" si="138"/>
        <v>No</v>
      </c>
      <c r="AP1222" t="str">
        <f t="shared" si="139"/>
        <v>Low Risk</v>
      </c>
    </row>
    <row r="1223" spans="1:42" x14ac:dyDescent="0.3">
      <c r="A1223" s="5">
        <v>45</v>
      </c>
      <c r="B1223" s="5" t="s">
        <v>43</v>
      </c>
      <c r="C1223" s="5" t="str">
        <f t="shared" si="133"/>
        <v>No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 s="5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 s="5">
        <v>10748</v>
      </c>
      <c r="U1223">
        <v>3395</v>
      </c>
      <c r="V1223">
        <v>3</v>
      </c>
      <c r="W1223" t="s">
        <v>42</v>
      </c>
      <c r="X1223" t="s">
        <v>43</v>
      </c>
      <c r="Y1223" t="str">
        <f t="shared" si="134"/>
        <v>No</v>
      </c>
      <c r="Z1223">
        <v>23</v>
      </c>
      <c r="AA1223">
        <v>4</v>
      </c>
      <c r="AB1223">
        <v>4</v>
      </c>
      <c r="AC1223">
        <v>80</v>
      </c>
      <c r="AD1223">
        <v>1</v>
      </c>
      <c r="AE1223" s="5">
        <v>25</v>
      </c>
      <c r="AF1223" t="str">
        <f t="shared" si="135"/>
        <v>&gt;15</v>
      </c>
      <c r="AG1223">
        <v>3</v>
      </c>
      <c r="AH1223">
        <v>2</v>
      </c>
      <c r="AI1223" s="5">
        <v>23</v>
      </c>
      <c r="AJ1223">
        <v>15</v>
      </c>
      <c r="AK1223">
        <v>14</v>
      </c>
      <c r="AL1223">
        <v>4</v>
      </c>
      <c r="AM1223" t="str">
        <f t="shared" si="136"/>
        <v>Ok</v>
      </c>
      <c r="AN1223" s="21">
        <f t="shared" si="137"/>
        <v>25.6</v>
      </c>
      <c r="AO1223" t="str">
        <f t="shared" ca="1" si="138"/>
        <v>No</v>
      </c>
      <c r="AP1223" t="str">
        <f t="shared" si="139"/>
        <v>Low Risk</v>
      </c>
    </row>
    <row r="1224" spans="1:42" x14ac:dyDescent="0.3">
      <c r="A1224" s="5">
        <v>24</v>
      </c>
      <c r="B1224" s="5" t="s">
        <v>35</v>
      </c>
      <c r="C1224" s="5" t="str">
        <f t="shared" si="133"/>
        <v>Yes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 s="5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 s="5">
        <v>1555</v>
      </c>
      <c r="U1224">
        <v>11585</v>
      </c>
      <c r="V1224">
        <v>1</v>
      </c>
      <c r="W1224" t="s">
        <v>42</v>
      </c>
      <c r="X1224" t="s">
        <v>43</v>
      </c>
      <c r="Y1224" t="str">
        <f t="shared" si="134"/>
        <v>No</v>
      </c>
      <c r="Z1224">
        <v>11</v>
      </c>
      <c r="AA1224">
        <v>3</v>
      </c>
      <c r="AB1224">
        <v>3</v>
      </c>
      <c r="AC1224">
        <v>80</v>
      </c>
      <c r="AD1224">
        <v>1</v>
      </c>
      <c r="AE1224" s="5">
        <v>1</v>
      </c>
      <c r="AF1224" t="str">
        <f t="shared" si="135"/>
        <v>0-5</v>
      </c>
      <c r="AG1224">
        <v>2</v>
      </c>
      <c r="AH1224">
        <v>3</v>
      </c>
      <c r="AI1224" s="5">
        <v>1</v>
      </c>
      <c r="AJ1224">
        <v>0</v>
      </c>
      <c r="AK1224">
        <v>0</v>
      </c>
      <c r="AL1224">
        <v>0</v>
      </c>
      <c r="AM1224" t="str">
        <f t="shared" si="136"/>
        <v>Below Avg</v>
      </c>
      <c r="AN1224" s="21">
        <f t="shared" si="137"/>
        <v>25.702811244979916</v>
      </c>
      <c r="AO1224" t="str">
        <f t="shared" ca="1" si="138"/>
        <v>No</v>
      </c>
      <c r="AP1224" t="str">
        <f t="shared" si="139"/>
        <v>High Risk</v>
      </c>
    </row>
    <row r="1225" spans="1:42" x14ac:dyDescent="0.3">
      <c r="A1225" s="5">
        <v>47</v>
      </c>
      <c r="B1225" s="5" t="s">
        <v>35</v>
      </c>
      <c r="C1225" s="5" t="str">
        <f t="shared" si="133"/>
        <v>Yes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 s="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 s="5">
        <v>12936</v>
      </c>
      <c r="U1225">
        <v>24164</v>
      </c>
      <c r="V1225">
        <v>7</v>
      </c>
      <c r="W1225" t="s">
        <v>42</v>
      </c>
      <c r="X1225" t="s">
        <v>43</v>
      </c>
      <c r="Y1225" t="str">
        <f t="shared" si="134"/>
        <v>No</v>
      </c>
      <c r="Z1225">
        <v>11</v>
      </c>
      <c r="AA1225">
        <v>3</v>
      </c>
      <c r="AB1225">
        <v>3</v>
      </c>
      <c r="AC1225">
        <v>80</v>
      </c>
      <c r="AD1225">
        <v>0</v>
      </c>
      <c r="AE1225" s="5">
        <v>25</v>
      </c>
      <c r="AF1225" t="str">
        <f t="shared" si="135"/>
        <v>&gt;15</v>
      </c>
      <c r="AG1225">
        <v>3</v>
      </c>
      <c r="AH1225">
        <v>1</v>
      </c>
      <c r="AI1225" s="5">
        <v>23</v>
      </c>
      <c r="AJ1225">
        <v>5</v>
      </c>
      <c r="AK1225">
        <v>14</v>
      </c>
      <c r="AL1225">
        <v>10</v>
      </c>
      <c r="AM1225" t="str">
        <f t="shared" si="136"/>
        <v>Ok</v>
      </c>
      <c r="AN1225" s="21">
        <f t="shared" si="137"/>
        <v>25.806451612903224</v>
      </c>
      <c r="AO1225" t="str">
        <f t="shared" ca="1" si="138"/>
        <v>No</v>
      </c>
      <c r="AP1225" t="str">
        <f t="shared" si="139"/>
        <v>Low Risk</v>
      </c>
    </row>
    <row r="1226" spans="1:42" x14ac:dyDescent="0.3">
      <c r="A1226" s="5">
        <v>26</v>
      </c>
      <c r="B1226" s="5" t="s">
        <v>43</v>
      </c>
      <c r="C1226" s="5" t="str">
        <f t="shared" si="133"/>
        <v>No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 s="5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 s="5">
        <v>2305</v>
      </c>
      <c r="U1226">
        <v>6217</v>
      </c>
      <c r="V1226">
        <v>1</v>
      </c>
      <c r="W1226" t="s">
        <v>42</v>
      </c>
      <c r="X1226" t="s">
        <v>43</v>
      </c>
      <c r="Y1226" t="str">
        <f t="shared" si="134"/>
        <v>No</v>
      </c>
      <c r="Z1226">
        <v>15</v>
      </c>
      <c r="AA1226">
        <v>3</v>
      </c>
      <c r="AB1226">
        <v>3</v>
      </c>
      <c r="AC1226">
        <v>80</v>
      </c>
      <c r="AD1226">
        <v>3</v>
      </c>
      <c r="AE1226" s="5">
        <v>3</v>
      </c>
      <c r="AF1226" t="str">
        <f t="shared" si="135"/>
        <v>0-5</v>
      </c>
      <c r="AG1226">
        <v>3</v>
      </c>
      <c r="AH1226">
        <v>4</v>
      </c>
      <c r="AI1226" s="5">
        <v>3</v>
      </c>
      <c r="AJ1226">
        <v>2</v>
      </c>
      <c r="AK1226">
        <v>0</v>
      </c>
      <c r="AL1226">
        <v>2</v>
      </c>
      <c r="AM1226" t="str">
        <f t="shared" si="136"/>
        <v>Below Avg</v>
      </c>
      <c r="AN1226" s="21">
        <f t="shared" si="137"/>
        <v>25.910931174089068</v>
      </c>
      <c r="AO1226" t="str">
        <f t="shared" ca="1" si="138"/>
        <v>No</v>
      </c>
      <c r="AP1226" t="str">
        <f t="shared" si="139"/>
        <v>Low Risk</v>
      </c>
    </row>
    <row r="1227" spans="1:42" x14ac:dyDescent="0.3">
      <c r="A1227" s="5">
        <v>45</v>
      </c>
      <c r="B1227" s="5" t="s">
        <v>43</v>
      </c>
      <c r="C1227" s="5" t="str">
        <f t="shared" si="133"/>
        <v>No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 s="5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 s="5">
        <v>16704</v>
      </c>
      <c r="U1227">
        <v>17119</v>
      </c>
      <c r="V1227">
        <v>1</v>
      </c>
      <c r="W1227" t="s">
        <v>42</v>
      </c>
      <c r="X1227" t="s">
        <v>43</v>
      </c>
      <c r="Y1227" t="str">
        <f t="shared" si="134"/>
        <v>No</v>
      </c>
      <c r="Z1227">
        <v>11</v>
      </c>
      <c r="AA1227">
        <v>3</v>
      </c>
      <c r="AB1227">
        <v>3</v>
      </c>
      <c r="AC1227">
        <v>80</v>
      </c>
      <c r="AD1227">
        <v>0</v>
      </c>
      <c r="AE1227" s="5">
        <v>21</v>
      </c>
      <c r="AF1227" t="str">
        <f t="shared" si="135"/>
        <v>&gt;15</v>
      </c>
      <c r="AG1227">
        <v>2</v>
      </c>
      <c r="AH1227">
        <v>3</v>
      </c>
      <c r="AI1227" s="5">
        <v>21</v>
      </c>
      <c r="AJ1227">
        <v>6</v>
      </c>
      <c r="AK1227">
        <v>8</v>
      </c>
      <c r="AL1227">
        <v>6</v>
      </c>
      <c r="AM1227" t="str">
        <f t="shared" si="136"/>
        <v>Ok</v>
      </c>
      <c r="AN1227" s="21">
        <f t="shared" si="137"/>
        <v>26.016260162601629</v>
      </c>
      <c r="AO1227" t="str">
        <f t="shared" ca="1" si="138"/>
        <v>No</v>
      </c>
      <c r="AP1227" t="str">
        <f t="shared" si="139"/>
        <v>Low Risk</v>
      </c>
    </row>
    <row r="1228" spans="1:42" x14ac:dyDescent="0.3">
      <c r="A1228" s="5">
        <v>32</v>
      </c>
      <c r="B1228" s="5" t="s">
        <v>43</v>
      </c>
      <c r="C1228" s="5" t="str">
        <f t="shared" si="133"/>
        <v>No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 s="5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 s="5">
        <v>3433</v>
      </c>
      <c r="U1228">
        <v>17360</v>
      </c>
      <c r="V1228">
        <v>6</v>
      </c>
      <c r="W1228" t="s">
        <v>42</v>
      </c>
      <c r="X1228" t="s">
        <v>43</v>
      </c>
      <c r="Y1228" t="str">
        <f t="shared" si="134"/>
        <v>No</v>
      </c>
      <c r="Z1228">
        <v>13</v>
      </c>
      <c r="AA1228">
        <v>3</v>
      </c>
      <c r="AB1228">
        <v>1</v>
      </c>
      <c r="AC1228">
        <v>80</v>
      </c>
      <c r="AD1228">
        <v>1</v>
      </c>
      <c r="AE1228" s="5">
        <v>10</v>
      </c>
      <c r="AF1228" t="str">
        <f t="shared" si="135"/>
        <v>6-15</v>
      </c>
      <c r="AG1228">
        <v>3</v>
      </c>
      <c r="AH1228">
        <v>2</v>
      </c>
      <c r="AI1228" s="5">
        <v>5</v>
      </c>
      <c r="AJ1228">
        <v>2</v>
      </c>
      <c r="AK1228">
        <v>1</v>
      </c>
      <c r="AL1228">
        <v>3</v>
      </c>
      <c r="AM1228" t="str">
        <f t="shared" si="136"/>
        <v>Below Avg</v>
      </c>
      <c r="AN1228" s="21">
        <f t="shared" si="137"/>
        <v>26.122448979591837</v>
      </c>
      <c r="AO1228" t="str">
        <f t="shared" ca="1" si="138"/>
        <v>No</v>
      </c>
      <c r="AP1228" t="str">
        <f t="shared" si="139"/>
        <v>Low Risk</v>
      </c>
    </row>
    <row r="1229" spans="1:42" x14ac:dyDescent="0.3">
      <c r="A1229" s="5">
        <v>31</v>
      </c>
      <c r="B1229" s="5" t="s">
        <v>43</v>
      </c>
      <c r="C1229" s="5" t="str">
        <f t="shared" si="133"/>
        <v>No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 s="5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 s="5">
        <v>3477</v>
      </c>
      <c r="U1229">
        <v>18103</v>
      </c>
      <c r="V1229">
        <v>1</v>
      </c>
      <c r="W1229" t="s">
        <v>42</v>
      </c>
      <c r="X1229" t="s">
        <v>43</v>
      </c>
      <c r="Y1229" t="str">
        <f t="shared" si="134"/>
        <v>No</v>
      </c>
      <c r="Z1229">
        <v>14</v>
      </c>
      <c r="AA1229">
        <v>3</v>
      </c>
      <c r="AB1229">
        <v>4</v>
      </c>
      <c r="AC1229">
        <v>80</v>
      </c>
      <c r="AD1229">
        <v>1</v>
      </c>
      <c r="AE1229" s="5">
        <v>6</v>
      </c>
      <c r="AF1229" t="str">
        <f t="shared" si="135"/>
        <v>6-15</v>
      </c>
      <c r="AG1229">
        <v>2</v>
      </c>
      <c r="AH1229">
        <v>4</v>
      </c>
      <c r="AI1229" s="5">
        <v>5</v>
      </c>
      <c r="AJ1229">
        <v>2</v>
      </c>
      <c r="AK1229">
        <v>0</v>
      </c>
      <c r="AL1229">
        <v>3</v>
      </c>
      <c r="AM1229" t="str">
        <f t="shared" si="136"/>
        <v>Below Avg</v>
      </c>
      <c r="AN1229" s="21">
        <f t="shared" si="137"/>
        <v>26.229508196721312</v>
      </c>
      <c r="AO1229" t="str">
        <f t="shared" ca="1" si="138"/>
        <v>No</v>
      </c>
      <c r="AP1229" t="str">
        <f t="shared" si="139"/>
        <v>Low Risk</v>
      </c>
    </row>
    <row r="1230" spans="1:42" x14ac:dyDescent="0.3">
      <c r="A1230" s="5">
        <v>41</v>
      </c>
      <c r="B1230" s="5" t="s">
        <v>43</v>
      </c>
      <c r="C1230" s="5" t="str">
        <f t="shared" si="133"/>
        <v>No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 s="5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 s="5">
        <v>6430</v>
      </c>
      <c r="U1230">
        <v>20794</v>
      </c>
      <c r="V1230">
        <v>6</v>
      </c>
      <c r="W1230" t="s">
        <v>42</v>
      </c>
      <c r="X1230" t="s">
        <v>43</v>
      </c>
      <c r="Y1230" t="str">
        <f t="shared" si="134"/>
        <v>No</v>
      </c>
      <c r="Z1230">
        <v>19</v>
      </c>
      <c r="AA1230">
        <v>3</v>
      </c>
      <c r="AB1230">
        <v>2</v>
      </c>
      <c r="AC1230">
        <v>80</v>
      </c>
      <c r="AD1230">
        <v>1</v>
      </c>
      <c r="AE1230" s="5">
        <v>10</v>
      </c>
      <c r="AF1230" t="str">
        <f t="shared" si="135"/>
        <v>6-15</v>
      </c>
      <c r="AG1230">
        <v>4</v>
      </c>
      <c r="AH1230">
        <v>3</v>
      </c>
      <c r="AI1230" s="5">
        <v>3</v>
      </c>
      <c r="AJ1230">
        <v>2</v>
      </c>
      <c r="AK1230">
        <v>1</v>
      </c>
      <c r="AL1230">
        <v>2</v>
      </c>
      <c r="AM1230" t="str">
        <f t="shared" si="136"/>
        <v>Ok</v>
      </c>
      <c r="AN1230" s="21">
        <f t="shared" si="137"/>
        <v>26.337448559670783</v>
      </c>
      <c r="AO1230" t="str">
        <f t="shared" ca="1" si="138"/>
        <v>No</v>
      </c>
      <c r="AP1230" t="str">
        <f t="shared" si="139"/>
        <v>Low Risk</v>
      </c>
    </row>
    <row r="1231" spans="1:42" x14ac:dyDescent="0.3">
      <c r="A1231" s="5">
        <v>40</v>
      </c>
      <c r="B1231" s="5" t="s">
        <v>43</v>
      </c>
      <c r="C1231" s="5" t="str">
        <f t="shared" si="133"/>
        <v>No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 s="5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 s="5">
        <v>6516</v>
      </c>
      <c r="U1231">
        <v>5041</v>
      </c>
      <c r="V1231">
        <v>2</v>
      </c>
      <c r="W1231" t="s">
        <v>42</v>
      </c>
      <c r="X1231" t="s">
        <v>35</v>
      </c>
      <c r="Y1231" t="str">
        <f t="shared" si="134"/>
        <v>Yes</v>
      </c>
      <c r="Z1231">
        <v>16</v>
      </c>
      <c r="AA1231">
        <v>3</v>
      </c>
      <c r="AB1231">
        <v>2</v>
      </c>
      <c r="AC1231">
        <v>80</v>
      </c>
      <c r="AD1231">
        <v>1</v>
      </c>
      <c r="AE1231" s="5">
        <v>18</v>
      </c>
      <c r="AF1231" t="str">
        <f t="shared" si="135"/>
        <v>&gt;15</v>
      </c>
      <c r="AG1231">
        <v>3</v>
      </c>
      <c r="AH1231">
        <v>3</v>
      </c>
      <c r="AI1231" s="5">
        <v>1</v>
      </c>
      <c r="AJ1231">
        <v>0</v>
      </c>
      <c r="AK1231">
        <v>0</v>
      </c>
      <c r="AL1231">
        <v>0</v>
      </c>
      <c r="AM1231" t="str">
        <f t="shared" si="136"/>
        <v>Ok</v>
      </c>
      <c r="AN1231" s="21">
        <f t="shared" si="137"/>
        <v>26.446280991735538</v>
      </c>
      <c r="AO1231" t="str">
        <f t="shared" ca="1" si="138"/>
        <v>No</v>
      </c>
      <c r="AP1231" t="str">
        <f t="shared" si="139"/>
        <v>Low Risk</v>
      </c>
    </row>
    <row r="1232" spans="1:42" x14ac:dyDescent="0.3">
      <c r="A1232" s="5">
        <v>24</v>
      </c>
      <c r="B1232" s="5" t="s">
        <v>43</v>
      </c>
      <c r="C1232" s="5" t="str">
        <f t="shared" si="133"/>
        <v>No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 s="5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 s="5">
        <v>3907</v>
      </c>
      <c r="U1232">
        <v>3622</v>
      </c>
      <c r="V1232">
        <v>1</v>
      </c>
      <c r="W1232" t="s">
        <v>42</v>
      </c>
      <c r="X1232" t="s">
        <v>43</v>
      </c>
      <c r="Y1232" t="str">
        <f t="shared" si="134"/>
        <v>No</v>
      </c>
      <c r="Z1232">
        <v>13</v>
      </c>
      <c r="AA1232">
        <v>3</v>
      </c>
      <c r="AB1232">
        <v>2</v>
      </c>
      <c r="AC1232">
        <v>80</v>
      </c>
      <c r="AD1232">
        <v>3</v>
      </c>
      <c r="AE1232" s="5">
        <v>6</v>
      </c>
      <c r="AF1232" t="str">
        <f t="shared" si="135"/>
        <v>6-15</v>
      </c>
      <c r="AG1232">
        <v>2</v>
      </c>
      <c r="AH1232">
        <v>4</v>
      </c>
      <c r="AI1232" s="5">
        <v>6</v>
      </c>
      <c r="AJ1232">
        <v>2</v>
      </c>
      <c r="AK1232">
        <v>1</v>
      </c>
      <c r="AL1232">
        <v>2</v>
      </c>
      <c r="AM1232" t="str">
        <f t="shared" si="136"/>
        <v>Below Avg</v>
      </c>
      <c r="AN1232" s="21">
        <f t="shared" si="137"/>
        <v>26.556016597510375</v>
      </c>
      <c r="AO1232" t="str">
        <f t="shared" ca="1" si="138"/>
        <v>No</v>
      </c>
      <c r="AP1232" t="str">
        <f t="shared" si="139"/>
        <v>Low Risk</v>
      </c>
    </row>
    <row r="1233" spans="1:42" x14ac:dyDescent="0.3">
      <c r="A1233" s="5">
        <v>46</v>
      </c>
      <c r="B1233" s="5" t="s">
        <v>43</v>
      </c>
      <c r="C1233" s="5" t="str">
        <f t="shared" si="133"/>
        <v>No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 s="5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 s="5">
        <v>5562</v>
      </c>
      <c r="U1233">
        <v>9697</v>
      </c>
      <c r="V1233">
        <v>6</v>
      </c>
      <c r="W1233" t="s">
        <v>42</v>
      </c>
      <c r="X1233" t="s">
        <v>43</v>
      </c>
      <c r="Y1233" t="str">
        <f t="shared" si="134"/>
        <v>No</v>
      </c>
      <c r="Z1233">
        <v>14</v>
      </c>
      <c r="AA1233">
        <v>3</v>
      </c>
      <c r="AB1233">
        <v>4</v>
      </c>
      <c r="AC1233">
        <v>80</v>
      </c>
      <c r="AD1233">
        <v>0</v>
      </c>
      <c r="AE1233" s="5">
        <v>19</v>
      </c>
      <c r="AF1233" t="str">
        <f t="shared" si="135"/>
        <v>&gt;15</v>
      </c>
      <c r="AG1233">
        <v>3</v>
      </c>
      <c r="AH1233">
        <v>3</v>
      </c>
      <c r="AI1233" s="5">
        <v>10</v>
      </c>
      <c r="AJ1233">
        <v>7</v>
      </c>
      <c r="AK1233">
        <v>0</v>
      </c>
      <c r="AL1233">
        <v>9</v>
      </c>
      <c r="AM1233" t="str">
        <f t="shared" si="136"/>
        <v>Below Avg</v>
      </c>
      <c r="AN1233" s="21">
        <f t="shared" si="137"/>
        <v>26.25</v>
      </c>
      <c r="AO1233" t="str">
        <f t="shared" ca="1" si="138"/>
        <v>No</v>
      </c>
      <c r="AP1233" t="str">
        <f t="shared" si="139"/>
        <v>Low Risk</v>
      </c>
    </row>
    <row r="1234" spans="1:42" x14ac:dyDescent="0.3">
      <c r="A1234" s="5">
        <v>35</v>
      </c>
      <c r="B1234" s="5" t="s">
        <v>43</v>
      </c>
      <c r="C1234" s="5" t="str">
        <f t="shared" si="133"/>
        <v>No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 s="5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 s="5">
        <v>6883</v>
      </c>
      <c r="U1234">
        <v>5151</v>
      </c>
      <c r="V1234">
        <v>2</v>
      </c>
      <c r="W1234" t="s">
        <v>42</v>
      </c>
      <c r="X1234" t="s">
        <v>43</v>
      </c>
      <c r="Y1234" t="str">
        <f t="shared" si="134"/>
        <v>No</v>
      </c>
      <c r="Z1234">
        <v>16</v>
      </c>
      <c r="AA1234">
        <v>3</v>
      </c>
      <c r="AB1234">
        <v>2</v>
      </c>
      <c r="AC1234">
        <v>80</v>
      </c>
      <c r="AD1234">
        <v>1</v>
      </c>
      <c r="AE1234" s="5">
        <v>17</v>
      </c>
      <c r="AF1234" t="str">
        <f t="shared" si="135"/>
        <v>&gt;15</v>
      </c>
      <c r="AG1234">
        <v>3</v>
      </c>
      <c r="AH1234">
        <v>3</v>
      </c>
      <c r="AI1234" s="5">
        <v>7</v>
      </c>
      <c r="AJ1234">
        <v>7</v>
      </c>
      <c r="AK1234">
        <v>0</v>
      </c>
      <c r="AL1234">
        <v>7</v>
      </c>
      <c r="AM1234" t="str">
        <f t="shared" si="136"/>
        <v>Ok</v>
      </c>
      <c r="AN1234" s="21">
        <f t="shared" si="137"/>
        <v>26.359832635983267</v>
      </c>
      <c r="AO1234" t="str">
        <f t="shared" ca="1" si="138"/>
        <v>No</v>
      </c>
      <c r="AP1234" t="str">
        <f t="shared" si="139"/>
        <v>Low Risk</v>
      </c>
    </row>
    <row r="1235" spans="1:42" x14ac:dyDescent="0.3">
      <c r="A1235" s="5">
        <v>30</v>
      </c>
      <c r="B1235" s="5" t="s">
        <v>43</v>
      </c>
      <c r="C1235" s="5" t="str">
        <f t="shared" si="133"/>
        <v>No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 s="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 s="5">
        <v>2862</v>
      </c>
      <c r="U1235">
        <v>3811</v>
      </c>
      <c r="V1235">
        <v>1</v>
      </c>
      <c r="W1235" t="s">
        <v>42</v>
      </c>
      <c r="X1235" t="s">
        <v>43</v>
      </c>
      <c r="Y1235" t="str">
        <f t="shared" si="134"/>
        <v>No</v>
      </c>
      <c r="Z1235">
        <v>12</v>
      </c>
      <c r="AA1235">
        <v>3</v>
      </c>
      <c r="AB1235">
        <v>2</v>
      </c>
      <c r="AC1235">
        <v>80</v>
      </c>
      <c r="AD1235">
        <v>1</v>
      </c>
      <c r="AE1235" s="5">
        <v>10</v>
      </c>
      <c r="AF1235" t="str">
        <f t="shared" si="135"/>
        <v>6-15</v>
      </c>
      <c r="AG1235">
        <v>2</v>
      </c>
      <c r="AH1235">
        <v>2</v>
      </c>
      <c r="AI1235" s="5">
        <v>10</v>
      </c>
      <c r="AJ1235">
        <v>0</v>
      </c>
      <c r="AK1235">
        <v>0</v>
      </c>
      <c r="AL1235">
        <v>8</v>
      </c>
      <c r="AM1235" t="str">
        <f t="shared" si="136"/>
        <v>Below Avg</v>
      </c>
      <c r="AN1235" s="21">
        <f t="shared" si="137"/>
        <v>26.47058823529412</v>
      </c>
      <c r="AO1235" t="str">
        <f t="shared" ca="1" si="138"/>
        <v>No</v>
      </c>
      <c r="AP1235" t="str">
        <f t="shared" si="139"/>
        <v>Low Risk</v>
      </c>
    </row>
    <row r="1236" spans="1:42" x14ac:dyDescent="0.3">
      <c r="A1236" s="5">
        <v>47</v>
      </c>
      <c r="B1236" s="5" t="s">
        <v>43</v>
      </c>
      <c r="C1236" s="5" t="str">
        <f t="shared" si="133"/>
        <v>No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 s="5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 s="5">
        <v>4978</v>
      </c>
      <c r="U1236">
        <v>3536</v>
      </c>
      <c r="V1236">
        <v>7</v>
      </c>
      <c r="W1236" t="s">
        <v>42</v>
      </c>
      <c r="X1236" t="s">
        <v>43</v>
      </c>
      <c r="Y1236" t="str">
        <f t="shared" si="134"/>
        <v>No</v>
      </c>
      <c r="Z1236">
        <v>11</v>
      </c>
      <c r="AA1236">
        <v>3</v>
      </c>
      <c r="AB1236">
        <v>4</v>
      </c>
      <c r="AC1236">
        <v>80</v>
      </c>
      <c r="AD1236">
        <v>1</v>
      </c>
      <c r="AE1236" s="5">
        <v>4</v>
      </c>
      <c r="AF1236" t="str">
        <f t="shared" si="135"/>
        <v>0-5</v>
      </c>
      <c r="AG1236">
        <v>3</v>
      </c>
      <c r="AH1236">
        <v>1</v>
      </c>
      <c r="AI1236" s="5">
        <v>1</v>
      </c>
      <c r="AJ1236">
        <v>0</v>
      </c>
      <c r="AK1236">
        <v>0</v>
      </c>
      <c r="AL1236">
        <v>0</v>
      </c>
      <c r="AM1236" t="str">
        <f t="shared" si="136"/>
        <v>Below Avg</v>
      </c>
      <c r="AN1236" s="21">
        <f t="shared" si="137"/>
        <v>26.582278481012654</v>
      </c>
      <c r="AO1236" t="str">
        <f t="shared" ca="1" si="138"/>
        <v>No</v>
      </c>
      <c r="AP1236" t="str">
        <f t="shared" si="139"/>
        <v>Low Risk</v>
      </c>
    </row>
    <row r="1237" spans="1:42" x14ac:dyDescent="0.3">
      <c r="A1237" s="5">
        <v>46</v>
      </c>
      <c r="B1237" s="5" t="s">
        <v>43</v>
      </c>
      <c r="C1237" s="5" t="str">
        <f t="shared" si="133"/>
        <v>No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 s="5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 s="5">
        <v>10368</v>
      </c>
      <c r="U1237">
        <v>5596</v>
      </c>
      <c r="V1237">
        <v>4</v>
      </c>
      <c r="W1237" t="s">
        <v>42</v>
      </c>
      <c r="X1237" t="s">
        <v>35</v>
      </c>
      <c r="Y1237" t="str">
        <f t="shared" si="134"/>
        <v>Yes</v>
      </c>
      <c r="Z1237">
        <v>12</v>
      </c>
      <c r="AA1237">
        <v>3</v>
      </c>
      <c r="AB1237">
        <v>2</v>
      </c>
      <c r="AC1237">
        <v>80</v>
      </c>
      <c r="AD1237">
        <v>1</v>
      </c>
      <c r="AE1237" s="5">
        <v>13</v>
      </c>
      <c r="AF1237" t="str">
        <f t="shared" si="135"/>
        <v>6-15</v>
      </c>
      <c r="AG1237">
        <v>5</v>
      </c>
      <c r="AH1237">
        <v>2</v>
      </c>
      <c r="AI1237" s="5">
        <v>10</v>
      </c>
      <c r="AJ1237">
        <v>6</v>
      </c>
      <c r="AK1237">
        <v>0</v>
      </c>
      <c r="AL1237">
        <v>3</v>
      </c>
      <c r="AM1237" t="str">
        <f t="shared" si="136"/>
        <v>Ok</v>
      </c>
      <c r="AN1237" s="21">
        <f t="shared" si="137"/>
        <v>26.694915254237291</v>
      </c>
      <c r="AO1237" t="str">
        <f t="shared" ca="1" si="138"/>
        <v>No</v>
      </c>
      <c r="AP1237" t="str">
        <f t="shared" si="139"/>
        <v>Low Risk</v>
      </c>
    </row>
    <row r="1238" spans="1:42" x14ac:dyDescent="0.3">
      <c r="A1238" s="5">
        <v>36</v>
      </c>
      <c r="B1238" s="5" t="s">
        <v>35</v>
      </c>
      <c r="C1238" s="5" t="str">
        <f t="shared" si="133"/>
        <v>Yes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 s="5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 s="5">
        <v>6134</v>
      </c>
      <c r="U1238">
        <v>8658</v>
      </c>
      <c r="V1238">
        <v>5</v>
      </c>
      <c r="W1238" t="s">
        <v>42</v>
      </c>
      <c r="X1238" t="s">
        <v>35</v>
      </c>
      <c r="Y1238" t="str">
        <f t="shared" si="134"/>
        <v>Yes</v>
      </c>
      <c r="Z1238">
        <v>13</v>
      </c>
      <c r="AA1238">
        <v>3</v>
      </c>
      <c r="AB1238">
        <v>2</v>
      </c>
      <c r="AC1238">
        <v>80</v>
      </c>
      <c r="AD1238">
        <v>3</v>
      </c>
      <c r="AE1238" s="5">
        <v>16</v>
      </c>
      <c r="AF1238" t="str">
        <f t="shared" si="135"/>
        <v>&gt;15</v>
      </c>
      <c r="AG1238">
        <v>3</v>
      </c>
      <c r="AH1238">
        <v>3</v>
      </c>
      <c r="AI1238" s="5">
        <v>2</v>
      </c>
      <c r="AJ1238">
        <v>2</v>
      </c>
      <c r="AK1238">
        <v>2</v>
      </c>
      <c r="AL1238">
        <v>2</v>
      </c>
      <c r="AM1238" t="str">
        <f t="shared" si="136"/>
        <v>Below Avg</v>
      </c>
      <c r="AN1238" s="21">
        <f t="shared" si="137"/>
        <v>26.808510638297872</v>
      </c>
      <c r="AO1238" t="str">
        <f t="shared" ca="1" si="138"/>
        <v>No</v>
      </c>
      <c r="AP1238" t="str">
        <f t="shared" si="139"/>
        <v>Low Risk</v>
      </c>
    </row>
    <row r="1239" spans="1:42" x14ac:dyDescent="0.3">
      <c r="A1239" s="5">
        <v>32</v>
      </c>
      <c r="B1239" s="5" t="s">
        <v>35</v>
      </c>
      <c r="C1239" s="5" t="str">
        <f t="shared" si="133"/>
        <v>Yes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 s="5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 s="5">
        <v>6735</v>
      </c>
      <c r="U1239">
        <v>12147</v>
      </c>
      <c r="V1239">
        <v>6</v>
      </c>
      <c r="W1239" t="s">
        <v>42</v>
      </c>
      <c r="X1239" t="s">
        <v>43</v>
      </c>
      <c r="Y1239" t="str">
        <f t="shared" si="134"/>
        <v>No</v>
      </c>
      <c r="Z1239">
        <v>15</v>
      </c>
      <c r="AA1239">
        <v>3</v>
      </c>
      <c r="AB1239">
        <v>2</v>
      </c>
      <c r="AC1239">
        <v>80</v>
      </c>
      <c r="AD1239">
        <v>0</v>
      </c>
      <c r="AE1239" s="5">
        <v>10</v>
      </c>
      <c r="AF1239" t="str">
        <f t="shared" si="135"/>
        <v>6-15</v>
      </c>
      <c r="AG1239">
        <v>2</v>
      </c>
      <c r="AH1239">
        <v>3</v>
      </c>
      <c r="AI1239" s="5">
        <v>0</v>
      </c>
      <c r="AJ1239">
        <v>0</v>
      </c>
      <c r="AK1239">
        <v>0</v>
      </c>
      <c r="AL1239">
        <v>0</v>
      </c>
      <c r="AM1239" t="str">
        <f t="shared" si="136"/>
        <v>Ok</v>
      </c>
      <c r="AN1239" s="21">
        <f t="shared" si="137"/>
        <v>26.495726495726498</v>
      </c>
      <c r="AO1239" t="str">
        <f t="shared" ca="1" si="138"/>
        <v>No</v>
      </c>
      <c r="AP1239" t="str">
        <f t="shared" si="139"/>
        <v>High Risk</v>
      </c>
    </row>
    <row r="1240" spans="1:42" x14ac:dyDescent="0.3">
      <c r="A1240" s="5">
        <v>23</v>
      </c>
      <c r="B1240" s="5" t="s">
        <v>43</v>
      </c>
      <c r="C1240" s="5" t="str">
        <f t="shared" si="133"/>
        <v>No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 s="5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 s="5">
        <v>3295</v>
      </c>
      <c r="U1240">
        <v>12862</v>
      </c>
      <c r="V1240">
        <v>1</v>
      </c>
      <c r="W1240" t="s">
        <v>42</v>
      </c>
      <c r="X1240" t="s">
        <v>43</v>
      </c>
      <c r="Y1240" t="str">
        <f t="shared" si="134"/>
        <v>No</v>
      </c>
      <c r="Z1240">
        <v>13</v>
      </c>
      <c r="AA1240">
        <v>3</v>
      </c>
      <c r="AB1240">
        <v>3</v>
      </c>
      <c r="AC1240">
        <v>80</v>
      </c>
      <c r="AD1240">
        <v>0</v>
      </c>
      <c r="AE1240" s="5">
        <v>3</v>
      </c>
      <c r="AF1240" t="str">
        <f t="shared" si="135"/>
        <v>0-5</v>
      </c>
      <c r="AG1240">
        <v>3</v>
      </c>
      <c r="AH1240">
        <v>1</v>
      </c>
      <c r="AI1240" s="5">
        <v>3</v>
      </c>
      <c r="AJ1240">
        <v>2</v>
      </c>
      <c r="AK1240">
        <v>1</v>
      </c>
      <c r="AL1240">
        <v>2</v>
      </c>
      <c r="AM1240" t="str">
        <f t="shared" si="136"/>
        <v>Below Avg</v>
      </c>
      <c r="AN1240" s="21">
        <f t="shared" si="137"/>
        <v>26.180257510729614</v>
      </c>
      <c r="AO1240" t="str">
        <f t="shared" ca="1" si="138"/>
        <v>No</v>
      </c>
      <c r="AP1240" t="str">
        <f t="shared" si="139"/>
        <v>Low Risk</v>
      </c>
    </row>
    <row r="1241" spans="1:42" x14ac:dyDescent="0.3">
      <c r="A1241" s="5">
        <v>31</v>
      </c>
      <c r="B1241" s="5" t="s">
        <v>43</v>
      </c>
      <c r="C1241" s="5" t="str">
        <f t="shared" si="133"/>
        <v>No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 s="5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 s="5">
        <v>5238</v>
      </c>
      <c r="U1241">
        <v>6670</v>
      </c>
      <c r="V1241">
        <v>2</v>
      </c>
      <c r="W1241" t="s">
        <v>42</v>
      </c>
      <c r="X1241" t="s">
        <v>43</v>
      </c>
      <c r="Y1241" t="str">
        <f t="shared" si="134"/>
        <v>No</v>
      </c>
      <c r="Z1241">
        <v>20</v>
      </c>
      <c r="AA1241">
        <v>4</v>
      </c>
      <c r="AB1241">
        <v>4</v>
      </c>
      <c r="AC1241">
        <v>80</v>
      </c>
      <c r="AD1241">
        <v>0</v>
      </c>
      <c r="AE1241" s="5">
        <v>9</v>
      </c>
      <c r="AF1241" t="str">
        <f t="shared" si="135"/>
        <v>6-15</v>
      </c>
      <c r="AG1241">
        <v>3</v>
      </c>
      <c r="AH1241">
        <v>2</v>
      </c>
      <c r="AI1241" s="5">
        <v>5</v>
      </c>
      <c r="AJ1241">
        <v>4</v>
      </c>
      <c r="AK1241">
        <v>1</v>
      </c>
      <c r="AL1241">
        <v>4</v>
      </c>
      <c r="AM1241" t="str">
        <f t="shared" si="136"/>
        <v>Below Avg</v>
      </c>
      <c r="AN1241" s="21">
        <f t="shared" si="137"/>
        <v>26.293103448275861</v>
      </c>
      <c r="AO1241" t="str">
        <f t="shared" ca="1" si="138"/>
        <v>No</v>
      </c>
      <c r="AP1241" t="str">
        <f t="shared" si="139"/>
        <v>Low Risk</v>
      </c>
    </row>
    <row r="1242" spans="1:42" x14ac:dyDescent="0.3">
      <c r="A1242" s="5">
        <v>39</v>
      </c>
      <c r="B1242" s="5" t="s">
        <v>43</v>
      </c>
      <c r="C1242" s="5" t="str">
        <f t="shared" si="133"/>
        <v>No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 s="5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 s="5">
        <v>6472</v>
      </c>
      <c r="U1242">
        <v>8989</v>
      </c>
      <c r="V1242">
        <v>1</v>
      </c>
      <c r="W1242" t="s">
        <v>42</v>
      </c>
      <c r="X1242" t="s">
        <v>35</v>
      </c>
      <c r="Y1242" t="str">
        <f t="shared" si="134"/>
        <v>Yes</v>
      </c>
      <c r="Z1242">
        <v>15</v>
      </c>
      <c r="AA1242">
        <v>3</v>
      </c>
      <c r="AB1242">
        <v>4</v>
      </c>
      <c r="AC1242">
        <v>80</v>
      </c>
      <c r="AD1242">
        <v>1</v>
      </c>
      <c r="AE1242" s="5">
        <v>9</v>
      </c>
      <c r="AF1242" t="str">
        <f t="shared" si="135"/>
        <v>6-15</v>
      </c>
      <c r="AG1242">
        <v>2</v>
      </c>
      <c r="AH1242">
        <v>3</v>
      </c>
      <c r="AI1242" s="5">
        <v>9</v>
      </c>
      <c r="AJ1242">
        <v>8</v>
      </c>
      <c r="AK1242">
        <v>5</v>
      </c>
      <c r="AL1242">
        <v>8</v>
      </c>
      <c r="AM1242" t="str">
        <f t="shared" si="136"/>
        <v>Ok</v>
      </c>
      <c r="AN1242" s="21">
        <f t="shared" si="137"/>
        <v>26.406926406926406</v>
      </c>
      <c r="AO1242" t="str">
        <f t="shared" ca="1" si="138"/>
        <v>No</v>
      </c>
      <c r="AP1242" t="str">
        <f t="shared" si="139"/>
        <v>Low Risk</v>
      </c>
    </row>
    <row r="1243" spans="1:42" x14ac:dyDescent="0.3">
      <c r="A1243" s="5">
        <v>32</v>
      </c>
      <c r="B1243" s="5" t="s">
        <v>43</v>
      </c>
      <c r="C1243" s="5" t="str">
        <f t="shared" si="133"/>
        <v>No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 s="5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 s="5">
        <v>9610</v>
      </c>
      <c r="U1243">
        <v>3840</v>
      </c>
      <c r="V1243">
        <v>3</v>
      </c>
      <c r="W1243" t="s">
        <v>42</v>
      </c>
      <c r="X1243" t="s">
        <v>43</v>
      </c>
      <c r="Y1243" t="str">
        <f t="shared" si="134"/>
        <v>No</v>
      </c>
      <c r="Z1243">
        <v>13</v>
      </c>
      <c r="AA1243">
        <v>3</v>
      </c>
      <c r="AB1243">
        <v>3</v>
      </c>
      <c r="AC1243">
        <v>80</v>
      </c>
      <c r="AD1243">
        <v>1</v>
      </c>
      <c r="AE1243" s="5">
        <v>10</v>
      </c>
      <c r="AF1243" t="str">
        <f t="shared" si="135"/>
        <v>6-15</v>
      </c>
      <c r="AG1243">
        <v>2</v>
      </c>
      <c r="AH1243">
        <v>1</v>
      </c>
      <c r="AI1243" s="5">
        <v>4</v>
      </c>
      <c r="AJ1243">
        <v>3</v>
      </c>
      <c r="AK1243">
        <v>0</v>
      </c>
      <c r="AL1243">
        <v>2</v>
      </c>
      <c r="AM1243" t="str">
        <f t="shared" si="136"/>
        <v>Ok</v>
      </c>
      <c r="AN1243" s="21">
        <f t="shared" si="137"/>
        <v>26.521739130434785</v>
      </c>
      <c r="AO1243" t="str">
        <f t="shared" ca="1" si="138"/>
        <v>No</v>
      </c>
      <c r="AP1243" t="str">
        <f t="shared" si="139"/>
        <v>Low Risk</v>
      </c>
    </row>
    <row r="1244" spans="1:42" x14ac:dyDescent="0.3">
      <c r="A1244" s="5">
        <v>40</v>
      </c>
      <c r="B1244" s="5" t="s">
        <v>43</v>
      </c>
      <c r="C1244" s="5" t="str">
        <f t="shared" si="133"/>
        <v>No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 s="5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 s="5">
        <v>19833</v>
      </c>
      <c r="U1244">
        <v>4349</v>
      </c>
      <c r="V1244">
        <v>1</v>
      </c>
      <c r="W1244" t="s">
        <v>42</v>
      </c>
      <c r="X1244" t="s">
        <v>43</v>
      </c>
      <c r="Y1244" t="str">
        <f t="shared" si="134"/>
        <v>No</v>
      </c>
      <c r="Z1244">
        <v>14</v>
      </c>
      <c r="AA1244">
        <v>3</v>
      </c>
      <c r="AB1244">
        <v>2</v>
      </c>
      <c r="AC1244">
        <v>80</v>
      </c>
      <c r="AD1244">
        <v>0</v>
      </c>
      <c r="AE1244" s="5">
        <v>21</v>
      </c>
      <c r="AF1244" t="str">
        <f t="shared" si="135"/>
        <v>&gt;15</v>
      </c>
      <c r="AG1244">
        <v>3</v>
      </c>
      <c r="AH1244">
        <v>2</v>
      </c>
      <c r="AI1244" s="5">
        <v>21</v>
      </c>
      <c r="AJ1244">
        <v>8</v>
      </c>
      <c r="AK1244">
        <v>12</v>
      </c>
      <c r="AL1244">
        <v>8</v>
      </c>
      <c r="AM1244" t="str">
        <f t="shared" si="136"/>
        <v>Ok</v>
      </c>
      <c r="AN1244" s="21">
        <f t="shared" si="137"/>
        <v>26.200873362445414</v>
      </c>
      <c r="AO1244" t="str">
        <f t="shared" ca="1" si="138"/>
        <v>No</v>
      </c>
      <c r="AP1244" t="str">
        <f t="shared" si="139"/>
        <v>Low Risk</v>
      </c>
    </row>
    <row r="1245" spans="1:42" x14ac:dyDescent="0.3">
      <c r="A1245" s="5">
        <v>45</v>
      </c>
      <c r="B1245" s="5" t="s">
        <v>43</v>
      </c>
      <c r="C1245" s="5" t="str">
        <f t="shared" si="133"/>
        <v>No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 s="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 s="5">
        <v>9756</v>
      </c>
      <c r="U1245">
        <v>6595</v>
      </c>
      <c r="V1245">
        <v>4</v>
      </c>
      <c r="W1245" t="s">
        <v>42</v>
      </c>
      <c r="X1245" t="s">
        <v>43</v>
      </c>
      <c r="Y1245" t="str">
        <f t="shared" si="134"/>
        <v>No</v>
      </c>
      <c r="Z1245">
        <v>21</v>
      </c>
      <c r="AA1245">
        <v>4</v>
      </c>
      <c r="AB1245">
        <v>3</v>
      </c>
      <c r="AC1245">
        <v>80</v>
      </c>
      <c r="AD1245">
        <v>2</v>
      </c>
      <c r="AE1245" s="5">
        <v>9</v>
      </c>
      <c r="AF1245" t="str">
        <f t="shared" si="135"/>
        <v>6-15</v>
      </c>
      <c r="AG1245">
        <v>2</v>
      </c>
      <c r="AH1245">
        <v>4</v>
      </c>
      <c r="AI1245" s="5">
        <v>5</v>
      </c>
      <c r="AJ1245">
        <v>0</v>
      </c>
      <c r="AK1245">
        <v>0</v>
      </c>
      <c r="AL1245">
        <v>3</v>
      </c>
      <c r="AM1245" t="str">
        <f t="shared" si="136"/>
        <v>Ok</v>
      </c>
      <c r="AN1245" s="21">
        <f t="shared" si="137"/>
        <v>26.315789473684209</v>
      </c>
      <c r="AO1245" t="str">
        <f t="shared" ca="1" si="138"/>
        <v>No</v>
      </c>
      <c r="AP1245" t="str">
        <f t="shared" si="139"/>
        <v>Low Risk</v>
      </c>
    </row>
    <row r="1246" spans="1:42" x14ac:dyDescent="0.3">
      <c r="A1246" s="5">
        <v>30</v>
      </c>
      <c r="B1246" s="5" t="s">
        <v>43</v>
      </c>
      <c r="C1246" s="5" t="str">
        <f t="shared" si="133"/>
        <v>No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 s="5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 s="5">
        <v>4968</v>
      </c>
      <c r="U1246">
        <v>26427</v>
      </c>
      <c r="V1246">
        <v>0</v>
      </c>
      <c r="W1246" t="s">
        <v>42</v>
      </c>
      <c r="X1246" t="s">
        <v>43</v>
      </c>
      <c r="Y1246" t="str">
        <f t="shared" si="134"/>
        <v>No</v>
      </c>
      <c r="Z1246">
        <v>16</v>
      </c>
      <c r="AA1246">
        <v>3</v>
      </c>
      <c r="AB1246">
        <v>4</v>
      </c>
      <c r="AC1246">
        <v>80</v>
      </c>
      <c r="AD1246">
        <v>0</v>
      </c>
      <c r="AE1246" s="5">
        <v>10</v>
      </c>
      <c r="AF1246" t="str">
        <f t="shared" si="135"/>
        <v>6-15</v>
      </c>
      <c r="AG1246">
        <v>2</v>
      </c>
      <c r="AH1246">
        <v>3</v>
      </c>
      <c r="AI1246" s="5">
        <v>9</v>
      </c>
      <c r="AJ1246">
        <v>7</v>
      </c>
      <c r="AK1246">
        <v>0</v>
      </c>
      <c r="AL1246">
        <v>7</v>
      </c>
      <c r="AM1246" t="str">
        <f t="shared" si="136"/>
        <v>Below Avg</v>
      </c>
      <c r="AN1246" s="21">
        <f t="shared" si="137"/>
        <v>26.431718061674008</v>
      </c>
      <c r="AO1246" t="str">
        <f t="shared" ca="1" si="138"/>
        <v>No</v>
      </c>
      <c r="AP1246" t="str">
        <f t="shared" si="139"/>
        <v>Low Risk</v>
      </c>
    </row>
    <row r="1247" spans="1:42" x14ac:dyDescent="0.3">
      <c r="A1247" s="5">
        <v>24</v>
      </c>
      <c r="B1247" s="5" t="s">
        <v>43</v>
      </c>
      <c r="C1247" s="5" t="str">
        <f t="shared" si="133"/>
        <v>No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 s="5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 s="5">
        <v>2145</v>
      </c>
      <c r="U1247">
        <v>2097</v>
      </c>
      <c r="V1247">
        <v>0</v>
      </c>
      <c r="W1247" t="s">
        <v>42</v>
      </c>
      <c r="X1247" t="s">
        <v>43</v>
      </c>
      <c r="Y1247" t="str">
        <f t="shared" si="134"/>
        <v>No</v>
      </c>
      <c r="Z1247">
        <v>14</v>
      </c>
      <c r="AA1247">
        <v>3</v>
      </c>
      <c r="AB1247">
        <v>4</v>
      </c>
      <c r="AC1247">
        <v>80</v>
      </c>
      <c r="AD1247">
        <v>1</v>
      </c>
      <c r="AE1247" s="5">
        <v>3</v>
      </c>
      <c r="AF1247" t="str">
        <f t="shared" si="135"/>
        <v>0-5</v>
      </c>
      <c r="AG1247">
        <v>2</v>
      </c>
      <c r="AH1247">
        <v>3</v>
      </c>
      <c r="AI1247" s="5">
        <v>2</v>
      </c>
      <c r="AJ1247">
        <v>2</v>
      </c>
      <c r="AK1247">
        <v>2</v>
      </c>
      <c r="AL1247">
        <v>1</v>
      </c>
      <c r="AM1247" t="str">
        <f t="shared" si="136"/>
        <v>Below Avg</v>
      </c>
      <c r="AN1247" s="21">
        <f t="shared" si="137"/>
        <v>26.548672566371685</v>
      </c>
      <c r="AO1247" t="str">
        <f t="shared" ca="1" si="138"/>
        <v>No</v>
      </c>
      <c r="AP1247" t="str">
        <f t="shared" si="139"/>
        <v>Low Risk</v>
      </c>
    </row>
    <row r="1248" spans="1:42" x14ac:dyDescent="0.3">
      <c r="A1248" s="5">
        <v>30</v>
      </c>
      <c r="B1248" s="5" t="s">
        <v>35</v>
      </c>
      <c r="C1248" s="5" t="str">
        <f t="shared" si="133"/>
        <v>Yes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 s="5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 s="5">
        <v>2180</v>
      </c>
      <c r="U1248">
        <v>9732</v>
      </c>
      <c r="V1248">
        <v>6</v>
      </c>
      <c r="W1248" t="s">
        <v>42</v>
      </c>
      <c r="X1248" t="s">
        <v>43</v>
      </c>
      <c r="Y1248" t="str">
        <f t="shared" si="134"/>
        <v>No</v>
      </c>
      <c r="Z1248">
        <v>11</v>
      </c>
      <c r="AA1248">
        <v>3</v>
      </c>
      <c r="AB1248">
        <v>3</v>
      </c>
      <c r="AC1248">
        <v>80</v>
      </c>
      <c r="AD1248">
        <v>1</v>
      </c>
      <c r="AE1248" s="5">
        <v>6</v>
      </c>
      <c r="AF1248" t="str">
        <f t="shared" si="135"/>
        <v>6-15</v>
      </c>
      <c r="AG1248">
        <v>0</v>
      </c>
      <c r="AH1248">
        <v>2</v>
      </c>
      <c r="AI1248" s="5">
        <v>4</v>
      </c>
      <c r="AJ1248">
        <v>2</v>
      </c>
      <c r="AK1248">
        <v>1</v>
      </c>
      <c r="AL1248">
        <v>2</v>
      </c>
      <c r="AM1248" t="str">
        <f t="shared" si="136"/>
        <v>Below Avg</v>
      </c>
      <c r="AN1248" s="21">
        <f t="shared" si="137"/>
        <v>26.666666666666668</v>
      </c>
      <c r="AO1248" t="str">
        <f t="shared" ca="1" si="138"/>
        <v>No</v>
      </c>
      <c r="AP1248" t="str">
        <f t="shared" si="139"/>
        <v>Low Risk</v>
      </c>
    </row>
    <row r="1249" spans="1:42" x14ac:dyDescent="0.3">
      <c r="A1249" s="5">
        <v>31</v>
      </c>
      <c r="B1249" s="5" t="s">
        <v>43</v>
      </c>
      <c r="C1249" s="5" t="str">
        <f t="shared" si="133"/>
        <v>No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 s="5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 s="5">
        <v>8346</v>
      </c>
      <c r="U1249">
        <v>20943</v>
      </c>
      <c r="V1249">
        <v>1</v>
      </c>
      <c r="W1249" t="s">
        <v>42</v>
      </c>
      <c r="X1249" t="s">
        <v>43</v>
      </c>
      <c r="Y1249" t="str">
        <f t="shared" si="134"/>
        <v>No</v>
      </c>
      <c r="Z1249">
        <v>19</v>
      </c>
      <c r="AA1249">
        <v>3</v>
      </c>
      <c r="AB1249">
        <v>3</v>
      </c>
      <c r="AC1249">
        <v>80</v>
      </c>
      <c r="AD1249">
        <v>1</v>
      </c>
      <c r="AE1249" s="5">
        <v>6</v>
      </c>
      <c r="AF1249" t="str">
        <f t="shared" si="135"/>
        <v>6-15</v>
      </c>
      <c r="AG1249">
        <v>3</v>
      </c>
      <c r="AH1249">
        <v>3</v>
      </c>
      <c r="AI1249" s="5">
        <v>5</v>
      </c>
      <c r="AJ1249">
        <v>2</v>
      </c>
      <c r="AK1249">
        <v>0</v>
      </c>
      <c r="AL1249">
        <v>2</v>
      </c>
      <c r="AM1249" t="str">
        <f t="shared" si="136"/>
        <v>Ok</v>
      </c>
      <c r="AN1249" s="21">
        <f t="shared" si="137"/>
        <v>26.785714285714285</v>
      </c>
      <c r="AO1249" t="str">
        <f t="shared" ca="1" si="138"/>
        <v>No</v>
      </c>
      <c r="AP1249" t="str">
        <f t="shared" si="139"/>
        <v>Low Risk</v>
      </c>
    </row>
    <row r="1250" spans="1:42" x14ac:dyDescent="0.3">
      <c r="A1250" s="5">
        <v>27</v>
      </c>
      <c r="B1250" s="5" t="s">
        <v>43</v>
      </c>
      <c r="C1250" s="5" t="str">
        <f t="shared" si="133"/>
        <v>No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 s="5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 s="5">
        <v>3445</v>
      </c>
      <c r="U1250">
        <v>6152</v>
      </c>
      <c r="V1250">
        <v>1</v>
      </c>
      <c r="W1250" t="s">
        <v>42</v>
      </c>
      <c r="X1250" t="s">
        <v>43</v>
      </c>
      <c r="Y1250" t="str">
        <f t="shared" si="134"/>
        <v>No</v>
      </c>
      <c r="Z1250">
        <v>11</v>
      </c>
      <c r="AA1250">
        <v>3</v>
      </c>
      <c r="AB1250">
        <v>3</v>
      </c>
      <c r="AC1250">
        <v>80</v>
      </c>
      <c r="AD1250">
        <v>0</v>
      </c>
      <c r="AE1250" s="5">
        <v>6</v>
      </c>
      <c r="AF1250" t="str">
        <f t="shared" si="135"/>
        <v>6-15</v>
      </c>
      <c r="AG1250">
        <v>5</v>
      </c>
      <c r="AH1250">
        <v>2</v>
      </c>
      <c r="AI1250" s="5">
        <v>6</v>
      </c>
      <c r="AJ1250">
        <v>2</v>
      </c>
      <c r="AK1250">
        <v>1</v>
      </c>
      <c r="AL1250">
        <v>4</v>
      </c>
      <c r="AM1250" t="str">
        <f t="shared" si="136"/>
        <v>Below Avg</v>
      </c>
      <c r="AN1250" s="21">
        <f t="shared" si="137"/>
        <v>26.905829596412556</v>
      </c>
      <c r="AO1250" t="str">
        <f t="shared" ca="1" si="138"/>
        <v>No</v>
      </c>
      <c r="AP1250" t="str">
        <f t="shared" si="139"/>
        <v>Low Risk</v>
      </c>
    </row>
    <row r="1251" spans="1:42" x14ac:dyDescent="0.3">
      <c r="A1251" s="5">
        <v>29</v>
      </c>
      <c r="B1251" s="5" t="s">
        <v>35</v>
      </c>
      <c r="C1251" s="5" t="str">
        <f t="shared" si="133"/>
        <v>Yes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 s="5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 s="5">
        <v>2760</v>
      </c>
      <c r="U1251">
        <v>14630</v>
      </c>
      <c r="V1251">
        <v>1</v>
      </c>
      <c r="W1251" t="s">
        <v>42</v>
      </c>
      <c r="X1251" t="s">
        <v>43</v>
      </c>
      <c r="Y1251" t="str">
        <f t="shared" si="134"/>
        <v>No</v>
      </c>
      <c r="Z1251">
        <v>13</v>
      </c>
      <c r="AA1251">
        <v>3</v>
      </c>
      <c r="AB1251">
        <v>3</v>
      </c>
      <c r="AC1251">
        <v>80</v>
      </c>
      <c r="AD1251">
        <v>0</v>
      </c>
      <c r="AE1251" s="5">
        <v>2</v>
      </c>
      <c r="AF1251" t="str">
        <f t="shared" si="135"/>
        <v>0-5</v>
      </c>
      <c r="AG1251">
        <v>3</v>
      </c>
      <c r="AH1251">
        <v>3</v>
      </c>
      <c r="AI1251" s="5">
        <v>2</v>
      </c>
      <c r="AJ1251">
        <v>2</v>
      </c>
      <c r="AK1251">
        <v>2</v>
      </c>
      <c r="AL1251">
        <v>2</v>
      </c>
      <c r="AM1251" t="str">
        <f t="shared" si="136"/>
        <v>Below Avg</v>
      </c>
      <c r="AN1251" s="21">
        <f t="shared" si="137"/>
        <v>27.027027027027028</v>
      </c>
      <c r="AO1251" t="str">
        <f t="shared" ca="1" si="138"/>
        <v>No</v>
      </c>
      <c r="AP1251" t="str">
        <f t="shared" si="139"/>
        <v>Low Risk</v>
      </c>
    </row>
    <row r="1252" spans="1:42" x14ac:dyDescent="0.3">
      <c r="A1252" s="5">
        <v>29</v>
      </c>
      <c r="B1252" s="5" t="s">
        <v>43</v>
      </c>
      <c r="C1252" s="5" t="str">
        <f t="shared" si="133"/>
        <v>No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 s="5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 s="5">
        <v>6294</v>
      </c>
      <c r="U1252">
        <v>23060</v>
      </c>
      <c r="V1252">
        <v>8</v>
      </c>
      <c r="W1252" t="s">
        <v>42</v>
      </c>
      <c r="X1252" t="s">
        <v>35</v>
      </c>
      <c r="Y1252" t="str">
        <f t="shared" si="134"/>
        <v>Yes</v>
      </c>
      <c r="Z1252">
        <v>12</v>
      </c>
      <c r="AA1252">
        <v>3</v>
      </c>
      <c r="AB1252">
        <v>4</v>
      </c>
      <c r="AC1252">
        <v>80</v>
      </c>
      <c r="AD1252">
        <v>0</v>
      </c>
      <c r="AE1252" s="5">
        <v>10</v>
      </c>
      <c r="AF1252" t="str">
        <f t="shared" si="135"/>
        <v>6-15</v>
      </c>
      <c r="AG1252">
        <v>5</v>
      </c>
      <c r="AH1252">
        <v>4</v>
      </c>
      <c r="AI1252" s="5">
        <v>3</v>
      </c>
      <c r="AJ1252">
        <v>2</v>
      </c>
      <c r="AK1252">
        <v>0</v>
      </c>
      <c r="AL1252">
        <v>2</v>
      </c>
      <c r="AM1252" t="str">
        <f t="shared" si="136"/>
        <v>Ok</v>
      </c>
      <c r="AN1252" s="21">
        <f t="shared" si="137"/>
        <v>27.149321266968325</v>
      </c>
      <c r="AO1252" t="str">
        <f t="shared" ca="1" si="138"/>
        <v>No</v>
      </c>
      <c r="AP1252" t="str">
        <f t="shared" si="139"/>
        <v>Low Risk</v>
      </c>
    </row>
    <row r="1253" spans="1:42" x14ac:dyDescent="0.3">
      <c r="A1253" s="5">
        <v>30</v>
      </c>
      <c r="B1253" s="5" t="s">
        <v>43</v>
      </c>
      <c r="C1253" s="5" t="str">
        <f t="shared" si="133"/>
        <v>No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 s="5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 s="5">
        <v>7140</v>
      </c>
      <c r="U1253">
        <v>3088</v>
      </c>
      <c r="V1253">
        <v>2</v>
      </c>
      <c r="W1253" t="s">
        <v>42</v>
      </c>
      <c r="X1253" t="s">
        <v>43</v>
      </c>
      <c r="Y1253" t="str">
        <f t="shared" si="134"/>
        <v>No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 s="5">
        <v>12</v>
      </c>
      <c r="AF1253" t="str">
        <f t="shared" si="135"/>
        <v>6-15</v>
      </c>
      <c r="AG1253">
        <v>2</v>
      </c>
      <c r="AH1253">
        <v>3</v>
      </c>
      <c r="AI1253" s="5">
        <v>7</v>
      </c>
      <c r="AJ1253">
        <v>7</v>
      </c>
      <c r="AK1253">
        <v>1</v>
      </c>
      <c r="AL1253">
        <v>7</v>
      </c>
      <c r="AM1253" t="str">
        <f t="shared" si="136"/>
        <v>Ok</v>
      </c>
      <c r="AN1253" s="21">
        <f t="shared" si="137"/>
        <v>27.27272727272727</v>
      </c>
      <c r="AO1253" t="str">
        <f t="shared" ca="1" si="138"/>
        <v>No</v>
      </c>
      <c r="AP1253" t="str">
        <f t="shared" si="139"/>
        <v>Low Risk</v>
      </c>
    </row>
    <row r="1254" spans="1:42" x14ac:dyDescent="0.3">
      <c r="A1254" s="5">
        <v>34</v>
      </c>
      <c r="B1254" s="5" t="s">
        <v>43</v>
      </c>
      <c r="C1254" s="5" t="str">
        <f t="shared" si="133"/>
        <v>No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 s="5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 s="5">
        <v>2932</v>
      </c>
      <c r="U1254">
        <v>5586</v>
      </c>
      <c r="V1254">
        <v>0</v>
      </c>
      <c r="W1254" t="s">
        <v>42</v>
      </c>
      <c r="X1254" t="s">
        <v>35</v>
      </c>
      <c r="Y1254" t="str">
        <f t="shared" si="134"/>
        <v>Yes</v>
      </c>
      <c r="Z1254">
        <v>14</v>
      </c>
      <c r="AA1254">
        <v>3</v>
      </c>
      <c r="AB1254">
        <v>1</v>
      </c>
      <c r="AC1254">
        <v>80</v>
      </c>
      <c r="AD1254">
        <v>3</v>
      </c>
      <c r="AE1254" s="5">
        <v>6</v>
      </c>
      <c r="AF1254" t="str">
        <f t="shared" si="135"/>
        <v>6-15</v>
      </c>
      <c r="AG1254">
        <v>3</v>
      </c>
      <c r="AH1254">
        <v>3</v>
      </c>
      <c r="AI1254" s="5">
        <v>5</v>
      </c>
      <c r="AJ1254">
        <v>0</v>
      </c>
      <c r="AK1254">
        <v>1</v>
      </c>
      <c r="AL1254">
        <v>2</v>
      </c>
      <c r="AM1254" t="str">
        <f t="shared" si="136"/>
        <v>Below Avg</v>
      </c>
      <c r="AN1254" s="21">
        <f t="shared" si="137"/>
        <v>26.94063926940639</v>
      </c>
      <c r="AO1254" t="str">
        <f t="shared" ca="1" si="138"/>
        <v>No</v>
      </c>
      <c r="AP1254" t="str">
        <f t="shared" si="139"/>
        <v>Low Risk</v>
      </c>
    </row>
    <row r="1255" spans="1:42" x14ac:dyDescent="0.3">
      <c r="A1255" s="5">
        <v>33</v>
      </c>
      <c r="B1255" s="5" t="s">
        <v>43</v>
      </c>
      <c r="C1255" s="5" t="str">
        <f t="shared" si="133"/>
        <v>No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 s="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 s="5">
        <v>5147</v>
      </c>
      <c r="U1255">
        <v>10697</v>
      </c>
      <c r="V1255">
        <v>8</v>
      </c>
      <c r="W1255" t="s">
        <v>42</v>
      </c>
      <c r="X1255" t="s">
        <v>43</v>
      </c>
      <c r="Y1255" t="str">
        <f t="shared" si="134"/>
        <v>No</v>
      </c>
      <c r="Z1255">
        <v>15</v>
      </c>
      <c r="AA1255">
        <v>3</v>
      </c>
      <c r="AB1255">
        <v>4</v>
      </c>
      <c r="AC1255">
        <v>80</v>
      </c>
      <c r="AD1255">
        <v>0</v>
      </c>
      <c r="AE1255" s="5">
        <v>13</v>
      </c>
      <c r="AF1255" t="str">
        <f t="shared" si="135"/>
        <v>6-15</v>
      </c>
      <c r="AG1255">
        <v>2</v>
      </c>
      <c r="AH1255">
        <v>2</v>
      </c>
      <c r="AI1255" s="5">
        <v>11</v>
      </c>
      <c r="AJ1255">
        <v>7</v>
      </c>
      <c r="AK1255">
        <v>1</v>
      </c>
      <c r="AL1255">
        <v>7</v>
      </c>
      <c r="AM1255" t="str">
        <f t="shared" si="136"/>
        <v>Below Avg</v>
      </c>
      <c r="AN1255" s="21">
        <f t="shared" si="137"/>
        <v>27.064220183486238</v>
      </c>
      <c r="AO1255" t="str">
        <f t="shared" ca="1" si="138"/>
        <v>No</v>
      </c>
      <c r="AP1255" t="str">
        <f t="shared" si="139"/>
        <v>Low Risk</v>
      </c>
    </row>
    <row r="1256" spans="1:42" x14ac:dyDescent="0.3">
      <c r="A1256" s="5">
        <v>49</v>
      </c>
      <c r="B1256" s="5" t="s">
        <v>43</v>
      </c>
      <c r="C1256" s="5" t="str">
        <f t="shared" si="133"/>
        <v>No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 s="5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 s="5">
        <v>4507</v>
      </c>
      <c r="U1256">
        <v>8191</v>
      </c>
      <c r="V1256">
        <v>3</v>
      </c>
      <c r="W1256" t="s">
        <v>42</v>
      </c>
      <c r="X1256" t="s">
        <v>43</v>
      </c>
      <c r="Y1256" t="str">
        <f t="shared" si="134"/>
        <v>No</v>
      </c>
      <c r="Z1256">
        <v>12</v>
      </c>
      <c r="AA1256">
        <v>3</v>
      </c>
      <c r="AB1256">
        <v>3</v>
      </c>
      <c r="AC1256">
        <v>80</v>
      </c>
      <c r="AD1256">
        <v>0</v>
      </c>
      <c r="AE1256" s="5">
        <v>8</v>
      </c>
      <c r="AF1256" t="str">
        <f t="shared" si="135"/>
        <v>6-15</v>
      </c>
      <c r="AG1256">
        <v>1</v>
      </c>
      <c r="AH1256">
        <v>4</v>
      </c>
      <c r="AI1256" s="5">
        <v>5</v>
      </c>
      <c r="AJ1256">
        <v>1</v>
      </c>
      <c r="AK1256">
        <v>0</v>
      </c>
      <c r="AL1256">
        <v>4</v>
      </c>
      <c r="AM1256" t="str">
        <f t="shared" si="136"/>
        <v>Below Avg</v>
      </c>
      <c r="AN1256" s="21">
        <f t="shared" si="137"/>
        <v>26.728110599078342</v>
      </c>
      <c r="AO1256" t="str">
        <f t="shared" ca="1" si="138"/>
        <v>No</v>
      </c>
      <c r="AP1256" t="str">
        <f t="shared" si="139"/>
        <v>Low Risk</v>
      </c>
    </row>
    <row r="1257" spans="1:42" x14ac:dyDescent="0.3">
      <c r="A1257" s="5">
        <v>33</v>
      </c>
      <c r="B1257" s="5" t="s">
        <v>35</v>
      </c>
      <c r="C1257" s="5" t="str">
        <f t="shared" si="133"/>
        <v>Yes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 s="5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 s="5">
        <v>8564</v>
      </c>
      <c r="U1257">
        <v>10092</v>
      </c>
      <c r="V1257">
        <v>2</v>
      </c>
      <c r="W1257" t="s">
        <v>42</v>
      </c>
      <c r="X1257" t="s">
        <v>35</v>
      </c>
      <c r="Y1257" t="str">
        <f t="shared" si="134"/>
        <v>Yes</v>
      </c>
      <c r="Z1257">
        <v>20</v>
      </c>
      <c r="AA1257">
        <v>4</v>
      </c>
      <c r="AB1257">
        <v>3</v>
      </c>
      <c r="AC1257">
        <v>80</v>
      </c>
      <c r="AD1257">
        <v>0</v>
      </c>
      <c r="AE1257" s="5">
        <v>11</v>
      </c>
      <c r="AF1257" t="str">
        <f t="shared" si="135"/>
        <v>6-15</v>
      </c>
      <c r="AG1257">
        <v>2</v>
      </c>
      <c r="AH1257">
        <v>2</v>
      </c>
      <c r="AI1257" s="5">
        <v>0</v>
      </c>
      <c r="AJ1257">
        <v>0</v>
      </c>
      <c r="AK1257">
        <v>0</v>
      </c>
      <c r="AL1257">
        <v>0</v>
      </c>
      <c r="AM1257" t="str">
        <f t="shared" si="136"/>
        <v>Ok</v>
      </c>
      <c r="AN1257" s="21">
        <f t="shared" si="137"/>
        <v>26.851851851851855</v>
      </c>
      <c r="AO1257" t="str">
        <f t="shared" ca="1" si="138"/>
        <v>No</v>
      </c>
      <c r="AP1257" t="str">
        <f t="shared" si="139"/>
        <v>High Risk</v>
      </c>
    </row>
    <row r="1258" spans="1:42" x14ac:dyDescent="0.3">
      <c r="A1258" s="5">
        <v>38</v>
      </c>
      <c r="B1258" s="5" t="s">
        <v>43</v>
      </c>
      <c r="C1258" s="5" t="str">
        <f t="shared" si="133"/>
        <v>No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 s="5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 s="5">
        <v>2468</v>
      </c>
      <c r="U1258">
        <v>15963</v>
      </c>
      <c r="V1258">
        <v>4</v>
      </c>
      <c r="W1258" t="s">
        <v>42</v>
      </c>
      <c r="X1258" t="s">
        <v>43</v>
      </c>
      <c r="Y1258" t="str">
        <f t="shared" si="134"/>
        <v>No</v>
      </c>
      <c r="Z1258">
        <v>14</v>
      </c>
      <c r="AA1258">
        <v>3</v>
      </c>
      <c r="AB1258">
        <v>2</v>
      </c>
      <c r="AC1258">
        <v>80</v>
      </c>
      <c r="AD1258">
        <v>1</v>
      </c>
      <c r="AE1258" s="5">
        <v>9</v>
      </c>
      <c r="AF1258" t="str">
        <f t="shared" si="135"/>
        <v>6-15</v>
      </c>
      <c r="AG1258">
        <v>4</v>
      </c>
      <c r="AH1258">
        <v>2</v>
      </c>
      <c r="AI1258" s="5">
        <v>6</v>
      </c>
      <c r="AJ1258">
        <v>1</v>
      </c>
      <c r="AK1258">
        <v>0</v>
      </c>
      <c r="AL1258">
        <v>5</v>
      </c>
      <c r="AM1258" t="str">
        <f t="shared" si="136"/>
        <v>Below Avg</v>
      </c>
      <c r="AN1258" s="21">
        <f t="shared" si="137"/>
        <v>26.976744186046513</v>
      </c>
      <c r="AO1258" t="str">
        <f t="shared" ca="1" si="138"/>
        <v>No</v>
      </c>
      <c r="AP1258" t="str">
        <f t="shared" si="139"/>
        <v>Low Risk</v>
      </c>
    </row>
    <row r="1259" spans="1:42" x14ac:dyDescent="0.3">
      <c r="A1259" s="5">
        <v>31</v>
      </c>
      <c r="B1259" s="5" t="s">
        <v>35</v>
      </c>
      <c r="C1259" s="5" t="str">
        <f t="shared" si="133"/>
        <v>Yes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 s="5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 s="5">
        <v>8161</v>
      </c>
      <c r="U1259">
        <v>19002</v>
      </c>
      <c r="V1259">
        <v>2</v>
      </c>
      <c r="W1259" t="s">
        <v>42</v>
      </c>
      <c r="X1259" t="s">
        <v>43</v>
      </c>
      <c r="Y1259" t="str">
        <f t="shared" si="134"/>
        <v>No</v>
      </c>
      <c r="Z1259">
        <v>13</v>
      </c>
      <c r="AA1259">
        <v>3</v>
      </c>
      <c r="AB1259">
        <v>1</v>
      </c>
      <c r="AC1259">
        <v>80</v>
      </c>
      <c r="AD1259">
        <v>3</v>
      </c>
      <c r="AE1259" s="5">
        <v>10</v>
      </c>
      <c r="AF1259" t="str">
        <f t="shared" si="135"/>
        <v>6-15</v>
      </c>
      <c r="AG1259">
        <v>2</v>
      </c>
      <c r="AH1259">
        <v>3</v>
      </c>
      <c r="AI1259" s="5">
        <v>1</v>
      </c>
      <c r="AJ1259">
        <v>0</v>
      </c>
      <c r="AK1259">
        <v>0</v>
      </c>
      <c r="AL1259">
        <v>0</v>
      </c>
      <c r="AM1259" t="str">
        <f t="shared" si="136"/>
        <v>Ok</v>
      </c>
      <c r="AN1259" s="21">
        <f t="shared" si="137"/>
        <v>26.635514018691588</v>
      </c>
      <c r="AO1259" t="str">
        <f t="shared" ca="1" si="138"/>
        <v>No</v>
      </c>
      <c r="AP1259" t="str">
        <f t="shared" si="139"/>
        <v>High Risk</v>
      </c>
    </row>
    <row r="1260" spans="1:42" x14ac:dyDescent="0.3">
      <c r="A1260" s="5">
        <v>29</v>
      </c>
      <c r="B1260" s="5" t="s">
        <v>43</v>
      </c>
      <c r="C1260" s="5" t="str">
        <f t="shared" si="133"/>
        <v>No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 s="5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 s="5">
        <v>2109</v>
      </c>
      <c r="U1260">
        <v>10007</v>
      </c>
      <c r="V1260">
        <v>1</v>
      </c>
      <c r="W1260" t="s">
        <v>42</v>
      </c>
      <c r="X1260" t="s">
        <v>43</v>
      </c>
      <c r="Y1260" t="str">
        <f t="shared" si="134"/>
        <v>No</v>
      </c>
      <c r="Z1260">
        <v>13</v>
      </c>
      <c r="AA1260">
        <v>3</v>
      </c>
      <c r="AB1260">
        <v>3</v>
      </c>
      <c r="AC1260">
        <v>80</v>
      </c>
      <c r="AD1260">
        <v>1</v>
      </c>
      <c r="AE1260" s="5">
        <v>1</v>
      </c>
      <c r="AF1260" t="str">
        <f t="shared" si="135"/>
        <v>0-5</v>
      </c>
      <c r="AG1260">
        <v>2</v>
      </c>
      <c r="AH1260">
        <v>3</v>
      </c>
      <c r="AI1260" s="5">
        <v>1</v>
      </c>
      <c r="AJ1260">
        <v>0</v>
      </c>
      <c r="AK1260">
        <v>0</v>
      </c>
      <c r="AL1260">
        <v>0</v>
      </c>
      <c r="AM1260" t="str">
        <f t="shared" si="136"/>
        <v>Below Avg</v>
      </c>
      <c r="AN1260" s="21">
        <f t="shared" si="137"/>
        <v>26.760563380281688</v>
      </c>
      <c r="AO1260" t="str">
        <f t="shared" ca="1" si="138"/>
        <v>No</v>
      </c>
      <c r="AP1260" t="str">
        <f t="shared" si="139"/>
        <v>Low Risk</v>
      </c>
    </row>
    <row r="1261" spans="1:42" x14ac:dyDescent="0.3">
      <c r="A1261" s="5">
        <v>30</v>
      </c>
      <c r="B1261" s="5" t="s">
        <v>43</v>
      </c>
      <c r="C1261" s="5" t="str">
        <f t="shared" si="133"/>
        <v>No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 s="5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 s="5">
        <v>5294</v>
      </c>
      <c r="U1261">
        <v>9128</v>
      </c>
      <c r="V1261">
        <v>3</v>
      </c>
      <c r="W1261" t="s">
        <v>42</v>
      </c>
      <c r="X1261" t="s">
        <v>43</v>
      </c>
      <c r="Y1261" t="str">
        <f t="shared" si="134"/>
        <v>No</v>
      </c>
      <c r="Z1261">
        <v>16</v>
      </c>
      <c r="AA1261">
        <v>3</v>
      </c>
      <c r="AB1261">
        <v>3</v>
      </c>
      <c r="AC1261">
        <v>80</v>
      </c>
      <c r="AD1261">
        <v>1</v>
      </c>
      <c r="AE1261" s="5">
        <v>10</v>
      </c>
      <c r="AF1261" t="str">
        <f t="shared" si="135"/>
        <v>6-15</v>
      </c>
      <c r="AG1261">
        <v>3</v>
      </c>
      <c r="AH1261">
        <v>3</v>
      </c>
      <c r="AI1261" s="5">
        <v>7</v>
      </c>
      <c r="AJ1261">
        <v>0</v>
      </c>
      <c r="AK1261">
        <v>1</v>
      </c>
      <c r="AL1261">
        <v>7</v>
      </c>
      <c r="AM1261" t="str">
        <f t="shared" si="136"/>
        <v>Below Avg</v>
      </c>
      <c r="AN1261" s="21">
        <f t="shared" si="137"/>
        <v>26.886792452830189</v>
      </c>
      <c r="AO1261" t="str">
        <f t="shared" ca="1" si="138"/>
        <v>No</v>
      </c>
      <c r="AP1261" t="str">
        <f t="shared" si="139"/>
        <v>Low Risk</v>
      </c>
    </row>
    <row r="1262" spans="1:42" x14ac:dyDescent="0.3">
      <c r="A1262" s="5">
        <v>32</v>
      </c>
      <c r="B1262" s="5" t="s">
        <v>43</v>
      </c>
      <c r="C1262" s="5" t="str">
        <f t="shared" si="133"/>
        <v>No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 s="5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 s="5">
        <v>2718</v>
      </c>
      <c r="U1262">
        <v>17674</v>
      </c>
      <c r="V1262">
        <v>2</v>
      </c>
      <c r="W1262" t="s">
        <v>42</v>
      </c>
      <c r="X1262" t="s">
        <v>43</v>
      </c>
      <c r="Y1262" t="str">
        <f t="shared" si="134"/>
        <v>No</v>
      </c>
      <c r="Z1262">
        <v>14</v>
      </c>
      <c r="AA1262">
        <v>3</v>
      </c>
      <c r="AB1262">
        <v>2</v>
      </c>
      <c r="AC1262">
        <v>80</v>
      </c>
      <c r="AD1262">
        <v>0</v>
      </c>
      <c r="AE1262" s="5">
        <v>12</v>
      </c>
      <c r="AF1262" t="str">
        <f t="shared" si="135"/>
        <v>6-15</v>
      </c>
      <c r="AG1262">
        <v>3</v>
      </c>
      <c r="AH1262">
        <v>3</v>
      </c>
      <c r="AI1262" s="5">
        <v>7</v>
      </c>
      <c r="AJ1262">
        <v>7</v>
      </c>
      <c r="AK1262">
        <v>0</v>
      </c>
      <c r="AL1262">
        <v>7</v>
      </c>
      <c r="AM1262" t="str">
        <f t="shared" si="136"/>
        <v>Below Avg</v>
      </c>
      <c r="AN1262" s="21">
        <f t="shared" si="137"/>
        <v>27.014218009478675</v>
      </c>
      <c r="AO1262" t="str">
        <f t="shared" ca="1" si="138"/>
        <v>No</v>
      </c>
      <c r="AP1262" t="str">
        <f t="shared" si="139"/>
        <v>Low Risk</v>
      </c>
    </row>
    <row r="1263" spans="1:42" x14ac:dyDescent="0.3">
      <c r="A1263" s="5">
        <v>38</v>
      </c>
      <c r="B1263" s="5" t="s">
        <v>43</v>
      </c>
      <c r="C1263" s="5" t="str">
        <f t="shared" si="133"/>
        <v>No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 s="5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 s="5">
        <v>5811</v>
      </c>
      <c r="U1263">
        <v>24539</v>
      </c>
      <c r="V1263">
        <v>3</v>
      </c>
      <c r="W1263" t="s">
        <v>42</v>
      </c>
      <c r="X1263" t="s">
        <v>35</v>
      </c>
      <c r="Y1263" t="str">
        <f t="shared" si="134"/>
        <v>Yes</v>
      </c>
      <c r="Z1263">
        <v>16</v>
      </c>
      <c r="AA1263">
        <v>3</v>
      </c>
      <c r="AB1263">
        <v>3</v>
      </c>
      <c r="AC1263">
        <v>80</v>
      </c>
      <c r="AD1263">
        <v>1</v>
      </c>
      <c r="AE1263" s="5">
        <v>15</v>
      </c>
      <c r="AF1263" t="str">
        <f t="shared" si="135"/>
        <v>6-15</v>
      </c>
      <c r="AG1263">
        <v>2</v>
      </c>
      <c r="AH1263">
        <v>3</v>
      </c>
      <c r="AI1263" s="5">
        <v>1</v>
      </c>
      <c r="AJ1263">
        <v>0</v>
      </c>
      <c r="AK1263">
        <v>1</v>
      </c>
      <c r="AL1263">
        <v>0</v>
      </c>
      <c r="AM1263" t="str">
        <f t="shared" si="136"/>
        <v>Below Avg</v>
      </c>
      <c r="AN1263" s="21">
        <f t="shared" si="137"/>
        <v>27.142857142857142</v>
      </c>
      <c r="AO1263" t="str">
        <f t="shared" ca="1" si="138"/>
        <v>No</v>
      </c>
      <c r="AP1263" t="str">
        <f t="shared" si="139"/>
        <v>Low Risk</v>
      </c>
    </row>
    <row r="1264" spans="1:42" x14ac:dyDescent="0.3">
      <c r="A1264" s="5">
        <v>43</v>
      </c>
      <c r="B1264" s="5" t="s">
        <v>35</v>
      </c>
      <c r="C1264" s="5" t="str">
        <f t="shared" si="133"/>
        <v>Yes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 s="5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 s="5">
        <v>2437</v>
      </c>
      <c r="U1264">
        <v>15587</v>
      </c>
      <c r="V1264">
        <v>9</v>
      </c>
      <c r="W1264" t="s">
        <v>42</v>
      </c>
      <c r="X1264" t="s">
        <v>35</v>
      </c>
      <c r="Y1264" t="str">
        <f t="shared" si="134"/>
        <v>Yes</v>
      </c>
      <c r="Z1264">
        <v>16</v>
      </c>
      <c r="AA1264">
        <v>3</v>
      </c>
      <c r="AB1264">
        <v>4</v>
      </c>
      <c r="AC1264">
        <v>80</v>
      </c>
      <c r="AD1264">
        <v>1</v>
      </c>
      <c r="AE1264" s="5">
        <v>6</v>
      </c>
      <c r="AF1264" t="str">
        <f t="shared" si="135"/>
        <v>6-15</v>
      </c>
      <c r="AG1264">
        <v>4</v>
      </c>
      <c r="AH1264">
        <v>3</v>
      </c>
      <c r="AI1264" s="5">
        <v>1</v>
      </c>
      <c r="AJ1264">
        <v>0</v>
      </c>
      <c r="AK1264">
        <v>0</v>
      </c>
      <c r="AL1264">
        <v>0</v>
      </c>
      <c r="AM1264" t="str">
        <f t="shared" si="136"/>
        <v>Below Avg</v>
      </c>
      <c r="AN1264" s="21">
        <f t="shared" si="137"/>
        <v>27.27272727272727</v>
      </c>
      <c r="AO1264" t="str">
        <f t="shared" ca="1" si="138"/>
        <v>No</v>
      </c>
      <c r="AP1264" t="str">
        <f t="shared" si="139"/>
        <v>High Risk</v>
      </c>
    </row>
    <row r="1265" spans="1:42" x14ac:dyDescent="0.3">
      <c r="A1265" s="5">
        <v>42</v>
      </c>
      <c r="B1265" s="5" t="s">
        <v>43</v>
      </c>
      <c r="C1265" s="5" t="str">
        <f t="shared" si="133"/>
        <v>No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 s="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 s="5">
        <v>2766</v>
      </c>
      <c r="U1265">
        <v>8952</v>
      </c>
      <c r="V1265">
        <v>8</v>
      </c>
      <c r="W1265" t="s">
        <v>42</v>
      </c>
      <c r="X1265" t="s">
        <v>43</v>
      </c>
      <c r="Y1265" t="str">
        <f t="shared" si="134"/>
        <v>No</v>
      </c>
      <c r="Z1265">
        <v>22</v>
      </c>
      <c r="AA1265">
        <v>4</v>
      </c>
      <c r="AB1265">
        <v>2</v>
      </c>
      <c r="AC1265">
        <v>80</v>
      </c>
      <c r="AD1265">
        <v>3</v>
      </c>
      <c r="AE1265" s="5">
        <v>7</v>
      </c>
      <c r="AF1265" t="str">
        <f t="shared" si="135"/>
        <v>6-15</v>
      </c>
      <c r="AG1265">
        <v>6</v>
      </c>
      <c r="AH1265">
        <v>2</v>
      </c>
      <c r="AI1265" s="5">
        <v>5</v>
      </c>
      <c r="AJ1265">
        <v>3</v>
      </c>
      <c r="AK1265">
        <v>0</v>
      </c>
      <c r="AL1265">
        <v>4</v>
      </c>
      <c r="AM1265" t="str">
        <f t="shared" si="136"/>
        <v>Below Avg</v>
      </c>
      <c r="AN1265" s="21">
        <f t="shared" si="137"/>
        <v>26.923076923076923</v>
      </c>
      <c r="AO1265" t="str">
        <f t="shared" ca="1" si="138"/>
        <v>No</v>
      </c>
      <c r="AP1265" t="str">
        <f t="shared" si="139"/>
        <v>Low Risk</v>
      </c>
    </row>
    <row r="1266" spans="1:42" x14ac:dyDescent="0.3">
      <c r="A1266" s="5">
        <v>55</v>
      </c>
      <c r="B1266" s="5" t="s">
        <v>43</v>
      </c>
      <c r="C1266" s="5" t="str">
        <f t="shared" si="133"/>
        <v>No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 s="5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 s="5">
        <v>19038</v>
      </c>
      <c r="U1266">
        <v>19805</v>
      </c>
      <c r="V1266">
        <v>8</v>
      </c>
      <c r="W1266" t="s">
        <v>42</v>
      </c>
      <c r="X1266" t="s">
        <v>43</v>
      </c>
      <c r="Y1266" t="str">
        <f t="shared" si="134"/>
        <v>No</v>
      </c>
      <c r="Z1266">
        <v>12</v>
      </c>
      <c r="AA1266">
        <v>3</v>
      </c>
      <c r="AB1266">
        <v>2</v>
      </c>
      <c r="AC1266">
        <v>80</v>
      </c>
      <c r="AD1266">
        <v>3</v>
      </c>
      <c r="AE1266" s="5">
        <v>34</v>
      </c>
      <c r="AF1266" t="str">
        <f t="shared" si="135"/>
        <v>&gt;15</v>
      </c>
      <c r="AG1266">
        <v>2</v>
      </c>
      <c r="AH1266">
        <v>3</v>
      </c>
      <c r="AI1266" s="5">
        <v>1</v>
      </c>
      <c r="AJ1266">
        <v>0</v>
      </c>
      <c r="AK1266">
        <v>0</v>
      </c>
      <c r="AL1266">
        <v>0</v>
      </c>
      <c r="AM1266" t="str">
        <f t="shared" si="136"/>
        <v>Ok</v>
      </c>
      <c r="AN1266" s="21">
        <f t="shared" si="137"/>
        <v>26.570048309178745</v>
      </c>
      <c r="AO1266" t="str">
        <f t="shared" ca="1" si="138"/>
        <v>No</v>
      </c>
      <c r="AP1266" t="str">
        <f t="shared" si="139"/>
        <v>Low Risk</v>
      </c>
    </row>
    <row r="1267" spans="1:42" x14ac:dyDescent="0.3">
      <c r="A1267" s="5">
        <v>33</v>
      </c>
      <c r="B1267" s="5" t="s">
        <v>43</v>
      </c>
      <c r="C1267" s="5" t="str">
        <f t="shared" si="133"/>
        <v>No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 s="5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 s="5">
        <v>3055</v>
      </c>
      <c r="U1267">
        <v>6194</v>
      </c>
      <c r="V1267">
        <v>5</v>
      </c>
      <c r="W1267" t="s">
        <v>42</v>
      </c>
      <c r="X1267" t="s">
        <v>43</v>
      </c>
      <c r="Y1267" t="str">
        <f t="shared" si="134"/>
        <v>No</v>
      </c>
      <c r="Z1267">
        <v>15</v>
      </c>
      <c r="AA1267">
        <v>3</v>
      </c>
      <c r="AB1267">
        <v>4</v>
      </c>
      <c r="AC1267">
        <v>80</v>
      </c>
      <c r="AD1267">
        <v>2</v>
      </c>
      <c r="AE1267" s="5">
        <v>11</v>
      </c>
      <c r="AF1267" t="str">
        <f t="shared" si="135"/>
        <v>6-15</v>
      </c>
      <c r="AG1267">
        <v>2</v>
      </c>
      <c r="AH1267">
        <v>2</v>
      </c>
      <c r="AI1267" s="5">
        <v>9</v>
      </c>
      <c r="AJ1267">
        <v>8</v>
      </c>
      <c r="AK1267">
        <v>1</v>
      </c>
      <c r="AL1267">
        <v>7</v>
      </c>
      <c r="AM1267" t="str">
        <f t="shared" si="136"/>
        <v>Below Avg</v>
      </c>
      <c r="AN1267" s="21">
        <f t="shared" si="137"/>
        <v>26.699029126213592</v>
      </c>
      <c r="AO1267" t="str">
        <f t="shared" ca="1" si="138"/>
        <v>No</v>
      </c>
      <c r="AP1267" t="str">
        <f t="shared" si="139"/>
        <v>Low Risk</v>
      </c>
    </row>
    <row r="1268" spans="1:42" x14ac:dyDescent="0.3">
      <c r="A1268" s="5">
        <v>41</v>
      </c>
      <c r="B1268" s="5" t="s">
        <v>43</v>
      </c>
      <c r="C1268" s="5" t="str">
        <f t="shared" si="133"/>
        <v>No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 s="5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 s="5">
        <v>2289</v>
      </c>
      <c r="U1268">
        <v>20520</v>
      </c>
      <c r="V1268">
        <v>1</v>
      </c>
      <c r="W1268" t="s">
        <v>42</v>
      </c>
      <c r="X1268" t="s">
        <v>43</v>
      </c>
      <c r="Y1268" t="str">
        <f t="shared" si="134"/>
        <v>No</v>
      </c>
      <c r="Z1268">
        <v>20</v>
      </c>
      <c r="AA1268">
        <v>4</v>
      </c>
      <c r="AB1268">
        <v>2</v>
      </c>
      <c r="AC1268">
        <v>80</v>
      </c>
      <c r="AD1268">
        <v>2</v>
      </c>
      <c r="AE1268" s="5">
        <v>5</v>
      </c>
      <c r="AF1268" t="str">
        <f t="shared" si="135"/>
        <v>0-5</v>
      </c>
      <c r="AG1268">
        <v>2</v>
      </c>
      <c r="AH1268">
        <v>3</v>
      </c>
      <c r="AI1268" s="5">
        <v>5</v>
      </c>
      <c r="AJ1268">
        <v>3</v>
      </c>
      <c r="AK1268">
        <v>0</v>
      </c>
      <c r="AL1268">
        <v>4</v>
      </c>
      <c r="AM1268" t="str">
        <f t="shared" si="136"/>
        <v>Below Avg</v>
      </c>
      <c r="AN1268" s="21">
        <f t="shared" si="137"/>
        <v>26.829268292682929</v>
      </c>
      <c r="AO1268" t="str">
        <f t="shared" ca="1" si="138"/>
        <v>No</v>
      </c>
      <c r="AP1268" t="str">
        <f t="shared" si="139"/>
        <v>Low Risk</v>
      </c>
    </row>
    <row r="1269" spans="1:42" x14ac:dyDescent="0.3">
      <c r="A1269" s="5">
        <v>34</v>
      </c>
      <c r="B1269" s="5" t="s">
        <v>43</v>
      </c>
      <c r="C1269" s="5" t="str">
        <f t="shared" si="133"/>
        <v>No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 s="5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 s="5">
        <v>4001</v>
      </c>
      <c r="U1269">
        <v>12313</v>
      </c>
      <c r="V1269">
        <v>1</v>
      </c>
      <c r="W1269" t="s">
        <v>42</v>
      </c>
      <c r="X1269" t="s">
        <v>35</v>
      </c>
      <c r="Y1269" t="str">
        <f t="shared" si="134"/>
        <v>Yes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 s="5">
        <v>15</v>
      </c>
      <c r="AF1269" t="str">
        <f t="shared" si="135"/>
        <v>6-15</v>
      </c>
      <c r="AG1269">
        <v>3</v>
      </c>
      <c r="AH1269">
        <v>3</v>
      </c>
      <c r="AI1269" s="5">
        <v>15</v>
      </c>
      <c r="AJ1269">
        <v>14</v>
      </c>
      <c r="AK1269">
        <v>0</v>
      </c>
      <c r="AL1269">
        <v>7</v>
      </c>
      <c r="AM1269" t="str">
        <f t="shared" si="136"/>
        <v>Below Avg</v>
      </c>
      <c r="AN1269" s="21">
        <f t="shared" si="137"/>
        <v>26.96078431372549</v>
      </c>
      <c r="AO1269" t="str">
        <f t="shared" ca="1" si="138"/>
        <v>No</v>
      </c>
      <c r="AP1269" t="str">
        <f t="shared" si="139"/>
        <v>Low Risk</v>
      </c>
    </row>
    <row r="1270" spans="1:42" x14ac:dyDescent="0.3">
      <c r="A1270" s="5">
        <v>53</v>
      </c>
      <c r="B1270" s="5" t="s">
        <v>43</v>
      </c>
      <c r="C1270" s="5" t="str">
        <f t="shared" si="133"/>
        <v>No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 s="5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 s="5">
        <v>12965</v>
      </c>
      <c r="U1270">
        <v>22308</v>
      </c>
      <c r="V1270">
        <v>4</v>
      </c>
      <c r="W1270" t="s">
        <v>42</v>
      </c>
      <c r="X1270" t="s">
        <v>35</v>
      </c>
      <c r="Y1270" t="str">
        <f t="shared" si="134"/>
        <v>Yes</v>
      </c>
      <c r="Z1270">
        <v>20</v>
      </c>
      <c r="AA1270">
        <v>4</v>
      </c>
      <c r="AB1270">
        <v>4</v>
      </c>
      <c r="AC1270">
        <v>80</v>
      </c>
      <c r="AD1270">
        <v>3</v>
      </c>
      <c r="AE1270" s="5">
        <v>27</v>
      </c>
      <c r="AF1270" t="str">
        <f t="shared" si="135"/>
        <v>&gt;15</v>
      </c>
      <c r="AG1270">
        <v>2</v>
      </c>
      <c r="AH1270">
        <v>2</v>
      </c>
      <c r="AI1270" s="5">
        <v>3</v>
      </c>
      <c r="AJ1270">
        <v>2</v>
      </c>
      <c r="AK1270">
        <v>0</v>
      </c>
      <c r="AL1270">
        <v>2</v>
      </c>
      <c r="AM1270" t="str">
        <f t="shared" si="136"/>
        <v>Ok</v>
      </c>
      <c r="AN1270" s="21">
        <f t="shared" si="137"/>
        <v>27.093596059113302</v>
      </c>
      <c r="AO1270" t="str">
        <f t="shared" ca="1" si="138"/>
        <v>No</v>
      </c>
      <c r="AP1270" t="str">
        <f t="shared" si="139"/>
        <v>Low Risk</v>
      </c>
    </row>
    <row r="1271" spans="1:42" x14ac:dyDescent="0.3">
      <c r="A1271" s="5">
        <v>43</v>
      </c>
      <c r="B1271" s="5" t="s">
        <v>43</v>
      </c>
      <c r="C1271" s="5" t="str">
        <f t="shared" si="133"/>
        <v>No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 s="5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 s="5">
        <v>3539</v>
      </c>
      <c r="U1271">
        <v>5033</v>
      </c>
      <c r="V1271">
        <v>0</v>
      </c>
      <c r="W1271" t="s">
        <v>42</v>
      </c>
      <c r="X1271" t="s">
        <v>43</v>
      </c>
      <c r="Y1271" t="str">
        <f t="shared" si="134"/>
        <v>No</v>
      </c>
      <c r="Z1271">
        <v>13</v>
      </c>
      <c r="AA1271">
        <v>3</v>
      </c>
      <c r="AB1271">
        <v>2</v>
      </c>
      <c r="AC1271">
        <v>80</v>
      </c>
      <c r="AD1271">
        <v>0</v>
      </c>
      <c r="AE1271" s="5">
        <v>10</v>
      </c>
      <c r="AF1271" t="str">
        <f t="shared" si="135"/>
        <v>6-15</v>
      </c>
      <c r="AG1271">
        <v>5</v>
      </c>
      <c r="AH1271">
        <v>3</v>
      </c>
      <c r="AI1271" s="5">
        <v>9</v>
      </c>
      <c r="AJ1271">
        <v>7</v>
      </c>
      <c r="AK1271">
        <v>1</v>
      </c>
      <c r="AL1271">
        <v>8</v>
      </c>
      <c r="AM1271" t="str">
        <f t="shared" si="136"/>
        <v>Below Avg</v>
      </c>
      <c r="AN1271" s="21">
        <f t="shared" si="137"/>
        <v>26.732673267326735</v>
      </c>
      <c r="AO1271" t="str">
        <f t="shared" ca="1" si="138"/>
        <v>No</v>
      </c>
      <c r="AP1271" t="str">
        <f t="shared" si="139"/>
        <v>Low Risk</v>
      </c>
    </row>
    <row r="1272" spans="1:42" x14ac:dyDescent="0.3">
      <c r="A1272" s="5">
        <v>34</v>
      </c>
      <c r="B1272" s="5" t="s">
        <v>43</v>
      </c>
      <c r="C1272" s="5" t="str">
        <f t="shared" si="133"/>
        <v>No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 s="5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 s="5">
        <v>6029</v>
      </c>
      <c r="U1272">
        <v>25353</v>
      </c>
      <c r="V1272">
        <v>5</v>
      </c>
      <c r="W1272" t="s">
        <v>42</v>
      </c>
      <c r="X1272" t="s">
        <v>43</v>
      </c>
      <c r="Y1272" t="str">
        <f t="shared" si="134"/>
        <v>No</v>
      </c>
      <c r="Z1272">
        <v>12</v>
      </c>
      <c r="AA1272">
        <v>3</v>
      </c>
      <c r="AB1272">
        <v>1</v>
      </c>
      <c r="AC1272">
        <v>80</v>
      </c>
      <c r="AD1272">
        <v>0</v>
      </c>
      <c r="AE1272" s="5">
        <v>6</v>
      </c>
      <c r="AF1272" t="str">
        <f t="shared" si="135"/>
        <v>6-15</v>
      </c>
      <c r="AG1272">
        <v>3</v>
      </c>
      <c r="AH1272">
        <v>3</v>
      </c>
      <c r="AI1272" s="5">
        <v>2</v>
      </c>
      <c r="AJ1272">
        <v>2</v>
      </c>
      <c r="AK1272">
        <v>2</v>
      </c>
      <c r="AL1272">
        <v>2</v>
      </c>
      <c r="AM1272" t="str">
        <f t="shared" si="136"/>
        <v>Below Avg</v>
      </c>
      <c r="AN1272" s="21">
        <f t="shared" si="137"/>
        <v>26.368159203980102</v>
      </c>
      <c r="AO1272" t="str">
        <f t="shared" ca="1" si="138"/>
        <v>No</v>
      </c>
      <c r="AP1272" t="str">
        <f t="shared" si="139"/>
        <v>Low Risk</v>
      </c>
    </row>
    <row r="1273" spans="1:42" x14ac:dyDescent="0.3">
      <c r="A1273" s="5">
        <v>21</v>
      </c>
      <c r="B1273" s="5" t="s">
        <v>35</v>
      </c>
      <c r="C1273" s="5" t="str">
        <f t="shared" si="133"/>
        <v>Yes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 s="5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 s="5">
        <v>2679</v>
      </c>
      <c r="U1273">
        <v>4567</v>
      </c>
      <c r="V1273">
        <v>1</v>
      </c>
      <c r="W1273" t="s">
        <v>42</v>
      </c>
      <c r="X1273" t="s">
        <v>43</v>
      </c>
      <c r="Y1273" t="str">
        <f t="shared" si="134"/>
        <v>No</v>
      </c>
      <c r="Z1273">
        <v>13</v>
      </c>
      <c r="AA1273">
        <v>3</v>
      </c>
      <c r="AB1273">
        <v>2</v>
      </c>
      <c r="AC1273">
        <v>80</v>
      </c>
      <c r="AD1273">
        <v>0</v>
      </c>
      <c r="AE1273" s="5">
        <v>1</v>
      </c>
      <c r="AF1273" t="str">
        <f t="shared" si="135"/>
        <v>0-5</v>
      </c>
      <c r="AG1273">
        <v>3</v>
      </c>
      <c r="AH1273">
        <v>3</v>
      </c>
      <c r="AI1273" s="5">
        <v>1</v>
      </c>
      <c r="AJ1273">
        <v>0</v>
      </c>
      <c r="AK1273">
        <v>1</v>
      </c>
      <c r="AL1273">
        <v>0</v>
      </c>
      <c r="AM1273" t="str">
        <f t="shared" si="136"/>
        <v>Below Avg</v>
      </c>
      <c r="AN1273" s="21">
        <f t="shared" si="137"/>
        <v>26.5</v>
      </c>
      <c r="AO1273" t="str">
        <f t="shared" ca="1" si="138"/>
        <v>No</v>
      </c>
      <c r="AP1273" t="str">
        <f t="shared" si="139"/>
        <v>High Risk</v>
      </c>
    </row>
    <row r="1274" spans="1:42" x14ac:dyDescent="0.3">
      <c r="A1274" s="5">
        <v>38</v>
      </c>
      <c r="B1274" s="5" t="s">
        <v>43</v>
      </c>
      <c r="C1274" s="5" t="str">
        <f t="shared" si="133"/>
        <v>No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 s="5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 s="5">
        <v>3702</v>
      </c>
      <c r="U1274">
        <v>16376</v>
      </c>
      <c r="V1274">
        <v>1</v>
      </c>
      <c r="W1274" t="s">
        <v>42</v>
      </c>
      <c r="X1274" t="s">
        <v>43</v>
      </c>
      <c r="Y1274" t="str">
        <f t="shared" si="134"/>
        <v>No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 s="5">
        <v>5</v>
      </c>
      <c r="AF1274" t="str">
        <f t="shared" si="135"/>
        <v>0-5</v>
      </c>
      <c r="AG1274">
        <v>3</v>
      </c>
      <c r="AH1274">
        <v>3</v>
      </c>
      <c r="AI1274" s="5">
        <v>5</v>
      </c>
      <c r="AJ1274">
        <v>4</v>
      </c>
      <c r="AK1274">
        <v>0</v>
      </c>
      <c r="AL1274">
        <v>4</v>
      </c>
      <c r="AM1274" t="str">
        <f t="shared" si="136"/>
        <v>Below Avg</v>
      </c>
      <c r="AN1274" s="21">
        <f t="shared" si="137"/>
        <v>26.633165829145728</v>
      </c>
      <c r="AO1274" t="str">
        <f t="shared" ca="1" si="138"/>
        <v>No</v>
      </c>
      <c r="AP1274" t="str">
        <f t="shared" si="139"/>
        <v>Low Risk</v>
      </c>
    </row>
    <row r="1275" spans="1:42" x14ac:dyDescent="0.3">
      <c r="A1275" s="5">
        <v>22</v>
      </c>
      <c r="B1275" s="5" t="s">
        <v>35</v>
      </c>
      <c r="C1275" s="5" t="str">
        <f t="shared" si="133"/>
        <v>Yes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 s="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 s="5">
        <v>2398</v>
      </c>
      <c r="U1275">
        <v>15999</v>
      </c>
      <c r="V1275">
        <v>1</v>
      </c>
      <c r="W1275" t="s">
        <v>42</v>
      </c>
      <c r="X1275" t="s">
        <v>35</v>
      </c>
      <c r="Y1275" t="str">
        <f t="shared" si="134"/>
        <v>Yes</v>
      </c>
      <c r="Z1275">
        <v>17</v>
      </c>
      <c r="AA1275">
        <v>3</v>
      </c>
      <c r="AB1275">
        <v>3</v>
      </c>
      <c r="AC1275">
        <v>80</v>
      </c>
      <c r="AD1275">
        <v>0</v>
      </c>
      <c r="AE1275" s="5">
        <v>1</v>
      </c>
      <c r="AF1275" t="str">
        <f t="shared" si="135"/>
        <v>0-5</v>
      </c>
      <c r="AG1275">
        <v>6</v>
      </c>
      <c r="AH1275">
        <v>3</v>
      </c>
      <c r="AI1275" s="5">
        <v>1</v>
      </c>
      <c r="AJ1275">
        <v>0</v>
      </c>
      <c r="AK1275">
        <v>0</v>
      </c>
      <c r="AL1275">
        <v>0</v>
      </c>
      <c r="AM1275" t="str">
        <f t="shared" si="136"/>
        <v>Below Avg</v>
      </c>
      <c r="AN1275" s="21">
        <f t="shared" si="137"/>
        <v>26.767676767676768</v>
      </c>
      <c r="AO1275" t="str">
        <f t="shared" ca="1" si="138"/>
        <v>No</v>
      </c>
      <c r="AP1275" t="str">
        <f t="shared" si="139"/>
        <v>High Risk</v>
      </c>
    </row>
    <row r="1276" spans="1:42" x14ac:dyDescent="0.3">
      <c r="A1276" s="5">
        <v>31</v>
      </c>
      <c r="B1276" s="5" t="s">
        <v>43</v>
      </c>
      <c r="C1276" s="5" t="str">
        <f t="shared" si="133"/>
        <v>No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 s="5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 s="5">
        <v>5468</v>
      </c>
      <c r="U1276">
        <v>13402</v>
      </c>
      <c r="V1276">
        <v>1</v>
      </c>
      <c r="W1276" t="s">
        <v>42</v>
      </c>
      <c r="X1276" t="s">
        <v>43</v>
      </c>
      <c r="Y1276" t="str">
        <f t="shared" si="134"/>
        <v>No</v>
      </c>
      <c r="Z1276">
        <v>14</v>
      </c>
      <c r="AA1276">
        <v>3</v>
      </c>
      <c r="AB1276">
        <v>1</v>
      </c>
      <c r="AC1276">
        <v>80</v>
      </c>
      <c r="AD1276">
        <v>2</v>
      </c>
      <c r="AE1276" s="5">
        <v>13</v>
      </c>
      <c r="AF1276" t="str">
        <f t="shared" si="135"/>
        <v>6-15</v>
      </c>
      <c r="AG1276">
        <v>3</v>
      </c>
      <c r="AH1276">
        <v>3</v>
      </c>
      <c r="AI1276" s="5">
        <v>12</v>
      </c>
      <c r="AJ1276">
        <v>7</v>
      </c>
      <c r="AK1276">
        <v>5</v>
      </c>
      <c r="AL1276">
        <v>7</v>
      </c>
      <c r="AM1276" t="str">
        <f t="shared" si="136"/>
        <v>Below Avg</v>
      </c>
      <c r="AN1276" s="21">
        <f t="shared" si="137"/>
        <v>26.903553299492383</v>
      </c>
      <c r="AO1276" t="str">
        <f t="shared" ca="1" si="138"/>
        <v>No</v>
      </c>
      <c r="AP1276" t="str">
        <f t="shared" si="139"/>
        <v>Low Risk</v>
      </c>
    </row>
    <row r="1277" spans="1:42" x14ac:dyDescent="0.3">
      <c r="A1277" s="5">
        <v>51</v>
      </c>
      <c r="B1277" s="5" t="s">
        <v>43</v>
      </c>
      <c r="C1277" s="5" t="str">
        <f t="shared" si="133"/>
        <v>No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 s="5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 s="5">
        <v>13116</v>
      </c>
      <c r="U1277">
        <v>22984</v>
      </c>
      <c r="V1277">
        <v>2</v>
      </c>
      <c r="W1277" t="s">
        <v>42</v>
      </c>
      <c r="X1277" t="s">
        <v>43</v>
      </c>
      <c r="Y1277" t="str">
        <f t="shared" si="134"/>
        <v>No</v>
      </c>
      <c r="Z1277">
        <v>11</v>
      </c>
      <c r="AA1277">
        <v>3</v>
      </c>
      <c r="AB1277">
        <v>4</v>
      </c>
      <c r="AC1277">
        <v>80</v>
      </c>
      <c r="AD1277">
        <v>0</v>
      </c>
      <c r="AE1277" s="5">
        <v>15</v>
      </c>
      <c r="AF1277" t="str">
        <f t="shared" si="135"/>
        <v>6-15</v>
      </c>
      <c r="AG1277">
        <v>2</v>
      </c>
      <c r="AH1277">
        <v>3</v>
      </c>
      <c r="AI1277" s="5">
        <v>2</v>
      </c>
      <c r="AJ1277">
        <v>2</v>
      </c>
      <c r="AK1277">
        <v>2</v>
      </c>
      <c r="AL1277">
        <v>2</v>
      </c>
      <c r="AM1277" t="str">
        <f t="shared" si="136"/>
        <v>Ok</v>
      </c>
      <c r="AN1277" s="21">
        <f t="shared" si="137"/>
        <v>26.530612244897959</v>
      </c>
      <c r="AO1277" t="str">
        <f t="shared" ca="1" si="138"/>
        <v>No</v>
      </c>
      <c r="AP1277" t="str">
        <f t="shared" si="139"/>
        <v>Low Risk</v>
      </c>
    </row>
    <row r="1278" spans="1:42" x14ac:dyDescent="0.3">
      <c r="A1278" s="5">
        <v>37</v>
      </c>
      <c r="B1278" s="5" t="s">
        <v>43</v>
      </c>
      <c r="C1278" s="5" t="str">
        <f t="shared" si="133"/>
        <v>No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 s="5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 s="5">
        <v>4189</v>
      </c>
      <c r="U1278">
        <v>8800</v>
      </c>
      <c r="V1278">
        <v>1</v>
      </c>
      <c r="W1278" t="s">
        <v>42</v>
      </c>
      <c r="X1278" t="s">
        <v>43</v>
      </c>
      <c r="Y1278" t="str">
        <f t="shared" si="134"/>
        <v>No</v>
      </c>
      <c r="Z1278">
        <v>14</v>
      </c>
      <c r="AA1278">
        <v>3</v>
      </c>
      <c r="AB1278">
        <v>1</v>
      </c>
      <c r="AC1278">
        <v>80</v>
      </c>
      <c r="AD1278">
        <v>2</v>
      </c>
      <c r="AE1278" s="5">
        <v>5</v>
      </c>
      <c r="AF1278" t="str">
        <f t="shared" si="135"/>
        <v>0-5</v>
      </c>
      <c r="AG1278">
        <v>2</v>
      </c>
      <c r="AH1278">
        <v>3</v>
      </c>
      <c r="AI1278" s="5">
        <v>5</v>
      </c>
      <c r="AJ1278">
        <v>2</v>
      </c>
      <c r="AK1278">
        <v>0</v>
      </c>
      <c r="AL1278">
        <v>3</v>
      </c>
      <c r="AM1278" t="str">
        <f t="shared" si="136"/>
        <v>Below Avg</v>
      </c>
      <c r="AN1278" s="21">
        <f t="shared" si="137"/>
        <v>26.666666666666668</v>
      </c>
      <c r="AO1278" t="str">
        <f t="shared" ca="1" si="138"/>
        <v>No</v>
      </c>
      <c r="AP1278" t="str">
        <f t="shared" si="139"/>
        <v>Low Risk</v>
      </c>
    </row>
    <row r="1279" spans="1:42" x14ac:dyDescent="0.3">
      <c r="A1279" s="5">
        <v>46</v>
      </c>
      <c r="B1279" s="5" t="s">
        <v>43</v>
      </c>
      <c r="C1279" s="5" t="str">
        <f t="shared" si="133"/>
        <v>No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 s="5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 s="5">
        <v>19328</v>
      </c>
      <c r="U1279">
        <v>14218</v>
      </c>
      <c r="V1279">
        <v>7</v>
      </c>
      <c r="W1279" t="s">
        <v>42</v>
      </c>
      <c r="X1279" t="s">
        <v>35</v>
      </c>
      <c r="Y1279" t="str">
        <f t="shared" si="134"/>
        <v>Yes</v>
      </c>
      <c r="Z1279">
        <v>17</v>
      </c>
      <c r="AA1279">
        <v>3</v>
      </c>
      <c r="AB1279">
        <v>3</v>
      </c>
      <c r="AC1279">
        <v>80</v>
      </c>
      <c r="AD1279">
        <v>1</v>
      </c>
      <c r="AE1279" s="5">
        <v>24</v>
      </c>
      <c r="AF1279" t="str">
        <f t="shared" si="135"/>
        <v>&gt;15</v>
      </c>
      <c r="AG1279">
        <v>3</v>
      </c>
      <c r="AH1279">
        <v>3</v>
      </c>
      <c r="AI1279" s="5">
        <v>2</v>
      </c>
      <c r="AJ1279">
        <v>1</v>
      </c>
      <c r="AK1279">
        <v>2</v>
      </c>
      <c r="AL1279">
        <v>2</v>
      </c>
      <c r="AM1279" t="str">
        <f t="shared" si="136"/>
        <v>Ok</v>
      </c>
      <c r="AN1279" s="21">
        <f t="shared" si="137"/>
        <v>26.804123711340207</v>
      </c>
      <c r="AO1279" t="str">
        <f t="shared" ca="1" si="138"/>
        <v>No</v>
      </c>
      <c r="AP1279" t="str">
        <f t="shared" si="139"/>
        <v>Low Risk</v>
      </c>
    </row>
    <row r="1280" spans="1:42" x14ac:dyDescent="0.3">
      <c r="A1280" s="5">
        <v>36</v>
      </c>
      <c r="B1280" s="5" t="s">
        <v>43</v>
      </c>
      <c r="C1280" s="5" t="str">
        <f t="shared" si="133"/>
        <v>No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 s="5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 s="5">
        <v>8321</v>
      </c>
      <c r="U1280">
        <v>25949</v>
      </c>
      <c r="V1280">
        <v>7</v>
      </c>
      <c r="W1280" t="s">
        <v>42</v>
      </c>
      <c r="X1280" t="s">
        <v>35</v>
      </c>
      <c r="Y1280" t="str">
        <f t="shared" si="134"/>
        <v>Yes</v>
      </c>
      <c r="Z1280">
        <v>13</v>
      </c>
      <c r="AA1280">
        <v>3</v>
      </c>
      <c r="AB1280">
        <v>4</v>
      </c>
      <c r="AC1280">
        <v>80</v>
      </c>
      <c r="AD1280">
        <v>1</v>
      </c>
      <c r="AE1280" s="5">
        <v>15</v>
      </c>
      <c r="AF1280" t="str">
        <f t="shared" si="135"/>
        <v>6-15</v>
      </c>
      <c r="AG1280">
        <v>1</v>
      </c>
      <c r="AH1280">
        <v>3</v>
      </c>
      <c r="AI1280" s="5">
        <v>12</v>
      </c>
      <c r="AJ1280">
        <v>8</v>
      </c>
      <c r="AK1280">
        <v>5</v>
      </c>
      <c r="AL1280">
        <v>7</v>
      </c>
      <c r="AM1280" t="str">
        <f t="shared" si="136"/>
        <v>Ok</v>
      </c>
      <c r="AN1280" s="21">
        <f t="shared" si="137"/>
        <v>26.94300518134715</v>
      </c>
      <c r="AO1280" t="str">
        <f t="shared" ca="1" si="138"/>
        <v>No</v>
      </c>
      <c r="AP1280" t="str">
        <f t="shared" si="139"/>
        <v>Low Risk</v>
      </c>
    </row>
    <row r="1281" spans="1:42" x14ac:dyDescent="0.3">
      <c r="A1281" s="5">
        <v>44</v>
      </c>
      <c r="B1281" s="5" t="s">
        <v>35</v>
      </c>
      <c r="C1281" s="5" t="str">
        <f t="shared" si="133"/>
        <v>Yes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 s="5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 s="5">
        <v>2342</v>
      </c>
      <c r="U1281">
        <v>11092</v>
      </c>
      <c r="V1281">
        <v>1</v>
      </c>
      <c r="W1281" t="s">
        <v>42</v>
      </c>
      <c r="X1281" t="s">
        <v>35</v>
      </c>
      <c r="Y1281" t="str">
        <f t="shared" si="134"/>
        <v>Yes</v>
      </c>
      <c r="Z1281">
        <v>12</v>
      </c>
      <c r="AA1281">
        <v>3</v>
      </c>
      <c r="AB1281">
        <v>3</v>
      </c>
      <c r="AC1281">
        <v>80</v>
      </c>
      <c r="AD1281">
        <v>3</v>
      </c>
      <c r="AE1281" s="5">
        <v>6</v>
      </c>
      <c r="AF1281" t="str">
        <f t="shared" si="135"/>
        <v>6-15</v>
      </c>
      <c r="AG1281">
        <v>2</v>
      </c>
      <c r="AH1281">
        <v>2</v>
      </c>
      <c r="AI1281" s="5">
        <v>5</v>
      </c>
      <c r="AJ1281">
        <v>3</v>
      </c>
      <c r="AK1281">
        <v>2</v>
      </c>
      <c r="AL1281">
        <v>3</v>
      </c>
      <c r="AM1281" t="str">
        <f t="shared" si="136"/>
        <v>Below Avg</v>
      </c>
      <c r="AN1281" s="21">
        <f t="shared" si="137"/>
        <v>26.5625</v>
      </c>
      <c r="AO1281" t="str">
        <f t="shared" ca="1" si="138"/>
        <v>No</v>
      </c>
      <c r="AP1281" t="str">
        <f t="shared" si="139"/>
        <v>Low Risk</v>
      </c>
    </row>
    <row r="1282" spans="1:42" x14ac:dyDescent="0.3">
      <c r="A1282" s="5">
        <v>37</v>
      </c>
      <c r="B1282" s="5" t="s">
        <v>43</v>
      </c>
      <c r="C1282" s="5" t="str">
        <f t="shared" si="133"/>
        <v>No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 s="5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 s="5">
        <v>4071</v>
      </c>
      <c r="U1282">
        <v>12832</v>
      </c>
      <c r="V1282">
        <v>2</v>
      </c>
      <c r="W1282" t="s">
        <v>42</v>
      </c>
      <c r="X1282" t="s">
        <v>43</v>
      </c>
      <c r="Y1282" t="str">
        <f t="shared" si="134"/>
        <v>No</v>
      </c>
      <c r="Z1282">
        <v>13</v>
      </c>
      <c r="AA1282">
        <v>3</v>
      </c>
      <c r="AB1282">
        <v>3</v>
      </c>
      <c r="AC1282">
        <v>80</v>
      </c>
      <c r="AD1282">
        <v>0</v>
      </c>
      <c r="AE1282" s="5">
        <v>19</v>
      </c>
      <c r="AF1282" t="str">
        <f t="shared" si="135"/>
        <v>&gt;15</v>
      </c>
      <c r="AG1282">
        <v>4</v>
      </c>
      <c r="AH1282">
        <v>2</v>
      </c>
      <c r="AI1282" s="5">
        <v>10</v>
      </c>
      <c r="AJ1282">
        <v>0</v>
      </c>
      <c r="AK1282">
        <v>4</v>
      </c>
      <c r="AL1282">
        <v>7</v>
      </c>
      <c r="AM1282" t="str">
        <f t="shared" si="136"/>
        <v>Below Avg</v>
      </c>
      <c r="AN1282" s="21">
        <f t="shared" si="137"/>
        <v>26.178010471204189</v>
      </c>
      <c r="AO1282" t="str">
        <f t="shared" ca="1" si="138"/>
        <v>No</v>
      </c>
      <c r="AP1282" t="str">
        <f t="shared" si="139"/>
        <v>Low Risk</v>
      </c>
    </row>
    <row r="1283" spans="1:42" x14ac:dyDescent="0.3">
      <c r="A1283" s="5">
        <v>35</v>
      </c>
      <c r="B1283" s="5" t="s">
        <v>35</v>
      </c>
      <c r="C1283" s="5" t="str">
        <f t="shared" ref="C1283:C1346" si="140">IF(LOWER(B1283)="yes","Yes","No")</f>
        <v>Yes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 s="5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 s="5">
        <v>5813</v>
      </c>
      <c r="U1283">
        <v>13492</v>
      </c>
      <c r="V1283">
        <v>1</v>
      </c>
      <c r="W1283" t="s">
        <v>42</v>
      </c>
      <c r="X1283" t="s">
        <v>35</v>
      </c>
      <c r="Y1283" t="str">
        <f t="shared" ref="Y1283:Y1346" si="141">IF(LOWER(X1283)="yes","Yes","No")</f>
        <v>Yes</v>
      </c>
      <c r="Z1283">
        <v>18</v>
      </c>
      <c r="AA1283">
        <v>3</v>
      </c>
      <c r="AB1283">
        <v>4</v>
      </c>
      <c r="AC1283">
        <v>80</v>
      </c>
      <c r="AD1283">
        <v>0</v>
      </c>
      <c r="AE1283" s="5">
        <v>10</v>
      </c>
      <c r="AF1283" t="str">
        <f t="shared" ref="AF1283:AF1346" si="142">IF(AE1283&lt;=5,"0-5",IF(AE1283&lt;=15,"6-15","&gt;15"))</f>
        <v>6-15</v>
      </c>
      <c r="AG1283">
        <v>2</v>
      </c>
      <c r="AH1283">
        <v>3</v>
      </c>
      <c r="AI1283" s="5">
        <v>10</v>
      </c>
      <c r="AJ1283">
        <v>7</v>
      </c>
      <c r="AK1283">
        <v>7</v>
      </c>
      <c r="AL1283">
        <v>7</v>
      </c>
      <c r="AM1283" t="str">
        <f t="shared" ref="AM1283:AM1346" si="143">IF(T1283&lt;AVERAGEIF($F1282:$F2752,F1283,$T1282:$T2752),"Below Avg","Ok")</f>
        <v>Below Avg</v>
      </c>
      <c r="AN1283" s="21">
        <f t="shared" ref="AN1283:AN1346" si="144">COUNTIF(X1282:X2752,"Yes")/COUNTA(X1282:X2752)*100</f>
        <v>25.789473684210527</v>
      </c>
      <c r="AO1283" t="str">
        <f t="shared" ref="AO1283:AO1346" ca="1" si="145">IF(AND(AA1283&gt;=4,Z1283&lt;AVERAGEIF($F1282:$F2752,F1283,$Z1283:$Z2752)),"Yes","No")</f>
        <v>No</v>
      </c>
      <c r="AP1283" t="str">
        <f t="shared" ref="AP1283:AP1346" si="146">IF(AND(AI1283&lt;2,C1283="Yes"),"High Risk","Low Risk")</f>
        <v>Low Risk</v>
      </c>
    </row>
    <row r="1284" spans="1:42" x14ac:dyDescent="0.3">
      <c r="A1284" s="5">
        <v>33</v>
      </c>
      <c r="B1284" s="5" t="s">
        <v>43</v>
      </c>
      <c r="C1284" s="5" t="str">
        <f t="shared" si="140"/>
        <v>No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 s="5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 s="5">
        <v>3143</v>
      </c>
      <c r="U1284">
        <v>6076</v>
      </c>
      <c r="V1284">
        <v>6</v>
      </c>
      <c r="W1284" t="s">
        <v>42</v>
      </c>
      <c r="X1284" t="s">
        <v>43</v>
      </c>
      <c r="Y1284" t="str">
        <f t="shared" si="141"/>
        <v>No</v>
      </c>
      <c r="Z1284">
        <v>19</v>
      </c>
      <c r="AA1284">
        <v>3</v>
      </c>
      <c r="AB1284">
        <v>2</v>
      </c>
      <c r="AC1284">
        <v>80</v>
      </c>
      <c r="AD1284">
        <v>1</v>
      </c>
      <c r="AE1284" s="5">
        <v>14</v>
      </c>
      <c r="AF1284" t="str">
        <f t="shared" si="142"/>
        <v>6-15</v>
      </c>
      <c r="AG1284">
        <v>1</v>
      </c>
      <c r="AH1284">
        <v>3</v>
      </c>
      <c r="AI1284" s="5">
        <v>10</v>
      </c>
      <c r="AJ1284">
        <v>8</v>
      </c>
      <c r="AK1284">
        <v>7</v>
      </c>
      <c r="AL1284">
        <v>6</v>
      </c>
      <c r="AM1284" t="str">
        <f t="shared" si="143"/>
        <v>Below Avg</v>
      </c>
      <c r="AN1284" s="21">
        <f t="shared" si="144"/>
        <v>25.925925925925924</v>
      </c>
      <c r="AO1284" t="str">
        <f t="shared" ca="1" si="145"/>
        <v>No</v>
      </c>
      <c r="AP1284" t="str">
        <f t="shared" si="146"/>
        <v>Low Risk</v>
      </c>
    </row>
    <row r="1285" spans="1:42" x14ac:dyDescent="0.3">
      <c r="A1285" s="5">
        <v>28</v>
      </c>
      <c r="B1285" s="5" t="s">
        <v>43</v>
      </c>
      <c r="C1285" s="5" t="str">
        <f t="shared" si="140"/>
        <v>No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 s="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 s="5">
        <v>2044</v>
      </c>
      <c r="U1285">
        <v>5531</v>
      </c>
      <c r="V1285">
        <v>1</v>
      </c>
      <c r="W1285" t="s">
        <v>42</v>
      </c>
      <c r="X1285" t="s">
        <v>43</v>
      </c>
      <c r="Y1285" t="str">
        <f t="shared" si="141"/>
        <v>No</v>
      </c>
      <c r="Z1285">
        <v>11</v>
      </c>
      <c r="AA1285">
        <v>3</v>
      </c>
      <c r="AB1285">
        <v>3</v>
      </c>
      <c r="AC1285">
        <v>80</v>
      </c>
      <c r="AD1285">
        <v>1</v>
      </c>
      <c r="AE1285" s="5">
        <v>5</v>
      </c>
      <c r="AF1285" t="str">
        <f t="shared" si="142"/>
        <v>0-5</v>
      </c>
      <c r="AG1285">
        <v>6</v>
      </c>
      <c r="AH1285">
        <v>4</v>
      </c>
      <c r="AI1285" s="5">
        <v>5</v>
      </c>
      <c r="AJ1285">
        <v>3</v>
      </c>
      <c r="AK1285">
        <v>0</v>
      </c>
      <c r="AL1285">
        <v>3</v>
      </c>
      <c r="AM1285" t="str">
        <f t="shared" si="143"/>
        <v>Below Avg</v>
      </c>
      <c r="AN1285" s="21">
        <f t="shared" si="144"/>
        <v>25.531914893617021</v>
      </c>
      <c r="AO1285" t="str">
        <f t="shared" ca="1" si="145"/>
        <v>No</v>
      </c>
      <c r="AP1285" t="str">
        <f t="shared" si="146"/>
        <v>Low Risk</v>
      </c>
    </row>
    <row r="1286" spans="1:42" x14ac:dyDescent="0.3">
      <c r="A1286" s="5">
        <v>39</v>
      </c>
      <c r="B1286" s="5" t="s">
        <v>43</v>
      </c>
      <c r="C1286" s="5" t="str">
        <f t="shared" si="140"/>
        <v>No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 s="5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 s="5">
        <v>13464</v>
      </c>
      <c r="U1286">
        <v>7914</v>
      </c>
      <c r="V1286">
        <v>7</v>
      </c>
      <c r="W1286" t="s">
        <v>42</v>
      </c>
      <c r="X1286" t="s">
        <v>43</v>
      </c>
      <c r="Y1286" t="str">
        <f t="shared" si="141"/>
        <v>No</v>
      </c>
      <c r="Z1286">
        <v>21</v>
      </c>
      <c r="AA1286">
        <v>4</v>
      </c>
      <c r="AB1286">
        <v>3</v>
      </c>
      <c r="AC1286">
        <v>80</v>
      </c>
      <c r="AD1286">
        <v>0</v>
      </c>
      <c r="AE1286" s="5">
        <v>9</v>
      </c>
      <c r="AF1286" t="str">
        <f t="shared" si="142"/>
        <v>6-15</v>
      </c>
      <c r="AG1286">
        <v>3</v>
      </c>
      <c r="AH1286">
        <v>3</v>
      </c>
      <c r="AI1286" s="5">
        <v>4</v>
      </c>
      <c r="AJ1286">
        <v>3</v>
      </c>
      <c r="AK1286">
        <v>2</v>
      </c>
      <c r="AL1286">
        <v>2</v>
      </c>
      <c r="AM1286" t="str">
        <f t="shared" si="143"/>
        <v>Ok</v>
      </c>
      <c r="AN1286" s="21">
        <f t="shared" si="144"/>
        <v>25.668449197860966</v>
      </c>
      <c r="AO1286" t="str">
        <f t="shared" ca="1" si="145"/>
        <v>No</v>
      </c>
      <c r="AP1286" t="str">
        <f t="shared" si="146"/>
        <v>Low Risk</v>
      </c>
    </row>
    <row r="1287" spans="1:42" x14ac:dyDescent="0.3">
      <c r="A1287" s="5">
        <v>46</v>
      </c>
      <c r="B1287" s="5" t="s">
        <v>43</v>
      </c>
      <c r="C1287" s="5" t="str">
        <f t="shared" si="140"/>
        <v>No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 s="5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 s="5">
        <v>7991</v>
      </c>
      <c r="U1287">
        <v>25166</v>
      </c>
      <c r="V1287">
        <v>8</v>
      </c>
      <c r="W1287" t="s">
        <v>42</v>
      </c>
      <c r="X1287" t="s">
        <v>43</v>
      </c>
      <c r="Y1287" t="str">
        <f t="shared" si="141"/>
        <v>No</v>
      </c>
      <c r="Z1287">
        <v>15</v>
      </c>
      <c r="AA1287">
        <v>3</v>
      </c>
      <c r="AB1287">
        <v>3</v>
      </c>
      <c r="AC1287">
        <v>80</v>
      </c>
      <c r="AD1287">
        <v>0</v>
      </c>
      <c r="AE1287" s="5">
        <v>6</v>
      </c>
      <c r="AF1287" t="str">
        <f t="shared" si="142"/>
        <v>6-15</v>
      </c>
      <c r="AG1287">
        <v>3</v>
      </c>
      <c r="AH1287">
        <v>3</v>
      </c>
      <c r="AI1287" s="5">
        <v>2</v>
      </c>
      <c r="AJ1287">
        <v>2</v>
      </c>
      <c r="AK1287">
        <v>2</v>
      </c>
      <c r="AL1287">
        <v>2</v>
      </c>
      <c r="AM1287" t="str">
        <f t="shared" si="143"/>
        <v>Ok</v>
      </c>
      <c r="AN1287" s="21">
        <f t="shared" si="144"/>
        <v>25.806451612903224</v>
      </c>
      <c r="AO1287" t="str">
        <f t="shared" ca="1" si="145"/>
        <v>No</v>
      </c>
      <c r="AP1287" t="str">
        <f t="shared" si="146"/>
        <v>Low Risk</v>
      </c>
    </row>
    <row r="1288" spans="1:42" x14ac:dyDescent="0.3">
      <c r="A1288" s="5">
        <v>40</v>
      </c>
      <c r="B1288" s="5" t="s">
        <v>43</v>
      </c>
      <c r="C1288" s="5" t="str">
        <f t="shared" si="140"/>
        <v>No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 s="5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 s="5">
        <v>3377</v>
      </c>
      <c r="U1288">
        <v>25605</v>
      </c>
      <c r="V1288">
        <v>4</v>
      </c>
      <c r="W1288" t="s">
        <v>42</v>
      </c>
      <c r="X1288" t="s">
        <v>43</v>
      </c>
      <c r="Y1288" t="str">
        <f t="shared" si="141"/>
        <v>No</v>
      </c>
      <c r="Z1288">
        <v>17</v>
      </c>
      <c r="AA1288">
        <v>3</v>
      </c>
      <c r="AB1288">
        <v>4</v>
      </c>
      <c r="AC1288">
        <v>80</v>
      </c>
      <c r="AD1288">
        <v>1</v>
      </c>
      <c r="AE1288" s="5">
        <v>7</v>
      </c>
      <c r="AF1288" t="str">
        <f t="shared" si="142"/>
        <v>6-15</v>
      </c>
      <c r="AG1288">
        <v>5</v>
      </c>
      <c r="AH1288">
        <v>2</v>
      </c>
      <c r="AI1288" s="5">
        <v>4</v>
      </c>
      <c r="AJ1288">
        <v>3</v>
      </c>
      <c r="AK1288">
        <v>0</v>
      </c>
      <c r="AL1288">
        <v>2</v>
      </c>
      <c r="AM1288" t="str">
        <f t="shared" si="143"/>
        <v>Below Avg</v>
      </c>
      <c r="AN1288" s="21">
        <f t="shared" si="144"/>
        <v>25.945945945945947</v>
      </c>
      <c r="AO1288" t="str">
        <f t="shared" ca="1" si="145"/>
        <v>No</v>
      </c>
      <c r="AP1288" t="str">
        <f t="shared" si="146"/>
        <v>Low Risk</v>
      </c>
    </row>
    <row r="1289" spans="1:42" x14ac:dyDescent="0.3">
      <c r="A1289" s="5">
        <v>42</v>
      </c>
      <c r="B1289" s="5" t="s">
        <v>43</v>
      </c>
      <c r="C1289" s="5" t="str">
        <f t="shared" si="140"/>
        <v>No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 s="5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 s="5">
        <v>5538</v>
      </c>
      <c r="U1289">
        <v>5696</v>
      </c>
      <c r="V1289">
        <v>5</v>
      </c>
      <c r="W1289" t="s">
        <v>42</v>
      </c>
      <c r="X1289" t="s">
        <v>43</v>
      </c>
      <c r="Y1289" t="str">
        <f t="shared" si="141"/>
        <v>No</v>
      </c>
      <c r="Z1289">
        <v>18</v>
      </c>
      <c r="AA1289">
        <v>3</v>
      </c>
      <c r="AB1289">
        <v>3</v>
      </c>
      <c r="AC1289">
        <v>80</v>
      </c>
      <c r="AD1289">
        <v>2</v>
      </c>
      <c r="AE1289" s="5">
        <v>10</v>
      </c>
      <c r="AF1289" t="str">
        <f t="shared" si="142"/>
        <v>6-15</v>
      </c>
      <c r="AG1289">
        <v>2</v>
      </c>
      <c r="AH1289">
        <v>2</v>
      </c>
      <c r="AI1289" s="5">
        <v>0</v>
      </c>
      <c r="AJ1289">
        <v>0</v>
      </c>
      <c r="AK1289">
        <v>0</v>
      </c>
      <c r="AL1289">
        <v>0</v>
      </c>
      <c r="AM1289" t="str">
        <f t="shared" si="143"/>
        <v>Below Avg</v>
      </c>
      <c r="AN1289" s="21">
        <f t="shared" si="144"/>
        <v>26.086956521739129</v>
      </c>
      <c r="AO1289" t="str">
        <f t="shared" ca="1" si="145"/>
        <v>No</v>
      </c>
      <c r="AP1289" t="str">
        <f t="shared" si="146"/>
        <v>Low Risk</v>
      </c>
    </row>
    <row r="1290" spans="1:42" x14ac:dyDescent="0.3">
      <c r="A1290" s="5">
        <v>35</v>
      </c>
      <c r="B1290" s="5" t="s">
        <v>43</v>
      </c>
      <c r="C1290" s="5" t="str">
        <f t="shared" si="140"/>
        <v>No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 s="5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 s="5">
        <v>5762</v>
      </c>
      <c r="U1290">
        <v>24442</v>
      </c>
      <c r="V1290">
        <v>2</v>
      </c>
      <c r="W1290" t="s">
        <v>42</v>
      </c>
      <c r="X1290" t="s">
        <v>43</v>
      </c>
      <c r="Y1290" t="str">
        <f t="shared" si="141"/>
        <v>No</v>
      </c>
      <c r="Z1290">
        <v>14</v>
      </c>
      <c r="AA1290">
        <v>3</v>
      </c>
      <c r="AB1290">
        <v>3</v>
      </c>
      <c r="AC1290">
        <v>80</v>
      </c>
      <c r="AD1290">
        <v>1</v>
      </c>
      <c r="AE1290" s="5">
        <v>15</v>
      </c>
      <c r="AF1290" t="str">
        <f t="shared" si="142"/>
        <v>6-15</v>
      </c>
      <c r="AG1290">
        <v>6</v>
      </c>
      <c r="AH1290">
        <v>3</v>
      </c>
      <c r="AI1290" s="5">
        <v>7</v>
      </c>
      <c r="AJ1290">
        <v>7</v>
      </c>
      <c r="AK1290">
        <v>1</v>
      </c>
      <c r="AL1290">
        <v>7</v>
      </c>
      <c r="AM1290" t="str">
        <f t="shared" si="143"/>
        <v>Below Avg</v>
      </c>
      <c r="AN1290" s="21">
        <f t="shared" si="144"/>
        <v>26.229508196721312</v>
      </c>
      <c r="AO1290" t="str">
        <f t="shared" ca="1" si="145"/>
        <v>No</v>
      </c>
      <c r="AP1290" t="str">
        <f t="shared" si="146"/>
        <v>Low Risk</v>
      </c>
    </row>
    <row r="1291" spans="1:42" x14ac:dyDescent="0.3">
      <c r="A1291" s="5">
        <v>38</v>
      </c>
      <c r="B1291" s="5" t="s">
        <v>43</v>
      </c>
      <c r="C1291" s="5" t="str">
        <f t="shared" si="140"/>
        <v>No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 s="5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 s="5">
        <v>2592</v>
      </c>
      <c r="U1291">
        <v>7129</v>
      </c>
      <c r="V1291">
        <v>5</v>
      </c>
      <c r="W1291" t="s">
        <v>42</v>
      </c>
      <c r="X1291" t="s">
        <v>43</v>
      </c>
      <c r="Y1291" t="str">
        <f t="shared" si="141"/>
        <v>No</v>
      </c>
      <c r="Z1291">
        <v>13</v>
      </c>
      <c r="AA1291">
        <v>3</v>
      </c>
      <c r="AB1291">
        <v>4</v>
      </c>
      <c r="AC1291">
        <v>80</v>
      </c>
      <c r="AD1291">
        <v>3</v>
      </c>
      <c r="AE1291" s="5">
        <v>13</v>
      </c>
      <c r="AF1291" t="str">
        <f t="shared" si="142"/>
        <v>6-15</v>
      </c>
      <c r="AG1291">
        <v>3</v>
      </c>
      <c r="AH1291">
        <v>3</v>
      </c>
      <c r="AI1291" s="5">
        <v>11</v>
      </c>
      <c r="AJ1291">
        <v>10</v>
      </c>
      <c r="AK1291">
        <v>3</v>
      </c>
      <c r="AL1291">
        <v>8</v>
      </c>
      <c r="AM1291" t="str">
        <f t="shared" si="143"/>
        <v>Below Avg</v>
      </c>
      <c r="AN1291" s="21">
        <f t="shared" si="144"/>
        <v>26.373626373626376</v>
      </c>
      <c r="AO1291" t="str">
        <f t="shared" ca="1" si="145"/>
        <v>No</v>
      </c>
      <c r="AP1291" t="str">
        <f t="shared" si="146"/>
        <v>Low Risk</v>
      </c>
    </row>
    <row r="1292" spans="1:42" x14ac:dyDescent="0.3">
      <c r="A1292" s="5">
        <v>34</v>
      </c>
      <c r="B1292" s="5" t="s">
        <v>35</v>
      </c>
      <c r="C1292" s="5" t="str">
        <f t="shared" si="140"/>
        <v>Yes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 s="5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 s="5">
        <v>5346</v>
      </c>
      <c r="U1292">
        <v>6208</v>
      </c>
      <c r="V1292">
        <v>4</v>
      </c>
      <c r="W1292" t="s">
        <v>42</v>
      </c>
      <c r="X1292" t="s">
        <v>43</v>
      </c>
      <c r="Y1292" t="str">
        <f t="shared" si="141"/>
        <v>No</v>
      </c>
      <c r="Z1292">
        <v>17</v>
      </c>
      <c r="AA1292">
        <v>3</v>
      </c>
      <c r="AB1292">
        <v>3</v>
      </c>
      <c r="AC1292">
        <v>80</v>
      </c>
      <c r="AD1292">
        <v>1</v>
      </c>
      <c r="AE1292" s="5">
        <v>11</v>
      </c>
      <c r="AF1292" t="str">
        <f t="shared" si="142"/>
        <v>6-15</v>
      </c>
      <c r="AG1292">
        <v>3</v>
      </c>
      <c r="AH1292">
        <v>2</v>
      </c>
      <c r="AI1292" s="5">
        <v>7</v>
      </c>
      <c r="AJ1292">
        <v>1</v>
      </c>
      <c r="AK1292">
        <v>0</v>
      </c>
      <c r="AL1292">
        <v>7</v>
      </c>
      <c r="AM1292" t="str">
        <f t="shared" si="143"/>
        <v>Below Avg</v>
      </c>
      <c r="AN1292" s="21">
        <f t="shared" si="144"/>
        <v>26.519337016574585</v>
      </c>
      <c r="AO1292" t="str">
        <f t="shared" ca="1" si="145"/>
        <v>No</v>
      </c>
      <c r="AP1292" t="str">
        <f t="shared" si="146"/>
        <v>Low Risk</v>
      </c>
    </row>
    <row r="1293" spans="1:42" x14ac:dyDescent="0.3">
      <c r="A1293" s="5">
        <v>37</v>
      </c>
      <c r="B1293" s="5" t="s">
        <v>35</v>
      </c>
      <c r="C1293" s="5" t="str">
        <f t="shared" si="140"/>
        <v>Yes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 s="5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 s="5">
        <v>4213</v>
      </c>
      <c r="U1293">
        <v>4992</v>
      </c>
      <c r="V1293">
        <v>1</v>
      </c>
      <c r="W1293" t="s">
        <v>42</v>
      </c>
      <c r="X1293" t="s">
        <v>43</v>
      </c>
      <c r="Y1293" t="str">
        <f t="shared" si="141"/>
        <v>No</v>
      </c>
      <c r="Z1293">
        <v>15</v>
      </c>
      <c r="AA1293">
        <v>3</v>
      </c>
      <c r="AB1293">
        <v>2</v>
      </c>
      <c r="AC1293">
        <v>80</v>
      </c>
      <c r="AD1293">
        <v>0</v>
      </c>
      <c r="AE1293" s="5">
        <v>10</v>
      </c>
      <c r="AF1293" t="str">
        <f t="shared" si="142"/>
        <v>6-15</v>
      </c>
      <c r="AG1293">
        <v>4</v>
      </c>
      <c r="AH1293">
        <v>1</v>
      </c>
      <c r="AI1293" s="5">
        <v>10</v>
      </c>
      <c r="AJ1293">
        <v>3</v>
      </c>
      <c r="AK1293">
        <v>0</v>
      </c>
      <c r="AL1293">
        <v>8</v>
      </c>
      <c r="AM1293" t="str">
        <f t="shared" si="143"/>
        <v>Below Avg</v>
      </c>
      <c r="AN1293" s="21">
        <f t="shared" si="144"/>
        <v>26.666666666666668</v>
      </c>
      <c r="AO1293" t="str">
        <f t="shared" ca="1" si="145"/>
        <v>No</v>
      </c>
      <c r="AP1293" t="str">
        <f t="shared" si="146"/>
        <v>Low Risk</v>
      </c>
    </row>
    <row r="1294" spans="1:42" x14ac:dyDescent="0.3">
      <c r="A1294" s="5">
        <v>39</v>
      </c>
      <c r="B1294" s="5" t="s">
        <v>43</v>
      </c>
      <c r="C1294" s="5" t="str">
        <f t="shared" si="140"/>
        <v>No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 s="5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 s="5">
        <v>4127</v>
      </c>
      <c r="U1294">
        <v>19188</v>
      </c>
      <c r="V1294">
        <v>2</v>
      </c>
      <c r="W1294" t="s">
        <v>42</v>
      </c>
      <c r="X1294" t="s">
        <v>43</v>
      </c>
      <c r="Y1294" t="str">
        <f t="shared" si="141"/>
        <v>No</v>
      </c>
      <c r="Z1294">
        <v>18</v>
      </c>
      <c r="AA1294">
        <v>3</v>
      </c>
      <c r="AB1294">
        <v>4</v>
      </c>
      <c r="AC1294">
        <v>80</v>
      </c>
      <c r="AD1294">
        <v>1</v>
      </c>
      <c r="AE1294" s="5">
        <v>7</v>
      </c>
      <c r="AF1294" t="str">
        <f t="shared" si="142"/>
        <v>6-15</v>
      </c>
      <c r="AG1294">
        <v>6</v>
      </c>
      <c r="AH1294">
        <v>3</v>
      </c>
      <c r="AI1294" s="5">
        <v>2</v>
      </c>
      <c r="AJ1294">
        <v>1</v>
      </c>
      <c r="AK1294">
        <v>2</v>
      </c>
      <c r="AL1294">
        <v>2</v>
      </c>
      <c r="AM1294" t="str">
        <f t="shared" si="143"/>
        <v>Below Avg</v>
      </c>
      <c r="AN1294" s="21">
        <f t="shared" si="144"/>
        <v>26.815642458100559</v>
      </c>
      <c r="AO1294" t="str">
        <f t="shared" ca="1" si="145"/>
        <v>No</v>
      </c>
      <c r="AP1294" t="str">
        <f t="shared" si="146"/>
        <v>Low Risk</v>
      </c>
    </row>
    <row r="1295" spans="1:42" x14ac:dyDescent="0.3">
      <c r="A1295" s="5">
        <v>43</v>
      </c>
      <c r="B1295" s="5" t="s">
        <v>43</v>
      </c>
      <c r="C1295" s="5" t="str">
        <f t="shared" si="140"/>
        <v>No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 s="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 s="5">
        <v>2438</v>
      </c>
      <c r="U1295">
        <v>24978</v>
      </c>
      <c r="V1295">
        <v>4</v>
      </c>
      <c r="W1295" t="s">
        <v>42</v>
      </c>
      <c r="X1295" t="s">
        <v>43</v>
      </c>
      <c r="Y1295" t="str">
        <f t="shared" si="141"/>
        <v>No</v>
      </c>
      <c r="Z1295">
        <v>13</v>
      </c>
      <c r="AA1295">
        <v>3</v>
      </c>
      <c r="AB1295">
        <v>3</v>
      </c>
      <c r="AC1295">
        <v>80</v>
      </c>
      <c r="AD1295">
        <v>0</v>
      </c>
      <c r="AE1295" s="5">
        <v>7</v>
      </c>
      <c r="AF1295" t="str">
        <f t="shared" si="142"/>
        <v>6-15</v>
      </c>
      <c r="AG1295">
        <v>2</v>
      </c>
      <c r="AH1295">
        <v>2</v>
      </c>
      <c r="AI1295" s="5">
        <v>3</v>
      </c>
      <c r="AJ1295">
        <v>2</v>
      </c>
      <c r="AK1295">
        <v>1</v>
      </c>
      <c r="AL1295">
        <v>2</v>
      </c>
      <c r="AM1295" t="str">
        <f t="shared" si="143"/>
        <v>Below Avg</v>
      </c>
      <c r="AN1295" s="21">
        <f t="shared" si="144"/>
        <v>26.966292134831459</v>
      </c>
      <c r="AO1295" t="str">
        <f t="shared" ca="1" si="145"/>
        <v>No</v>
      </c>
      <c r="AP1295" t="str">
        <f t="shared" si="146"/>
        <v>Low Risk</v>
      </c>
    </row>
    <row r="1296" spans="1:42" x14ac:dyDescent="0.3">
      <c r="A1296" s="5">
        <v>41</v>
      </c>
      <c r="B1296" s="5" t="s">
        <v>43</v>
      </c>
      <c r="C1296" s="5" t="str">
        <f t="shared" si="140"/>
        <v>No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 s="5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 s="5">
        <v>6870</v>
      </c>
      <c r="U1296">
        <v>15530</v>
      </c>
      <c r="V1296">
        <v>3</v>
      </c>
      <c r="W1296" t="s">
        <v>42</v>
      </c>
      <c r="X1296" t="s">
        <v>43</v>
      </c>
      <c r="Y1296" t="str">
        <f t="shared" si="141"/>
        <v>No</v>
      </c>
      <c r="Z1296">
        <v>12</v>
      </c>
      <c r="AA1296">
        <v>3</v>
      </c>
      <c r="AB1296">
        <v>1</v>
      </c>
      <c r="AC1296">
        <v>80</v>
      </c>
      <c r="AD1296">
        <v>0</v>
      </c>
      <c r="AE1296" s="5">
        <v>11</v>
      </c>
      <c r="AF1296" t="str">
        <f t="shared" si="142"/>
        <v>6-15</v>
      </c>
      <c r="AG1296">
        <v>3</v>
      </c>
      <c r="AH1296">
        <v>1</v>
      </c>
      <c r="AI1296" s="5">
        <v>3</v>
      </c>
      <c r="AJ1296">
        <v>2</v>
      </c>
      <c r="AK1296">
        <v>1</v>
      </c>
      <c r="AL1296">
        <v>2</v>
      </c>
      <c r="AM1296" t="str">
        <f t="shared" si="143"/>
        <v>Ok</v>
      </c>
      <c r="AN1296" s="21">
        <f t="shared" si="144"/>
        <v>27.118644067796609</v>
      </c>
      <c r="AO1296" t="str">
        <f t="shared" ca="1" si="145"/>
        <v>No</v>
      </c>
      <c r="AP1296" t="str">
        <f t="shared" si="146"/>
        <v>Low Risk</v>
      </c>
    </row>
    <row r="1297" spans="1:42" x14ac:dyDescent="0.3">
      <c r="A1297" s="5">
        <v>41</v>
      </c>
      <c r="B1297" s="5" t="s">
        <v>43</v>
      </c>
      <c r="C1297" s="5" t="str">
        <f t="shared" si="140"/>
        <v>No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 s="5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 s="5">
        <v>10447</v>
      </c>
      <c r="U1297">
        <v>26458</v>
      </c>
      <c r="V1297">
        <v>0</v>
      </c>
      <c r="W1297" t="s">
        <v>42</v>
      </c>
      <c r="X1297" t="s">
        <v>35</v>
      </c>
      <c r="Y1297" t="str">
        <f t="shared" si="141"/>
        <v>Yes</v>
      </c>
      <c r="Z1297">
        <v>13</v>
      </c>
      <c r="AA1297">
        <v>3</v>
      </c>
      <c r="AB1297">
        <v>4</v>
      </c>
      <c r="AC1297">
        <v>80</v>
      </c>
      <c r="AD1297">
        <v>1</v>
      </c>
      <c r="AE1297" s="5">
        <v>23</v>
      </c>
      <c r="AF1297" t="str">
        <f t="shared" si="142"/>
        <v>&gt;15</v>
      </c>
      <c r="AG1297">
        <v>3</v>
      </c>
      <c r="AH1297">
        <v>4</v>
      </c>
      <c r="AI1297" s="5">
        <v>22</v>
      </c>
      <c r="AJ1297">
        <v>14</v>
      </c>
      <c r="AK1297">
        <v>13</v>
      </c>
      <c r="AL1297">
        <v>5</v>
      </c>
      <c r="AM1297" t="str">
        <f t="shared" si="143"/>
        <v>Ok</v>
      </c>
      <c r="AN1297" s="21">
        <f t="shared" si="144"/>
        <v>27.27272727272727</v>
      </c>
      <c r="AO1297" t="str">
        <f t="shared" ca="1" si="145"/>
        <v>No</v>
      </c>
      <c r="AP1297" t="str">
        <f t="shared" si="146"/>
        <v>Low Risk</v>
      </c>
    </row>
    <row r="1298" spans="1:42" x14ac:dyDescent="0.3">
      <c r="A1298" s="5">
        <v>30</v>
      </c>
      <c r="B1298" s="5" t="s">
        <v>43</v>
      </c>
      <c r="C1298" s="5" t="str">
        <f t="shared" si="140"/>
        <v>No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 s="5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 s="5">
        <v>9667</v>
      </c>
      <c r="U1298">
        <v>2739</v>
      </c>
      <c r="V1298">
        <v>9</v>
      </c>
      <c r="W1298" t="s">
        <v>42</v>
      </c>
      <c r="X1298" t="s">
        <v>43</v>
      </c>
      <c r="Y1298" t="str">
        <f t="shared" si="141"/>
        <v>No</v>
      </c>
      <c r="Z1298">
        <v>14</v>
      </c>
      <c r="AA1298">
        <v>3</v>
      </c>
      <c r="AB1298">
        <v>2</v>
      </c>
      <c r="AC1298">
        <v>80</v>
      </c>
      <c r="AD1298">
        <v>0</v>
      </c>
      <c r="AE1298" s="5">
        <v>9</v>
      </c>
      <c r="AF1298" t="str">
        <f t="shared" si="142"/>
        <v>6-15</v>
      </c>
      <c r="AG1298">
        <v>3</v>
      </c>
      <c r="AH1298">
        <v>3</v>
      </c>
      <c r="AI1298" s="5">
        <v>7</v>
      </c>
      <c r="AJ1298">
        <v>7</v>
      </c>
      <c r="AK1298">
        <v>0</v>
      </c>
      <c r="AL1298">
        <v>2</v>
      </c>
      <c r="AM1298" t="str">
        <f t="shared" si="143"/>
        <v>Ok</v>
      </c>
      <c r="AN1298" s="21">
        <f t="shared" si="144"/>
        <v>27.428571428571431</v>
      </c>
      <c r="AO1298" t="str">
        <f t="shared" ca="1" si="145"/>
        <v>No</v>
      </c>
      <c r="AP1298" t="str">
        <f t="shared" si="146"/>
        <v>Low Risk</v>
      </c>
    </row>
    <row r="1299" spans="1:42" x14ac:dyDescent="0.3">
      <c r="A1299" s="5">
        <v>26</v>
      </c>
      <c r="B1299" s="5" t="s">
        <v>35</v>
      </c>
      <c r="C1299" s="5" t="str">
        <f t="shared" si="140"/>
        <v>Yes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 s="5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 s="5">
        <v>2148</v>
      </c>
      <c r="U1299">
        <v>6889</v>
      </c>
      <c r="V1299">
        <v>0</v>
      </c>
      <c r="W1299" t="s">
        <v>42</v>
      </c>
      <c r="X1299" t="s">
        <v>35</v>
      </c>
      <c r="Y1299" t="str">
        <f t="shared" si="141"/>
        <v>Yes</v>
      </c>
      <c r="Z1299">
        <v>11</v>
      </c>
      <c r="AA1299">
        <v>3</v>
      </c>
      <c r="AB1299">
        <v>3</v>
      </c>
      <c r="AC1299">
        <v>80</v>
      </c>
      <c r="AD1299">
        <v>0</v>
      </c>
      <c r="AE1299" s="5">
        <v>6</v>
      </c>
      <c r="AF1299" t="str">
        <f t="shared" si="142"/>
        <v>6-15</v>
      </c>
      <c r="AG1299">
        <v>3</v>
      </c>
      <c r="AH1299">
        <v>3</v>
      </c>
      <c r="AI1299" s="5">
        <v>5</v>
      </c>
      <c r="AJ1299">
        <v>1</v>
      </c>
      <c r="AK1299">
        <v>1</v>
      </c>
      <c r="AL1299">
        <v>4</v>
      </c>
      <c r="AM1299" t="str">
        <f t="shared" si="143"/>
        <v>Below Avg</v>
      </c>
      <c r="AN1299" s="21">
        <f t="shared" si="144"/>
        <v>27.011494252873565</v>
      </c>
      <c r="AO1299" t="str">
        <f t="shared" ca="1" si="145"/>
        <v>No</v>
      </c>
      <c r="AP1299" t="str">
        <f t="shared" si="146"/>
        <v>Low Risk</v>
      </c>
    </row>
    <row r="1300" spans="1:42" x14ac:dyDescent="0.3">
      <c r="A1300" s="5">
        <v>46</v>
      </c>
      <c r="B1300" s="5" t="s">
        <v>35</v>
      </c>
      <c r="C1300" s="5" t="str">
        <f t="shared" si="140"/>
        <v>Yes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 s="5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 s="5">
        <v>8926</v>
      </c>
      <c r="U1300">
        <v>10842</v>
      </c>
      <c r="V1300">
        <v>4</v>
      </c>
      <c r="W1300" t="s">
        <v>42</v>
      </c>
      <c r="X1300" t="s">
        <v>43</v>
      </c>
      <c r="Y1300" t="str">
        <f t="shared" si="141"/>
        <v>No</v>
      </c>
      <c r="Z1300">
        <v>22</v>
      </c>
      <c r="AA1300">
        <v>4</v>
      </c>
      <c r="AB1300">
        <v>4</v>
      </c>
      <c r="AC1300">
        <v>80</v>
      </c>
      <c r="AD1300">
        <v>1</v>
      </c>
      <c r="AE1300" s="5">
        <v>13</v>
      </c>
      <c r="AF1300" t="str">
        <f t="shared" si="142"/>
        <v>6-15</v>
      </c>
      <c r="AG1300">
        <v>2</v>
      </c>
      <c r="AH1300">
        <v>4</v>
      </c>
      <c r="AI1300" s="5">
        <v>9</v>
      </c>
      <c r="AJ1300">
        <v>7</v>
      </c>
      <c r="AK1300">
        <v>3</v>
      </c>
      <c r="AL1300">
        <v>7</v>
      </c>
      <c r="AM1300" t="str">
        <f t="shared" si="143"/>
        <v>Ok</v>
      </c>
      <c r="AN1300" s="21">
        <f t="shared" si="144"/>
        <v>27.167630057803464</v>
      </c>
      <c r="AO1300" t="str">
        <f t="shared" ca="1" si="145"/>
        <v>No</v>
      </c>
      <c r="AP1300" t="str">
        <f t="shared" si="146"/>
        <v>Low Risk</v>
      </c>
    </row>
    <row r="1301" spans="1:42" x14ac:dyDescent="0.3">
      <c r="A1301" s="5">
        <v>40</v>
      </c>
      <c r="B1301" s="5" t="s">
        <v>43</v>
      </c>
      <c r="C1301" s="5" t="str">
        <f t="shared" si="140"/>
        <v>No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 s="5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 s="5">
        <v>6513</v>
      </c>
      <c r="U1301">
        <v>9060</v>
      </c>
      <c r="V1301">
        <v>4</v>
      </c>
      <c r="W1301" t="s">
        <v>42</v>
      </c>
      <c r="X1301" t="s">
        <v>43</v>
      </c>
      <c r="Y1301" t="str">
        <f t="shared" si="141"/>
        <v>No</v>
      </c>
      <c r="Z1301">
        <v>17</v>
      </c>
      <c r="AA1301">
        <v>3</v>
      </c>
      <c r="AB1301">
        <v>4</v>
      </c>
      <c r="AC1301">
        <v>80</v>
      </c>
      <c r="AD1301">
        <v>1</v>
      </c>
      <c r="AE1301" s="5">
        <v>12</v>
      </c>
      <c r="AF1301" t="str">
        <f t="shared" si="142"/>
        <v>6-15</v>
      </c>
      <c r="AG1301">
        <v>3</v>
      </c>
      <c r="AH1301">
        <v>3</v>
      </c>
      <c r="AI1301" s="5">
        <v>5</v>
      </c>
      <c r="AJ1301">
        <v>3</v>
      </c>
      <c r="AK1301">
        <v>0</v>
      </c>
      <c r="AL1301">
        <v>3</v>
      </c>
      <c r="AM1301" t="str">
        <f t="shared" si="143"/>
        <v>Ok</v>
      </c>
      <c r="AN1301" s="21">
        <f t="shared" si="144"/>
        <v>26.744186046511626</v>
      </c>
      <c r="AO1301" t="str">
        <f t="shared" ca="1" si="145"/>
        <v>No</v>
      </c>
      <c r="AP1301" t="str">
        <f t="shared" si="146"/>
        <v>Low Risk</v>
      </c>
    </row>
    <row r="1302" spans="1:42" x14ac:dyDescent="0.3">
      <c r="A1302" s="5">
        <v>34</v>
      </c>
      <c r="B1302" s="5" t="s">
        <v>43</v>
      </c>
      <c r="C1302" s="5" t="str">
        <f t="shared" si="140"/>
        <v>No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 s="5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 s="5">
        <v>6799</v>
      </c>
      <c r="U1302">
        <v>22128</v>
      </c>
      <c r="V1302">
        <v>1</v>
      </c>
      <c r="W1302" t="s">
        <v>42</v>
      </c>
      <c r="X1302" t="s">
        <v>43</v>
      </c>
      <c r="Y1302" t="str">
        <f t="shared" si="141"/>
        <v>No</v>
      </c>
      <c r="Z1302">
        <v>21</v>
      </c>
      <c r="AA1302">
        <v>4</v>
      </c>
      <c r="AB1302">
        <v>3</v>
      </c>
      <c r="AC1302">
        <v>80</v>
      </c>
      <c r="AD1302">
        <v>2</v>
      </c>
      <c r="AE1302" s="5">
        <v>10</v>
      </c>
      <c r="AF1302" t="str">
        <f t="shared" si="142"/>
        <v>6-15</v>
      </c>
      <c r="AG1302">
        <v>5</v>
      </c>
      <c r="AH1302">
        <v>3</v>
      </c>
      <c r="AI1302" s="5">
        <v>10</v>
      </c>
      <c r="AJ1302">
        <v>8</v>
      </c>
      <c r="AK1302">
        <v>4</v>
      </c>
      <c r="AL1302">
        <v>8</v>
      </c>
      <c r="AM1302" t="str">
        <f t="shared" si="143"/>
        <v>Ok</v>
      </c>
      <c r="AN1302" s="21">
        <f t="shared" si="144"/>
        <v>26.900584795321635</v>
      </c>
      <c r="AO1302" t="str">
        <f t="shared" ca="1" si="145"/>
        <v>No</v>
      </c>
      <c r="AP1302" t="str">
        <f t="shared" si="146"/>
        <v>Low Risk</v>
      </c>
    </row>
    <row r="1303" spans="1:42" x14ac:dyDescent="0.3">
      <c r="A1303" s="5">
        <v>58</v>
      </c>
      <c r="B1303" s="5" t="s">
        <v>43</v>
      </c>
      <c r="C1303" s="5" t="str">
        <f t="shared" si="140"/>
        <v>No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 s="5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 s="5">
        <v>16291</v>
      </c>
      <c r="U1303">
        <v>22577</v>
      </c>
      <c r="V1303">
        <v>4</v>
      </c>
      <c r="W1303" t="s">
        <v>42</v>
      </c>
      <c r="X1303" t="s">
        <v>43</v>
      </c>
      <c r="Y1303" t="str">
        <f t="shared" si="141"/>
        <v>No</v>
      </c>
      <c r="Z1303">
        <v>22</v>
      </c>
      <c r="AA1303">
        <v>4</v>
      </c>
      <c r="AB1303">
        <v>4</v>
      </c>
      <c r="AC1303">
        <v>80</v>
      </c>
      <c r="AD1303">
        <v>1</v>
      </c>
      <c r="AE1303" s="5">
        <v>37</v>
      </c>
      <c r="AF1303" t="str">
        <f t="shared" si="142"/>
        <v>&gt;15</v>
      </c>
      <c r="AG1303">
        <v>0</v>
      </c>
      <c r="AH1303">
        <v>2</v>
      </c>
      <c r="AI1303" s="5">
        <v>16</v>
      </c>
      <c r="AJ1303">
        <v>9</v>
      </c>
      <c r="AK1303">
        <v>14</v>
      </c>
      <c r="AL1303">
        <v>14</v>
      </c>
      <c r="AM1303" t="str">
        <f t="shared" si="143"/>
        <v>Ok</v>
      </c>
      <c r="AN1303" s="21">
        <f t="shared" si="144"/>
        <v>27.058823529411764</v>
      </c>
      <c r="AO1303" t="str">
        <f t="shared" ca="1" si="145"/>
        <v>No</v>
      </c>
      <c r="AP1303" t="str">
        <f t="shared" si="146"/>
        <v>Low Risk</v>
      </c>
    </row>
    <row r="1304" spans="1:42" x14ac:dyDescent="0.3">
      <c r="A1304" s="5">
        <v>35</v>
      </c>
      <c r="B1304" s="5" t="s">
        <v>43</v>
      </c>
      <c r="C1304" s="5" t="str">
        <f t="shared" si="140"/>
        <v>No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 s="5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 s="5">
        <v>2705</v>
      </c>
      <c r="U1304">
        <v>9696</v>
      </c>
      <c r="V1304">
        <v>0</v>
      </c>
      <c r="W1304" t="s">
        <v>42</v>
      </c>
      <c r="X1304" t="s">
        <v>43</v>
      </c>
      <c r="Y1304" t="str">
        <f t="shared" si="141"/>
        <v>No</v>
      </c>
      <c r="Z1304">
        <v>16</v>
      </c>
      <c r="AA1304">
        <v>3</v>
      </c>
      <c r="AB1304">
        <v>2</v>
      </c>
      <c r="AC1304">
        <v>80</v>
      </c>
      <c r="AD1304">
        <v>1</v>
      </c>
      <c r="AE1304" s="5">
        <v>6</v>
      </c>
      <c r="AF1304" t="str">
        <f t="shared" si="142"/>
        <v>6-15</v>
      </c>
      <c r="AG1304">
        <v>2</v>
      </c>
      <c r="AH1304">
        <v>4</v>
      </c>
      <c r="AI1304" s="5">
        <v>5</v>
      </c>
      <c r="AJ1304">
        <v>4</v>
      </c>
      <c r="AK1304">
        <v>0</v>
      </c>
      <c r="AL1304">
        <v>3</v>
      </c>
      <c r="AM1304" t="str">
        <f t="shared" si="143"/>
        <v>Below Avg</v>
      </c>
      <c r="AN1304" s="21">
        <f t="shared" si="144"/>
        <v>27.218934911242602</v>
      </c>
      <c r="AO1304" t="str">
        <f t="shared" ca="1" si="145"/>
        <v>No</v>
      </c>
      <c r="AP1304" t="str">
        <f t="shared" si="146"/>
        <v>Low Risk</v>
      </c>
    </row>
    <row r="1305" spans="1:42" x14ac:dyDescent="0.3">
      <c r="A1305" s="5">
        <v>47</v>
      </c>
      <c r="B1305" s="5" t="s">
        <v>43</v>
      </c>
      <c r="C1305" s="5" t="str">
        <f t="shared" si="140"/>
        <v>No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 s="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 s="5">
        <v>10333</v>
      </c>
      <c r="U1305">
        <v>19271</v>
      </c>
      <c r="V1305">
        <v>8</v>
      </c>
      <c r="W1305" t="s">
        <v>42</v>
      </c>
      <c r="X1305" t="s">
        <v>35</v>
      </c>
      <c r="Y1305" t="str">
        <f t="shared" si="141"/>
        <v>Yes</v>
      </c>
      <c r="Z1305">
        <v>12</v>
      </c>
      <c r="AA1305">
        <v>3</v>
      </c>
      <c r="AB1305">
        <v>3</v>
      </c>
      <c r="AC1305">
        <v>80</v>
      </c>
      <c r="AD1305">
        <v>1</v>
      </c>
      <c r="AE1305" s="5">
        <v>28</v>
      </c>
      <c r="AF1305" t="str">
        <f t="shared" si="142"/>
        <v>&gt;15</v>
      </c>
      <c r="AG1305">
        <v>4</v>
      </c>
      <c r="AH1305">
        <v>3</v>
      </c>
      <c r="AI1305" s="5">
        <v>22</v>
      </c>
      <c r="AJ1305">
        <v>11</v>
      </c>
      <c r="AK1305">
        <v>14</v>
      </c>
      <c r="AL1305">
        <v>10</v>
      </c>
      <c r="AM1305" t="str">
        <f t="shared" si="143"/>
        <v>Ok</v>
      </c>
      <c r="AN1305" s="21">
        <f t="shared" si="144"/>
        <v>27.380952380952383</v>
      </c>
      <c r="AO1305" t="str">
        <f t="shared" ca="1" si="145"/>
        <v>No</v>
      </c>
      <c r="AP1305" t="str">
        <f t="shared" si="146"/>
        <v>Low Risk</v>
      </c>
    </row>
    <row r="1306" spans="1:42" x14ac:dyDescent="0.3">
      <c r="A1306" s="5">
        <v>40</v>
      </c>
      <c r="B1306" s="5" t="s">
        <v>43</v>
      </c>
      <c r="C1306" s="5" t="str">
        <f t="shared" si="140"/>
        <v>No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 s="5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 s="5">
        <v>4448</v>
      </c>
      <c r="U1306">
        <v>10748</v>
      </c>
      <c r="V1306">
        <v>2</v>
      </c>
      <c r="W1306" t="s">
        <v>42</v>
      </c>
      <c r="X1306" t="s">
        <v>43</v>
      </c>
      <c r="Y1306" t="str">
        <f t="shared" si="141"/>
        <v>No</v>
      </c>
      <c r="Z1306">
        <v>12</v>
      </c>
      <c r="AA1306">
        <v>3</v>
      </c>
      <c r="AB1306">
        <v>2</v>
      </c>
      <c r="AC1306">
        <v>80</v>
      </c>
      <c r="AD1306">
        <v>1</v>
      </c>
      <c r="AE1306" s="5">
        <v>15</v>
      </c>
      <c r="AF1306" t="str">
        <f t="shared" si="142"/>
        <v>6-15</v>
      </c>
      <c r="AG1306">
        <v>3</v>
      </c>
      <c r="AH1306">
        <v>3</v>
      </c>
      <c r="AI1306" s="5">
        <v>7</v>
      </c>
      <c r="AJ1306">
        <v>4</v>
      </c>
      <c r="AK1306">
        <v>7</v>
      </c>
      <c r="AL1306">
        <v>7</v>
      </c>
      <c r="AM1306" t="str">
        <f t="shared" si="143"/>
        <v>Below Avg</v>
      </c>
      <c r="AN1306" s="21">
        <f t="shared" si="144"/>
        <v>27.54491017964072</v>
      </c>
      <c r="AO1306" t="str">
        <f t="shared" ca="1" si="145"/>
        <v>No</v>
      </c>
      <c r="AP1306" t="str">
        <f t="shared" si="146"/>
        <v>Low Risk</v>
      </c>
    </row>
    <row r="1307" spans="1:42" x14ac:dyDescent="0.3">
      <c r="A1307" s="5">
        <v>54</v>
      </c>
      <c r="B1307" s="5" t="s">
        <v>43</v>
      </c>
      <c r="C1307" s="5" t="str">
        <f t="shared" si="140"/>
        <v>No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 s="5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 s="5">
        <v>6854</v>
      </c>
      <c r="U1307">
        <v>15696</v>
      </c>
      <c r="V1307">
        <v>4</v>
      </c>
      <c r="W1307" t="s">
        <v>42</v>
      </c>
      <c r="X1307" t="s">
        <v>43</v>
      </c>
      <c r="Y1307" t="str">
        <f t="shared" si="141"/>
        <v>No</v>
      </c>
      <c r="Z1307">
        <v>15</v>
      </c>
      <c r="AA1307">
        <v>3</v>
      </c>
      <c r="AB1307">
        <v>2</v>
      </c>
      <c r="AC1307">
        <v>80</v>
      </c>
      <c r="AD1307">
        <v>1</v>
      </c>
      <c r="AE1307" s="5">
        <v>14</v>
      </c>
      <c r="AF1307" t="str">
        <f t="shared" si="142"/>
        <v>6-15</v>
      </c>
      <c r="AG1307">
        <v>2</v>
      </c>
      <c r="AH1307">
        <v>2</v>
      </c>
      <c r="AI1307" s="5">
        <v>7</v>
      </c>
      <c r="AJ1307">
        <v>1</v>
      </c>
      <c r="AK1307">
        <v>1</v>
      </c>
      <c r="AL1307">
        <v>7</v>
      </c>
      <c r="AM1307" t="str">
        <f t="shared" si="143"/>
        <v>Ok</v>
      </c>
      <c r="AN1307" s="21">
        <f t="shared" si="144"/>
        <v>27.108433734939759</v>
      </c>
      <c r="AO1307" t="str">
        <f t="shared" ca="1" si="145"/>
        <v>No</v>
      </c>
      <c r="AP1307" t="str">
        <f t="shared" si="146"/>
        <v>Low Risk</v>
      </c>
    </row>
    <row r="1308" spans="1:42" x14ac:dyDescent="0.3">
      <c r="A1308" s="5">
        <v>31</v>
      </c>
      <c r="B1308" s="5" t="s">
        <v>43</v>
      </c>
      <c r="C1308" s="5" t="str">
        <f t="shared" si="140"/>
        <v>No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 s="5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 s="5">
        <v>9637</v>
      </c>
      <c r="U1308">
        <v>8277</v>
      </c>
      <c r="V1308">
        <v>2</v>
      </c>
      <c r="W1308" t="s">
        <v>42</v>
      </c>
      <c r="X1308" t="s">
        <v>43</v>
      </c>
      <c r="Y1308" t="str">
        <f t="shared" si="141"/>
        <v>No</v>
      </c>
      <c r="Z1308">
        <v>14</v>
      </c>
      <c r="AA1308">
        <v>3</v>
      </c>
      <c r="AB1308">
        <v>4</v>
      </c>
      <c r="AC1308">
        <v>80</v>
      </c>
      <c r="AD1308">
        <v>2</v>
      </c>
      <c r="AE1308" s="5">
        <v>9</v>
      </c>
      <c r="AF1308" t="str">
        <f t="shared" si="142"/>
        <v>6-15</v>
      </c>
      <c r="AG1308">
        <v>3</v>
      </c>
      <c r="AH1308">
        <v>3</v>
      </c>
      <c r="AI1308" s="5">
        <v>3</v>
      </c>
      <c r="AJ1308">
        <v>2</v>
      </c>
      <c r="AK1308">
        <v>2</v>
      </c>
      <c r="AL1308">
        <v>2</v>
      </c>
      <c r="AM1308" t="str">
        <f t="shared" si="143"/>
        <v>Ok</v>
      </c>
      <c r="AN1308" s="21">
        <f t="shared" si="144"/>
        <v>27.27272727272727</v>
      </c>
      <c r="AO1308" t="str">
        <f t="shared" ca="1" si="145"/>
        <v>No</v>
      </c>
      <c r="AP1308" t="str">
        <f t="shared" si="146"/>
        <v>Low Risk</v>
      </c>
    </row>
    <row r="1309" spans="1:42" x14ac:dyDescent="0.3">
      <c r="A1309" s="5">
        <v>28</v>
      </c>
      <c r="B1309" s="5" t="s">
        <v>43</v>
      </c>
      <c r="C1309" s="5" t="str">
        <f t="shared" si="140"/>
        <v>No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 s="5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 s="5">
        <v>3591</v>
      </c>
      <c r="U1309">
        <v>12719</v>
      </c>
      <c r="V1309">
        <v>1</v>
      </c>
      <c r="W1309" t="s">
        <v>42</v>
      </c>
      <c r="X1309" t="s">
        <v>43</v>
      </c>
      <c r="Y1309" t="str">
        <f t="shared" si="141"/>
        <v>No</v>
      </c>
      <c r="Z1309">
        <v>25</v>
      </c>
      <c r="AA1309">
        <v>4</v>
      </c>
      <c r="AB1309">
        <v>3</v>
      </c>
      <c r="AC1309">
        <v>80</v>
      </c>
      <c r="AD1309">
        <v>1</v>
      </c>
      <c r="AE1309" s="5">
        <v>3</v>
      </c>
      <c r="AF1309" t="str">
        <f t="shared" si="142"/>
        <v>0-5</v>
      </c>
      <c r="AG1309">
        <v>3</v>
      </c>
      <c r="AH1309">
        <v>3</v>
      </c>
      <c r="AI1309" s="5">
        <v>3</v>
      </c>
      <c r="AJ1309">
        <v>2</v>
      </c>
      <c r="AK1309">
        <v>1</v>
      </c>
      <c r="AL1309">
        <v>2</v>
      </c>
      <c r="AM1309" t="str">
        <f t="shared" si="143"/>
        <v>Below Avg</v>
      </c>
      <c r="AN1309" s="21">
        <f t="shared" si="144"/>
        <v>27.439024390243905</v>
      </c>
      <c r="AO1309" t="str">
        <f t="shared" ca="1" si="145"/>
        <v>No</v>
      </c>
      <c r="AP1309" t="str">
        <f t="shared" si="146"/>
        <v>Low Risk</v>
      </c>
    </row>
    <row r="1310" spans="1:42" x14ac:dyDescent="0.3">
      <c r="A1310" s="5">
        <v>38</v>
      </c>
      <c r="B1310" s="5" t="s">
        <v>43</v>
      </c>
      <c r="C1310" s="5" t="str">
        <f t="shared" si="140"/>
        <v>No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 s="5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 s="5">
        <v>5405</v>
      </c>
      <c r="U1310">
        <v>4244</v>
      </c>
      <c r="V1310">
        <v>2</v>
      </c>
      <c r="W1310" t="s">
        <v>42</v>
      </c>
      <c r="X1310" t="s">
        <v>35</v>
      </c>
      <c r="Y1310" t="str">
        <f t="shared" si="141"/>
        <v>Yes</v>
      </c>
      <c r="Z1310">
        <v>20</v>
      </c>
      <c r="AA1310">
        <v>4</v>
      </c>
      <c r="AB1310">
        <v>1</v>
      </c>
      <c r="AC1310">
        <v>80</v>
      </c>
      <c r="AD1310">
        <v>2</v>
      </c>
      <c r="AE1310" s="5">
        <v>20</v>
      </c>
      <c r="AF1310" t="str">
        <f t="shared" si="142"/>
        <v>&gt;15</v>
      </c>
      <c r="AG1310">
        <v>4</v>
      </c>
      <c r="AH1310">
        <v>2</v>
      </c>
      <c r="AI1310" s="5">
        <v>4</v>
      </c>
      <c r="AJ1310">
        <v>2</v>
      </c>
      <c r="AK1310">
        <v>0</v>
      </c>
      <c r="AL1310">
        <v>3</v>
      </c>
      <c r="AM1310" t="str">
        <f t="shared" si="143"/>
        <v>Below Avg</v>
      </c>
      <c r="AN1310" s="21">
        <f t="shared" si="144"/>
        <v>27.607361963190186</v>
      </c>
      <c r="AO1310" t="str">
        <f t="shared" ca="1" si="145"/>
        <v>No</v>
      </c>
      <c r="AP1310" t="str">
        <f t="shared" si="146"/>
        <v>Low Risk</v>
      </c>
    </row>
    <row r="1311" spans="1:42" x14ac:dyDescent="0.3">
      <c r="A1311" s="5">
        <v>26</v>
      </c>
      <c r="B1311" s="5" t="s">
        <v>43</v>
      </c>
      <c r="C1311" s="5" t="str">
        <f t="shared" si="140"/>
        <v>No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 s="5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 s="5">
        <v>4684</v>
      </c>
      <c r="U1311">
        <v>9125</v>
      </c>
      <c r="V1311">
        <v>1</v>
      </c>
      <c r="W1311" t="s">
        <v>42</v>
      </c>
      <c r="X1311" t="s">
        <v>43</v>
      </c>
      <c r="Y1311" t="str">
        <f t="shared" si="141"/>
        <v>No</v>
      </c>
      <c r="Z1311">
        <v>13</v>
      </c>
      <c r="AA1311">
        <v>3</v>
      </c>
      <c r="AB1311">
        <v>1</v>
      </c>
      <c r="AC1311">
        <v>80</v>
      </c>
      <c r="AD1311">
        <v>0</v>
      </c>
      <c r="AE1311" s="5">
        <v>5</v>
      </c>
      <c r="AF1311" t="str">
        <f t="shared" si="142"/>
        <v>0-5</v>
      </c>
      <c r="AG1311">
        <v>4</v>
      </c>
      <c r="AH1311">
        <v>3</v>
      </c>
      <c r="AI1311" s="5">
        <v>5</v>
      </c>
      <c r="AJ1311">
        <v>3</v>
      </c>
      <c r="AK1311">
        <v>1</v>
      </c>
      <c r="AL1311">
        <v>2</v>
      </c>
      <c r="AM1311" t="str">
        <f t="shared" si="143"/>
        <v>Below Avg</v>
      </c>
      <c r="AN1311" s="21">
        <f t="shared" si="144"/>
        <v>27.777777777777779</v>
      </c>
      <c r="AO1311" t="str">
        <f t="shared" ca="1" si="145"/>
        <v>No</v>
      </c>
      <c r="AP1311" t="str">
        <f t="shared" si="146"/>
        <v>Low Risk</v>
      </c>
    </row>
    <row r="1312" spans="1:42" x14ac:dyDescent="0.3">
      <c r="A1312" s="5">
        <v>58</v>
      </c>
      <c r="B1312" s="5" t="s">
        <v>43</v>
      </c>
      <c r="C1312" s="5" t="str">
        <f t="shared" si="140"/>
        <v>No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 s="5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 s="5">
        <v>15787</v>
      </c>
      <c r="U1312">
        <v>21624</v>
      </c>
      <c r="V1312">
        <v>2</v>
      </c>
      <c r="W1312" t="s">
        <v>42</v>
      </c>
      <c r="X1312" t="s">
        <v>35</v>
      </c>
      <c r="Y1312" t="str">
        <f t="shared" si="141"/>
        <v>Yes</v>
      </c>
      <c r="Z1312">
        <v>14</v>
      </c>
      <c r="AA1312">
        <v>3</v>
      </c>
      <c r="AB1312">
        <v>2</v>
      </c>
      <c r="AC1312">
        <v>80</v>
      </c>
      <c r="AD1312">
        <v>0</v>
      </c>
      <c r="AE1312" s="5">
        <v>23</v>
      </c>
      <c r="AF1312" t="str">
        <f t="shared" si="142"/>
        <v>&gt;15</v>
      </c>
      <c r="AG1312">
        <v>3</v>
      </c>
      <c r="AH1312">
        <v>3</v>
      </c>
      <c r="AI1312" s="5">
        <v>2</v>
      </c>
      <c r="AJ1312">
        <v>2</v>
      </c>
      <c r="AK1312">
        <v>2</v>
      </c>
      <c r="AL1312">
        <v>2</v>
      </c>
      <c r="AM1312" t="str">
        <f t="shared" si="143"/>
        <v>Ok</v>
      </c>
      <c r="AN1312" s="21">
        <f t="shared" si="144"/>
        <v>27.329192546583851</v>
      </c>
      <c r="AO1312" t="str">
        <f t="shared" ca="1" si="145"/>
        <v>No</v>
      </c>
      <c r="AP1312" t="str">
        <f t="shared" si="146"/>
        <v>Low Risk</v>
      </c>
    </row>
    <row r="1313" spans="1:42" x14ac:dyDescent="0.3">
      <c r="A1313" s="5">
        <v>18</v>
      </c>
      <c r="B1313" s="5" t="s">
        <v>43</v>
      </c>
      <c r="C1313" s="5" t="str">
        <f t="shared" si="140"/>
        <v>No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 s="5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 s="5">
        <v>1514</v>
      </c>
      <c r="U1313">
        <v>8018</v>
      </c>
      <c r="V1313">
        <v>1</v>
      </c>
      <c r="W1313" t="s">
        <v>42</v>
      </c>
      <c r="X1313" t="s">
        <v>43</v>
      </c>
      <c r="Y1313" t="str">
        <f t="shared" si="141"/>
        <v>No</v>
      </c>
      <c r="Z1313">
        <v>16</v>
      </c>
      <c r="AA1313">
        <v>3</v>
      </c>
      <c r="AB1313">
        <v>3</v>
      </c>
      <c r="AC1313">
        <v>80</v>
      </c>
      <c r="AD1313">
        <v>0</v>
      </c>
      <c r="AE1313" s="5">
        <v>0</v>
      </c>
      <c r="AF1313" t="str">
        <f t="shared" si="142"/>
        <v>0-5</v>
      </c>
      <c r="AG1313">
        <v>4</v>
      </c>
      <c r="AH1313">
        <v>1</v>
      </c>
      <c r="AI1313" s="5">
        <v>0</v>
      </c>
      <c r="AJ1313">
        <v>0</v>
      </c>
      <c r="AK1313">
        <v>0</v>
      </c>
      <c r="AL1313">
        <v>0</v>
      </c>
      <c r="AM1313" t="str">
        <f t="shared" si="143"/>
        <v>Below Avg</v>
      </c>
      <c r="AN1313" s="21">
        <f t="shared" si="144"/>
        <v>27.500000000000004</v>
      </c>
      <c r="AO1313" t="str">
        <f t="shared" ca="1" si="145"/>
        <v>No</v>
      </c>
      <c r="AP1313" t="str">
        <f t="shared" si="146"/>
        <v>Low Risk</v>
      </c>
    </row>
    <row r="1314" spans="1:42" x14ac:dyDescent="0.3">
      <c r="A1314" s="5">
        <v>31</v>
      </c>
      <c r="B1314" s="5" t="s">
        <v>35</v>
      </c>
      <c r="C1314" s="5" t="str">
        <f t="shared" si="140"/>
        <v>Yes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 s="5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 s="5">
        <v>2956</v>
      </c>
      <c r="U1314">
        <v>21495</v>
      </c>
      <c r="V1314">
        <v>0</v>
      </c>
      <c r="W1314" t="s">
        <v>42</v>
      </c>
      <c r="X1314" t="s">
        <v>43</v>
      </c>
      <c r="Y1314" t="str">
        <f t="shared" si="141"/>
        <v>No</v>
      </c>
      <c r="Z1314">
        <v>17</v>
      </c>
      <c r="AA1314">
        <v>3</v>
      </c>
      <c r="AB1314">
        <v>3</v>
      </c>
      <c r="AC1314">
        <v>80</v>
      </c>
      <c r="AD1314">
        <v>0</v>
      </c>
      <c r="AE1314" s="5">
        <v>2</v>
      </c>
      <c r="AF1314" t="str">
        <f t="shared" si="142"/>
        <v>0-5</v>
      </c>
      <c r="AG1314">
        <v>4</v>
      </c>
      <c r="AH1314">
        <v>3</v>
      </c>
      <c r="AI1314" s="5">
        <v>1</v>
      </c>
      <c r="AJ1314">
        <v>0</v>
      </c>
      <c r="AK1314">
        <v>0</v>
      </c>
      <c r="AL1314">
        <v>0</v>
      </c>
      <c r="AM1314" t="str">
        <f t="shared" si="143"/>
        <v>Below Avg</v>
      </c>
      <c r="AN1314" s="21">
        <f t="shared" si="144"/>
        <v>27.044025157232703</v>
      </c>
      <c r="AO1314" t="str">
        <f t="shared" ca="1" si="145"/>
        <v>No</v>
      </c>
      <c r="AP1314" t="str">
        <f t="shared" si="146"/>
        <v>High Risk</v>
      </c>
    </row>
    <row r="1315" spans="1:42" x14ac:dyDescent="0.3">
      <c r="A1315" s="5">
        <v>29</v>
      </c>
      <c r="B1315" s="5" t="s">
        <v>35</v>
      </c>
      <c r="C1315" s="5" t="str">
        <f t="shared" si="140"/>
        <v>Yes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 s="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 s="5">
        <v>2335</v>
      </c>
      <c r="U1315">
        <v>3157</v>
      </c>
      <c r="V1315">
        <v>4</v>
      </c>
      <c r="W1315" t="s">
        <v>42</v>
      </c>
      <c r="X1315" t="s">
        <v>35</v>
      </c>
      <c r="Y1315" t="str">
        <f t="shared" si="141"/>
        <v>Yes</v>
      </c>
      <c r="Z1315">
        <v>15</v>
      </c>
      <c r="AA1315">
        <v>3</v>
      </c>
      <c r="AB1315">
        <v>4</v>
      </c>
      <c r="AC1315">
        <v>80</v>
      </c>
      <c r="AD1315">
        <v>3</v>
      </c>
      <c r="AE1315" s="5">
        <v>4</v>
      </c>
      <c r="AF1315" t="str">
        <f t="shared" si="142"/>
        <v>0-5</v>
      </c>
      <c r="AG1315">
        <v>3</v>
      </c>
      <c r="AH1315">
        <v>3</v>
      </c>
      <c r="AI1315" s="5">
        <v>2</v>
      </c>
      <c r="AJ1315">
        <v>2</v>
      </c>
      <c r="AK1315">
        <v>2</v>
      </c>
      <c r="AL1315">
        <v>0</v>
      </c>
      <c r="AM1315" t="str">
        <f t="shared" si="143"/>
        <v>Below Avg</v>
      </c>
      <c r="AN1315" s="21">
        <f t="shared" si="144"/>
        <v>27.215189873417721</v>
      </c>
      <c r="AO1315" t="str">
        <f t="shared" ca="1" si="145"/>
        <v>No</v>
      </c>
      <c r="AP1315" t="str">
        <f t="shared" si="146"/>
        <v>Low Risk</v>
      </c>
    </row>
    <row r="1316" spans="1:42" x14ac:dyDescent="0.3">
      <c r="A1316" s="5">
        <v>45</v>
      </c>
      <c r="B1316" s="5" t="s">
        <v>43</v>
      </c>
      <c r="C1316" s="5" t="str">
        <f t="shared" si="140"/>
        <v>No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 s="5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 s="5">
        <v>5154</v>
      </c>
      <c r="U1316">
        <v>19665</v>
      </c>
      <c r="V1316">
        <v>4</v>
      </c>
      <c r="W1316" t="s">
        <v>42</v>
      </c>
      <c r="X1316" t="s">
        <v>43</v>
      </c>
      <c r="Y1316" t="str">
        <f t="shared" si="141"/>
        <v>No</v>
      </c>
      <c r="Z1316">
        <v>22</v>
      </c>
      <c r="AA1316">
        <v>4</v>
      </c>
      <c r="AB1316">
        <v>2</v>
      </c>
      <c r="AC1316">
        <v>80</v>
      </c>
      <c r="AD1316">
        <v>2</v>
      </c>
      <c r="AE1316" s="5">
        <v>10</v>
      </c>
      <c r="AF1316" t="str">
        <f t="shared" si="142"/>
        <v>6-15</v>
      </c>
      <c r="AG1316">
        <v>3</v>
      </c>
      <c r="AH1316">
        <v>4</v>
      </c>
      <c r="AI1316" s="5">
        <v>8</v>
      </c>
      <c r="AJ1316">
        <v>7</v>
      </c>
      <c r="AK1316">
        <v>5</v>
      </c>
      <c r="AL1316">
        <v>7</v>
      </c>
      <c r="AM1316" t="str">
        <f t="shared" si="143"/>
        <v>Below Avg</v>
      </c>
      <c r="AN1316" s="21">
        <f t="shared" si="144"/>
        <v>27.388535031847134</v>
      </c>
      <c r="AO1316" t="str">
        <f t="shared" ca="1" si="145"/>
        <v>No</v>
      </c>
      <c r="AP1316" t="str">
        <f t="shared" si="146"/>
        <v>Low Risk</v>
      </c>
    </row>
    <row r="1317" spans="1:42" x14ac:dyDescent="0.3">
      <c r="A1317" s="5">
        <v>36</v>
      </c>
      <c r="B1317" s="5" t="s">
        <v>43</v>
      </c>
      <c r="C1317" s="5" t="str">
        <f t="shared" si="140"/>
        <v>No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 s="5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 s="5">
        <v>6962</v>
      </c>
      <c r="U1317">
        <v>19573</v>
      </c>
      <c r="V1317">
        <v>4</v>
      </c>
      <c r="W1317" t="s">
        <v>42</v>
      </c>
      <c r="X1317" t="s">
        <v>35</v>
      </c>
      <c r="Y1317" t="str">
        <f t="shared" si="141"/>
        <v>Yes</v>
      </c>
      <c r="Z1317">
        <v>22</v>
      </c>
      <c r="AA1317">
        <v>4</v>
      </c>
      <c r="AB1317">
        <v>4</v>
      </c>
      <c r="AC1317">
        <v>80</v>
      </c>
      <c r="AD1317">
        <v>1</v>
      </c>
      <c r="AE1317" s="5">
        <v>15</v>
      </c>
      <c r="AF1317" t="str">
        <f t="shared" si="142"/>
        <v>6-15</v>
      </c>
      <c r="AG1317">
        <v>2</v>
      </c>
      <c r="AH1317">
        <v>3</v>
      </c>
      <c r="AI1317" s="5">
        <v>1</v>
      </c>
      <c r="AJ1317">
        <v>0</v>
      </c>
      <c r="AK1317">
        <v>0</v>
      </c>
      <c r="AL1317">
        <v>0</v>
      </c>
      <c r="AM1317" t="str">
        <f t="shared" si="143"/>
        <v>Ok</v>
      </c>
      <c r="AN1317" s="21">
        <f t="shared" si="144"/>
        <v>26.923076923076923</v>
      </c>
      <c r="AO1317" t="str">
        <f t="shared" ca="1" si="145"/>
        <v>No</v>
      </c>
      <c r="AP1317" t="str">
        <f t="shared" si="146"/>
        <v>Low Risk</v>
      </c>
    </row>
    <row r="1318" spans="1:42" x14ac:dyDescent="0.3">
      <c r="A1318" s="5">
        <v>43</v>
      </c>
      <c r="B1318" s="5" t="s">
        <v>43</v>
      </c>
      <c r="C1318" s="5" t="str">
        <f t="shared" si="140"/>
        <v>No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 s="5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 s="5">
        <v>5675</v>
      </c>
      <c r="U1318">
        <v>19246</v>
      </c>
      <c r="V1318">
        <v>1</v>
      </c>
      <c r="W1318" t="s">
        <v>42</v>
      </c>
      <c r="X1318" t="s">
        <v>43</v>
      </c>
      <c r="Y1318" t="str">
        <f t="shared" si="141"/>
        <v>No</v>
      </c>
      <c r="Z1318">
        <v>20</v>
      </c>
      <c r="AA1318">
        <v>4</v>
      </c>
      <c r="AB1318">
        <v>3</v>
      </c>
      <c r="AC1318">
        <v>80</v>
      </c>
      <c r="AD1318">
        <v>1</v>
      </c>
      <c r="AE1318" s="5">
        <v>7</v>
      </c>
      <c r="AF1318" t="str">
        <f t="shared" si="142"/>
        <v>6-15</v>
      </c>
      <c r="AG1318">
        <v>5</v>
      </c>
      <c r="AH1318">
        <v>3</v>
      </c>
      <c r="AI1318" s="5">
        <v>7</v>
      </c>
      <c r="AJ1318">
        <v>7</v>
      </c>
      <c r="AK1318">
        <v>7</v>
      </c>
      <c r="AL1318">
        <v>7</v>
      </c>
      <c r="AM1318" t="str">
        <f t="shared" si="143"/>
        <v>Below Avg</v>
      </c>
      <c r="AN1318" s="21">
        <f t="shared" si="144"/>
        <v>27.096774193548391</v>
      </c>
      <c r="AO1318" t="str">
        <f t="shared" ca="1" si="145"/>
        <v>No</v>
      </c>
      <c r="AP1318" t="str">
        <f t="shared" si="146"/>
        <v>Low Risk</v>
      </c>
    </row>
    <row r="1319" spans="1:42" x14ac:dyDescent="0.3">
      <c r="A1319" s="5">
        <v>27</v>
      </c>
      <c r="B1319" s="5" t="s">
        <v>43</v>
      </c>
      <c r="C1319" s="5" t="str">
        <f t="shared" si="140"/>
        <v>No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 s="5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 s="5">
        <v>2379</v>
      </c>
      <c r="U1319">
        <v>19826</v>
      </c>
      <c r="V1319">
        <v>0</v>
      </c>
      <c r="W1319" t="s">
        <v>42</v>
      </c>
      <c r="X1319" t="s">
        <v>35</v>
      </c>
      <c r="Y1319" t="str">
        <f t="shared" si="141"/>
        <v>Yes</v>
      </c>
      <c r="Z1319">
        <v>14</v>
      </c>
      <c r="AA1319">
        <v>3</v>
      </c>
      <c r="AB1319">
        <v>3</v>
      </c>
      <c r="AC1319">
        <v>80</v>
      </c>
      <c r="AD1319">
        <v>0</v>
      </c>
      <c r="AE1319" s="5">
        <v>6</v>
      </c>
      <c r="AF1319" t="str">
        <f t="shared" si="142"/>
        <v>6-15</v>
      </c>
      <c r="AG1319">
        <v>3</v>
      </c>
      <c r="AH1319">
        <v>2</v>
      </c>
      <c r="AI1319" s="5">
        <v>5</v>
      </c>
      <c r="AJ1319">
        <v>4</v>
      </c>
      <c r="AK1319">
        <v>0</v>
      </c>
      <c r="AL1319">
        <v>2</v>
      </c>
      <c r="AM1319" t="str">
        <f t="shared" si="143"/>
        <v>Below Avg</v>
      </c>
      <c r="AN1319" s="21">
        <f t="shared" si="144"/>
        <v>26.623376623376622</v>
      </c>
      <c r="AO1319" t="str">
        <f t="shared" ca="1" si="145"/>
        <v>No</v>
      </c>
      <c r="AP1319" t="str">
        <f t="shared" si="146"/>
        <v>Low Risk</v>
      </c>
    </row>
    <row r="1320" spans="1:42" x14ac:dyDescent="0.3">
      <c r="A1320" s="5">
        <v>29</v>
      </c>
      <c r="B1320" s="5" t="s">
        <v>43</v>
      </c>
      <c r="C1320" s="5" t="str">
        <f t="shared" si="140"/>
        <v>No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 s="5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 s="5">
        <v>3812</v>
      </c>
      <c r="U1320">
        <v>7003</v>
      </c>
      <c r="V1320">
        <v>1</v>
      </c>
      <c r="W1320" t="s">
        <v>42</v>
      </c>
      <c r="X1320" t="s">
        <v>43</v>
      </c>
      <c r="Y1320" t="str">
        <f t="shared" si="141"/>
        <v>No</v>
      </c>
      <c r="Z1320">
        <v>13</v>
      </c>
      <c r="AA1320">
        <v>3</v>
      </c>
      <c r="AB1320">
        <v>2</v>
      </c>
      <c r="AC1320">
        <v>80</v>
      </c>
      <c r="AD1320">
        <v>0</v>
      </c>
      <c r="AE1320" s="5">
        <v>11</v>
      </c>
      <c r="AF1320" t="str">
        <f t="shared" si="142"/>
        <v>6-15</v>
      </c>
      <c r="AG1320">
        <v>3</v>
      </c>
      <c r="AH1320">
        <v>4</v>
      </c>
      <c r="AI1320" s="5">
        <v>11</v>
      </c>
      <c r="AJ1320">
        <v>8</v>
      </c>
      <c r="AK1320">
        <v>3</v>
      </c>
      <c r="AL1320">
        <v>10</v>
      </c>
      <c r="AM1320" t="str">
        <f t="shared" si="143"/>
        <v>Below Avg</v>
      </c>
      <c r="AN1320" s="21">
        <f t="shared" si="144"/>
        <v>26.797385620915033</v>
      </c>
      <c r="AO1320" t="str">
        <f t="shared" ca="1" si="145"/>
        <v>No</v>
      </c>
      <c r="AP1320" t="str">
        <f t="shared" si="146"/>
        <v>Low Risk</v>
      </c>
    </row>
    <row r="1321" spans="1:42" x14ac:dyDescent="0.3">
      <c r="A1321" s="5">
        <v>32</v>
      </c>
      <c r="B1321" s="5" t="s">
        <v>43</v>
      </c>
      <c r="C1321" s="5" t="str">
        <f t="shared" si="140"/>
        <v>No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 s="5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 s="5">
        <v>4648</v>
      </c>
      <c r="U1321">
        <v>26075</v>
      </c>
      <c r="V1321">
        <v>8</v>
      </c>
      <c r="W1321" t="s">
        <v>42</v>
      </c>
      <c r="X1321" t="s">
        <v>43</v>
      </c>
      <c r="Y1321" t="str">
        <f t="shared" si="141"/>
        <v>No</v>
      </c>
      <c r="Z1321">
        <v>13</v>
      </c>
      <c r="AA1321">
        <v>3</v>
      </c>
      <c r="AB1321">
        <v>3</v>
      </c>
      <c r="AC1321">
        <v>80</v>
      </c>
      <c r="AD1321">
        <v>0</v>
      </c>
      <c r="AE1321" s="5">
        <v>4</v>
      </c>
      <c r="AF1321" t="str">
        <f t="shared" si="142"/>
        <v>0-5</v>
      </c>
      <c r="AG1321">
        <v>2</v>
      </c>
      <c r="AH1321">
        <v>4</v>
      </c>
      <c r="AI1321" s="5">
        <v>0</v>
      </c>
      <c r="AJ1321">
        <v>0</v>
      </c>
      <c r="AK1321">
        <v>0</v>
      </c>
      <c r="AL1321">
        <v>0</v>
      </c>
      <c r="AM1321" t="str">
        <f t="shared" si="143"/>
        <v>Below Avg</v>
      </c>
      <c r="AN1321" s="21">
        <f t="shared" si="144"/>
        <v>26.315789473684209</v>
      </c>
      <c r="AO1321" t="str">
        <f t="shared" ca="1" si="145"/>
        <v>No</v>
      </c>
      <c r="AP1321" t="str">
        <f t="shared" si="146"/>
        <v>Low Risk</v>
      </c>
    </row>
    <row r="1322" spans="1:42" x14ac:dyDescent="0.3">
      <c r="A1322" s="5">
        <v>42</v>
      </c>
      <c r="B1322" s="5" t="s">
        <v>43</v>
      </c>
      <c r="C1322" s="5" t="str">
        <f t="shared" si="140"/>
        <v>No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 s="5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 s="5">
        <v>2936</v>
      </c>
      <c r="U1322">
        <v>6161</v>
      </c>
      <c r="V1322">
        <v>3</v>
      </c>
      <c r="W1322" t="s">
        <v>42</v>
      </c>
      <c r="X1322" t="s">
        <v>43</v>
      </c>
      <c r="Y1322" t="str">
        <f t="shared" si="141"/>
        <v>No</v>
      </c>
      <c r="Z1322">
        <v>22</v>
      </c>
      <c r="AA1322">
        <v>4</v>
      </c>
      <c r="AB1322">
        <v>2</v>
      </c>
      <c r="AC1322">
        <v>80</v>
      </c>
      <c r="AD1322">
        <v>2</v>
      </c>
      <c r="AE1322" s="5">
        <v>10</v>
      </c>
      <c r="AF1322" t="str">
        <f t="shared" si="142"/>
        <v>6-15</v>
      </c>
      <c r="AG1322">
        <v>1</v>
      </c>
      <c r="AH1322">
        <v>2</v>
      </c>
      <c r="AI1322" s="5">
        <v>6</v>
      </c>
      <c r="AJ1322">
        <v>3</v>
      </c>
      <c r="AK1322">
        <v>3</v>
      </c>
      <c r="AL1322">
        <v>3</v>
      </c>
      <c r="AM1322" t="str">
        <f t="shared" si="143"/>
        <v>Below Avg</v>
      </c>
      <c r="AN1322" s="21">
        <f t="shared" si="144"/>
        <v>26.490066225165563</v>
      </c>
      <c r="AO1322" t="str">
        <f t="shared" ca="1" si="145"/>
        <v>No</v>
      </c>
      <c r="AP1322" t="str">
        <f t="shared" si="146"/>
        <v>Low Risk</v>
      </c>
    </row>
    <row r="1323" spans="1:42" x14ac:dyDescent="0.3">
      <c r="A1323" s="5">
        <v>47</v>
      </c>
      <c r="B1323" s="5" t="s">
        <v>43</v>
      </c>
      <c r="C1323" s="5" t="str">
        <f t="shared" si="140"/>
        <v>No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 s="5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 s="5">
        <v>2105</v>
      </c>
      <c r="U1323">
        <v>5411</v>
      </c>
      <c r="V1323">
        <v>4</v>
      </c>
      <c r="W1323" t="s">
        <v>42</v>
      </c>
      <c r="X1323" t="s">
        <v>43</v>
      </c>
      <c r="Y1323" t="str">
        <f t="shared" si="141"/>
        <v>No</v>
      </c>
      <c r="Z1323">
        <v>12</v>
      </c>
      <c r="AA1323">
        <v>3</v>
      </c>
      <c r="AB1323">
        <v>3</v>
      </c>
      <c r="AC1323">
        <v>80</v>
      </c>
      <c r="AD1323">
        <v>0</v>
      </c>
      <c r="AE1323" s="5">
        <v>7</v>
      </c>
      <c r="AF1323" t="str">
        <f t="shared" si="142"/>
        <v>6-15</v>
      </c>
      <c r="AG1323">
        <v>2</v>
      </c>
      <c r="AH1323">
        <v>3</v>
      </c>
      <c r="AI1323" s="5">
        <v>2</v>
      </c>
      <c r="AJ1323">
        <v>2</v>
      </c>
      <c r="AK1323">
        <v>2</v>
      </c>
      <c r="AL1323">
        <v>0</v>
      </c>
      <c r="AM1323" t="str">
        <f t="shared" si="143"/>
        <v>Below Avg</v>
      </c>
      <c r="AN1323" s="21">
        <f t="shared" si="144"/>
        <v>26.666666666666668</v>
      </c>
      <c r="AO1323" t="str">
        <f t="shared" ca="1" si="145"/>
        <v>No</v>
      </c>
      <c r="AP1323" t="str">
        <f t="shared" si="146"/>
        <v>Low Risk</v>
      </c>
    </row>
    <row r="1324" spans="1:42" x14ac:dyDescent="0.3">
      <c r="A1324" s="5">
        <v>46</v>
      </c>
      <c r="B1324" s="5" t="s">
        <v>43</v>
      </c>
      <c r="C1324" s="5" t="str">
        <f t="shared" si="140"/>
        <v>No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 s="5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 s="5">
        <v>8578</v>
      </c>
      <c r="U1324">
        <v>19989</v>
      </c>
      <c r="V1324">
        <v>3</v>
      </c>
      <c r="W1324" t="s">
        <v>42</v>
      </c>
      <c r="X1324" t="s">
        <v>43</v>
      </c>
      <c r="Y1324" t="str">
        <f t="shared" si="141"/>
        <v>No</v>
      </c>
      <c r="Z1324">
        <v>14</v>
      </c>
      <c r="AA1324">
        <v>3</v>
      </c>
      <c r="AB1324">
        <v>3</v>
      </c>
      <c r="AC1324">
        <v>80</v>
      </c>
      <c r="AD1324">
        <v>1</v>
      </c>
      <c r="AE1324" s="5">
        <v>12</v>
      </c>
      <c r="AF1324" t="str">
        <f t="shared" si="142"/>
        <v>6-15</v>
      </c>
      <c r="AG1324">
        <v>4</v>
      </c>
      <c r="AH1324">
        <v>2</v>
      </c>
      <c r="AI1324" s="5">
        <v>9</v>
      </c>
      <c r="AJ1324">
        <v>8</v>
      </c>
      <c r="AK1324">
        <v>4</v>
      </c>
      <c r="AL1324">
        <v>7</v>
      </c>
      <c r="AM1324" t="str">
        <f t="shared" si="143"/>
        <v>Ok</v>
      </c>
      <c r="AN1324" s="21">
        <f t="shared" si="144"/>
        <v>26.845637583892618</v>
      </c>
      <c r="AO1324" t="str">
        <f t="shared" ca="1" si="145"/>
        <v>No</v>
      </c>
      <c r="AP1324" t="str">
        <f t="shared" si="146"/>
        <v>Low Risk</v>
      </c>
    </row>
    <row r="1325" spans="1:42" x14ac:dyDescent="0.3">
      <c r="A1325" s="5">
        <v>28</v>
      </c>
      <c r="B1325" s="5" t="s">
        <v>43</v>
      </c>
      <c r="C1325" s="5" t="str">
        <f t="shared" si="140"/>
        <v>No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 s="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 s="5">
        <v>2706</v>
      </c>
      <c r="U1325">
        <v>10494</v>
      </c>
      <c r="V1325">
        <v>1</v>
      </c>
      <c r="W1325" t="s">
        <v>42</v>
      </c>
      <c r="X1325" t="s">
        <v>43</v>
      </c>
      <c r="Y1325" t="str">
        <f t="shared" si="141"/>
        <v>No</v>
      </c>
      <c r="Z1325">
        <v>15</v>
      </c>
      <c r="AA1325">
        <v>3</v>
      </c>
      <c r="AB1325">
        <v>2</v>
      </c>
      <c r="AC1325">
        <v>80</v>
      </c>
      <c r="AD1325">
        <v>1</v>
      </c>
      <c r="AE1325" s="5">
        <v>3</v>
      </c>
      <c r="AF1325" t="str">
        <f t="shared" si="142"/>
        <v>0-5</v>
      </c>
      <c r="AG1325">
        <v>2</v>
      </c>
      <c r="AH1325">
        <v>3</v>
      </c>
      <c r="AI1325" s="5">
        <v>3</v>
      </c>
      <c r="AJ1325">
        <v>2</v>
      </c>
      <c r="AK1325">
        <v>2</v>
      </c>
      <c r="AL1325">
        <v>2</v>
      </c>
      <c r="AM1325" t="str">
        <f t="shared" si="143"/>
        <v>Below Avg</v>
      </c>
      <c r="AN1325" s="21">
        <f t="shared" si="144"/>
        <v>27.027027027027028</v>
      </c>
      <c r="AO1325" t="str">
        <f t="shared" ca="1" si="145"/>
        <v>No</v>
      </c>
      <c r="AP1325" t="str">
        <f t="shared" si="146"/>
        <v>Low Risk</v>
      </c>
    </row>
    <row r="1326" spans="1:42" x14ac:dyDescent="0.3">
      <c r="A1326" s="5">
        <v>29</v>
      </c>
      <c r="B1326" s="5" t="s">
        <v>43</v>
      </c>
      <c r="C1326" s="5" t="str">
        <f t="shared" si="140"/>
        <v>No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 s="5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 s="5">
        <v>6384</v>
      </c>
      <c r="U1326">
        <v>21143</v>
      </c>
      <c r="V1326">
        <v>8</v>
      </c>
      <c r="W1326" t="s">
        <v>42</v>
      </c>
      <c r="X1326" t="s">
        <v>43</v>
      </c>
      <c r="Y1326" t="str">
        <f t="shared" si="141"/>
        <v>No</v>
      </c>
      <c r="Z1326">
        <v>17</v>
      </c>
      <c r="AA1326">
        <v>3</v>
      </c>
      <c r="AB1326">
        <v>4</v>
      </c>
      <c r="AC1326">
        <v>80</v>
      </c>
      <c r="AD1326">
        <v>2</v>
      </c>
      <c r="AE1326" s="5">
        <v>11</v>
      </c>
      <c r="AF1326" t="str">
        <f t="shared" si="142"/>
        <v>6-15</v>
      </c>
      <c r="AG1326">
        <v>3</v>
      </c>
      <c r="AH1326">
        <v>3</v>
      </c>
      <c r="AI1326" s="5">
        <v>7</v>
      </c>
      <c r="AJ1326">
        <v>0</v>
      </c>
      <c r="AK1326">
        <v>1</v>
      </c>
      <c r="AL1326">
        <v>6</v>
      </c>
      <c r="AM1326" t="str">
        <f t="shared" si="143"/>
        <v>Ok</v>
      </c>
      <c r="AN1326" s="21">
        <f t="shared" si="144"/>
        <v>27.210884353741498</v>
      </c>
      <c r="AO1326" t="str">
        <f t="shared" ca="1" si="145"/>
        <v>No</v>
      </c>
      <c r="AP1326" t="str">
        <f t="shared" si="146"/>
        <v>Low Risk</v>
      </c>
    </row>
    <row r="1327" spans="1:42" x14ac:dyDescent="0.3">
      <c r="A1327" s="5">
        <v>42</v>
      </c>
      <c r="B1327" s="5" t="s">
        <v>43</v>
      </c>
      <c r="C1327" s="5" t="str">
        <f t="shared" si="140"/>
        <v>No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 s="5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 s="5">
        <v>3968</v>
      </c>
      <c r="U1327">
        <v>13624</v>
      </c>
      <c r="V1327">
        <v>4</v>
      </c>
      <c r="W1327" t="s">
        <v>42</v>
      </c>
      <c r="X1327" t="s">
        <v>43</v>
      </c>
      <c r="Y1327" t="str">
        <f t="shared" si="141"/>
        <v>No</v>
      </c>
      <c r="Z1327">
        <v>13</v>
      </c>
      <c r="AA1327">
        <v>3</v>
      </c>
      <c r="AB1327">
        <v>4</v>
      </c>
      <c r="AC1327">
        <v>80</v>
      </c>
      <c r="AD1327">
        <v>0</v>
      </c>
      <c r="AE1327" s="5">
        <v>8</v>
      </c>
      <c r="AF1327" t="str">
        <f t="shared" si="142"/>
        <v>6-15</v>
      </c>
      <c r="AG1327">
        <v>3</v>
      </c>
      <c r="AH1327">
        <v>3</v>
      </c>
      <c r="AI1327" s="5">
        <v>0</v>
      </c>
      <c r="AJ1327">
        <v>0</v>
      </c>
      <c r="AK1327">
        <v>0</v>
      </c>
      <c r="AL1327">
        <v>0</v>
      </c>
      <c r="AM1327" t="str">
        <f t="shared" si="143"/>
        <v>Below Avg</v>
      </c>
      <c r="AN1327" s="21">
        <f t="shared" si="144"/>
        <v>27.397260273972602</v>
      </c>
      <c r="AO1327" t="str">
        <f t="shared" ca="1" si="145"/>
        <v>No</v>
      </c>
      <c r="AP1327" t="str">
        <f t="shared" si="146"/>
        <v>Low Risk</v>
      </c>
    </row>
    <row r="1328" spans="1:42" x14ac:dyDescent="0.3">
      <c r="A1328" s="5">
        <v>32</v>
      </c>
      <c r="B1328" s="5" t="s">
        <v>35</v>
      </c>
      <c r="C1328" s="5" t="str">
        <f t="shared" si="140"/>
        <v>Yes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 s="5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 s="5">
        <v>9907</v>
      </c>
      <c r="U1328">
        <v>26186</v>
      </c>
      <c r="V1328">
        <v>7</v>
      </c>
      <c r="W1328" t="s">
        <v>42</v>
      </c>
      <c r="X1328" t="s">
        <v>35</v>
      </c>
      <c r="Y1328" t="str">
        <f t="shared" si="141"/>
        <v>Yes</v>
      </c>
      <c r="Z1328">
        <v>12</v>
      </c>
      <c r="AA1328">
        <v>3</v>
      </c>
      <c r="AB1328">
        <v>3</v>
      </c>
      <c r="AC1328">
        <v>80</v>
      </c>
      <c r="AD1328">
        <v>0</v>
      </c>
      <c r="AE1328" s="5">
        <v>7</v>
      </c>
      <c r="AF1328" t="str">
        <f t="shared" si="142"/>
        <v>6-15</v>
      </c>
      <c r="AG1328">
        <v>3</v>
      </c>
      <c r="AH1328">
        <v>2</v>
      </c>
      <c r="AI1328" s="5">
        <v>2</v>
      </c>
      <c r="AJ1328">
        <v>2</v>
      </c>
      <c r="AK1328">
        <v>2</v>
      </c>
      <c r="AL1328">
        <v>2</v>
      </c>
      <c r="AM1328" t="str">
        <f t="shared" si="143"/>
        <v>Ok</v>
      </c>
      <c r="AN1328" s="21">
        <f t="shared" si="144"/>
        <v>27.586206896551722</v>
      </c>
      <c r="AO1328" t="str">
        <f t="shared" ca="1" si="145"/>
        <v>No</v>
      </c>
      <c r="AP1328" t="str">
        <f t="shared" si="146"/>
        <v>Low Risk</v>
      </c>
    </row>
    <row r="1329" spans="1:42" x14ac:dyDescent="0.3">
      <c r="A1329" s="5">
        <v>46</v>
      </c>
      <c r="B1329" s="5" t="s">
        <v>43</v>
      </c>
      <c r="C1329" s="5" t="str">
        <f t="shared" si="140"/>
        <v>No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 s="5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 s="5">
        <v>13225</v>
      </c>
      <c r="U1329">
        <v>7739</v>
      </c>
      <c r="V1329">
        <v>2</v>
      </c>
      <c r="W1329" t="s">
        <v>42</v>
      </c>
      <c r="X1329" t="s">
        <v>43</v>
      </c>
      <c r="Y1329" t="str">
        <f t="shared" si="141"/>
        <v>No</v>
      </c>
      <c r="Z1329">
        <v>12</v>
      </c>
      <c r="AA1329">
        <v>3</v>
      </c>
      <c r="AB1329">
        <v>4</v>
      </c>
      <c r="AC1329">
        <v>80</v>
      </c>
      <c r="AD1329">
        <v>1</v>
      </c>
      <c r="AE1329" s="5">
        <v>25</v>
      </c>
      <c r="AF1329" t="str">
        <f t="shared" si="142"/>
        <v>&gt;15</v>
      </c>
      <c r="AG1329">
        <v>5</v>
      </c>
      <c r="AH1329">
        <v>3</v>
      </c>
      <c r="AI1329" s="5">
        <v>19</v>
      </c>
      <c r="AJ1329">
        <v>17</v>
      </c>
      <c r="AK1329">
        <v>2</v>
      </c>
      <c r="AL1329">
        <v>8</v>
      </c>
      <c r="AM1329" t="str">
        <f t="shared" si="143"/>
        <v>Ok</v>
      </c>
      <c r="AN1329" s="21">
        <f t="shared" si="144"/>
        <v>27.777777777777779</v>
      </c>
      <c r="AO1329" t="str">
        <f t="shared" ca="1" si="145"/>
        <v>No</v>
      </c>
      <c r="AP1329" t="str">
        <f t="shared" si="146"/>
        <v>Low Risk</v>
      </c>
    </row>
    <row r="1330" spans="1:42" x14ac:dyDescent="0.3">
      <c r="A1330" s="5">
        <v>27</v>
      </c>
      <c r="B1330" s="5" t="s">
        <v>43</v>
      </c>
      <c r="C1330" s="5" t="str">
        <f t="shared" si="140"/>
        <v>No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 s="5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 s="5">
        <v>3540</v>
      </c>
      <c r="U1330">
        <v>7018</v>
      </c>
      <c r="V1330">
        <v>1</v>
      </c>
      <c r="W1330" t="s">
        <v>42</v>
      </c>
      <c r="X1330" t="s">
        <v>43</v>
      </c>
      <c r="Y1330" t="str">
        <f t="shared" si="141"/>
        <v>No</v>
      </c>
      <c r="Z1330">
        <v>21</v>
      </c>
      <c r="AA1330">
        <v>4</v>
      </c>
      <c r="AB1330">
        <v>4</v>
      </c>
      <c r="AC1330">
        <v>80</v>
      </c>
      <c r="AD1330">
        <v>1</v>
      </c>
      <c r="AE1330" s="5">
        <v>9</v>
      </c>
      <c r="AF1330" t="str">
        <f t="shared" si="142"/>
        <v>6-15</v>
      </c>
      <c r="AG1330">
        <v>5</v>
      </c>
      <c r="AH1330">
        <v>3</v>
      </c>
      <c r="AI1330" s="5">
        <v>9</v>
      </c>
      <c r="AJ1330">
        <v>8</v>
      </c>
      <c r="AK1330">
        <v>5</v>
      </c>
      <c r="AL1330">
        <v>8</v>
      </c>
      <c r="AM1330" t="str">
        <f t="shared" si="143"/>
        <v>Below Avg</v>
      </c>
      <c r="AN1330" s="21">
        <f t="shared" si="144"/>
        <v>27.27272727272727</v>
      </c>
      <c r="AO1330" t="str">
        <f t="shared" ca="1" si="145"/>
        <v>No</v>
      </c>
      <c r="AP1330" t="str">
        <f t="shared" si="146"/>
        <v>Low Risk</v>
      </c>
    </row>
    <row r="1331" spans="1:42" x14ac:dyDescent="0.3">
      <c r="A1331" s="5">
        <v>29</v>
      </c>
      <c r="B1331" s="5" t="s">
        <v>43</v>
      </c>
      <c r="C1331" s="5" t="str">
        <f t="shared" si="140"/>
        <v>No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 s="5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 s="5">
        <v>2804</v>
      </c>
      <c r="U1331">
        <v>15434</v>
      </c>
      <c r="V1331">
        <v>1</v>
      </c>
      <c r="W1331" t="s">
        <v>42</v>
      </c>
      <c r="X1331" t="s">
        <v>43</v>
      </c>
      <c r="Y1331" t="str">
        <f t="shared" si="141"/>
        <v>No</v>
      </c>
      <c r="Z1331">
        <v>11</v>
      </c>
      <c r="AA1331">
        <v>3</v>
      </c>
      <c r="AB1331">
        <v>4</v>
      </c>
      <c r="AC1331">
        <v>80</v>
      </c>
      <c r="AD1331">
        <v>0</v>
      </c>
      <c r="AE1331" s="5">
        <v>1</v>
      </c>
      <c r="AF1331" t="str">
        <f t="shared" si="142"/>
        <v>0-5</v>
      </c>
      <c r="AG1331">
        <v>3</v>
      </c>
      <c r="AH1331">
        <v>3</v>
      </c>
      <c r="AI1331" s="5">
        <v>1</v>
      </c>
      <c r="AJ1331">
        <v>0</v>
      </c>
      <c r="AK1331">
        <v>0</v>
      </c>
      <c r="AL1331">
        <v>0</v>
      </c>
      <c r="AM1331" t="str">
        <f t="shared" si="143"/>
        <v>Below Avg</v>
      </c>
      <c r="AN1331" s="21">
        <f t="shared" si="144"/>
        <v>27.464788732394368</v>
      </c>
      <c r="AO1331" t="str">
        <f t="shared" ca="1" si="145"/>
        <v>No</v>
      </c>
      <c r="AP1331" t="str">
        <f t="shared" si="146"/>
        <v>Low Risk</v>
      </c>
    </row>
    <row r="1332" spans="1:42" x14ac:dyDescent="0.3">
      <c r="A1332" s="5">
        <v>43</v>
      </c>
      <c r="B1332" s="5" t="s">
        <v>43</v>
      </c>
      <c r="C1332" s="5" t="str">
        <f t="shared" si="140"/>
        <v>No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 s="5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 s="5">
        <v>19392</v>
      </c>
      <c r="U1332">
        <v>22539</v>
      </c>
      <c r="V1332">
        <v>7</v>
      </c>
      <c r="W1332" t="s">
        <v>42</v>
      </c>
      <c r="X1332" t="s">
        <v>43</v>
      </c>
      <c r="Y1332" t="str">
        <f t="shared" si="141"/>
        <v>No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 s="5">
        <v>21</v>
      </c>
      <c r="AF1332" t="str">
        <f t="shared" si="142"/>
        <v>&gt;15</v>
      </c>
      <c r="AG1332">
        <v>2</v>
      </c>
      <c r="AH1332">
        <v>3</v>
      </c>
      <c r="AI1332" s="5">
        <v>16</v>
      </c>
      <c r="AJ1332">
        <v>12</v>
      </c>
      <c r="AK1332">
        <v>6</v>
      </c>
      <c r="AL1332">
        <v>14</v>
      </c>
      <c r="AM1332" t="str">
        <f t="shared" si="143"/>
        <v>Ok</v>
      </c>
      <c r="AN1332" s="21">
        <f t="shared" si="144"/>
        <v>27.659574468085108</v>
      </c>
      <c r="AO1332" t="str">
        <f t="shared" ca="1" si="145"/>
        <v>No</v>
      </c>
      <c r="AP1332" t="str">
        <f t="shared" si="146"/>
        <v>Low Risk</v>
      </c>
    </row>
    <row r="1333" spans="1:42" x14ac:dyDescent="0.3">
      <c r="A1333" s="5">
        <v>48</v>
      </c>
      <c r="B1333" s="5" t="s">
        <v>43</v>
      </c>
      <c r="C1333" s="5" t="str">
        <f t="shared" si="140"/>
        <v>No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 s="5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 s="5">
        <v>19665</v>
      </c>
      <c r="U1333">
        <v>13583</v>
      </c>
      <c r="V1333">
        <v>4</v>
      </c>
      <c r="W1333" t="s">
        <v>42</v>
      </c>
      <c r="X1333" t="s">
        <v>43</v>
      </c>
      <c r="Y1333" t="str">
        <f t="shared" si="141"/>
        <v>No</v>
      </c>
      <c r="Z1333">
        <v>12</v>
      </c>
      <c r="AA1333">
        <v>3</v>
      </c>
      <c r="AB1333">
        <v>4</v>
      </c>
      <c r="AC1333">
        <v>80</v>
      </c>
      <c r="AD1333">
        <v>0</v>
      </c>
      <c r="AE1333" s="5">
        <v>29</v>
      </c>
      <c r="AF1333" t="str">
        <f t="shared" si="142"/>
        <v>&gt;15</v>
      </c>
      <c r="AG1333">
        <v>3</v>
      </c>
      <c r="AH1333">
        <v>3</v>
      </c>
      <c r="AI1333" s="5">
        <v>22</v>
      </c>
      <c r="AJ1333">
        <v>10</v>
      </c>
      <c r="AK1333">
        <v>12</v>
      </c>
      <c r="AL1333">
        <v>9</v>
      </c>
      <c r="AM1333" t="str">
        <f t="shared" si="143"/>
        <v>Ok</v>
      </c>
      <c r="AN1333" s="21">
        <f t="shared" si="144"/>
        <v>27.857142857142858</v>
      </c>
      <c r="AO1333" t="str">
        <f t="shared" ca="1" si="145"/>
        <v>No</v>
      </c>
      <c r="AP1333" t="str">
        <f t="shared" si="146"/>
        <v>Low Risk</v>
      </c>
    </row>
    <row r="1334" spans="1:42" x14ac:dyDescent="0.3">
      <c r="A1334" s="5">
        <v>29</v>
      </c>
      <c r="B1334" s="5" t="s">
        <v>35</v>
      </c>
      <c r="C1334" s="5" t="str">
        <f t="shared" si="140"/>
        <v>Yes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 s="5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 s="5">
        <v>2439</v>
      </c>
      <c r="U1334">
        <v>14753</v>
      </c>
      <c r="V1334">
        <v>1</v>
      </c>
      <c r="W1334" t="s">
        <v>42</v>
      </c>
      <c r="X1334" t="s">
        <v>35</v>
      </c>
      <c r="Y1334" t="str">
        <f t="shared" si="141"/>
        <v>Yes</v>
      </c>
      <c r="Z1334">
        <v>24</v>
      </c>
      <c r="AA1334">
        <v>4</v>
      </c>
      <c r="AB1334">
        <v>2</v>
      </c>
      <c r="AC1334">
        <v>80</v>
      </c>
      <c r="AD1334">
        <v>0</v>
      </c>
      <c r="AE1334" s="5">
        <v>1</v>
      </c>
      <c r="AF1334" t="str">
        <f t="shared" si="142"/>
        <v>0-5</v>
      </c>
      <c r="AG1334">
        <v>3</v>
      </c>
      <c r="AH1334">
        <v>2</v>
      </c>
      <c r="AI1334" s="5">
        <v>1</v>
      </c>
      <c r="AJ1334">
        <v>0</v>
      </c>
      <c r="AK1334">
        <v>1</v>
      </c>
      <c r="AL1334">
        <v>0</v>
      </c>
      <c r="AM1334" t="str">
        <f t="shared" si="143"/>
        <v>Below Avg</v>
      </c>
      <c r="AN1334" s="21">
        <f t="shared" si="144"/>
        <v>28.057553956834528</v>
      </c>
      <c r="AO1334" t="str">
        <f t="shared" ca="1" si="145"/>
        <v>No</v>
      </c>
      <c r="AP1334" t="str">
        <f t="shared" si="146"/>
        <v>High Risk</v>
      </c>
    </row>
    <row r="1335" spans="1:42" x14ac:dyDescent="0.3">
      <c r="A1335" s="5">
        <v>46</v>
      </c>
      <c r="B1335" s="5" t="s">
        <v>35</v>
      </c>
      <c r="C1335" s="5" t="str">
        <f t="shared" si="140"/>
        <v>Yes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 s="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 s="5">
        <v>7314</v>
      </c>
      <c r="U1335">
        <v>14011</v>
      </c>
      <c r="V1335">
        <v>5</v>
      </c>
      <c r="W1335" t="s">
        <v>42</v>
      </c>
      <c r="X1335" t="s">
        <v>43</v>
      </c>
      <c r="Y1335" t="str">
        <f t="shared" si="141"/>
        <v>No</v>
      </c>
      <c r="Z1335">
        <v>21</v>
      </c>
      <c r="AA1335">
        <v>4</v>
      </c>
      <c r="AB1335">
        <v>3</v>
      </c>
      <c r="AC1335">
        <v>80</v>
      </c>
      <c r="AD1335">
        <v>3</v>
      </c>
      <c r="AE1335" s="5">
        <v>14</v>
      </c>
      <c r="AF1335" t="str">
        <f t="shared" si="142"/>
        <v>6-15</v>
      </c>
      <c r="AG1335">
        <v>2</v>
      </c>
      <c r="AH1335">
        <v>3</v>
      </c>
      <c r="AI1335" s="5">
        <v>8</v>
      </c>
      <c r="AJ1335">
        <v>7</v>
      </c>
      <c r="AK1335">
        <v>0</v>
      </c>
      <c r="AL1335">
        <v>7</v>
      </c>
      <c r="AM1335" t="str">
        <f t="shared" si="143"/>
        <v>Ok</v>
      </c>
      <c r="AN1335" s="21">
        <f t="shared" si="144"/>
        <v>28.260869565217391</v>
      </c>
      <c r="AO1335" t="str">
        <f t="shared" ca="1" si="145"/>
        <v>No</v>
      </c>
      <c r="AP1335" t="str">
        <f t="shared" si="146"/>
        <v>Low Risk</v>
      </c>
    </row>
    <row r="1336" spans="1:42" x14ac:dyDescent="0.3">
      <c r="A1336" s="5">
        <v>27</v>
      </c>
      <c r="B1336" s="5" t="s">
        <v>43</v>
      </c>
      <c r="C1336" s="5" t="str">
        <f t="shared" si="140"/>
        <v>No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 s="5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 s="5">
        <v>4774</v>
      </c>
      <c r="U1336">
        <v>23844</v>
      </c>
      <c r="V1336">
        <v>0</v>
      </c>
      <c r="W1336" t="s">
        <v>42</v>
      </c>
      <c r="X1336" t="s">
        <v>43</v>
      </c>
      <c r="Y1336" t="str">
        <f t="shared" si="141"/>
        <v>No</v>
      </c>
      <c r="Z1336">
        <v>19</v>
      </c>
      <c r="AA1336">
        <v>3</v>
      </c>
      <c r="AB1336">
        <v>4</v>
      </c>
      <c r="AC1336">
        <v>80</v>
      </c>
      <c r="AD1336">
        <v>1</v>
      </c>
      <c r="AE1336" s="5">
        <v>8</v>
      </c>
      <c r="AF1336" t="str">
        <f t="shared" si="142"/>
        <v>6-15</v>
      </c>
      <c r="AG1336">
        <v>2</v>
      </c>
      <c r="AH1336">
        <v>2</v>
      </c>
      <c r="AI1336" s="5">
        <v>7</v>
      </c>
      <c r="AJ1336">
        <v>6</v>
      </c>
      <c r="AK1336">
        <v>7</v>
      </c>
      <c r="AL1336">
        <v>3</v>
      </c>
      <c r="AM1336" t="str">
        <f t="shared" si="143"/>
        <v>Below Avg</v>
      </c>
      <c r="AN1336" s="21">
        <f t="shared" si="144"/>
        <v>27.737226277372262</v>
      </c>
      <c r="AO1336" t="str">
        <f t="shared" ca="1" si="145"/>
        <v>No</v>
      </c>
      <c r="AP1336" t="str">
        <f t="shared" si="146"/>
        <v>Low Risk</v>
      </c>
    </row>
    <row r="1337" spans="1:42" x14ac:dyDescent="0.3">
      <c r="A1337" s="5">
        <v>39</v>
      </c>
      <c r="B1337" s="5" t="s">
        <v>43</v>
      </c>
      <c r="C1337" s="5" t="str">
        <f t="shared" si="140"/>
        <v>No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 s="5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 s="5">
        <v>3902</v>
      </c>
      <c r="U1337">
        <v>5141</v>
      </c>
      <c r="V1337">
        <v>8</v>
      </c>
      <c r="W1337" t="s">
        <v>42</v>
      </c>
      <c r="X1337" t="s">
        <v>43</v>
      </c>
      <c r="Y1337" t="str">
        <f t="shared" si="141"/>
        <v>No</v>
      </c>
      <c r="Z1337">
        <v>14</v>
      </c>
      <c r="AA1337">
        <v>3</v>
      </c>
      <c r="AB1337">
        <v>2</v>
      </c>
      <c r="AC1337">
        <v>80</v>
      </c>
      <c r="AD1337">
        <v>3</v>
      </c>
      <c r="AE1337" s="5">
        <v>7</v>
      </c>
      <c r="AF1337" t="str">
        <f t="shared" si="142"/>
        <v>6-15</v>
      </c>
      <c r="AG1337">
        <v>2</v>
      </c>
      <c r="AH1337">
        <v>3</v>
      </c>
      <c r="AI1337" s="5">
        <v>2</v>
      </c>
      <c r="AJ1337">
        <v>2</v>
      </c>
      <c r="AK1337">
        <v>2</v>
      </c>
      <c r="AL1337">
        <v>2</v>
      </c>
      <c r="AM1337" t="str">
        <f t="shared" si="143"/>
        <v>Below Avg</v>
      </c>
      <c r="AN1337" s="21">
        <f t="shared" si="144"/>
        <v>27.941176470588236</v>
      </c>
      <c r="AO1337" t="str">
        <f t="shared" ca="1" si="145"/>
        <v>No</v>
      </c>
      <c r="AP1337" t="str">
        <f t="shared" si="146"/>
        <v>Low Risk</v>
      </c>
    </row>
    <row r="1338" spans="1:42" x14ac:dyDescent="0.3">
      <c r="A1338" s="5">
        <v>55</v>
      </c>
      <c r="B1338" s="5" t="s">
        <v>43</v>
      </c>
      <c r="C1338" s="5" t="str">
        <f t="shared" si="140"/>
        <v>No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 s="5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 s="5">
        <v>2662</v>
      </c>
      <c r="U1338">
        <v>7975</v>
      </c>
      <c r="V1338">
        <v>8</v>
      </c>
      <c r="W1338" t="s">
        <v>42</v>
      </c>
      <c r="X1338" t="s">
        <v>43</v>
      </c>
      <c r="Y1338" t="str">
        <f t="shared" si="141"/>
        <v>No</v>
      </c>
      <c r="Z1338">
        <v>20</v>
      </c>
      <c r="AA1338">
        <v>4</v>
      </c>
      <c r="AB1338">
        <v>2</v>
      </c>
      <c r="AC1338">
        <v>80</v>
      </c>
      <c r="AD1338">
        <v>1</v>
      </c>
      <c r="AE1338" s="5">
        <v>19</v>
      </c>
      <c r="AF1338" t="str">
        <f t="shared" si="142"/>
        <v>&gt;15</v>
      </c>
      <c r="AG1338">
        <v>2</v>
      </c>
      <c r="AH1338">
        <v>4</v>
      </c>
      <c r="AI1338" s="5">
        <v>5</v>
      </c>
      <c r="AJ1338">
        <v>2</v>
      </c>
      <c r="AK1338">
        <v>0</v>
      </c>
      <c r="AL1338">
        <v>4</v>
      </c>
      <c r="AM1338" t="str">
        <f t="shared" si="143"/>
        <v>Below Avg</v>
      </c>
      <c r="AN1338" s="21">
        <f t="shared" si="144"/>
        <v>28.148148148148149</v>
      </c>
      <c r="AO1338" t="str">
        <f t="shared" ca="1" si="145"/>
        <v>No</v>
      </c>
      <c r="AP1338" t="str">
        <f t="shared" si="146"/>
        <v>Low Risk</v>
      </c>
    </row>
    <row r="1339" spans="1:42" x14ac:dyDescent="0.3">
      <c r="A1339" s="5">
        <v>28</v>
      </c>
      <c r="B1339" s="5" t="s">
        <v>43</v>
      </c>
      <c r="C1339" s="5" t="str">
        <f t="shared" si="140"/>
        <v>No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 s="5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 s="5">
        <v>2856</v>
      </c>
      <c r="U1339">
        <v>3692</v>
      </c>
      <c r="V1339">
        <v>1</v>
      </c>
      <c r="W1339" t="s">
        <v>42</v>
      </c>
      <c r="X1339" t="s">
        <v>43</v>
      </c>
      <c r="Y1339" t="str">
        <f t="shared" si="141"/>
        <v>No</v>
      </c>
      <c r="Z1339">
        <v>19</v>
      </c>
      <c r="AA1339">
        <v>3</v>
      </c>
      <c r="AB1339">
        <v>4</v>
      </c>
      <c r="AC1339">
        <v>80</v>
      </c>
      <c r="AD1339">
        <v>1</v>
      </c>
      <c r="AE1339" s="5">
        <v>1</v>
      </c>
      <c r="AF1339" t="str">
        <f t="shared" si="142"/>
        <v>0-5</v>
      </c>
      <c r="AG1339">
        <v>3</v>
      </c>
      <c r="AH1339">
        <v>3</v>
      </c>
      <c r="AI1339" s="5">
        <v>1</v>
      </c>
      <c r="AJ1339">
        <v>0</v>
      </c>
      <c r="AK1339">
        <v>0</v>
      </c>
      <c r="AL1339">
        <v>0</v>
      </c>
      <c r="AM1339" t="str">
        <f t="shared" si="143"/>
        <v>Below Avg</v>
      </c>
      <c r="AN1339" s="21">
        <f t="shared" si="144"/>
        <v>28.35820895522388</v>
      </c>
      <c r="AO1339" t="str">
        <f t="shared" ca="1" si="145"/>
        <v>No</v>
      </c>
      <c r="AP1339" t="str">
        <f t="shared" si="146"/>
        <v>Low Risk</v>
      </c>
    </row>
    <row r="1340" spans="1:42" x14ac:dyDescent="0.3">
      <c r="A1340" s="5">
        <v>30</v>
      </c>
      <c r="B1340" s="5" t="s">
        <v>35</v>
      </c>
      <c r="C1340" s="5" t="str">
        <f t="shared" si="140"/>
        <v>Yes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 s="5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 s="5">
        <v>1081</v>
      </c>
      <c r="U1340">
        <v>16019</v>
      </c>
      <c r="V1340">
        <v>1</v>
      </c>
      <c r="W1340" t="s">
        <v>42</v>
      </c>
      <c r="X1340" t="s">
        <v>43</v>
      </c>
      <c r="Y1340" t="str">
        <f t="shared" si="141"/>
        <v>No</v>
      </c>
      <c r="Z1340">
        <v>13</v>
      </c>
      <c r="AA1340">
        <v>3</v>
      </c>
      <c r="AB1340">
        <v>3</v>
      </c>
      <c r="AC1340">
        <v>80</v>
      </c>
      <c r="AD1340">
        <v>0</v>
      </c>
      <c r="AE1340" s="5">
        <v>1</v>
      </c>
      <c r="AF1340" t="str">
        <f t="shared" si="142"/>
        <v>0-5</v>
      </c>
      <c r="AG1340">
        <v>3</v>
      </c>
      <c r="AH1340">
        <v>2</v>
      </c>
      <c r="AI1340" s="5">
        <v>1</v>
      </c>
      <c r="AJ1340">
        <v>0</v>
      </c>
      <c r="AK1340">
        <v>0</v>
      </c>
      <c r="AL1340">
        <v>0</v>
      </c>
      <c r="AM1340" t="str">
        <f t="shared" si="143"/>
        <v>Below Avg</v>
      </c>
      <c r="AN1340" s="21">
        <f t="shared" si="144"/>
        <v>28.571428571428569</v>
      </c>
      <c r="AO1340" t="str">
        <f t="shared" ca="1" si="145"/>
        <v>No</v>
      </c>
      <c r="AP1340" t="str">
        <f t="shared" si="146"/>
        <v>High Risk</v>
      </c>
    </row>
    <row r="1341" spans="1:42" x14ac:dyDescent="0.3">
      <c r="A1341" s="5">
        <v>22</v>
      </c>
      <c r="B1341" s="5" t="s">
        <v>35</v>
      </c>
      <c r="C1341" s="5" t="str">
        <f t="shared" si="140"/>
        <v>Yes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 s="5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 s="5">
        <v>2472</v>
      </c>
      <c r="U1341">
        <v>26092</v>
      </c>
      <c r="V1341">
        <v>1</v>
      </c>
      <c r="W1341" t="s">
        <v>42</v>
      </c>
      <c r="X1341" t="s">
        <v>35</v>
      </c>
      <c r="Y1341" t="str">
        <f t="shared" si="141"/>
        <v>Yes</v>
      </c>
      <c r="Z1341">
        <v>23</v>
      </c>
      <c r="AA1341">
        <v>4</v>
      </c>
      <c r="AB1341">
        <v>1</v>
      </c>
      <c r="AC1341">
        <v>80</v>
      </c>
      <c r="AD1341">
        <v>0</v>
      </c>
      <c r="AE1341" s="5">
        <v>1</v>
      </c>
      <c r="AF1341" t="str">
        <f t="shared" si="142"/>
        <v>0-5</v>
      </c>
      <c r="AG1341">
        <v>2</v>
      </c>
      <c r="AH1341">
        <v>3</v>
      </c>
      <c r="AI1341" s="5">
        <v>1</v>
      </c>
      <c r="AJ1341">
        <v>0</v>
      </c>
      <c r="AK1341">
        <v>0</v>
      </c>
      <c r="AL1341">
        <v>0</v>
      </c>
      <c r="AM1341" t="str">
        <f t="shared" si="143"/>
        <v>Below Avg</v>
      </c>
      <c r="AN1341" s="21">
        <f t="shared" si="144"/>
        <v>28.787878787878789</v>
      </c>
      <c r="AO1341" t="str">
        <f t="shared" ca="1" si="145"/>
        <v>No</v>
      </c>
      <c r="AP1341" t="str">
        <f t="shared" si="146"/>
        <v>High Risk</v>
      </c>
    </row>
    <row r="1342" spans="1:42" x14ac:dyDescent="0.3">
      <c r="A1342" s="5">
        <v>36</v>
      </c>
      <c r="B1342" s="5" t="s">
        <v>43</v>
      </c>
      <c r="C1342" s="5" t="str">
        <f t="shared" si="140"/>
        <v>No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 s="5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 s="5">
        <v>5673</v>
      </c>
      <c r="U1342">
        <v>6060</v>
      </c>
      <c r="V1342">
        <v>1</v>
      </c>
      <c r="W1342" t="s">
        <v>42</v>
      </c>
      <c r="X1342" t="s">
        <v>35</v>
      </c>
      <c r="Y1342" t="str">
        <f t="shared" si="141"/>
        <v>Yes</v>
      </c>
      <c r="Z1342">
        <v>13</v>
      </c>
      <c r="AA1342">
        <v>3</v>
      </c>
      <c r="AB1342">
        <v>1</v>
      </c>
      <c r="AC1342">
        <v>80</v>
      </c>
      <c r="AD1342">
        <v>1</v>
      </c>
      <c r="AE1342" s="5">
        <v>10</v>
      </c>
      <c r="AF1342" t="str">
        <f t="shared" si="142"/>
        <v>6-15</v>
      </c>
      <c r="AG1342">
        <v>4</v>
      </c>
      <c r="AH1342">
        <v>3</v>
      </c>
      <c r="AI1342" s="5">
        <v>10</v>
      </c>
      <c r="AJ1342">
        <v>9</v>
      </c>
      <c r="AK1342">
        <v>1</v>
      </c>
      <c r="AL1342">
        <v>7</v>
      </c>
      <c r="AM1342" t="str">
        <f t="shared" si="143"/>
        <v>Below Avg</v>
      </c>
      <c r="AN1342" s="21">
        <f t="shared" si="144"/>
        <v>29.007633587786259</v>
      </c>
      <c r="AO1342" t="str">
        <f t="shared" ca="1" si="145"/>
        <v>No</v>
      </c>
      <c r="AP1342" t="str">
        <f t="shared" si="146"/>
        <v>Low Risk</v>
      </c>
    </row>
    <row r="1343" spans="1:42" x14ac:dyDescent="0.3">
      <c r="A1343" s="5">
        <v>31</v>
      </c>
      <c r="B1343" s="5" t="s">
        <v>43</v>
      </c>
      <c r="C1343" s="5" t="str">
        <f t="shared" si="140"/>
        <v>No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 s="5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 s="5">
        <v>4197</v>
      </c>
      <c r="U1343">
        <v>18624</v>
      </c>
      <c r="V1343">
        <v>1</v>
      </c>
      <c r="W1343" t="s">
        <v>42</v>
      </c>
      <c r="X1343" t="s">
        <v>43</v>
      </c>
      <c r="Y1343" t="str">
        <f t="shared" si="141"/>
        <v>No</v>
      </c>
      <c r="Z1343">
        <v>11</v>
      </c>
      <c r="AA1343">
        <v>3</v>
      </c>
      <c r="AB1343">
        <v>1</v>
      </c>
      <c r="AC1343">
        <v>80</v>
      </c>
      <c r="AD1343">
        <v>1</v>
      </c>
      <c r="AE1343" s="5">
        <v>10</v>
      </c>
      <c r="AF1343" t="str">
        <f t="shared" si="142"/>
        <v>6-15</v>
      </c>
      <c r="AG1343">
        <v>2</v>
      </c>
      <c r="AH1343">
        <v>3</v>
      </c>
      <c r="AI1343" s="5">
        <v>10</v>
      </c>
      <c r="AJ1343">
        <v>8</v>
      </c>
      <c r="AK1343">
        <v>0</v>
      </c>
      <c r="AL1343">
        <v>2</v>
      </c>
      <c r="AM1343" t="str">
        <f t="shared" si="143"/>
        <v>Below Avg</v>
      </c>
      <c r="AN1343" s="21">
        <f t="shared" si="144"/>
        <v>28.46153846153846</v>
      </c>
      <c r="AO1343" t="str">
        <f t="shared" ca="1" si="145"/>
        <v>No</v>
      </c>
      <c r="AP1343" t="str">
        <f t="shared" si="146"/>
        <v>Low Risk</v>
      </c>
    </row>
    <row r="1344" spans="1:42" x14ac:dyDescent="0.3">
      <c r="A1344" s="5">
        <v>34</v>
      </c>
      <c r="B1344" s="5" t="s">
        <v>43</v>
      </c>
      <c r="C1344" s="5" t="str">
        <f t="shared" si="140"/>
        <v>No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 s="5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 s="5">
        <v>9713</v>
      </c>
      <c r="U1344">
        <v>24444</v>
      </c>
      <c r="V1344">
        <v>2</v>
      </c>
      <c r="W1344" t="s">
        <v>42</v>
      </c>
      <c r="X1344" t="s">
        <v>35</v>
      </c>
      <c r="Y1344" t="str">
        <f t="shared" si="141"/>
        <v>Yes</v>
      </c>
      <c r="Z1344">
        <v>13</v>
      </c>
      <c r="AA1344">
        <v>3</v>
      </c>
      <c r="AB1344">
        <v>4</v>
      </c>
      <c r="AC1344">
        <v>80</v>
      </c>
      <c r="AD1344">
        <v>3</v>
      </c>
      <c r="AE1344" s="5">
        <v>9</v>
      </c>
      <c r="AF1344" t="str">
        <f t="shared" si="142"/>
        <v>6-15</v>
      </c>
      <c r="AG1344">
        <v>3</v>
      </c>
      <c r="AH1344">
        <v>3</v>
      </c>
      <c r="AI1344" s="5">
        <v>5</v>
      </c>
      <c r="AJ1344">
        <v>3</v>
      </c>
      <c r="AK1344">
        <v>1</v>
      </c>
      <c r="AL1344">
        <v>0</v>
      </c>
      <c r="AM1344" t="str">
        <f t="shared" si="143"/>
        <v>Ok</v>
      </c>
      <c r="AN1344" s="21">
        <f t="shared" si="144"/>
        <v>27.906976744186046</v>
      </c>
      <c r="AO1344" t="str">
        <f t="shared" ca="1" si="145"/>
        <v>No</v>
      </c>
      <c r="AP1344" t="str">
        <f t="shared" si="146"/>
        <v>Low Risk</v>
      </c>
    </row>
    <row r="1345" spans="1:42" x14ac:dyDescent="0.3">
      <c r="A1345" s="5">
        <v>29</v>
      </c>
      <c r="B1345" s="5" t="s">
        <v>43</v>
      </c>
      <c r="C1345" s="5" t="str">
        <f t="shared" si="140"/>
        <v>No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 s="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 s="5">
        <v>2062</v>
      </c>
      <c r="U1345">
        <v>19384</v>
      </c>
      <c r="V1345">
        <v>3</v>
      </c>
      <c r="W1345" t="s">
        <v>42</v>
      </c>
      <c r="X1345" t="s">
        <v>43</v>
      </c>
      <c r="Y1345" t="str">
        <f t="shared" si="141"/>
        <v>No</v>
      </c>
      <c r="Z1345">
        <v>14</v>
      </c>
      <c r="AA1345">
        <v>3</v>
      </c>
      <c r="AB1345">
        <v>2</v>
      </c>
      <c r="AC1345">
        <v>80</v>
      </c>
      <c r="AD1345">
        <v>0</v>
      </c>
      <c r="AE1345" s="5">
        <v>11</v>
      </c>
      <c r="AF1345" t="str">
        <f t="shared" si="142"/>
        <v>6-15</v>
      </c>
      <c r="AG1345">
        <v>2</v>
      </c>
      <c r="AH1345">
        <v>3</v>
      </c>
      <c r="AI1345" s="5">
        <v>3</v>
      </c>
      <c r="AJ1345">
        <v>2</v>
      </c>
      <c r="AK1345">
        <v>1</v>
      </c>
      <c r="AL1345">
        <v>2</v>
      </c>
      <c r="AM1345" t="str">
        <f t="shared" si="143"/>
        <v>Below Avg</v>
      </c>
      <c r="AN1345" s="21">
        <f t="shared" si="144"/>
        <v>28.125</v>
      </c>
      <c r="AO1345" t="str">
        <f t="shared" ca="1" si="145"/>
        <v>No</v>
      </c>
      <c r="AP1345" t="str">
        <f t="shared" si="146"/>
        <v>Low Risk</v>
      </c>
    </row>
    <row r="1346" spans="1:42" x14ac:dyDescent="0.3">
      <c r="A1346" s="5">
        <v>37</v>
      </c>
      <c r="B1346" s="5" t="s">
        <v>43</v>
      </c>
      <c r="C1346" s="5" t="str">
        <f t="shared" si="140"/>
        <v>No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 s="5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 s="5">
        <v>4284</v>
      </c>
      <c r="U1346">
        <v>13588</v>
      </c>
      <c r="V1346">
        <v>5</v>
      </c>
      <c r="W1346" t="s">
        <v>42</v>
      </c>
      <c r="X1346" t="s">
        <v>35</v>
      </c>
      <c r="Y1346" t="str">
        <f t="shared" si="141"/>
        <v>Yes</v>
      </c>
      <c r="Z1346">
        <v>22</v>
      </c>
      <c r="AA1346">
        <v>4</v>
      </c>
      <c r="AB1346">
        <v>3</v>
      </c>
      <c r="AC1346">
        <v>80</v>
      </c>
      <c r="AD1346">
        <v>1</v>
      </c>
      <c r="AE1346" s="5">
        <v>16</v>
      </c>
      <c r="AF1346" t="str">
        <f t="shared" si="142"/>
        <v>&gt;15</v>
      </c>
      <c r="AG1346">
        <v>2</v>
      </c>
      <c r="AH1346">
        <v>3</v>
      </c>
      <c r="AI1346" s="5">
        <v>5</v>
      </c>
      <c r="AJ1346">
        <v>3</v>
      </c>
      <c r="AK1346">
        <v>0</v>
      </c>
      <c r="AL1346">
        <v>4</v>
      </c>
      <c r="AM1346" t="str">
        <f t="shared" si="143"/>
        <v>Below Avg</v>
      </c>
      <c r="AN1346" s="21">
        <f t="shared" si="144"/>
        <v>27.559055118110237</v>
      </c>
      <c r="AO1346" t="str">
        <f t="shared" ca="1" si="145"/>
        <v>No</v>
      </c>
      <c r="AP1346" t="str">
        <f t="shared" si="146"/>
        <v>Low Risk</v>
      </c>
    </row>
    <row r="1347" spans="1:42" x14ac:dyDescent="0.3">
      <c r="A1347" s="5">
        <v>35</v>
      </c>
      <c r="B1347" s="5" t="s">
        <v>43</v>
      </c>
      <c r="C1347" s="5" t="str">
        <f t="shared" ref="C1347:C1410" si="147">IF(LOWER(B1347)="yes","Yes","No")</f>
        <v>No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 s="5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 s="5">
        <v>4788</v>
      </c>
      <c r="U1347">
        <v>25388</v>
      </c>
      <c r="V1347">
        <v>0</v>
      </c>
      <c r="W1347" t="s">
        <v>42</v>
      </c>
      <c r="X1347" t="s">
        <v>35</v>
      </c>
      <c r="Y1347" t="str">
        <f t="shared" ref="Y1347:Y1410" si="148">IF(LOWER(X1347)="yes","Yes","No")</f>
        <v>Yes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 s="5">
        <v>4</v>
      </c>
      <c r="AF1347" t="str">
        <f t="shared" ref="AF1347:AF1410" si="149">IF(AE1347&lt;=5,"0-5",IF(AE1347&lt;=15,"6-15","&gt;15"))</f>
        <v>0-5</v>
      </c>
      <c r="AG1347">
        <v>2</v>
      </c>
      <c r="AH1347">
        <v>3</v>
      </c>
      <c r="AI1347" s="5">
        <v>3</v>
      </c>
      <c r="AJ1347">
        <v>2</v>
      </c>
      <c r="AK1347">
        <v>0</v>
      </c>
      <c r="AL1347">
        <v>2</v>
      </c>
      <c r="AM1347" t="str">
        <f t="shared" ref="AM1347:AM1410" si="150">IF(T1347&lt;AVERAGEIF($F1346:$F2816,F1347,$T1346:$T2816),"Below Avg","Ok")</f>
        <v>Below Avg</v>
      </c>
      <c r="AN1347" s="21">
        <f t="shared" ref="AN1347:AN1410" si="151">COUNTIF(X1346:X2816,"Yes")/COUNTA(X1346:X2816)*100</f>
        <v>27.777777777777779</v>
      </c>
      <c r="AO1347" t="str">
        <f t="shared" ref="AO1347:AO1410" ca="1" si="152">IF(AND(AA1347&gt;=4,Z1347&lt;AVERAGEIF($F1346:$F2816,F1347,$Z1347:$Z2816)),"Yes","No")</f>
        <v>No</v>
      </c>
      <c r="AP1347" t="str">
        <f t="shared" ref="AP1347:AP1410" si="153">IF(AND(AI1347&lt;2,C1347="Yes"),"High Risk","Low Risk")</f>
        <v>Low Risk</v>
      </c>
    </row>
    <row r="1348" spans="1:42" x14ac:dyDescent="0.3">
      <c r="A1348" s="5">
        <v>45</v>
      </c>
      <c r="B1348" s="5" t="s">
        <v>43</v>
      </c>
      <c r="C1348" s="5" t="str">
        <f t="shared" si="147"/>
        <v>No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 s="5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 s="5">
        <v>5906</v>
      </c>
      <c r="U1348">
        <v>23888</v>
      </c>
      <c r="V1348">
        <v>0</v>
      </c>
      <c r="W1348" t="s">
        <v>42</v>
      </c>
      <c r="X1348" t="s">
        <v>43</v>
      </c>
      <c r="Y1348" t="str">
        <f t="shared" si="148"/>
        <v>No</v>
      </c>
      <c r="Z1348">
        <v>13</v>
      </c>
      <c r="AA1348">
        <v>3</v>
      </c>
      <c r="AB1348">
        <v>4</v>
      </c>
      <c r="AC1348">
        <v>80</v>
      </c>
      <c r="AD1348">
        <v>2</v>
      </c>
      <c r="AE1348" s="5">
        <v>10</v>
      </c>
      <c r="AF1348" t="str">
        <f t="shared" si="149"/>
        <v>6-15</v>
      </c>
      <c r="AG1348">
        <v>2</v>
      </c>
      <c r="AH1348">
        <v>2</v>
      </c>
      <c r="AI1348" s="5">
        <v>9</v>
      </c>
      <c r="AJ1348">
        <v>8</v>
      </c>
      <c r="AK1348">
        <v>3</v>
      </c>
      <c r="AL1348">
        <v>8</v>
      </c>
      <c r="AM1348" t="str">
        <f t="shared" si="150"/>
        <v>Ok</v>
      </c>
      <c r="AN1348" s="21">
        <f t="shared" si="151"/>
        <v>27.200000000000003</v>
      </c>
      <c r="AO1348" t="str">
        <f t="shared" ca="1" si="152"/>
        <v>No</v>
      </c>
      <c r="AP1348" t="str">
        <f t="shared" si="153"/>
        <v>Low Risk</v>
      </c>
    </row>
    <row r="1349" spans="1:42" x14ac:dyDescent="0.3">
      <c r="A1349" s="5">
        <v>36</v>
      </c>
      <c r="B1349" s="5" t="s">
        <v>43</v>
      </c>
      <c r="C1349" s="5" t="str">
        <f t="shared" si="147"/>
        <v>No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 s="5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 s="5">
        <v>3886</v>
      </c>
      <c r="U1349">
        <v>4223</v>
      </c>
      <c r="V1349">
        <v>1</v>
      </c>
      <c r="W1349" t="s">
        <v>42</v>
      </c>
      <c r="X1349" t="s">
        <v>43</v>
      </c>
      <c r="Y1349" t="str">
        <f t="shared" si="148"/>
        <v>No</v>
      </c>
      <c r="Z1349">
        <v>21</v>
      </c>
      <c r="AA1349">
        <v>4</v>
      </c>
      <c r="AB1349">
        <v>4</v>
      </c>
      <c r="AC1349">
        <v>80</v>
      </c>
      <c r="AD1349">
        <v>0</v>
      </c>
      <c r="AE1349" s="5">
        <v>10</v>
      </c>
      <c r="AF1349" t="str">
        <f t="shared" si="149"/>
        <v>6-15</v>
      </c>
      <c r="AG1349">
        <v>2</v>
      </c>
      <c r="AH1349">
        <v>2</v>
      </c>
      <c r="AI1349" s="5">
        <v>10</v>
      </c>
      <c r="AJ1349">
        <v>1</v>
      </c>
      <c r="AK1349">
        <v>0</v>
      </c>
      <c r="AL1349">
        <v>8</v>
      </c>
      <c r="AM1349" t="str">
        <f t="shared" si="150"/>
        <v>Below Avg</v>
      </c>
      <c r="AN1349" s="21">
        <f t="shared" si="151"/>
        <v>26.612903225806448</v>
      </c>
      <c r="AO1349" t="str">
        <f t="shared" ca="1" si="152"/>
        <v>No</v>
      </c>
      <c r="AP1349" t="str">
        <f t="shared" si="153"/>
        <v>Low Risk</v>
      </c>
    </row>
    <row r="1350" spans="1:42" x14ac:dyDescent="0.3">
      <c r="A1350" s="5">
        <v>40</v>
      </c>
      <c r="B1350" s="5" t="s">
        <v>43</v>
      </c>
      <c r="C1350" s="5" t="str">
        <f t="shared" si="147"/>
        <v>No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 s="5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 s="5">
        <v>16823</v>
      </c>
      <c r="U1350">
        <v>18991</v>
      </c>
      <c r="V1350">
        <v>2</v>
      </c>
      <c r="W1350" t="s">
        <v>42</v>
      </c>
      <c r="X1350" t="s">
        <v>43</v>
      </c>
      <c r="Y1350" t="str">
        <f t="shared" si="148"/>
        <v>No</v>
      </c>
      <c r="Z1350">
        <v>11</v>
      </c>
      <c r="AA1350">
        <v>3</v>
      </c>
      <c r="AB1350">
        <v>1</v>
      </c>
      <c r="AC1350">
        <v>80</v>
      </c>
      <c r="AD1350">
        <v>1</v>
      </c>
      <c r="AE1350" s="5">
        <v>22</v>
      </c>
      <c r="AF1350" t="str">
        <f t="shared" si="149"/>
        <v>&gt;15</v>
      </c>
      <c r="AG1350">
        <v>3</v>
      </c>
      <c r="AH1350">
        <v>3</v>
      </c>
      <c r="AI1350" s="5">
        <v>19</v>
      </c>
      <c r="AJ1350">
        <v>7</v>
      </c>
      <c r="AK1350">
        <v>11</v>
      </c>
      <c r="AL1350">
        <v>16</v>
      </c>
      <c r="AM1350" t="str">
        <f t="shared" si="150"/>
        <v>Ok</v>
      </c>
      <c r="AN1350" s="21">
        <f t="shared" si="151"/>
        <v>26.829268292682929</v>
      </c>
      <c r="AO1350" t="str">
        <f t="shared" ca="1" si="152"/>
        <v>No</v>
      </c>
      <c r="AP1350" t="str">
        <f t="shared" si="153"/>
        <v>Low Risk</v>
      </c>
    </row>
    <row r="1351" spans="1:42" x14ac:dyDescent="0.3">
      <c r="A1351" s="5">
        <v>26</v>
      </c>
      <c r="B1351" s="5" t="s">
        <v>43</v>
      </c>
      <c r="C1351" s="5" t="str">
        <f t="shared" si="147"/>
        <v>No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 s="5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 s="5">
        <v>2933</v>
      </c>
      <c r="U1351">
        <v>14908</v>
      </c>
      <c r="V1351">
        <v>1</v>
      </c>
      <c r="W1351" t="s">
        <v>42</v>
      </c>
      <c r="X1351" t="s">
        <v>35</v>
      </c>
      <c r="Y1351" t="str">
        <f t="shared" si="148"/>
        <v>Yes</v>
      </c>
      <c r="Z1351">
        <v>13</v>
      </c>
      <c r="AA1351">
        <v>3</v>
      </c>
      <c r="AB1351">
        <v>3</v>
      </c>
      <c r="AC1351">
        <v>80</v>
      </c>
      <c r="AD1351">
        <v>1</v>
      </c>
      <c r="AE1351" s="5">
        <v>1</v>
      </c>
      <c r="AF1351" t="str">
        <f t="shared" si="149"/>
        <v>0-5</v>
      </c>
      <c r="AG1351">
        <v>3</v>
      </c>
      <c r="AH1351">
        <v>2</v>
      </c>
      <c r="AI1351" s="5">
        <v>1</v>
      </c>
      <c r="AJ1351">
        <v>0</v>
      </c>
      <c r="AK1351">
        <v>1</v>
      </c>
      <c r="AL1351">
        <v>0</v>
      </c>
      <c r="AM1351" t="str">
        <f t="shared" si="150"/>
        <v>Below Avg</v>
      </c>
      <c r="AN1351" s="21">
        <f t="shared" si="151"/>
        <v>27.049180327868854</v>
      </c>
      <c r="AO1351" t="str">
        <f t="shared" ca="1" si="152"/>
        <v>No</v>
      </c>
      <c r="AP1351" t="str">
        <f t="shared" si="153"/>
        <v>Low Risk</v>
      </c>
    </row>
    <row r="1352" spans="1:42" x14ac:dyDescent="0.3">
      <c r="A1352" s="5">
        <v>27</v>
      </c>
      <c r="B1352" s="5" t="s">
        <v>43</v>
      </c>
      <c r="C1352" s="5" t="str">
        <f t="shared" si="147"/>
        <v>No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 s="5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 s="5">
        <v>6500</v>
      </c>
      <c r="U1352">
        <v>26997</v>
      </c>
      <c r="V1352">
        <v>0</v>
      </c>
      <c r="W1352" t="s">
        <v>42</v>
      </c>
      <c r="X1352" t="s">
        <v>43</v>
      </c>
      <c r="Y1352" t="str">
        <f t="shared" si="148"/>
        <v>No</v>
      </c>
      <c r="Z1352">
        <v>14</v>
      </c>
      <c r="AA1352">
        <v>3</v>
      </c>
      <c r="AB1352">
        <v>2</v>
      </c>
      <c r="AC1352">
        <v>80</v>
      </c>
      <c r="AD1352">
        <v>0</v>
      </c>
      <c r="AE1352" s="5">
        <v>9</v>
      </c>
      <c r="AF1352" t="str">
        <f t="shared" si="149"/>
        <v>6-15</v>
      </c>
      <c r="AG1352">
        <v>5</v>
      </c>
      <c r="AH1352">
        <v>2</v>
      </c>
      <c r="AI1352" s="5">
        <v>8</v>
      </c>
      <c r="AJ1352">
        <v>7</v>
      </c>
      <c r="AK1352">
        <v>0</v>
      </c>
      <c r="AL1352">
        <v>7</v>
      </c>
      <c r="AM1352" t="str">
        <f t="shared" si="150"/>
        <v>Ok</v>
      </c>
      <c r="AN1352" s="21">
        <f t="shared" si="151"/>
        <v>27.27272727272727</v>
      </c>
      <c r="AO1352" t="str">
        <f t="shared" ca="1" si="152"/>
        <v>No</v>
      </c>
      <c r="AP1352" t="str">
        <f t="shared" si="153"/>
        <v>Low Risk</v>
      </c>
    </row>
    <row r="1353" spans="1:42" x14ac:dyDescent="0.3">
      <c r="A1353" s="5">
        <v>48</v>
      </c>
      <c r="B1353" s="5" t="s">
        <v>43</v>
      </c>
      <c r="C1353" s="5" t="str">
        <f t="shared" si="147"/>
        <v>No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 s="5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 s="5">
        <v>17174</v>
      </c>
      <c r="U1353">
        <v>2437</v>
      </c>
      <c r="V1353">
        <v>3</v>
      </c>
      <c r="W1353" t="s">
        <v>42</v>
      </c>
      <c r="X1353" t="s">
        <v>43</v>
      </c>
      <c r="Y1353" t="str">
        <f t="shared" si="148"/>
        <v>No</v>
      </c>
      <c r="Z1353">
        <v>11</v>
      </c>
      <c r="AA1353">
        <v>3</v>
      </c>
      <c r="AB1353">
        <v>2</v>
      </c>
      <c r="AC1353">
        <v>80</v>
      </c>
      <c r="AD1353">
        <v>1</v>
      </c>
      <c r="AE1353" s="5">
        <v>24</v>
      </c>
      <c r="AF1353" t="str">
        <f t="shared" si="149"/>
        <v>&gt;15</v>
      </c>
      <c r="AG1353">
        <v>3</v>
      </c>
      <c r="AH1353">
        <v>3</v>
      </c>
      <c r="AI1353" s="5">
        <v>22</v>
      </c>
      <c r="AJ1353">
        <v>17</v>
      </c>
      <c r="AK1353">
        <v>4</v>
      </c>
      <c r="AL1353">
        <v>7</v>
      </c>
      <c r="AM1353" t="str">
        <f t="shared" si="150"/>
        <v>Ok</v>
      </c>
      <c r="AN1353" s="21">
        <f t="shared" si="151"/>
        <v>26.666666666666668</v>
      </c>
      <c r="AO1353" t="str">
        <f t="shared" ca="1" si="152"/>
        <v>No</v>
      </c>
      <c r="AP1353" t="str">
        <f t="shared" si="153"/>
        <v>Low Risk</v>
      </c>
    </row>
    <row r="1354" spans="1:42" x14ac:dyDescent="0.3">
      <c r="A1354" s="5">
        <v>44</v>
      </c>
      <c r="B1354" s="5" t="s">
        <v>43</v>
      </c>
      <c r="C1354" s="5" t="str">
        <f t="shared" si="147"/>
        <v>No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 s="5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 s="5">
        <v>5033</v>
      </c>
      <c r="U1354">
        <v>9364</v>
      </c>
      <c r="V1354">
        <v>2</v>
      </c>
      <c r="W1354" t="s">
        <v>42</v>
      </c>
      <c r="X1354" t="s">
        <v>43</v>
      </c>
      <c r="Y1354" t="str">
        <f t="shared" si="148"/>
        <v>No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 s="5">
        <v>10</v>
      </c>
      <c r="AF1354" t="str">
        <f t="shared" si="149"/>
        <v>6-15</v>
      </c>
      <c r="AG1354">
        <v>5</v>
      </c>
      <c r="AH1354">
        <v>3</v>
      </c>
      <c r="AI1354" s="5">
        <v>2</v>
      </c>
      <c r="AJ1354">
        <v>0</v>
      </c>
      <c r="AK1354">
        <v>2</v>
      </c>
      <c r="AL1354">
        <v>2</v>
      </c>
      <c r="AM1354" t="str">
        <f t="shared" si="150"/>
        <v>Below Avg</v>
      </c>
      <c r="AN1354" s="21">
        <f t="shared" si="151"/>
        <v>26.890756302521009</v>
      </c>
      <c r="AO1354" t="str">
        <f t="shared" ca="1" si="152"/>
        <v>No</v>
      </c>
      <c r="AP1354" t="str">
        <f t="shared" si="153"/>
        <v>Low Risk</v>
      </c>
    </row>
    <row r="1355" spans="1:42" x14ac:dyDescent="0.3">
      <c r="A1355" s="5">
        <v>34</v>
      </c>
      <c r="B1355" s="5" t="s">
        <v>35</v>
      </c>
      <c r="C1355" s="5" t="str">
        <f t="shared" si="147"/>
        <v>Yes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 s="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 s="5">
        <v>2307</v>
      </c>
      <c r="U1355">
        <v>14460</v>
      </c>
      <c r="V1355">
        <v>1</v>
      </c>
      <c r="W1355" t="s">
        <v>42</v>
      </c>
      <c r="X1355" t="s">
        <v>35</v>
      </c>
      <c r="Y1355" t="str">
        <f t="shared" si="148"/>
        <v>Yes</v>
      </c>
      <c r="Z1355">
        <v>23</v>
      </c>
      <c r="AA1355">
        <v>4</v>
      </c>
      <c r="AB1355">
        <v>2</v>
      </c>
      <c r="AC1355">
        <v>80</v>
      </c>
      <c r="AD1355">
        <v>1</v>
      </c>
      <c r="AE1355" s="5">
        <v>5</v>
      </c>
      <c r="AF1355" t="str">
        <f t="shared" si="149"/>
        <v>0-5</v>
      </c>
      <c r="AG1355">
        <v>2</v>
      </c>
      <c r="AH1355">
        <v>3</v>
      </c>
      <c r="AI1355" s="5">
        <v>5</v>
      </c>
      <c r="AJ1355">
        <v>2</v>
      </c>
      <c r="AK1355">
        <v>3</v>
      </c>
      <c r="AL1355">
        <v>0</v>
      </c>
      <c r="AM1355" t="str">
        <f t="shared" si="150"/>
        <v>Below Avg</v>
      </c>
      <c r="AN1355" s="21">
        <f t="shared" si="151"/>
        <v>27.118644067796609</v>
      </c>
      <c r="AO1355" t="str">
        <f t="shared" ca="1" si="152"/>
        <v>No</v>
      </c>
      <c r="AP1355" t="str">
        <f t="shared" si="153"/>
        <v>Low Risk</v>
      </c>
    </row>
    <row r="1356" spans="1:42" x14ac:dyDescent="0.3">
      <c r="A1356" s="5">
        <v>56</v>
      </c>
      <c r="B1356" s="5" t="s">
        <v>35</v>
      </c>
      <c r="C1356" s="5" t="str">
        <f t="shared" si="147"/>
        <v>Yes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 s="5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 s="5">
        <v>2587</v>
      </c>
      <c r="U1356">
        <v>10261</v>
      </c>
      <c r="V1356">
        <v>1</v>
      </c>
      <c r="W1356" t="s">
        <v>42</v>
      </c>
      <c r="X1356" t="s">
        <v>43</v>
      </c>
      <c r="Y1356" t="str">
        <f t="shared" si="148"/>
        <v>No</v>
      </c>
      <c r="Z1356">
        <v>16</v>
      </c>
      <c r="AA1356">
        <v>3</v>
      </c>
      <c r="AB1356">
        <v>4</v>
      </c>
      <c r="AC1356">
        <v>80</v>
      </c>
      <c r="AD1356">
        <v>0</v>
      </c>
      <c r="AE1356" s="5">
        <v>5</v>
      </c>
      <c r="AF1356" t="str">
        <f t="shared" si="149"/>
        <v>0-5</v>
      </c>
      <c r="AG1356">
        <v>3</v>
      </c>
      <c r="AH1356">
        <v>3</v>
      </c>
      <c r="AI1356" s="5">
        <v>4</v>
      </c>
      <c r="AJ1356">
        <v>2</v>
      </c>
      <c r="AK1356">
        <v>1</v>
      </c>
      <c r="AL1356">
        <v>0</v>
      </c>
      <c r="AM1356" t="str">
        <f t="shared" si="150"/>
        <v>Below Avg</v>
      </c>
      <c r="AN1356" s="21">
        <f t="shared" si="151"/>
        <v>27.350427350427353</v>
      </c>
      <c r="AO1356" t="str">
        <f t="shared" ca="1" si="152"/>
        <v>No</v>
      </c>
      <c r="AP1356" t="str">
        <f t="shared" si="153"/>
        <v>Low Risk</v>
      </c>
    </row>
    <row r="1357" spans="1:42" x14ac:dyDescent="0.3">
      <c r="A1357" s="5">
        <v>36</v>
      </c>
      <c r="B1357" s="5" t="s">
        <v>43</v>
      </c>
      <c r="C1357" s="5" t="str">
        <f t="shared" si="147"/>
        <v>No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 s="5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 s="5">
        <v>5507</v>
      </c>
      <c r="U1357">
        <v>16822</v>
      </c>
      <c r="V1357">
        <v>2</v>
      </c>
      <c r="W1357" t="s">
        <v>42</v>
      </c>
      <c r="X1357" t="s">
        <v>43</v>
      </c>
      <c r="Y1357" t="str">
        <f t="shared" si="148"/>
        <v>No</v>
      </c>
      <c r="Z1357">
        <v>16</v>
      </c>
      <c r="AA1357">
        <v>3</v>
      </c>
      <c r="AB1357">
        <v>3</v>
      </c>
      <c r="AC1357">
        <v>80</v>
      </c>
      <c r="AD1357">
        <v>2</v>
      </c>
      <c r="AE1357" s="5">
        <v>12</v>
      </c>
      <c r="AF1357" t="str">
        <f t="shared" si="149"/>
        <v>6-15</v>
      </c>
      <c r="AG1357">
        <v>1</v>
      </c>
      <c r="AH1357">
        <v>1</v>
      </c>
      <c r="AI1357" s="5">
        <v>4</v>
      </c>
      <c r="AJ1357">
        <v>2</v>
      </c>
      <c r="AK1357">
        <v>1</v>
      </c>
      <c r="AL1357">
        <v>3</v>
      </c>
      <c r="AM1357" t="str">
        <f t="shared" si="150"/>
        <v>Below Avg</v>
      </c>
      <c r="AN1357" s="21">
        <f t="shared" si="151"/>
        <v>26.72413793103448</v>
      </c>
      <c r="AO1357" t="str">
        <f t="shared" ca="1" si="152"/>
        <v>No</v>
      </c>
      <c r="AP1357" t="str">
        <f t="shared" si="153"/>
        <v>Low Risk</v>
      </c>
    </row>
    <row r="1358" spans="1:42" x14ac:dyDescent="0.3">
      <c r="A1358" s="5">
        <v>41</v>
      </c>
      <c r="B1358" s="5" t="s">
        <v>43</v>
      </c>
      <c r="C1358" s="5" t="str">
        <f t="shared" si="147"/>
        <v>No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 s="5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 s="5">
        <v>4393</v>
      </c>
      <c r="U1358">
        <v>26841</v>
      </c>
      <c r="V1358">
        <v>5</v>
      </c>
      <c r="W1358" t="s">
        <v>42</v>
      </c>
      <c r="X1358" t="s">
        <v>43</v>
      </c>
      <c r="Y1358" t="str">
        <f t="shared" si="148"/>
        <v>No</v>
      </c>
      <c r="Z1358">
        <v>21</v>
      </c>
      <c r="AA1358">
        <v>4</v>
      </c>
      <c r="AB1358">
        <v>3</v>
      </c>
      <c r="AC1358">
        <v>80</v>
      </c>
      <c r="AD1358">
        <v>1</v>
      </c>
      <c r="AE1358" s="5">
        <v>14</v>
      </c>
      <c r="AF1358" t="str">
        <f t="shared" si="149"/>
        <v>6-15</v>
      </c>
      <c r="AG1358">
        <v>3</v>
      </c>
      <c r="AH1358">
        <v>3</v>
      </c>
      <c r="AI1358" s="5">
        <v>5</v>
      </c>
      <c r="AJ1358">
        <v>4</v>
      </c>
      <c r="AK1358">
        <v>1</v>
      </c>
      <c r="AL1358">
        <v>4</v>
      </c>
      <c r="AM1358" t="str">
        <f t="shared" si="150"/>
        <v>Below Avg</v>
      </c>
      <c r="AN1358" s="21">
        <f t="shared" si="151"/>
        <v>26.956521739130434</v>
      </c>
      <c r="AO1358" t="str">
        <f t="shared" ca="1" si="152"/>
        <v>No</v>
      </c>
      <c r="AP1358" t="str">
        <f t="shared" si="153"/>
        <v>Low Risk</v>
      </c>
    </row>
    <row r="1359" spans="1:42" x14ac:dyDescent="0.3">
      <c r="A1359" s="5">
        <v>42</v>
      </c>
      <c r="B1359" s="5" t="s">
        <v>43</v>
      </c>
      <c r="C1359" s="5" t="str">
        <f t="shared" si="147"/>
        <v>No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 s="5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 s="5">
        <v>13348</v>
      </c>
      <c r="U1359">
        <v>14842</v>
      </c>
      <c r="V1359">
        <v>9</v>
      </c>
      <c r="W1359" t="s">
        <v>42</v>
      </c>
      <c r="X1359" t="s">
        <v>43</v>
      </c>
      <c r="Y1359" t="str">
        <f t="shared" si="148"/>
        <v>No</v>
      </c>
      <c r="Z1359">
        <v>13</v>
      </c>
      <c r="AA1359">
        <v>3</v>
      </c>
      <c r="AB1359">
        <v>2</v>
      </c>
      <c r="AC1359">
        <v>80</v>
      </c>
      <c r="AD1359">
        <v>1</v>
      </c>
      <c r="AE1359" s="5">
        <v>18</v>
      </c>
      <c r="AF1359" t="str">
        <f t="shared" si="149"/>
        <v>&gt;15</v>
      </c>
      <c r="AG1359">
        <v>3</v>
      </c>
      <c r="AH1359">
        <v>4</v>
      </c>
      <c r="AI1359" s="5">
        <v>13</v>
      </c>
      <c r="AJ1359">
        <v>7</v>
      </c>
      <c r="AK1359">
        <v>5</v>
      </c>
      <c r="AL1359">
        <v>7</v>
      </c>
      <c r="AM1359" t="str">
        <f t="shared" si="150"/>
        <v>Ok</v>
      </c>
      <c r="AN1359" s="21">
        <f t="shared" si="151"/>
        <v>27.192982456140353</v>
      </c>
      <c r="AO1359" t="str">
        <f t="shared" ca="1" si="152"/>
        <v>No</v>
      </c>
      <c r="AP1359" t="str">
        <f t="shared" si="153"/>
        <v>Low Risk</v>
      </c>
    </row>
    <row r="1360" spans="1:42" x14ac:dyDescent="0.3">
      <c r="A1360" s="5">
        <v>31</v>
      </c>
      <c r="B1360" s="5" t="s">
        <v>43</v>
      </c>
      <c r="C1360" s="5" t="str">
        <f t="shared" si="147"/>
        <v>No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 s="5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 s="5">
        <v>6583</v>
      </c>
      <c r="U1360">
        <v>20115</v>
      </c>
      <c r="V1360">
        <v>2</v>
      </c>
      <c r="W1360" t="s">
        <v>42</v>
      </c>
      <c r="X1360" t="s">
        <v>35</v>
      </c>
      <c r="Y1360" t="str">
        <f t="shared" si="148"/>
        <v>Yes</v>
      </c>
      <c r="Z1360">
        <v>11</v>
      </c>
      <c r="AA1360">
        <v>3</v>
      </c>
      <c r="AB1360">
        <v>4</v>
      </c>
      <c r="AC1360">
        <v>80</v>
      </c>
      <c r="AD1360">
        <v>1</v>
      </c>
      <c r="AE1360" s="5">
        <v>8</v>
      </c>
      <c r="AF1360" t="str">
        <f t="shared" si="149"/>
        <v>6-15</v>
      </c>
      <c r="AG1360">
        <v>2</v>
      </c>
      <c r="AH1360">
        <v>3</v>
      </c>
      <c r="AI1360" s="5">
        <v>5</v>
      </c>
      <c r="AJ1360">
        <v>2</v>
      </c>
      <c r="AK1360">
        <v>1</v>
      </c>
      <c r="AL1360">
        <v>4</v>
      </c>
      <c r="AM1360" t="str">
        <f t="shared" si="150"/>
        <v>Ok</v>
      </c>
      <c r="AN1360" s="21">
        <f t="shared" si="151"/>
        <v>27.43362831858407</v>
      </c>
      <c r="AO1360" t="str">
        <f t="shared" ca="1" si="152"/>
        <v>No</v>
      </c>
      <c r="AP1360" t="str">
        <f t="shared" si="153"/>
        <v>Low Risk</v>
      </c>
    </row>
    <row r="1361" spans="1:42" x14ac:dyDescent="0.3">
      <c r="A1361" s="5">
        <v>34</v>
      </c>
      <c r="B1361" s="5" t="s">
        <v>43</v>
      </c>
      <c r="C1361" s="5" t="str">
        <f t="shared" si="147"/>
        <v>No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 s="5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 s="5">
        <v>8103</v>
      </c>
      <c r="U1361">
        <v>16495</v>
      </c>
      <c r="V1361">
        <v>3</v>
      </c>
      <c r="W1361" t="s">
        <v>42</v>
      </c>
      <c r="X1361" t="s">
        <v>35</v>
      </c>
      <c r="Y1361" t="str">
        <f t="shared" si="148"/>
        <v>Yes</v>
      </c>
      <c r="Z1361">
        <v>12</v>
      </c>
      <c r="AA1361">
        <v>3</v>
      </c>
      <c r="AB1361">
        <v>3</v>
      </c>
      <c r="AC1361">
        <v>80</v>
      </c>
      <c r="AD1361">
        <v>0</v>
      </c>
      <c r="AE1361" s="5">
        <v>9</v>
      </c>
      <c r="AF1361" t="str">
        <f t="shared" si="149"/>
        <v>6-15</v>
      </c>
      <c r="AG1361">
        <v>3</v>
      </c>
      <c r="AH1361">
        <v>2</v>
      </c>
      <c r="AI1361" s="5">
        <v>4</v>
      </c>
      <c r="AJ1361">
        <v>2</v>
      </c>
      <c r="AK1361">
        <v>0</v>
      </c>
      <c r="AL1361">
        <v>1</v>
      </c>
      <c r="AM1361" t="str">
        <f t="shared" si="150"/>
        <v>Ok</v>
      </c>
      <c r="AN1361" s="21">
        <f t="shared" si="151"/>
        <v>27.678571428571431</v>
      </c>
      <c r="AO1361" t="str">
        <f t="shared" ca="1" si="152"/>
        <v>No</v>
      </c>
      <c r="AP1361" t="str">
        <f t="shared" si="153"/>
        <v>Low Risk</v>
      </c>
    </row>
    <row r="1362" spans="1:42" x14ac:dyDescent="0.3">
      <c r="A1362" s="5">
        <v>31</v>
      </c>
      <c r="B1362" s="5" t="s">
        <v>43</v>
      </c>
      <c r="C1362" s="5" t="str">
        <f t="shared" si="147"/>
        <v>No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 s="5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 s="5">
        <v>3978</v>
      </c>
      <c r="U1362">
        <v>16031</v>
      </c>
      <c r="V1362">
        <v>8</v>
      </c>
      <c r="W1362" t="s">
        <v>42</v>
      </c>
      <c r="X1362" t="s">
        <v>43</v>
      </c>
      <c r="Y1362" t="str">
        <f t="shared" si="148"/>
        <v>No</v>
      </c>
      <c r="Z1362">
        <v>12</v>
      </c>
      <c r="AA1362">
        <v>3</v>
      </c>
      <c r="AB1362">
        <v>2</v>
      </c>
      <c r="AC1362">
        <v>80</v>
      </c>
      <c r="AD1362">
        <v>1</v>
      </c>
      <c r="AE1362" s="5">
        <v>4</v>
      </c>
      <c r="AF1362" t="str">
        <f t="shared" si="149"/>
        <v>0-5</v>
      </c>
      <c r="AG1362">
        <v>0</v>
      </c>
      <c r="AH1362">
        <v>2</v>
      </c>
      <c r="AI1362" s="5">
        <v>2</v>
      </c>
      <c r="AJ1362">
        <v>2</v>
      </c>
      <c r="AK1362">
        <v>2</v>
      </c>
      <c r="AL1362">
        <v>2</v>
      </c>
      <c r="AM1362" t="str">
        <f t="shared" si="150"/>
        <v>Below Avg</v>
      </c>
      <c r="AN1362" s="21">
        <f t="shared" si="151"/>
        <v>27.027027027027028</v>
      </c>
      <c r="AO1362" t="str">
        <f t="shared" ca="1" si="152"/>
        <v>No</v>
      </c>
      <c r="AP1362" t="str">
        <f t="shared" si="153"/>
        <v>Low Risk</v>
      </c>
    </row>
    <row r="1363" spans="1:42" x14ac:dyDescent="0.3">
      <c r="A1363" s="5">
        <v>26</v>
      </c>
      <c r="B1363" s="5" t="s">
        <v>43</v>
      </c>
      <c r="C1363" s="5" t="str">
        <f t="shared" si="147"/>
        <v>No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 s="5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 s="5">
        <v>2544</v>
      </c>
      <c r="U1363">
        <v>7102</v>
      </c>
      <c r="V1363">
        <v>0</v>
      </c>
      <c r="W1363" t="s">
        <v>42</v>
      </c>
      <c r="X1363" t="s">
        <v>43</v>
      </c>
      <c r="Y1363" t="str">
        <f t="shared" si="148"/>
        <v>No</v>
      </c>
      <c r="Z1363">
        <v>18</v>
      </c>
      <c r="AA1363">
        <v>3</v>
      </c>
      <c r="AB1363">
        <v>1</v>
      </c>
      <c r="AC1363">
        <v>80</v>
      </c>
      <c r="AD1363">
        <v>1</v>
      </c>
      <c r="AE1363" s="5">
        <v>8</v>
      </c>
      <c r="AF1363" t="str">
        <f t="shared" si="149"/>
        <v>6-15</v>
      </c>
      <c r="AG1363">
        <v>3</v>
      </c>
      <c r="AH1363">
        <v>3</v>
      </c>
      <c r="AI1363" s="5">
        <v>7</v>
      </c>
      <c r="AJ1363">
        <v>7</v>
      </c>
      <c r="AK1363">
        <v>7</v>
      </c>
      <c r="AL1363">
        <v>7</v>
      </c>
      <c r="AM1363" t="str">
        <f t="shared" si="150"/>
        <v>Below Avg</v>
      </c>
      <c r="AN1363" s="21">
        <f t="shared" si="151"/>
        <v>26.36363636363636</v>
      </c>
      <c r="AO1363" t="str">
        <f t="shared" ca="1" si="152"/>
        <v>No</v>
      </c>
      <c r="AP1363" t="str">
        <f t="shared" si="153"/>
        <v>Low Risk</v>
      </c>
    </row>
    <row r="1364" spans="1:42" x14ac:dyDescent="0.3">
      <c r="A1364" s="5">
        <v>45</v>
      </c>
      <c r="B1364" s="5" t="s">
        <v>43</v>
      </c>
      <c r="C1364" s="5" t="str">
        <f t="shared" si="147"/>
        <v>No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 s="5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 s="5">
        <v>5399</v>
      </c>
      <c r="U1364">
        <v>14511</v>
      </c>
      <c r="V1364">
        <v>4</v>
      </c>
      <c r="W1364" t="s">
        <v>42</v>
      </c>
      <c r="X1364" t="s">
        <v>43</v>
      </c>
      <c r="Y1364" t="str">
        <f t="shared" si="148"/>
        <v>No</v>
      </c>
      <c r="Z1364">
        <v>12</v>
      </c>
      <c r="AA1364">
        <v>3</v>
      </c>
      <c r="AB1364">
        <v>3</v>
      </c>
      <c r="AC1364">
        <v>80</v>
      </c>
      <c r="AD1364">
        <v>0</v>
      </c>
      <c r="AE1364" s="5">
        <v>12</v>
      </c>
      <c r="AF1364" t="str">
        <f t="shared" si="149"/>
        <v>6-15</v>
      </c>
      <c r="AG1364">
        <v>3</v>
      </c>
      <c r="AH1364">
        <v>3</v>
      </c>
      <c r="AI1364" s="5">
        <v>4</v>
      </c>
      <c r="AJ1364">
        <v>2</v>
      </c>
      <c r="AK1364">
        <v>0</v>
      </c>
      <c r="AL1364">
        <v>3</v>
      </c>
      <c r="AM1364" t="str">
        <f t="shared" si="150"/>
        <v>Below Avg</v>
      </c>
      <c r="AN1364" s="21">
        <f t="shared" si="151"/>
        <v>26.605504587155966</v>
      </c>
      <c r="AO1364" t="str">
        <f t="shared" ca="1" si="152"/>
        <v>No</v>
      </c>
      <c r="AP1364" t="str">
        <f t="shared" si="153"/>
        <v>Low Risk</v>
      </c>
    </row>
    <row r="1365" spans="1:42" x14ac:dyDescent="0.3">
      <c r="A1365" s="5">
        <v>33</v>
      </c>
      <c r="B1365" s="5" t="s">
        <v>43</v>
      </c>
      <c r="C1365" s="5" t="str">
        <f t="shared" si="147"/>
        <v>No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 s="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 s="5">
        <v>5487</v>
      </c>
      <c r="U1365">
        <v>10410</v>
      </c>
      <c r="V1365">
        <v>1</v>
      </c>
      <c r="W1365" t="s">
        <v>42</v>
      </c>
      <c r="X1365" t="s">
        <v>43</v>
      </c>
      <c r="Y1365" t="str">
        <f t="shared" si="148"/>
        <v>No</v>
      </c>
      <c r="Z1365">
        <v>14</v>
      </c>
      <c r="AA1365">
        <v>3</v>
      </c>
      <c r="AB1365">
        <v>2</v>
      </c>
      <c r="AC1365">
        <v>80</v>
      </c>
      <c r="AD1365">
        <v>0</v>
      </c>
      <c r="AE1365" s="5">
        <v>10</v>
      </c>
      <c r="AF1365" t="str">
        <f t="shared" si="149"/>
        <v>6-15</v>
      </c>
      <c r="AG1365">
        <v>2</v>
      </c>
      <c r="AH1365">
        <v>2</v>
      </c>
      <c r="AI1365" s="5">
        <v>10</v>
      </c>
      <c r="AJ1365">
        <v>4</v>
      </c>
      <c r="AK1365">
        <v>0</v>
      </c>
      <c r="AL1365">
        <v>9</v>
      </c>
      <c r="AM1365" t="str">
        <f t="shared" si="150"/>
        <v>Below Avg</v>
      </c>
      <c r="AN1365" s="21">
        <f t="shared" si="151"/>
        <v>26.851851851851855</v>
      </c>
      <c r="AO1365" t="str">
        <f t="shared" ca="1" si="152"/>
        <v>No</v>
      </c>
      <c r="AP1365" t="str">
        <f t="shared" si="153"/>
        <v>Low Risk</v>
      </c>
    </row>
    <row r="1366" spans="1:42" x14ac:dyDescent="0.3">
      <c r="A1366" s="5">
        <v>28</v>
      </c>
      <c r="B1366" s="5" t="s">
        <v>43</v>
      </c>
      <c r="C1366" s="5" t="str">
        <f t="shared" si="147"/>
        <v>No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 s="5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 s="5">
        <v>6834</v>
      </c>
      <c r="U1366">
        <v>19255</v>
      </c>
      <c r="V1366">
        <v>1</v>
      </c>
      <c r="W1366" t="s">
        <v>42</v>
      </c>
      <c r="X1366" t="s">
        <v>35</v>
      </c>
      <c r="Y1366" t="str">
        <f t="shared" si="148"/>
        <v>Yes</v>
      </c>
      <c r="Z1366">
        <v>12</v>
      </c>
      <c r="AA1366">
        <v>3</v>
      </c>
      <c r="AB1366">
        <v>3</v>
      </c>
      <c r="AC1366">
        <v>80</v>
      </c>
      <c r="AD1366">
        <v>1</v>
      </c>
      <c r="AE1366" s="5">
        <v>7</v>
      </c>
      <c r="AF1366" t="str">
        <f t="shared" si="149"/>
        <v>6-15</v>
      </c>
      <c r="AG1366">
        <v>2</v>
      </c>
      <c r="AH1366">
        <v>3</v>
      </c>
      <c r="AI1366" s="5">
        <v>7</v>
      </c>
      <c r="AJ1366">
        <v>7</v>
      </c>
      <c r="AK1366">
        <v>0</v>
      </c>
      <c r="AL1366">
        <v>7</v>
      </c>
      <c r="AM1366" t="str">
        <f t="shared" si="150"/>
        <v>Ok</v>
      </c>
      <c r="AN1366" s="21">
        <f t="shared" si="151"/>
        <v>27.102803738317753</v>
      </c>
      <c r="AO1366" t="str">
        <f t="shared" ca="1" si="152"/>
        <v>No</v>
      </c>
      <c r="AP1366" t="str">
        <f t="shared" si="153"/>
        <v>Low Risk</v>
      </c>
    </row>
    <row r="1367" spans="1:42" x14ac:dyDescent="0.3">
      <c r="A1367" s="5">
        <v>29</v>
      </c>
      <c r="B1367" s="5" t="s">
        <v>35</v>
      </c>
      <c r="C1367" s="5" t="str">
        <f t="shared" si="147"/>
        <v>Yes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 s="5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 s="5">
        <v>1091</v>
      </c>
      <c r="U1367">
        <v>10642</v>
      </c>
      <c r="V1367">
        <v>1</v>
      </c>
      <c r="W1367" t="s">
        <v>42</v>
      </c>
      <c r="X1367" t="s">
        <v>43</v>
      </c>
      <c r="Y1367" t="str">
        <f t="shared" si="148"/>
        <v>No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 s="5">
        <v>1</v>
      </c>
      <c r="AF1367" t="str">
        <f t="shared" si="149"/>
        <v>0-5</v>
      </c>
      <c r="AG1367">
        <v>3</v>
      </c>
      <c r="AH1367">
        <v>3</v>
      </c>
      <c r="AI1367" s="5">
        <v>1</v>
      </c>
      <c r="AJ1367">
        <v>0</v>
      </c>
      <c r="AK1367">
        <v>0</v>
      </c>
      <c r="AL1367">
        <v>0</v>
      </c>
      <c r="AM1367" t="str">
        <f t="shared" si="150"/>
        <v>Below Avg</v>
      </c>
      <c r="AN1367" s="21">
        <f t="shared" si="151"/>
        <v>27.358490566037734</v>
      </c>
      <c r="AO1367" t="str">
        <f t="shared" ca="1" si="152"/>
        <v>No</v>
      </c>
      <c r="AP1367" t="str">
        <f t="shared" si="153"/>
        <v>High Risk</v>
      </c>
    </row>
    <row r="1368" spans="1:42" x14ac:dyDescent="0.3">
      <c r="A1368" s="5">
        <v>39</v>
      </c>
      <c r="B1368" s="5" t="s">
        <v>43</v>
      </c>
      <c r="C1368" s="5" t="str">
        <f t="shared" si="147"/>
        <v>No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 s="5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 s="5">
        <v>5736</v>
      </c>
      <c r="U1368">
        <v>3987</v>
      </c>
      <c r="V1368">
        <v>6</v>
      </c>
      <c r="W1368" t="s">
        <v>42</v>
      </c>
      <c r="X1368" t="s">
        <v>43</v>
      </c>
      <c r="Y1368" t="str">
        <f t="shared" si="148"/>
        <v>No</v>
      </c>
      <c r="Z1368">
        <v>19</v>
      </c>
      <c r="AA1368">
        <v>3</v>
      </c>
      <c r="AB1368">
        <v>3</v>
      </c>
      <c r="AC1368">
        <v>80</v>
      </c>
      <c r="AD1368">
        <v>1</v>
      </c>
      <c r="AE1368" s="5">
        <v>10</v>
      </c>
      <c r="AF1368" t="str">
        <f t="shared" si="149"/>
        <v>6-15</v>
      </c>
      <c r="AG1368">
        <v>1</v>
      </c>
      <c r="AH1368">
        <v>3</v>
      </c>
      <c r="AI1368" s="5">
        <v>3</v>
      </c>
      <c r="AJ1368">
        <v>2</v>
      </c>
      <c r="AK1368">
        <v>1</v>
      </c>
      <c r="AL1368">
        <v>2</v>
      </c>
      <c r="AM1368" t="str">
        <f t="shared" si="150"/>
        <v>Below Avg</v>
      </c>
      <c r="AN1368" s="21">
        <f t="shared" si="151"/>
        <v>26.666666666666668</v>
      </c>
      <c r="AO1368" t="str">
        <f t="shared" ca="1" si="152"/>
        <v>No</v>
      </c>
      <c r="AP1368" t="str">
        <f t="shared" si="153"/>
        <v>Low Risk</v>
      </c>
    </row>
    <row r="1369" spans="1:42" x14ac:dyDescent="0.3">
      <c r="A1369" s="5">
        <v>27</v>
      </c>
      <c r="B1369" s="5" t="s">
        <v>43</v>
      </c>
      <c r="C1369" s="5" t="str">
        <f t="shared" si="147"/>
        <v>No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 s="5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 s="5">
        <v>2226</v>
      </c>
      <c r="U1369">
        <v>6073</v>
      </c>
      <c r="V1369">
        <v>1</v>
      </c>
      <c r="W1369" t="s">
        <v>42</v>
      </c>
      <c r="X1369" t="s">
        <v>43</v>
      </c>
      <c r="Y1369" t="str">
        <f t="shared" si="148"/>
        <v>No</v>
      </c>
      <c r="Z1369">
        <v>11</v>
      </c>
      <c r="AA1369">
        <v>3</v>
      </c>
      <c r="AB1369">
        <v>3</v>
      </c>
      <c r="AC1369">
        <v>80</v>
      </c>
      <c r="AD1369">
        <v>1</v>
      </c>
      <c r="AE1369" s="5">
        <v>6</v>
      </c>
      <c r="AF1369" t="str">
        <f t="shared" si="149"/>
        <v>6-15</v>
      </c>
      <c r="AG1369">
        <v>3</v>
      </c>
      <c r="AH1369">
        <v>2</v>
      </c>
      <c r="AI1369" s="5">
        <v>5</v>
      </c>
      <c r="AJ1369">
        <v>3</v>
      </c>
      <c r="AK1369">
        <v>1</v>
      </c>
      <c r="AL1369">
        <v>2</v>
      </c>
      <c r="AM1369" t="str">
        <f t="shared" si="150"/>
        <v>Below Avg</v>
      </c>
      <c r="AN1369" s="21">
        <f t="shared" si="151"/>
        <v>26.923076923076923</v>
      </c>
      <c r="AO1369" t="str">
        <f t="shared" ca="1" si="152"/>
        <v>No</v>
      </c>
      <c r="AP1369" t="str">
        <f t="shared" si="153"/>
        <v>Low Risk</v>
      </c>
    </row>
    <row r="1370" spans="1:42" x14ac:dyDescent="0.3">
      <c r="A1370" s="5">
        <v>34</v>
      </c>
      <c r="B1370" s="5" t="s">
        <v>43</v>
      </c>
      <c r="C1370" s="5" t="str">
        <f t="shared" si="147"/>
        <v>No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 s="5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 s="5">
        <v>5747</v>
      </c>
      <c r="U1370">
        <v>26496</v>
      </c>
      <c r="V1370">
        <v>1</v>
      </c>
      <c r="W1370" t="s">
        <v>42</v>
      </c>
      <c r="X1370" t="s">
        <v>35</v>
      </c>
      <c r="Y1370" t="str">
        <f t="shared" si="148"/>
        <v>Yes</v>
      </c>
      <c r="Z1370">
        <v>15</v>
      </c>
      <c r="AA1370">
        <v>3</v>
      </c>
      <c r="AB1370">
        <v>2</v>
      </c>
      <c r="AC1370">
        <v>80</v>
      </c>
      <c r="AD1370">
        <v>0</v>
      </c>
      <c r="AE1370" s="5">
        <v>16</v>
      </c>
      <c r="AF1370" t="str">
        <f t="shared" si="149"/>
        <v>&gt;15</v>
      </c>
      <c r="AG1370">
        <v>3</v>
      </c>
      <c r="AH1370">
        <v>3</v>
      </c>
      <c r="AI1370" s="5">
        <v>15</v>
      </c>
      <c r="AJ1370">
        <v>10</v>
      </c>
      <c r="AK1370">
        <v>6</v>
      </c>
      <c r="AL1370">
        <v>11</v>
      </c>
      <c r="AM1370" t="str">
        <f t="shared" si="150"/>
        <v>Ok</v>
      </c>
      <c r="AN1370" s="21">
        <f t="shared" si="151"/>
        <v>27.184466019417474</v>
      </c>
      <c r="AO1370" t="str">
        <f t="shared" ca="1" si="152"/>
        <v>No</v>
      </c>
      <c r="AP1370" t="str">
        <f t="shared" si="153"/>
        <v>Low Risk</v>
      </c>
    </row>
    <row r="1371" spans="1:42" x14ac:dyDescent="0.3">
      <c r="A1371" s="5">
        <v>28</v>
      </c>
      <c r="B1371" s="5" t="s">
        <v>35</v>
      </c>
      <c r="C1371" s="5" t="str">
        <f t="shared" si="147"/>
        <v>Yes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 s="5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 s="5">
        <v>9854</v>
      </c>
      <c r="U1371">
        <v>23352</v>
      </c>
      <c r="V1371">
        <v>3</v>
      </c>
      <c r="W1371" t="s">
        <v>42</v>
      </c>
      <c r="X1371" t="s">
        <v>35</v>
      </c>
      <c r="Y1371" t="str">
        <f t="shared" si="148"/>
        <v>Yes</v>
      </c>
      <c r="Z1371">
        <v>11</v>
      </c>
      <c r="AA1371">
        <v>3</v>
      </c>
      <c r="AB1371">
        <v>4</v>
      </c>
      <c r="AC1371">
        <v>80</v>
      </c>
      <c r="AD1371">
        <v>0</v>
      </c>
      <c r="AE1371" s="5">
        <v>6</v>
      </c>
      <c r="AF1371" t="str">
        <f t="shared" si="149"/>
        <v>6-15</v>
      </c>
      <c r="AG1371">
        <v>0</v>
      </c>
      <c r="AH1371">
        <v>3</v>
      </c>
      <c r="AI1371" s="5">
        <v>2</v>
      </c>
      <c r="AJ1371">
        <v>0</v>
      </c>
      <c r="AK1371">
        <v>2</v>
      </c>
      <c r="AL1371">
        <v>2</v>
      </c>
      <c r="AM1371" t="str">
        <f t="shared" si="150"/>
        <v>Ok</v>
      </c>
      <c r="AN1371" s="21">
        <f t="shared" si="151"/>
        <v>27.450980392156865</v>
      </c>
      <c r="AO1371" t="str">
        <f t="shared" ca="1" si="152"/>
        <v>No</v>
      </c>
      <c r="AP1371" t="str">
        <f t="shared" si="153"/>
        <v>Low Risk</v>
      </c>
    </row>
    <row r="1372" spans="1:42" x14ac:dyDescent="0.3">
      <c r="A1372" s="5">
        <v>47</v>
      </c>
      <c r="B1372" s="5" t="s">
        <v>43</v>
      </c>
      <c r="C1372" s="5" t="str">
        <f t="shared" si="147"/>
        <v>No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 s="5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 s="5">
        <v>5467</v>
      </c>
      <c r="U1372">
        <v>2125</v>
      </c>
      <c r="V1372">
        <v>8</v>
      </c>
      <c r="W1372" t="s">
        <v>42</v>
      </c>
      <c r="X1372" t="s">
        <v>43</v>
      </c>
      <c r="Y1372" t="str">
        <f t="shared" si="148"/>
        <v>No</v>
      </c>
      <c r="Z1372">
        <v>18</v>
      </c>
      <c r="AA1372">
        <v>3</v>
      </c>
      <c r="AB1372">
        <v>3</v>
      </c>
      <c r="AC1372">
        <v>80</v>
      </c>
      <c r="AD1372">
        <v>1</v>
      </c>
      <c r="AE1372" s="5">
        <v>16</v>
      </c>
      <c r="AF1372" t="str">
        <f t="shared" si="149"/>
        <v>&gt;15</v>
      </c>
      <c r="AG1372">
        <v>4</v>
      </c>
      <c r="AH1372">
        <v>4</v>
      </c>
      <c r="AI1372" s="5">
        <v>8</v>
      </c>
      <c r="AJ1372">
        <v>7</v>
      </c>
      <c r="AK1372">
        <v>1</v>
      </c>
      <c r="AL1372">
        <v>7</v>
      </c>
      <c r="AM1372" t="str">
        <f t="shared" si="150"/>
        <v>Below Avg</v>
      </c>
      <c r="AN1372" s="21">
        <f t="shared" si="151"/>
        <v>26.732673267326735</v>
      </c>
      <c r="AO1372" t="str">
        <f t="shared" ca="1" si="152"/>
        <v>No</v>
      </c>
      <c r="AP1372" t="str">
        <f t="shared" si="153"/>
        <v>Low Risk</v>
      </c>
    </row>
    <row r="1373" spans="1:42" x14ac:dyDescent="0.3">
      <c r="A1373" s="5">
        <v>56</v>
      </c>
      <c r="B1373" s="5" t="s">
        <v>43</v>
      </c>
      <c r="C1373" s="5" t="str">
        <f t="shared" si="147"/>
        <v>No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 s="5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 s="5">
        <v>5380</v>
      </c>
      <c r="U1373">
        <v>20328</v>
      </c>
      <c r="V1373">
        <v>4</v>
      </c>
      <c r="W1373" t="s">
        <v>42</v>
      </c>
      <c r="X1373" t="s">
        <v>43</v>
      </c>
      <c r="Y1373" t="str">
        <f t="shared" si="148"/>
        <v>No</v>
      </c>
      <c r="Z1373">
        <v>16</v>
      </c>
      <c r="AA1373">
        <v>3</v>
      </c>
      <c r="AB1373">
        <v>3</v>
      </c>
      <c r="AC1373">
        <v>80</v>
      </c>
      <c r="AD1373">
        <v>1</v>
      </c>
      <c r="AE1373" s="5">
        <v>6</v>
      </c>
      <c r="AF1373" t="str">
        <f t="shared" si="149"/>
        <v>6-15</v>
      </c>
      <c r="AG1373">
        <v>3</v>
      </c>
      <c r="AH1373">
        <v>3</v>
      </c>
      <c r="AI1373" s="5">
        <v>0</v>
      </c>
      <c r="AJ1373">
        <v>0</v>
      </c>
      <c r="AK1373">
        <v>0</v>
      </c>
      <c r="AL1373">
        <v>0</v>
      </c>
      <c r="AM1373" t="str">
        <f t="shared" si="150"/>
        <v>Below Avg</v>
      </c>
      <c r="AN1373" s="21">
        <f t="shared" si="151"/>
        <v>26</v>
      </c>
      <c r="AO1373" t="str">
        <f t="shared" ca="1" si="152"/>
        <v>No</v>
      </c>
      <c r="AP1373" t="str">
        <f t="shared" si="153"/>
        <v>Low Risk</v>
      </c>
    </row>
    <row r="1374" spans="1:42" x14ac:dyDescent="0.3">
      <c r="A1374" s="5">
        <v>39</v>
      </c>
      <c r="B1374" s="5" t="s">
        <v>43</v>
      </c>
      <c r="C1374" s="5" t="str">
        <f t="shared" si="147"/>
        <v>No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 s="5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 s="5">
        <v>5151</v>
      </c>
      <c r="U1374">
        <v>12315</v>
      </c>
      <c r="V1374">
        <v>1</v>
      </c>
      <c r="W1374" t="s">
        <v>42</v>
      </c>
      <c r="X1374" t="s">
        <v>43</v>
      </c>
      <c r="Y1374" t="str">
        <f t="shared" si="148"/>
        <v>No</v>
      </c>
      <c r="Z1374">
        <v>25</v>
      </c>
      <c r="AA1374">
        <v>4</v>
      </c>
      <c r="AB1374">
        <v>4</v>
      </c>
      <c r="AC1374">
        <v>80</v>
      </c>
      <c r="AD1374">
        <v>1</v>
      </c>
      <c r="AE1374" s="5">
        <v>10</v>
      </c>
      <c r="AF1374" t="str">
        <f t="shared" si="149"/>
        <v>6-15</v>
      </c>
      <c r="AG1374">
        <v>3</v>
      </c>
      <c r="AH1374">
        <v>3</v>
      </c>
      <c r="AI1374" s="5">
        <v>10</v>
      </c>
      <c r="AJ1374">
        <v>0</v>
      </c>
      <c r="AK1374">
        <v>7</v>
      </c>
      <c r="AL1374">
        <v>9</v>
      </c>
      <c r="AM1374" t="str">
        <f t="shared" si="150"/>
        <v>Below Avg</v>
      </c>
      <c r="AN1374" s="21">
        <f t="shared" si="151"/>
        <v>26.262626262626267</v>
      </c>
      <c r="AO1374" t="str">
        <f t="shared" ca="1" si="152"/>
        <v>No</v>
      </c>
      <c r="AP1374" t="str">
        <f t="shared" si="153"/>
        <v>Low Risk</v>
      </c>
    </row>
    <row r="1375" spans="1:42" x14ac:dyDescent="0.3">
      <c r="A1375" s="5">
        <v>38</v>
      </c>
      <c r="B1375" s="5" t="s">
        <v>43</v>
      </c>
      <c r="C1375" s="5" t="str">
        <f t="shared" si="147"/>
        <v>No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 s="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 s="5">
        <v>2133</v>
      </c>
      <c r="U1375">
        <v>18115</v>
      </c>
      <c r="V1375">
        <v>1</v>
      </c>
      <c r="W1375" t="s">
        <v>42</v>
      </c>
      <c r="X1375" t="s">
        <v>35</v>
      </c>
      <c r="Y1375" t="str">
        <f t="shared" si="148"/>
        <v>Yes</v>
      </c>
      <c r="Z1375">
        <v>16</v>
      </c>
      <c r="AA1375">
        <v>3</v>
      </c>
      <c r="AB1375">
        <v>3</v>
      </c>
      <c r="AC1375">
        <v>80</v>
      </c>
      <c r="AD1375">
        <v>1</v>
      </c>
      <c r="AE1375" s="5">
        <v>20</v>
      </c>
      <c r="AF1375" t="str">
        <f t="shared" si="149"/>
        <v>&gt;15</v>
      </c>
      <c r="AG1375">
        <v>3</v>
      </c>
      <c r="AH1375">
        <v>3</v>
      </c>
      <c r="AI1375" s="5">
        <v>20</v>
      </c>
      <c r="AJ1375">
        <v>11</v>
      </c>
      <c r="AK1375">
        <v>0</v>
      </c>
      <c r="AL1375">
        <v>7</v>
      </c>
      <c r="AM1375" t="str">
        <f t="shared" si="150"/>
        <v>Below Avg</v>
      </c>
      <c r="AN1375" s="21">
        <f t="shared" si="151"/>
        <v>26.530612244897959</v>
      </c>
      <c r="AO1375" t="str">
        <f t="shared" ca="1" si="152"/>
        <v>No</v>
      </c>
      <c r="AP1375" t="str">
        <f t="shared" si="153"/>
        <v>Low Risk</v>
      </c>
    </row>
    <row r="1376" spans="1:42" x14ac:dyDescent="0.3">
      <c r="A1376" s="5">
        <v>58</v>
      </c>
      <c r="B1376" s="5" t="s">
        <v>43</v>
      </c>
      <c r="C1376" s="5" t="str">
        <f t="shared" si="147"/>
        <v>No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 s="5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 s="5">
        <v>17875</v>
      </c>
      <c r="U1376">
        <v>11761</v>
      </c>
      <c r="V1376">
        <v>4</v>
      </c>
      <c r="W1376" t="s">
        <v>42</v>
      </c>
      <c r="X1376" t="s">
        <v>35</v>
      </c>
      <c r="Y1376" t="str">
        <f t="shared" si="148"/>
        <v>Yes</v>
      </c>
      <c r="Z1376">
        <v>13</v>
      </c>
      <c r="AA1376">
        <v>3</v>
      </c>
      <c r="AB1376">
        <v>3</v>
      </c>
      <c r="AC1376">
        <v>80</v>
      </c>
      <c r="AD1376">
        <v>1</v>
      </c>
      <c r="AE1376" s="5">
        <v>29</v>
      </c>
      <c r="AF1376" t="str">
        <f t="shared" si="149"/>
        <v>&gt;15</v>
      </c>
      <c r="AG1376">
        <v>2</v>
      </c>
      <c r="AH1376">
        <v>2</v>
      </c>
      <c r="AI1376" s="5">
        <v>1</v>
      </c>
      <c r="AJ1376">
        <v>0</v>
      </c>
      <c r="AK1376">
        <v>0</v>
      </c>
      <c r="AL1376">
        <v>0</v>
      </c>
      <c r="AM1376" t="str">
        <f t="shared" si="150"/>
        <v>Ok</v>
      </c>
      <c r="AN1376" s="21">
        <f t="shared" si="151"/>
        <v>26.804123711340207</v>
      </c>
      <c r="AO1376" t="str">
        <f t="shared" ca="1" si="152"/>
        <v>No</v>
      </c>
      <c r="AP1376" t="str">
        <f t="shared" si="153"/>
        <v>Low Risk</v>
      </c>
    </row>
    <row r="1377" spans="1:42" x14ac:dyDescent="0.3">
      <c r="A1377" s="5">
        <v>32</v>
      </c>
      <c r="B1377" s="5" t="s">
        <v>35</v>
      </c>
      <c r="C1377" s="5" t="str">
        <f t="shared" si="147"/>
        <v>Yes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 s="5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 s="5">
        <v>2432</v>
      </c>
      <c r="U1377">
        <v>15318</v>
      </c>
      <c r="V1377">
        <v>3</v>
      </c>
      <c r="W1377" t="s">
        <v>42</v>
      </c>
      <c r="X1377" t="s">
        <v>35</v>
      </c>
      <c r="Y1377" t="str">
        <f t="shared" si="148"/>
        <v>Yes</v>
      </c>
      <c r="Z1377">
        <v>14</v>
      </c>
      <c r="AA1377">
        <v>3</v>
      </c>
      <c r="AB1377">
        <v>1</v>
      </c>
      <c r="AC1377">
        <v>80</v>
      </c>
      <c r="AD1377">
        <v>0</v>
      </c>
      <c r="AE1377" s="5">
        <v>8</v>
      </c>
      <c r="AF1377" t="str">
        <f t="shared" si="149"/>
        <v>6-15</v>
      </c>
      <c r="AG1377">
        <v>2</v>
      </c>
      <c r="AH1377">
        <v>3</v>
      </c>
      <c r="AI1377" s="5">
        <v>4</v>
      </c>
      <c r="AJ1377">
        <v>1</v>
      </c>
      <c r="AK1377">
        <v>0</v>
      </c>
      <c r="AL1377">
        <v>3</v>
      </c>
      <c r="AM1377" t="str">
        <f t="shared" si="150"/>
        <v>Below Avg</v>
      </c>
      <c r="AN1377" s="21">
        <f t="shared" si="151"/>
        <v>26.041666666666668</v>
      </c>
      <c r="AO1377" t="str">
        <f t="shared" ca="1" si="152"/>
        <v>No</v>
      </c>
      <c r="AP1377" t="str">
        <f t="shared" si="153"/>
        <v>Low Risk</v>
      </c>
    </row>
    <row r="1378" spans="1:42" x14ac:dyDescent="0.3">
      <c r="A1378" s="5">
        <v>38</v>
      </c>
      <c r="B1378" s="5" t="s">
        <v>43</v>
      </c>
      <c r="C1378" s="5" t="str">
        <f t="shared" si="147"/>
        <v>No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 s="5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 s="5">
        <v>4771</v>
      </c>
      <c r="U1378">
        <v>14293</v>
      </c>
      <c r="V1378">
        <v>2</v>
      </c>
      <c r="W1378" t="s">
        <v>42</v>
      </c>
      <c r="X1378" t="s">
        <v>43</v>
      </c>
      <c r="Y1378" t="str">
        <f t="shared" si="148"/>
        <v>No</v>
      </c>
      <c r="Z1378">
        <v>19</v>
      </c>
      <c r="AA1378">
        <v>3</v>
      </c>
      <c r="AB1378">
        <v>4</v>
      </c>
      <c r="AC1378">
        <v>80</v>
      </c>
      <c r="AD1378">
        <v>2</v>
      </c>
      <c r="AE1378" s="5">
        <v>10</v>
      </c>
      <c r="AF1378" t="str">
        <f t="shared" si="149"/>
        <v>6-15</v>
      </c>
      <c r="AG1378">
        <v>0</v>
      </c>
      <c r="AH1378">
        <v>4</v>
      </c>
      <c r="AI1378" s="5">
        <v>5</v>
      </c>
      <c r="AJ1378">
        <v>2</v>
      </c>
      <c r="AK1378">
        <v>0</v>
      </c>
      <c r="AL1378">
        <v>3</v>
      </c>
      <c r="AM1378" t="str">
        <f t="shared" si="150"/>
        <v>Below Avg</v>
      </c>
      <c r="AN1378" s="21">
        <f t="shared" si="151"/>
        <v>25.263157894736842</v>
      </c>
      <c r="AO1378" t="str">
        <f t="shared" ca="1" si="152"/>
        <v>No</v>
      </c>
      <c r="AP1378" t="str">
        <f t="shared" si="153"/>
        <v>Low Risk</v>
      </c>
    </row>
    <row r="1379" spans="1:42" x14ac:dyDescent="0.3">
      <c r="A1379" s="5">
        <v>49</v>
      </c>
      <c r="B1379" s="5" t="s">
        <v>43</v>
      </c>
      <c r="C1379" s="5" t="str">
        <f t="shared" si="147"/>
        <v>No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 s="5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 s="5">
        <v>19161</v>
      </c>
      <c r="U1379">
        <v>13738</v>
      </c>
      <c r="V1379">
        <v>3</v>
      </c>
      <c r="W1379" t="s">
        <v>42</v>
      </c>
      <c r="X1379" t="s">
        <v>43</v>
      </c>
      <c r="Y1379" t="str">
        <f t="shared" si="148"/>
        <v>No</v>
      </c>
      <c r="Z1379">
        <v>15</v>
      </c>
      <c r="AA1379">
        <v>3</v>
      </c>
      <c r="AB1379">
        <v>4</v>
      </c>
      <c r="AC1379">
        <v>80</v>
      </c>
      <c r="AD1379">
        <v>0</v>
      </c>
      <c r="AE1379" s="5">
        <v>28</v>
      </c>
      <c r="AF1379" t="str">
        <f t="shared" si="149"/>
        <v>&gt;15</v>
      </c>
      <c r="AG1379">
        <v>3</v>
      </c>
      <c r="AH1379">
        <v>3</v>
      </c>
      <c r="AI1379" s="5">
        <v>5</v>
      </c>
      <c r="AJ1379">
        <v>4</v>
      </c>
      <c r="AK1379">
        <v>4</v>
      </c>
      <c r="AL1379">
        <v>3</v>
      </c>
      <c r="AM1379" t="str">
        <f t="shared" si="150"/>
        <v>Ok</v>
      </c>
      <c r="AN1379" s="21">
        <f t="shared" si="151"/>
        <v>24.468085106382979</v>
      </c>
      <c r="AO1379" t="str">
        <f t="shared" ca="1" si="152"/>
        <v>No</v>
      </c>
      <c r="AP1379" t="str">
        <f t="shared" si="153"/>
        <v>Low Risk</v>
      </c>
    </row>
    <row r="1380" spans="1:42" x14ac:dyDescent="0.3">
      <c r="A1380" s="5">
        <v>42</v>
      </c>
      <c r="B1380" s="5" t="s">
        <v>43</v>
      </c>
      <c r="C1380" s="5" t="str">
        <f t="shared" si="147"/>
        <v>No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 s="5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 s="5">
        <v>5087</v>
      </c>
      <c r="U1380">
        <v>2900</v>
      </c>
      <c r="V1380">
        <v>3</v>
      </c>
      <c r="W1380" t="s">
        <v>42</v>
      </c>
      <c r="X1380" t="s">
        <v>35</v>
      </c>
      <c r="Y1380" t="str">
        <f t="shared" si="148"/>
        <v>Yes</v>
      </c>
      <c r="Z1380">
        <v>12</v>
      </c>
      <c r="AA1380">
        <v>3</v>
      </c>
      <c r="AB1380">
        <v>3</v>
      </c>
      <c r="AC1380">
        <v>80</v>
      </c>
      <c r="AD1380">
        <v>2</v>
      </c>
      <c r="AE1380" s="5">
        <v>14</v>
      </c>
      <c r="AF1380" t="str">
        <f t="shared" si="149"/>
        <v>6-15</v>
      </c>
      <c r="AG1380">
        <v>4</v>
      </c>
      <c r="AH1380">
        <v>3</v>
      </c>
      <c r="AI1380" s="5">
        <v>0</v>
      </c>
      <c r="AJ1380">
        <v>0</v>
      </c>
      <c r="AK1380">
        <v>0</v>
      </c>
      <c r="AL1380">
        <v>0</v>
      </c>
      <c r="AM1380" t="str">
        <f t="shared" si="150"/>
        <v>Below Avg</v>
      </c>
      <c r="AN1380" s="21">
        <f t="shared" si="151"/>
        <v>24.731182795698924</v>
      </c>
      <c r="AO1380" t="str">
        <f t="shared" ca="1" si="152"/>
        <v>No</v>
      </c>
      <c r="AP1380" t="str">
        <f t="shared" si="153"/>
        <v>Low Risk</v>
      </c>
    </row>
    <row r="1381" spans="1:42" x14ac:dyDescent="0.3">
      <c r="A1381" s="5">
        <v>27</v>
      </c>
      <c r="B1381" s="5" t="s">
        <v>35</v>
      </c>
      <c r="C1381" s="5" t="str">
        <f t="shared" si="147"/>
        <v>Yes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 s="5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 s="5">
        <v>2863</v>
      </c>
      <c r="U1381">
        <v>19555</v>
      </c>
      <c r="V1381">
        <v>1</v>
      </c>
      <c r="W1381" t="s">
        <v>42</v>
      </c>
      <c r="X1381" t="s">
        <v>43</v>
      </c>
      <c r="Y1381" t="str">
        <f t="shared" si="148"/>
        <v>No</v>
      </c>
      <c r="Z1381">
        <v>12</v>
      </c>
      <c r="AA1381">
        <v>3</v>
      </c>
      <c r="AB1381">
        <v>1</v>
      </c>
      <c r="AC1381">
        <v>80</v>
      </c>
      <c r="AD1381">
        <v>0</v>
      </c>
      <c r="AE1381" s="5">
        <v>1</v>
      </c>
      <c r="AF1381" t="str">
        <f t="shared" si="149"/>
        <v>0-5</v>
      </c>
      <c r="AG1381">
        <v>2</v>
      </c>
      <c r="AH1381">
        <v>3</v>
      </c>
      <c r="AI1381" s="5">
        <v>1</v>
      </c>
      <c r="AJ1381">
        <v>0</v>
      </c>
      <c r="AK1381">
        <v>0</v>
      </c>
      <c r="AL1381">
        <v>0</v>
      </c>
      <c r="AM1381" t="str">
        <f t="shared" si="150"/>
        <v>Below Avg</v>
      </c>
      <c r="AN1381" s="21">
        <f t="shared" si="151"/>
        <v>25</v>
      </c>
      <c r="AO1381" t="str">
        <f t="shared" ca="1" si="152"/>
        <v>No</v>
      </c>
      <c r="AP1381" t="str">
        <f t="shared" si="153"/>
        <v>High Risk</v>
      </c>
    </row>
    <row r="1382" spans="1:42" x14ac:dyDescent="0.3">
      <c r="A1382" s="5">
        <v>35</v>
      </c>
      <c r="B1382" s="5" t="s">
        <v>43</v>
      </c>
      <c r="C1382" s="5" t="str">
        <f t="shared" si="147"/>
        <v>No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 s="5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 s="5">
        <v>5561</v>
      </c>
      <c r="U1382">
        <v>15975</v>
      </c>
      <c r="V1382">
        <v>0</v>
      </c>
      <c r="W1382" t="s">
        <v>42</v>
      </c>
      <c r="X1382" t="s">
        <v>43</v>
      </c>
      <c r="Y1382" t="str">
        <f t="shared" si="148"/>
        <v>No</v>
      </c>
      <c r="Z1382">
        <v>16</v>
      </c>
      <c r="AA1382">
        <v>3</v>
      </c>
      <c r="AB1382">
        <v>4</v>
      </c>
      <c r="AC1382">
        <v>80</v>
      </c>
      <c r="AD1382">
        <v>1</v>
      </c>
      <c r="AE1382" s="5">
        <v>6</v>
      </c>
      <c r="AF1382" t="str">
        <f t="shared" si="149"/>
        <v>6-15</v>
      </c>
      <c r="AG1382">
        <v>2</v>
      </c>
      <c r="AH1382">
        <v>1</v>
      </c>
      <c r="AI1382" s="5">
        <v>5</v>
      </c>
      <c r="AJ1382">
        <v>3</v>
      </c>
      <c r="AK1382">
        <v>0</v>
      </c>
      <c r="AL1382">
        <v>4</v>
      </c>
      <c r="AM1382" t="str">
        <f t="shared" si="150"/>
        <v>Below Avg</v>
      </c>
      <c r="AN1382" s="21">
        <f t="shared" si="151"/>
        <v>24.175824175824175</v>
      </c>
      <c r="AO1382" t="str">
        <f t="shared" ca="1" si="152"/>
        <v>No</v>
      </c>
      <c r="AP1382" t="str">
        <f t="shared" si="153"/>
        <v>Low Risk</v>
      </c>
    </row>
    <row r="1383" spans="1:42" x14ac:dyDescent="0.3">
      <c r="A1383" s="5">
        <v>28</v>
      </c>
      <c r="B1383" s="5" t="s">
        <v>43</v>
      </c>
      <c r="C1383" s="5" t="str">
        <f t="shared" si="147"/>
        <v>No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 s="5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 s="5">
        <v>2144</v>
      </c>
      <c r="U1383">
        <v>2122</v>
      </c>
      <c r="V1383">
        <v>1</v>
      </c>
      <c r="W1383" t="s">
        <v>42</v>
      </c>
      <c r="X1383" t="s">
        <v>43</v>
      </c>
      <c r="Y1383" t="str">
        <f t="shared" si="148"/>
        <v>No</v>
      </c>
      <c r="Z1383">
        <v>14</v>
      </c>
      <c r="AA1383">
        <v>3</v>
      </c>
      <c r="AB1383">
        <v>3</v>
      </c>
      <c r="AC1383">
        <v>80</v>
      </c>
      <c r="AD1383">
        <v>0</v>
      </c>
      <c r="AE1383" s="5">
        <v>5</v>
      </c>
      <c r="AF1383" t="str">
        <f t="shared" si="149"/>
        <v>0-5</v>
      </c>
      <c r="AG1383">
        <v>3</v>
      </c>
      <c r="AH1383">
        <v>2</v>
      </c>
      <c r="AI1383" s="5">
        <v>5</v>
      </c>
      <c r="AJ1383">
        <v>3</v>
      </c>
      <c r="AK1383">
        <v>1</v>
      </c>
      <c r="AL1383">
        <v>4</v>
      </c>
      <c r="AM1383" t="str">
        <f t="shared" si="150"/>
        <v>Below Avg</v>
      </c>
      <c r="AN1383" s="21">
        <f t="shared" si="151"/>
        <v>24.444444444444443</v>
      </c>
      <c r="AO1383" t="str">
        <f t="shared" ca="1" si="152"/>
        <v>No</v>
      </c>
      <c r="AP1383" t="str">
        <f t="shared" si="153"/>
        <v>Low Risk</v>
      </c>
    </row>
    <row r="1384" spans="1:42" x14ac:dyDescent="0.3">
      <c r="A1384" s="5">
        <v>31</v>
      </c>
      <c r="B1384" s="5" t="s">
        <v>43</v>
      </c>
      <c r="C1384" s="5" t="str">
        <f t="shared" si="147"/>
        <v>No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 s="5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 s="5">
        <v>3065</v>
      </c>
      <c r="U1384">
        <v>3995</v>
      </c>
      <c r="V1384">
        <v>1</v>
      </c>
      <c r="W1384" t="s">
        <v>42</v>
      </c>
      <c r="X1384" t="s">
        <v>35</v>
      </c>
      <c r="Y1384" t="str">
        <f t="shared" si="148"/>
        <v>Yes</v>
      </c>
      <c r="Z1384">
        <v>13</v>
      </c>
      <c r="AA1384">
        <v>3</v>
      </c>
      <c r="AB1384">
        <v>4</v>
      </c>
      <c r="AC1384">
        <v>80</v>
      </c>
      <c r="AD1384">
        <v>1</v>
      </c>
      <c r="AE1384" s="5">
        <v>4</v>
      </c>
      <c r="AF1384" t="str">
        <f t="shared" si="149"/>
        <v>0-5</v>
      </c>
      <c r="AG1384">
        <v>3</v>
      </c>
      <c r="AH1384">
        <v>4</v>
      </c>
      <c r="AI1384" s="5">
        <v>4</v>
      </c>
      <c r="AJ1384">
        <v>2</v>
      </c>
      <c r="AK1384">
        <v>2</v>
      </c>
      <c r="AL1384">
        <v>3</v>
      </c>
      <c r="AM1384" t="str">
        <f t="shared" si="150"/>
        <v>Below Avg</v>
      </c>
      <c r="AN1384" s="21">
        <f t="shared" si="151"/>
        <v>24.719101123595504</v>
      </c>
      <c r="AO1384" t="str">
        <f t="shared" ca="1" si="152"/>
        <v>No</v>
      </c>
      <c r="AP1384" t="str">
        <f t="shared" si="153"/>
        <v>Low Risk</v>
      </c>
    </row>
    <row r="1385" spans="1:42" x14ac:dyDescent="0.3">
      <c r="A1385" s="5">
        <v>36</v>
      </c>
      <c r="B1385" s="5" t="s">
        <v>43</v>
      </c>
      <c r="C1385" s="5" t="str">
        <f t="shared" si="147"/>
        <v>No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 s="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 s="5">
        <v>2810</v>
      </c>
      <c r="U1385">
        <v>9238</v>
      </c>
      <c r="V1385">
        <v>1</v>
      </c>
      <c r="W1385" t="s">
        <v>42</v>
      </c>
      <c r="X1385" t="s">
        <v>43</v>
      </c>
      <c r="Y1385" t="str">
        <f t="shared" si="148"/>
        <v>No</v>
      </c>
      <c r="Z1385">
        <v>22</v>
      </c>
      <c r="AA1385">
        <v>4</v>
      </c>
      <c r="AB1385">
        <v>2</v>
      </c>
      <c r="AC1385">
        <v>80</v>
      </c>
      <c r="AD1385">
        <v>0</v>
      </c>
      <c r="AE1385" s="5">
        <v>5</v>
      </c>
      <c r="AF1385" t="str">
        <f t="shared" si="149"/>
        <v>0-5</v>
      </c>
      <c r="AG1385">
        <v>3</v>
      </c>
      <c r="AH1385">
        <v>3</v>
      </c>
      <c r="AI1385" s="5">
        <v>5</v>
      </c>
      <c r="AJ1385">
        <v>4</v>
      </c>
      <c r="AK1385">
        <v>0</v>
      </c>
      <c r="AL1385">
        <v>2</v>
      </c>
      <c r="AM1385" t="str">
        <f t="shared" si="150"/>
        <v>Below Avg</v>
      </c>
      <c r="AN1385" s="21">
        <f t="shared" si="151"/>
        <v>25</v>
      </c>
      <c r="AO1385" t="str">
        <f t="shared" ca="1" si="152"/>
        <v>No</v>
      </c>
      <c r="AP1385" t="str">
        <f t="shared" si="153"/>
        <v>Low Risk</v>
      </c>
    </row>
    <row r="1386" spans="1:42" x14ac:dyDescent="0.3">
      <c r="A1386" s="5">
        <v>34</v>
      </c>
      <c r="B1386" s="5" t="s">
        <v>43</v>
      </c>
      <c r="C1386" s="5" t="str">
        <f t="shared" si="147"/>
        <v>No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 s="5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 s="5">
        <v>9888</v>
      </c>
      <c r="U1386">
        <v>6770</v>
      </c>
      <c r="V1386">
        <v>1</v>
      </c>
      <c r="W1386" t="s">
        <v>42</v>
      </c>
      <c r="X1386" t="s">
        <v>43</v>
      </c>
      <c r="Y1386" t="str">
        <f t="shared" si="148"/>
        <v>No</v>
      </c>
      <c r="Z1386">
        <v>21</v>
      </c>
      <c r="AA1386">
        <v>4</v>
      </c>
      <c r="AB1386">
        <v>1</v>
      </c>
      <c r="AC1386">
        <v>80</v>
      </c>
      <c r="AD1386">
        <v>0</v>
      </c>
      <c r="AE1386" s="5">
        <v>14</v>
      </c>
      <c r="AF1386" t="str">
        <f t="shared" si="149"/>
        <v>6-15</v>
      </c>
      <c r="AG1386">
        <v>3</v>
      </c>
      <c r="AH1386">
        <v>2</v>
      </c>
      <c r="AI1386" s="5">
        <v>14</v>
      </c>
      <c r="AJ1386">
        <v>8</v>
      </c>
      <c r="AK1386">
        <v>2</v>
      </c>
      <c r="AL1386">
        <v>1</v>
      </c>
      <c r="AM1386" t="str">
        <f t="shared" si="150"/>
        <v>Ok</v>
      </c>
      <c r="AN1386" s="21">
        <f t="shared" si="151"/>
        <v>24.137931034482758</v>
      </c>
      <c r="AO1386" t="str">
        <f t="shared" ca="1" si="152"/>
        <v>No</v>
      </c>
      <c r="AP1386" t="str">
        <f t="shared" si="153"/>
        <v>Low Risk</v>
      </c>
    </row>
    <row r="1387" spans="1:42" x14ac:dyDescent="0.3">
      <c r="A1387" s="5">
        <v>34</v>
      </c>
      <c r="B1387" s="5" t="s">
        <v>43</v>
      </c>
      <c r="C1387" s="5" t="str">
        <f t="shared" si="147"/>
        <v>No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 s="5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 s="5">
        <v>8628</v>
      </c>
      <c r="U1387">
        <v>22914</v>
      </c>
      <c r="V1387">
        <v>1</v>
      </c>
      <c r="W1387" t="s">
        <v>42</v>
      </c>
      <c r="X1387" t="s">
        <v>43</v>
      </c>
      <c r="Y1387" t="str">
        <f t="shared" si="148"/>
        <v>No</v>
      </c>
      <c r="Z1387">
        <v>18</v>
      </c>
      <c r="AA1387">
        <v>3</v>
      </c>
      <c r="AB1387">
        <v>3</v>
      </c>
      <c r="AC1387">
        <v>80</v>
      </c>
      <c r="AD1387">
        <v>1</v>
      </c>
      <c r="AE1387" s="5">
        <v>9</v>
      </c>
      <c r="AF1387" t="str">
        <f t="shared" si="149"/>
        <v>6-15</v>
      </c>
      <c r="AG1387">
        <v>2</v>
      </c>
      <c r="AH1387">
        <v>2</v>
      </c>
      <c r="AI1387" s="5">
        <v>8</v>
      </c>
      <c r="AJ1387">
        <v>7</v>
      </c>
      <c r="AK1387">
        <v>1</v>
      </c>
      <c r="AL1387">
        <v>1</v>
      </c>
      <c r="AM1387" t="str">
        <f t="shared" si="150"/>
        <v>Ok</v>
      </c>
      <c r="AN1387" s="21">
        <f t="shared" si="151"/>
        <v>24.418604651162788</v>
      </c>
      <c r="AO1387" t="str">
        <f t="shared" ca="1" si="152"/>
        <v>No</v>
      </c>
      <c r="AP1387" t="str">
        <f t="shared" si="153"/>
        <v>Low Risk</v>
      </c>
    </row>
    <row r="1388" spans="1:42" x14ac:dyDescent="0.3">
      <c r="A1388" s="5">
        <v>26</v>
      </c>
      <c r="B1388" s="5" t="s">
        <v>43</v>
      </c>
      <c r="C1388" s="5" t="str">
        <f t="shared" si="147"/>
        <v>No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 s="5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 s="5">
        <v>2867</v>
      </c>
      <c r="U1388">
        <v>20006</v>
      </c>
      <c r="V1388">
        <v>0</v>
      </c>
      <c r="W1388" t="s">
        <v>42</v>
      </c>
      <c r="X1388" t="s">
        <v>43</v>
      </c>
      <c r="Y1388" t="str">
        <f t="shared" si="148"/>
        <v>No</v>
      </c>
      <c r="Z1388">
        <v>13</v>
      </c>
      <c r="AA1388">
        <v>3</v>
      </c>
      <c r="AB1388">
        <v>4</v>
      </c>
      <c r="AC1388">
        <v>80</v>
      </c>
      <c r="AD1388">
        <v>0</v>
      </c>
      <c r="AE1388" s="5">
        <v>8</v>
      </c>
      <c r="AF1388" t="str">
        <f t="shared" si="149"/>
        <v>6-15</v>
      </c>
      <c r="AG1388">
        <v>6</v>
      </c>
      <c r="AH1388">
        <v>2</v>
      </c>
      <c r="AI1388" s="5">
        <v>7</v>
      </c>
      <c r="AJ1388">
        <v>7</v>
      </c>
      <c r="AK1388">
        <v>7</v>
      </c>
      <c r="AL1388">
        <v>6</v>
      </c>
      <c r="AM1388" t="str">
        <f t="shared" si="150"/>
        <v>Below Avg</v>
      </c>
      <c r="AN1388" s="21">
        <f t="shared" si="151"/>
        <v>24.705882352941178</v>
      </c>
      <c r="AO1388" t="str">
        <f t="shared" ca="1" si="152"/>
        <v>No</v>
      </c>
      <c r="AP1388" t="str">
        <f t="shared" si="153"/>
        <v>Low Risk</v>
      </c>
    </row>
    <row r="1389" spans="1:42" x14ac:dyDescent="0.3">
      <c r="A1389" s="5">
        <v>29</v>
      </c>
      <c r="B1389" s="5" t="s">
        <v>43</v>
      </c>
      <c r="C1389" s="5" t="str">
        <f t="shared" si="147"/>
        <v>No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 s="5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 s="5">
        <v>5373</v>
      </c>
      <c r="U1389">
        <v>6225</v>
      </c>
      <c r="V1389">
        <v>0</v>
      </c>
      <c r="W1389" t="s">
        <v>42</v>
      </c>
      <c r="X1389" t="s">
        <v>43</v>
      </c>
      <c r="Y1389" t="str">
        <f t="shared" si="148"/>
        <v>No</v>
      </c>
      <c r="Z1389">
        <v>12</v>
      </c>
      <c r="AA1389">
        <v>3</v>
      </c>
      <c r="AB1389">
        <v>1</v>
      </c>
      <c r="AC1389">
        <v>80</v>
      </c>
      <c r="AD1389">
        <v>1</v>
      </c>
      <c r="AE1389" s="5">
        <v>6</v>
      </c>
      <c r="AF1389" t="str">
        <f t="shared" si="149"/>
        <v>6-15</v>
      </c>
      <c r="AG1389">
        <v>5</v>
      </c>
      <c r="AH1389">
        <v>2</v>
      </c>
      <c r="AI1389" s="5">
        <v>5</v>
      </c>
      <c r="AJ1389">
        <v>3</v>
      </c>
      <c r="AK1389">
        <v>0</v>
      </c>
      <c r="AL1389">
        <v>2</v>
      </c>
      <c r="AM1389" t="str">
        <f t="shared" si="150"/>
        <v>Below Avg</v>
      </c>
      <c r="AN1389" s="21">
        <f t="shared" si="151"/>
        <v>25</v>
      </c>
      <c r="AO1389" t="str">
        <f t="shared" ca="1" si="152"/>
        <v>No</v>
      </c>
      <c r="AP1389" t="str">
        <f t="shared" si="153"/>
        <v>Low Risk</v>
      </c>
    </row>
    <row r="1390" spans="1:42" x14ac:dyDescent="0.3">
      <c r="A1390" s="5">
        <v>32</v>
      </c>
      <c r="B1390" s="5" t="s">
        <v>43</v>
      </c>
      <c r="C1390" s="5" t="str">
        <f t="shared" si="147"/>
        <v>No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 s="5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 s="5">
        <v>6667</v>
      </c>
      <c r="U1390">
        <v>16542</v>
      </c>
      <c r="V1390">
        <v>5</v>
      </c>
      <c r="W1390" t="s">
        <v>42</v>
      </c>
      <c r="X1390" t="s">
        <v>43</v>
      </c>
      <c r="Y1390" t="str">
        <f t="shared" si="148"/>
        <v>No</v>
      </c>
      <c r="Z1390">
        <v>18</v>
      </c>
      <c r="AA1390">
        <v>3</v>
      </c>
      <c r="AB1390">
        <v>2</v>
      </c>
      <c r="AC1390">
        <v>80</v>
      </c>
      <c r="AD1390">
        <v>1</v>
      </c>
      <c r="AE1390" s="5">
        <v>9</v>
      </c>
      <c r="AF1390" t="str">
        <f t="shared" si="149"/>
        <v>6-15</v>
      </c>
      <c r="AG1390">
        <v>6</v>
      </c>
      <c r="AH1390">
        <v>3</v>
      </c>
      <c r="AI1390" s="5">
        <v>5</v>
      </c>
      <c r="AJ1390">
        <v>1</v>
      </c>
      <c r="AK1390">
        <v>1</v>
      </c>
      <c r="AL1390">
        <v>2</v>
      </c>
      <c r="AM1390" t="str">
        <f t="shared" si="150"/>
        <v>Ok</v>
      </c>
      <c r="AN1390" s="21">
        <f t="shared" si="151"/>
        <v>25.301204819277107</v>
      </c>
      <c r="AO1390" t="str">
        <f t="shared" ca="1" si="152"/>
        <v>No</v>
      </c>
      <c r="AP1390" t="str">
        <f t="shared" si="153"/>
        <v>Low Risk</v>
      </c>
    </row>
    <row r="1391" spans="1:42" x14ac:dyDescent="0.3">
      <c r="A1391" s="5">
        <v>31</v>
      </c>
      <c r="B1391" s="5" t="s">
        <v>43</v>
      </c>
      <c r="C1391" s="5" t="str">
        <f t="shared" si="147"/>
        <v>No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 s="5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 s="5">
        <v>5003</v>
      </c>
      <c r="U1391">
        <v>5771</v>
      </c>
      <c r="V1391">
        <v>1</v>
      </c>
      <c r="W1391" t="s">
        <v>42</v>
      </c>
      <c r="X1391" t="s">
        <v>43</v>
      </c>
      <c r="Y1391" t="str">
        <f t="shared" si="148"/>
        <v>No</v>
      </c>
      <c r="Z1391">
        <v>21</v>
      </c>
      <c r="AA1391">
        <v>4</v>
      </c>
      <c r="AB1391">
        <v>2</v>
      </c>
      <c r="AC1391">
        <v>80</v>
      </c>
      <c r="AD1391">
        <v>0</v>
      </c>
      <c r="AE1391" s="5">
        <v>10</v>
      </c>
      <c r="AF1391" t="str">
        <f t="shared" si="149"/>
        <v>6-15</v>
      </c>
      <c r="AG1391">
        <v>6</v>
      </c>
      <c r="AH1391">
        <v>3</v>
      </c>
      <c r="AI1391" s="5">
        <v>10</v>
      </c>
      <c r="AJ1391">
        <v>8</v>
      </c>
      <c r="AK1391">
        <v>8</v>
      </c>
      <c r="AL1391">
        <v>7</v>
      </c>
      <c r="AM1391" t="str">
        <f t="shared" si="150"/>
        <v>Below Avg</v>
      </c>
      <c r="AN1391" s="21">
        <f t="shared" si="151"/>
        <v>25.609756097560975</v>
      </c>
      <c r="AO1391" t="str">
        <f t="shared" ca="1" si="152"/>
        <v>No</v>
      </c>
      <c r="AP1391" t="str">
        <f t="shared" si="153"/>
        <v>Low Risk</v>
      </c>
    </row>
    <row r="1392" spans="1:42" x14ac:dyDescent="0.3">
      <c r="A1392" s="5">
        <v>28</v>
      </c>
      <c r="B1392" s="5" t="s">
        <v>35</v>
      </c>
      <c r="C1392" s="5" t="str">
        <f t="shared" si="147"/>
        <v>Yes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 s="5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 s="5">
        <v>2367</v>
      </c>
      <c r="U1392">
        <v>18779</v>
      </c>
      <c r="V1392">
        <v>5</v>
      </c>
      <c r="W1392" t="s">
        <v>42</v>
      </c>
      <c r="X1392" t="s">
        <v>43</v>
      </c>
      <c r="Y1392" t="str">
        <f t="shared" si="148"/>
        <v>No</v>
      </c>
      <c r="Z1392">
        <v>12</v>
      </c>
      <c r="AA1392">
        <v>3</v>
      </c>
      <c r="AB1392">
        <v>1</v>
      </c>
      <c r="AC1392">
        <v>80</v>
      </c>
      <c r="AD1392">
        <v>1</v>
      </c>
      <c r="AE1392" s="5">
        <v>6</v>
      </c>
      <c r="AF1392" t="str">
        <f t="shared" si="149"/>
        <v>6-15</v>
      </c>
      <c r="AG1392">
        <v>2</v>
      </c>
      <c r="AH1392">
        <v>2</v>
      </c>
      <c r="AI1392" s="5">
        <v>4</v>
      </c>
      <c r="AJ1392">
        <v>1</v>
      </c>
      <c r="AK1392">
        <v>0</v>
      </c>
      <c r="AL1392">
        <v>3</v>
      </c>
      <c r="AM1392" t="str">
        <f t="shared" si="150"/>
        <v>Below Avg</v>
      </c>
      <c r="AN1392" s="21">
        <f t="shared" si="151"/>
        <v>25.925925925925924</v>
      </c>
      <c r="AO1392" t="str">
        <f t="shared" ca="1" si="152"/>
        <v>No</v>
      </c>
      <c r="AP1392" t="str">
        <f t="shared" si="153"/>
        <v>Low Risk</v>
      </c>
    </row>
    <row r="1393" spans="1:42" x14ac:dyDescent="0.3">
      <c r="A1393" s="5">
        <v>38</v>
      </c>
      <c r="B1393" s="5" t="s">
        <v>43</v>
      </c>
      <c r="C1393" s="5" t="str">
        <f t="shared" si="147"/>
        <v>No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 s="5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 s="5">
        <v>2858</v>
      </c>
      <c r="U1393">
        <v>11473</v>
      </c>
      <c r="V1393">
        <v>4</v>
      </c>
      <c r="W1393" t="s">
        <v>42</v>
      </c>
      <c r="X1393" t="s">
        <v>43</v>
      </c>
      <c r="Y1393" t="str">
        <f t="shared" si="148"/>
        <v>No</v>
      </c>
      <c r="Z1393">
        <v>14</v>
      </c>
      <c r="AA1393">
        <v>3</v>
      </c>
      <c r="AB1393">
        <v>1</v>
      </c>
      <c r="AC1393">
        <v>80</v>
      </c>
      <c r="AD1393">
        <v>0</v>
      </c>
      <c r="AE1393" s="5">
        <v>20</v>
      </c>
      <c r="AF1393" t="str">
        <f t="shared" si="149"/>
        <v>&gt;15</v>
      </c>
      <c r="AG1393">
        <v>3</v>
      </c>
      <c r="AH1393">
        <v>2</v>
      </c>
      <c r="AI1393" s="5">
        <v>1</v>
      </c>
      <c r="AJ1393">
        <v>0</v>
      </c>
      <c r="AK1393">
        <v>0</v>
      </c>
      <c r="AL1393">
        <v>0</v>
      </c>
      <c r="AM1393" t="str">
        <f t="shared" si="150"/>
        <v>Below Avg</v>
      </c>
      <c r="AN1393" s="21">
        <f t="shared" si="151"/>
        <v>26.25</v>
      </c>
      <c r="AO1393" t="str">
        <f t="shared" ca="1" si="152"/>
        <v>No</v>
      </c>
      <c r="AP1393" t="str">
        <f t="shared" si="153"/>
        <v>Low Risk</v>
      </c>
    </row>
    <row r="1394" spans="1:42" x14ac:dyDescent="0.3">
      <c r="A1394" s="5">
        <v>35</v>
      </c>
      <c r="B1394" s="5" t="s">
        <v>43</v>
      </c>
      <c r="C1394" s="5" t="str">
        <f t="shared" si="147"/>
        <v>No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 s="5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 s="5">
        <v>5204</v>
      </c>
      <c r="U1394">
        <v>13586</v>
      </c>
      <c r="V1394">
        <v>1</v>
      </c>
      <c r="W1394" t="s">
        <v>42</v>
      </c>
      <c r="X1394" t="s">
        <v>35</v>
      </c>
      <c r="Y1394" t="str">
        <f t="shared" si="148"/>
        <v>Yes</v>
      </c>
      <c r="Z1394">
        <v>11</v>
      </c>
      <c r="AA1394">
        <v>3</v>
      </c>
      <c r="AB1394">
        <v>4</v>
      </c>
      <c r="AC1394">
        <v>80</v>
      </c>
      <c r="AD1394">
        <v>0</v>
      </c>
      <c r="AE1394" s="5">
        <v>10</v>
      </c>
      <c r="AF1394" t="str">
        <f t="shared" si="149"/>
        <v>6-15</v>
      </c>
      <c r="AG1394">
        <v>2</v>
      </c>
      <c r="AH1394">
        <v>3</v>
      </c>
      <c r="AI1394" s="5">
        <v>10</v>
      </c>
      <c r="AJ1394">
        <v>8</v>
      </c>
      <c r="AK1394">
        <v>0</v>
      </c>
      <c r="AL1394">
        <v>9</v>
      </c>
      <c r="AM1394" t="str">
        <f t="shared" si="150"/>
        <v>Below Avg</v>
      </c>
      <c r="AN1394" s="21">
        <f t="shared" si="151"/>
        <v>26.582278481012654</v>
      </c>
      <c r="AO1394" t="str">
        <f t="shared" ca="1" si="152"/>
        <v>No</v>
      </c>
      <c r="AP1394" t="str">
        <f t="shared" si="153"/>
        <v>Low Risk</v>
      </c>
    </row>
    <row r="1395" spans="1:42" x14ac:dyDescent="0.3">
      <c r="A1395" s="5">
        <v>27</v>
      </c>
      <c r="B1395" s="5" t="s">
        <v>43</v>
      </c>
      <c r="C1395" s="5" t="str">
        <f t="shared" si="147"/>
        <v>No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 s="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 s="5">
        <v>4105</v>
      </c>
      <c r="U1395">
        <v>5099</v>
      </c>
      <c r="V1395">
        <v>1</v>
      </c>
      <c r="W1395" t="s">
        <v>42</v>
      </c>
      <c r="X1395" t="s">
        <v>43</v>
      </c>
      <c r="Y1395" t="str">
        <f t="shared" si="148"/>
        <v>No</v>
      </c>
      <c r="Z1395">
        <v>14</v>
      </c>
      <c r="AA1395">
        <v>3</v>
      </c>
      <c r="AB1395">
        <v>1</v>
      </c>
      <c r="AC1395">
        <v>80</v>
      </c>
      <c r="AD1395">
        <v>0</v>
      </c>
      <c r="AE1395" s="5">
        <v>7</v>
      </c>
      <c r="AF1395" t="str">
        <f t="shared" si="149"/>
        <v>6-15</v>
      </c>
      <c r="AG1395">
        <v>5</v>
      </c>
      <c r="AH1395">
        <v>3</v>
      </c>
      <c r="AI1395" s="5">
        <v>7</v>
      </c>
      <c r="AJ1395">
        <v>7</v>
      </c>
      <c r="AK1395">
        <v>0</v>
      </c>
      <c r="AL1395">
        <v>7</v>
      </c>
      <c r="AM1395" t="str">
        <f t="shared" si="150"/>
        <v>Below Avg</v>
      </c>
      <c r="AN1395" s="21">
        <f t="shared" si="151"/>
        <v>26.923076923076923</v>
      </c>
      <c r="AO1395" t="str">
        <f t="shared" ca="1" si="152"/>
        <v>No</v>
      </c>
      <c r="AP1395" t="str">
        <f t="shared" si="153"/>
        <v>Low Risk</v>
      </c>
    </row>
    <row r="1396" spans="1:42" x14ac:dyDescent="0.3">
      <c r="A1396" s="5">
        <v>32</v>
      </c>
      <c r="B1396" s="5" t="s">
        <v>43</v>
      </c>
      <c r="C1396" s="5" t="str">
        <f t="shared" si="147"/>
        <v>No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 s="5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 s="5">
        <v>9679</v>
      </c>
      <c r="U1396">
        <v>10138</v>
      </c>
      <c r="V1396">
        <v>8</v>
      </c>
      <c r="W1396" t="s">
        <v>42</v>
      </c>
      <c r="X1396" t="s">
        <v>43</v>
      </c>
      <c r="Y1396" t="str">
        <f t="shared" si="148"/>
        <v>No</v>
      </c>
      <c r="Z1396">
        <v>24</v>
      </c>
      <c r="AA1396">
        <v>4</v>
      </c>
      <c r="AB1396">
        <v>2</v>
      </c>
      <c r="AC1396">
        <v>80</v>
      </c>
      <c r="AD1396">
        <v>0</v>
      </c>
      <c r="AE1396" s="5">
        <v>8</v>
      </c>
      <c r="AF1396" t="str">
        <f t="shared" si="149"/>
        <v>6-15</v>
      </c>
      <c r="AG1396">
        <v>1</v>
      </c>
      <c r="AH1396">
        <v>3</v>
      </c>
      <c r="AI1396" s="5">
        <v>1</v>
      </c>
      <c r="AJ1396">
        <v>0</v>
      </c>
      <c r="AK1396">
        <v>0</v>
      </c>
      <c r="AL1396">
        <v>0</v>
      </c>
      <c r="AM1396" t="str">
        <f t="shared" si="150"/>
        <v>Ok</v>
      </c>
      <c r="AN1396" s="21">
        <f t="shared" si="151"/>
        <v>25.97402597402597</v>
      </c>
      <c r="AO1396" t="str">
        <f t="shared" ca="1" si="152"/>
        <v>No</v>
      </c>
      <c r="AP1396" t="str">
        <f t="shared" si="153"/>
        <v>Low Risk</v>
      </c>
    </row>
    <row r="1397" spans="1:42" x14ac:dyDescent="0.3">
      <c r="A1397" s="5">
        <v>31</v>
      </c>
      <c r="B1397" s="5" t="s">
        <v>35</v>
      </c>
      <c r="C1397" s="5" t="str">
        <f t="shared" si="147"/>
        <v>Yes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 s="5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 s="5">
        <v>5617</v>
      </c>
      <c r="U1397">
        <v>21075</v>
      </c>
      <c r="V1397">
        <v>1</v>
      </c>
      <c r="W1397" t="s">
        <v>42</v>
      </c>
      <c r="X1397" t="s">
        <v>35</v>
      </c>
      <c r="Y1397" t="str">
        <f t="shared" si="148"/>
        <v>Yes</v>
      </c>
      <c r="Z1397">
        <v>11</v>
      </c>
      <c r="AA1397">
        <v>3</v>
      </c>
      <c r="AB1397">
        <v>3</v>
      </c>
      <c r="AC1397">
        <v>80</v>
      </c>
      <c r="AD1397">
        <v>0</v>
      </c>
      <c r="AE1397" s="5">
        <v>10</v>
      </c>
      <c r="AF1397" t="str">
        <f t="shared" si="149"/>
        <v>6-15</v>
      </c>
      <c r="AG1397">
        <v>4</v>
      </c>
      <c r="AH1397">
        <v>3</v>
      </c>
      <c r="AI1397" s="5">
        <v>10</v>
      </c>
      <c r="AJ1397">
        <v>7</v>
      </c>
      <c r="AK1397">
        <v>0</v>
      </c>
      <c r="AL1397">
        <v>8</v>
      </c>
      <c r="AM1397" t="str">
        <f t="shared" si="150"/>
        <v>Below Avg</v>
      </c>
      <c r="AN1397" s="21">
        <f t="shared" si="151"/>
        <v>26.315789473684209</v>
      </c>
      <c r="AO1397" t="str">
        <f t="shared" ca="1" si="152"/>
        <v>No</v>
      </c>
      <c r="AP1397" t="str">
        <f t="shared" si="153"/>
        <v>Low Risk</v>
      </c>
    </row>
    <row r="1398" spans="1:42" x14ac:dyDescent="0.3">
      <c r="A1398" s="5">
        <v>53</v>
      </c>
      <c r="B1398" s="5" t="s">
        <v>35</v>
      </c>
      <c r="C1398" s="5" t="str">
        <f t="shared" si="147"/>
        <v>Yes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 s="5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 s="5">
        <v>10448</v>
      </c>
      <c r="U1398">
        <v>5843</v>
      </c>
      <c r="V1398">
        <v>6</v>
      </c>
      <c r="W1398" t="s">
        <v>42</v>
      </c>
      <c r="X1398" t="s">
        <v>35</v>
      </c>
      <c r="Y1398" t="str">
        <f t="shared" si="148"/>
        <v>Yes</v>
      </c>
      <c r="Z1398">
        <v>13</v>
      </c>
      <c r="AA1398">
        <v>3</v>
      </c>
      <c r="AB1398">
        <v>2</v>
      </c>
      <c r="AC1398">
        <v>80</v>
      </c>
      <c r="AD1398">
        <v>0</v>
      </c>
      <c r="AE1398" s="5">
        <v>15</v>
      </c>
      <c r="AF1398" t="str">
        <f t="shared" si="149"/>
        <v>6-15</v>
      </c>
      <c r="AG1398">
        <v>2</v>
      </c>
      <c r="AH1398">
        <v>2</v>
      </c>
      <c r="AI1398" s="5">
        <v>2</v>
      </c>
      <c r="AJ1398">
        <v>2</v>
      </c>
      <c r="AK1398">
        <v>2</v>
      </c>
      <c r="AL1398">
        <v>2</v>
      </c>
      <c r="AM1398" t="str">
        <f t="shared" si="150"/>
        <v>Ok</v>
      </c>
      <c r="AN1398" s="21">
        <f t="shared" si="151"/>
        <v>26.666666666666668</v>
      </c>
      <c r="AO1398" t="str">
        <f t="shared" ca="1" si="152"/>
        <v>No</v>
      </c>
      <c r="AP1398" t="str">
        <f t="shared" si="153"/>
        <v>Low Risk</v>
      </c>
    </row>
    <row r="1399" spans="1:42" x14ac:dyDescent="0.3">
      <c r="A1399" s="5">
        <v>54</v>
      </c>
      <c r="B1399" s="5" t="s">
        <v>43</v>
      </c>
      <c r="C1399" s="5" t="str">
        <f t="shared" si="147"/>
        <v>No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 s="5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 s="5">
        <v>2897</v>
      </c>
      <c r="U1399">
        <v>22474</v>
      </c>
      <c r="V1399">
        <v>3</v>
      </c>
      <c r="W1399" t="s">
        <v>42</v>
      </c>
      <c r="X1399" t="s">
        <v>43</v>
      </c>
      <c r="Y1399" t="str">
        <f t="shared" si="148"/>
        <v>No</v>
      </c>
      <c r="Z1399">
        <v>11</v>
      </c>
      <c r="AA1399">
        <v>3</v>
      </c>
      <c r="AB1399">
        <v>3</v>
      </c>
      <c r="AC1399">
        <v>80</v>
      </c>
      <c r="AD1399">
        <v>2</v>
      </c>
      <c r="AE1399" s="5">
        <v>9</v>
      </c>
      <c r="AF1399" t="str">
        <f t="shared" si="149"/>
        <v>6-15</v>
      </c>
      <c r="AG1399">
        <v>6</v>
      </c>
      <c r="AH1399">
        <v>2</v>
      </c>
      <c r="AI1399" s="5">
        <v>4</v>
      </c>
      <c r="AJ1399">
        <v>3</v>
      </c>
      <c r="AK1399">
        <v>2</v>
      </c>
      <c r="AL1399">
        <v>3</v>
      </c>
      <c r="AM1399" t="str">
        <f t="shared" si="150"/>
        <v>Below Avg</v>
      </c>
      <c r="AN1399" s="21">
        <f t="shared" si="151"/>
        <v>25.675675675675674</v>
      </c>
      <c r="AO1399" t="str">
        <f t="shared" ca="1" si="152"/>
        <v>No</v>
      </c>
      <c r="AP1399" t="str">
        <f t="shared" si="153"/>
        <v>Low Risk</v>
      </c>
    </row>
    <row r="1400" spans="1:42" x14ac:dyDescent="0.3">
      <c r="A1400" s="5">
        <v>33</v>
      </c>
      <c r="B1400" s="5" t="s">
        <v>43</v>
      </c>
      <c r="C1400" s="5" t="str">
        <f t="shared" si="147"/>
        <v>No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 s="5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 s="5">
        <v>5968</v>
      </c>
      <c r="U1400">
        <v>18079</v>
      </c>
      <c r="V1400">
        <v>1</v>
      </c>
      <c r="W1400" t="s">
        <v>42</v>
      </c>
      <c r="X1400" t="s">
        <v>43</v>
      </c>
      <c r="Y1400" t="str">
        <f t="shared" si="148"/>
        <v>No</v>
      </c>
      <c r="Z1400">
        <v>20</v>
      </c>
      <c r="AA1400">
        <v>4</v>
      </c>
      <c r="AB1400">
        <v>3</v>
      </c>
      <c r="AC1400">
        <v>80</v>
      </c>
      <c r="AD1400">
        <v>3</v>
      </c>
      <c r="AE1400" s="5">
        <v>9</v>
      </c>
      <c r="AF1400" t="str">
        <f t="shared" si="149"/>
        <v>6-15</v>
      </c>
      <c r="AG1400">
        <v>2</v>
      </c>
      <c r="AH1400">
        <v>3</v>
      </c>
      <c r="AI1400" s="5">
        <v>9</v>
      </c>
      <c r="AJ1400">
        <v>7</v>
      </c>
      <c r="AK1400">
        <v>2</v>
      </c>
      <c r="AL1400">
        <v>8</v>
      </c>
      <c r="AM1400" t="str">
        <f t="shared" si="150"/>
        <v>Ok</v>
      </c>
      <c r="AN1400" s="21">
        <f t="shared" si="151"/>
        <v>24.657534246575342</v>
      </c>
      <c r="AO1400" t="str">
        <f t="shared" ca="1" si="152"/>
        <v>No</v>
      </c>
      <c r="AP1400" t="str">
        <f t="shared" si="153"/>
        <v>Low Risk</v>
      </c>
    </row>
    <row r="1401" spans="1:42" x14ac:dyDescent="0.3">
      <c r="A1401" s="5">
        <v>43</v>
      </c>
      <c r="B1401" s="5" t="s">
        <v>43</v>
      </c>
      <c r="C1401" s="5" t="str">
        <f t="shared" si="147"/>
        <v>No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 s="5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 s="5">
        <v>7510</v>
      </c>
      <c r="U1401">
        <v>16873</v>
      </c>
      <c r="V1401">
        <v>1</v>
      </c>
      <c r="W1401" t="s">
        <v>42</v>
      </c>
      <c r="X1401" t="s">
        <v>43</v>
      </c>
      <c r="Y1401" t="str">
        <f t="shared" si="148"/>
        <v>No</v>
      </c>
      <c r="Z1401">
        <v>17</v>
      </c>
      <c r="AA1401">
        <v>3</v>
      </c>
      <c r="AB1401">
        <v>2</v>
      </c>
      <c r="AC1401">
        <v>80</v>
      </c>
      <c r="AD1401">
        <v>1</v>
      </c>
      <c r="AE1401" s="5">
        <v>10</v>
      </c>
      <c r="AF1401" t="str">
        <f t="shared" si="149"/>
        <v>6-15</v>
      </c>
      <c r="AG1401">
        <v>1</v>
      </c>
      <c r="AH1401">
        <v>3</v>
      </c>
      <c r="AI1401" s="5">
        <v>10</v>
      </c>
      <c r="AJ1401">
        <v>9</v>
      </c>
      <c r="AK1401">
        <v>0</v>
      </c>
      <c r="AL1401">
        <v>9</v>
      </c>
      <c r="AM1401" t="str">
        <f t="shared" si="150"/>
        <v>Ok</v>
      </c>
      <c r="AN1401" s="21">
        <f t="shared" si="151"/>
        <v>25</v>
      </c>
      <c r="AO1401" t="str">
        <f t="shared" ca="1" si="152"/>
        <v>No</v>
      </c>
      <c r="AP1401" t="str">
        <f t="shared" si="153"/>
        <v>Low Risk</v>
      </c>
    </row>
    <row r="1402" spans="1:42" x14ac:dyDescent="0.3">
      <c r="A1402" s="5">
        <v>38</v>
      </c>
      <c r="B1402" s="5" t="s">
        <v>43</v>
      </c>
      <c r="C1402" s="5" t="str">
        <f t="shared" si="147"/>
        <v>No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 s="5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 s="5">
        <v>2991</v>
      </c>
      <c r="U1402">
        <v>5224</v>
      </c>
      <c r="V1402">
        <v>0</v>
      </c>
      <c r="W1402" t="s">
        <v>42</v>
      </c>
      <c r="X1402" t="s">
        <v>35</v>
      </c>
      <c r="Y1402" t="str">
        <f t="shared" si="148"/>
        <v>Yes</v>
      </c>
      <c r="Z1402">
        <v>11</v>
      </c>
      <c r="AA1402">
        <v>3</v>
      </c>
      <c r="AB1402">
        <v>2</v>
      </c>
      <c r="AC1402">
        <v>80</v>
      </c>
      <c r="AD1402">
        <v>1</v>
      </c>
      <c r="AE1402" s="5">
        <v>7</v>
      </c>
      <c r="AF1402" t="str">
        <f t="shared" si="149"/>
        <v>6-15</v>
      </c>
      <c r="AG1402">
        <v>2</v>
      </c>
      <c r="AH1402">
        <v>3</v>
      </c>
      <c r="AI1402" s="5">
        <v>6</v>
      </c>
      <c r="AJ1402">
        <v>2</v>
      </c>
      <c r="AK1402">
        <v>1</v>
      </c>
      <c r="AL1402">
        <v>2</v>
      </c>
      <c r="AM1402" t="str">
        <f t="shared" si="150"/>
        <v>Below Avg</v>
      </c>
      <c r="AN1402" s="21">
        <f t="shared" si="151"/>
        <v>25.352112676056336</v>
      </c>
      <c r="AO1402" t="str">
        <f t="shared" ca="1" si="152"/>
        <v>No</v>
      </c>
      <c r="AP1402" t="str">
        <f t="shared" si="153"/>
        <v>Low Risk</v>
      </c>
    </row>
    <row r="1403" spans="1:42" x14ac:dyDescent="0.3">
      <c r="A1403" s="5">
        <v>55</v>
      </c>
      <c r="B1403" s="5" t="s">
        <v>43</v>
      </c>
      <c r="C1403" s="5" t="str">
        <f t="shared" si="147"/>
        <v>No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 s="5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 s="5">
        <v>19636</v>
      </c>
      <c r="U1403">
        <v>25811</v>
      </c>
      <c r="V1403">
        <v>4</v>
      </c>
      <c r="W1403" t="s">
        <v>42</v>
      </c>
      <c r="X1403" t="s">
        <v>35</v>
      </c>
      <c r="Y1403" t="str">
        <f t="shared" si="148"/>
        <v>Yes</v>
      </c>
      <c r="Z1403">
        <v>18</v>
      </c>
      <c r="AA1403">
        <v>3</v>
      </c>
      <c r="AB1403">
        <v>1</v>
      </c>
      <c r="AC1403">
        <v>80</v>
      </c>
      <c r="AD1403">
        <v>1</v>
      </c>
      <c r="AE1403" s="5">
        <v>35</v>
      </c>
      <c r="AF1403" t="str">
        <f t="shared" si="149"/>
        <v>&gt;15</v>
      </c>
      <c r="AG1403">
        <v>0</v>
      </c>
      <c r="AH1403">
        <v>3</v>
      </c>
      <c r="AI1403" s="5">
        <v>10</v>
      </c>
      <c r="AJ1403">
        <v>9</v>
      </c>
      <c r="AK1403">
        <v>1</v>
      </c>
      <c r="AL1403">
        <v>4</v>
      </c>
      <c r="AM1403" t="str">
        <f t="shared" si="150"/>
        <v>Ok</v>
      </c>
      <c r="AN1403" s="21">
        <f t="shared" si="151"/>
        <v>25.714285714285712</v>
      </c>
      <c r="AO1403" t="str">
        <f t="shared" ca="1" si="152"/>
        <v>No</v>
      </c>
      <c r="AP1403" t="str">
        <f t="shared" si="153"/>
        <v>Low Risk</v>
      </c>
    </row>
    <row r="1404" spans="1:42" x14ac:dyDescent="0.3">
      <c r="A1404" s="5">
        <v>31</v>
      </c>
      <c r="B1404" s="5" t="s">
        <v>43</v>
      </c>
      <c r="C1404" s="5" t="str">
        <f t="shared" si="147"/>
        <v>No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 s="5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 s="5">
        <v>1129</v>
      </c>
      <c r="U1404">
        <v>17536</v>
      </c>
      <c r="V1404">
        <v>1</v>
      </c>
      <c r="W1404" t="s">
        <v>42</v>
      </c>
      <c r="X1404" t="s">
        <v>35</v>
      </c>
      <c r="Y1404" t="str">
        <f t="shared" si="148"/>
        <v>Yes</v>
      </c>
      <c r="Z1404">
        <v>11</v>
      </c>
      <c r="AA1404">
        <v>3</v>
      </c>
      <c r="AB1404">
        <v>3</v>
      </c>
      <c r="AC1404">
        <v>80</v>
      </c>
      <c r="AD1404">
        <v>3</v>
      </c>
      <c r="AE1404" s="5">
        <v>1</v>
      </c>
      <c r="AF1404" t="str">
        <f t="shared" si="149"/>
        <v>0-5</v>
      </c>
      <c r="AG1404">
        <v>4</v>
      </c>
      <c r="AH1404">
        <v>3</v>
      </c>
      <c r="AI1404" s="5">
        <v>1</v>
      </c>
      <c r="AJ1404">
        <v>0</v>
      </c>
      <c r="AK1404">
        <v>0</v>
      </c>
      <c r="AL1404">
        <v>0</v>
      </c>
      <c r="AM1404" t="str">
        <f t="shared" si="150"/>
        <v>Below Avg</v>
      </c>
      <c r="AN1404" s="21">
        <f t="shared" si="151"/>
        <v>24.637681159420293</v>
      </c>
      <c r="AO1404" t="str">
        <f t="shared" ca="1" si="152"/>
        <v>No</v>
      </c>
      <c r="AP1404" t="str">
        <f t="shared" si="153"/>
        <v>Low Risk</v>
      </c>
    </row>
    <row r="1405" spans="1:42" x14ac:dyDescent="0.3">
      <c r="A1405" s="5">
        <v>39</v>
      </c>
      <c r="B1405" s="5" t="s">
        <v>43</v>
      </c>
      <c r="C1405" s="5" t="str">
        <f t="shared" si="147"/>
        <v>No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 s="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 s="5">
        <v>13341</v>
      </c>
      <c r="U1405">
        <v>25098</v>
      </c>
      <c r="V1405">
        <v>0</v>
      </c>
      <c r="W1405" t="s">
        <v>42</v>
      </c>
      <c r="X1405" t="s">
        <v>43</v>
      </c>
      <c r="Y1405" t="str">
        <f t="shared" si="148"/>
        <v>No</v>
      </c>
      <c r="Z1405">
        <v>12</v>
      </c>
      <c r="AA1405">
        <v>3</v>
      </c>
      <c r="AB1405">
        <v>1</v>
      </c>
      <c r="AC1405">
        <v>80</v>
      </c>
      <c r="AD1405">
        <v>0</v>
      </c>
      <c r="AE1405" s="5">
        <v>21</v>
      </c>
      <c r="AF1405" t="str">
        <f t="shared" si="149"/>
        <v>&gt;15</v>
      </c>
      <c r="AG1405">
        <v>3</v>
      </c>
      <c r="AH1405">
        <v>3</v>
      </c>
      <c r="AI1405" s="5">
        <v>20</v>
      </c>
      <c r="AJ1405">
        <v>8</v>
      </c>
      <c r="AK1405">
        <v>11</v>
      </c>
      <c r="AL1405">
        <v>10</v>
      </c>
      <c r="AM1405" t="str">
        <f t="shared" si="150"/>
        <v>Ok</v>
      </c>
      <c r="AN1405" s="21">
        <f t="shared" si="151"/>
        <v>23.52941176470588</v>
      </c>
      <c r="AO1405" t="str">
        <f t="shared" ca="1" si="152"/>
        <v>No</v>
      </c>
      <c r="AP1405" t="str">
        <f t="shared" si="153"/>
        <v>Low Risk</v>
      </c>
    </row>
    <row r="1406" spans="1:42" x14ac:dyDescent="0.3">
      <c r="A1406" s="5">
        <v>42</v>
      </c>
      <c r="B1406" s="5" t="s">
        <v>43</v>
      </c>
      <c r="C1406" s="5" t="str">
        <f t="shared" si="147"/>
        <v>No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 s="5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 s="5">
        <v>4332</v>
      </c>
      <c r="U1406">
        <v>14811</v>
      </c>
      <c r="V1406">
        <v>1</v>
      </c>
      <c r="W1406" t="s">
        <v>42</v>
      </c>
      <c r="X1406" t="s">
        <v>43</v>
      </c>
      <c r="Y1406" t="str">
        <f t="shared" si="148"/>
        <v>No</v>
      </c>
      <c r="Z1406">
        <v>12</v>
      </c>
      <c r="AA1406">
        <v>3</v>
      </c>
      <c r="AB1406">
        <v>4</v>
      </c>
      <c r="AC1406">
        <v>80</v>
      </c>
      <c r="AD1406">
        <v>0</v>
      </c>
      <c r="AE1406" s="5">
        <v>20</v>
      </c>
      <c r="AF1406" t="str">
        <f t="shared" si="149"/>
        <v>&gt;15</v>
      </c>
      <c r="AG1406">
        <v>2</v>
      </c>
      <c r="AH1406">
        <v>3</v>
      </c>
      <c r="AI1406" s="5">
        <v>20</v>
      </c>
      <c r="AJ1406">
        <v>9</v>
      </c>
      <c r="AK1406">
        <v>3</v>
      </c>
      <c r="AL1406">
        <v>7</v>
      </c>
      <c r="AM1406" t="str">
        <f t="shared" si="150"/>
        <v>Below Avg</v>
      </c>
      <c r="AN1406" s="21">
        <f t="shared" si="151"/>
        <v>22.388059701492537</v>
      </c>
      <c r="AO1406" t="str">
        <f t="shared" ca="1" si="152"/>
        <v>No</v>
      </c>
      <c r="AP1406" t="str">
        <f t="shared" si="153"/>
        <v>Low Risk</v>
      </c>
    </row>
    <row r="1407" spans="1:42" x14ac:dyDescent="0.3">
      <c r="A1407" s="5">
        <v>31</v>
      </c>
      <c r="B1407" s="5" t="s">
        <v>43</v>
      </c>
      <c r="C1407" s="5" t="str">
        <f t="shared" si="147"/>
        <v>No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 s="5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 s="5">
        <v>11031</v>
      </c>
      <c r="U1407">
        <v>26862</v>
      </c>
      <c r="V1407">
        <v>4</v>
      </c>
      <c r="W1407" t="s">
        <v>42</v>
      </c>
      <c r="X1407" t="s">
        <v>43</v>
      </c>
      <c r="Y1407" t="str">
        <f t="shared" si="148"/>
        <v>No</v>
      </c>
      <c r="Z1407">
        <v>20</v>
      </c>
      <c r="AA1407">
        <v>4</v>
      </c>
      <c r="AB1407">
        <v>3</v>
      </c>
      <c r="AC1407">
        <v>80</v>
      </c>
      <c r="AD1407">
        <v>1</v>
      </c>
      <c r="AE1407" s="5">
        <v>13</v>
      </c>
      <c r="AF1407" t="str">
        <f t="shared" si="149"/>
        <v>6-15</v>
      </c>
      <c r="AG1407">
        <v>2</v>
      </c>
      <c r="AH1407">
        <v>4</v>
      </c>
      <c r="AI1407" s="5">
        <v>11</v>
      </c>
      <c r="AJ1407">
        <v>7</v>
      </c>
      <c r="AK1407">
        <v>4</v>
      </c>
      <c r="AL1407">
        <v>8</v>
      </c>
      <c r="AM1407" t="str">
        <f t="shared" si="150"/>
        <v>Ok</v>
      </c>
      <c r="AN1407" s="21">
        <f t="shared" si="151"/>
        <v>22.727272727272727</v>
      </c>
      <c r="AO1407" t="str">
        <f t="shared" ca="1" si="152"/>
        <v>No</v>
      </c>
      <c r="AP1407" t="str">
        <f t="shared" si="153"/>
        <v>Low Risk</v>
      </c>
    </row>
    <row r="1408" spans="1:42" x14ac:dyDescent="0.3">
      <c r="A1408" s="5">
        <v>54</v>
      </c>
      <c r="B1408" s="5" t="s">
        <v>43</v>
      </c>
      <c r="C1408" s="5" t="str">
        <f t="shared" si="147"/>
        <v>No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 s="5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 s="5">
        <v>4440</v>
      </c>
      <c r="U1408">
        <v>25198</v>
      </c>
      <c r="V1408">
        <v>6</v>
      </c>
      <c r="W1408" t="s">
        <v>42</v>
      </c>
      <c r="X1408" t="s">
        <v>35</v>
      </c>
      <c r="Y1408" t="str">
        <f t="shared" si="148"/>
        <v>Yes</v>
      </c>
      <c r="Z1408">
        <v>19</v>
      </c>
      <c r="AA1408">
        <v>3</v>
      </c>
      <c r="AB1408">
        <v>4</v>
      </c>
      <c r="AC1408">
        <v>80</v>
      </c>
      <c r="AD1408">
        <v>0</v>
      </c>
      <c r="AE1408" s="5">
        <v>9</v>
      </c>
      <c r="AF1408" t="str">
        <f t="shared" si="149"/>
        <v>6-15</v>
      </c>
      <c r="AG1408">
        <v>3</v>
      </c>
      <c r="AH1408">
        <v>3</v>
      </c>
      <c r="AI1408" s="5">
        <v>5</v>
      </c>
      <c r="AJ1408">
        <v>2</v>
      </c>
      <c r="AK1408">
        <v>1</v>
      </c>
      <c r="AL1408">
        <v>4</v>
      </c>
      <c r="AM1408" t="str">
        <f t="shared" si="150"/>
        <v>Below Avg</v>
      </c>
      <c r="AN1408" s="21">
        <f t="shared" si="151"/>
        <v>23.076923076923077</v>
      </c>
      <c r="AO1408" t="str">
        <f t="shared" ca="1" si="152"/>
        <v>No</v>
      </c>
      <c r="AP1408" t="str">
        <f t="shared" si="153"/>
        <v>Low Risk</v>
      </c>
    </row>
    <row r="1409" spans="1:42" x14ac:dyDescent="0.3">
      <c r="A1409" s="5">
        <v>24</v>
      </c>
      <c r="B1409" s="5" t="s">
        <v>43</v>
      </c>
      <c r="C1409" s="5" t="str">
        <f t="shared" si="147"/>
        <v>No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 s="5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 s="5">
        <v>4617</v>
      </c>
      <c r="U1409">
        <v>14120</v>
      </c>
      <c r="V1409">
        <v>1</v>
      </c>
      <c r="W1409" t="s">
        <v>42</v>
      </c>
      <c r="X1409" t="s">
        <v>43</v>
      </c>
      <c r="Y1409" t="str">
        <f t="shared" si="148"/>
        <v>No</v>
      </c>
      <c r="Z1409">
        <v>12</v>
      </c>
      <c r="AA1409">
        <v>3</v>
      </c>
      <c r="AB1409">
        <v>2</v>
      </c>
      <c r="AC1409">
        <v>80</v>
      </c>
      <c r="AD1409">
        <v>0</v>
      </c>
      <c r="AE1409" s="5">
        <v>4</v>
      </c>
      <c r="AF1409" t="str">
        <f t="shared" si="149"/>
        <v>0-5</v>
      </c>
      <c r="AG1409">
        <v>2</v>
      </c>
      <c r="AH1409">
        <v>2</v>
      </c>
      <c r="AI1409" s="5">
        <v>4</v>
      </c>
      <c r="AJ1409">
        <v>3</v>
      </c>
      <c r="AK1409">
        <v>1</v>
      </c>
      <c r="AL1409">
        <v>2</v>
      </c>
      <c r="AM1409" t="str">
        <f t="shared" si="150"/>
        <v>Below Avg</v>
      </c>
      <c r="AN1409" s="21">
        <f t="shared" si="151"/>
        <v>23.4375</v>
      </c>
      <c r="AO1409" t="str">
        <f t="shared" ca="1" si="152"/>
        <v>No</v>
      </c>
      <c r="AP1409" t="str">
        <f t="shared" si="153"/>
        <v>Low Risk</v>
      </c>
    </row>
    <row r="1410" spans="1:42" x14ac:dyDescent="0.3">
      <c r="A1410" s="5">
        <v>23</v>
      </c>
      <c r="B1410" s="5" t="s">
        <v>43</v>
      </c>
      <c r="C1410" s="5" t="str">
        <f t="shared" si="147"/>
        <v>No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 s="5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 s="5">
        <v>2647</v>
      </c>
      <c r="U1410">
        <v>13672</v>
      </c>
      <c r="V1410">
        <v>1</v>
      </c>
      <c r="W1410" t="s">
        <v>42</v>
      </c>
      <c r="X1410" t="s">
        <v>43</v>
      </c>
      <c r="Y1410" t="str">
        <f t="shared" si="148"/>
        <v>No</v>
      </c>
      <c r="Z1410">
        <v>13</v>
      </c>
      <c r="AA1410">
        <v>3</v>
      </c>
      <c r="AB1410">
        <v>3</v>
      </c>
      <c r="AC1410">
        <v>80</v>
      </c>
      <c r="AD1410">
        <v>0</v>
      </c>
      <c r="AE1410" s="5">
        <v>5</v>
      </c>
      <c r="AF1410" t="str">
        <f t="shared" si="149"/>
        <v>0-5</v>
      </c>
      <c r="AG1410">
        <v>6</v>
      </c>
      <c r="AH1410">
        <v>4</v>
      </c>
      <c r="AI1410" s="5">
        <v>5</v>
      </c>
      <c r="AJ1410">
        <v>2</v>
      </c>
      <c r="AK1410">
        <v>1</v>
      </c>
      <c r="AL1410">
        <v>4</v>
      </c>
      <c r="AM1410" t="str">
        <f t="shared" si="150"/>
        <v>Below Avg</v>
      </c>
      <c r="AN1410" s="21">
        <f t="shared" si="151"/>
        <v>22.222222222222221</v>
      </c>
      <c r="AO1410" t="str">
        <f t="shared" ca="1" si="152"/>
        <v>No</v>
      </c>
      <c r="AP1410" t="str">
        <f t="shared" si="153"/>
        <v>Low Risk</v>
      </c>
    </row>
    <row r="1411" spans="1:42" x14ac:dyDescent="0.3">
      <c r="A1411" s="5">
        <v>40</v>
      </c>
      <c r="B1411" s="5" t="s">
        <v>43</v>
      </c>
      <c r="C1411" s="5" t="str">
        <f t="shared" ref="C1411:C1471" si="154">IF(LOWER(B1411)="yes","Yes","No")</f>
        <v>No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 s="5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 s="5">
        <v>6323</v>
      </c>
      <c r="U1411">
        <v>26849</v>
      </c>
      <c r="V1411">
        <v>1</v>
      </c>
      <c r="W1411" t="s">
        <v>42</v>
      </c>
      <c r="X1411" t="s">
        <v>43</v>
      </c>
      <c r="Y1411" t="str">
        <f t="shared" ref="Y1411:Y1471" si="155">IF(LOWER(X1411)="yes","Yes","No")</f>
        <v>No</v>
      </c>
      <c r="Z1411">
        <v>11</v>
      </c>
      <c r="AA1411">
        <v>3</v>
      </c>
      <c r="AB1411">
        <v>1</v>
      </c>
      <c r="AC1411">
        <v>80</v>
      </c>
      <c r="AD1411">
        <v>1</v>
      </c>
      <c r="AE1411" s="5">
        <v>10</v>
      </c>
      <c r="AF1411" t="str">
        <f t="shared" ref="AF1411:AF1471" si="156">IF(AE1411&lt;=5,"0-5",IF(AE1411&lt;=15,"6-15","&gt;15"))</f>
        <v>6-15</v>
      </c>
      <c r="AG1411">
        <v>2</v>
      </c>
      <c r="AH1411">
        <v>4</v>
      </c>
      <c r="AI1411" s="5">
        <v>10</v>
      </c>
      <c r="AJ1411">
        <v>9</v>
      </c>
      <c r="AK1411">
        <v>9</v>
      </c>
      <c r="AL1411">
        <v>4</v>
      </c>
      <c r="AM1411" t="str">
        <f t="shared" ref="AM1411:AM1472" si="157">IF(T1411&lt;AVERAGEIF($F1410:$F2880,F1411,$T1410:$T2880),"Below Avg","Ok")</f>
        <v>Ok</v>
      </c>
      <c r="AN1411" s="21">
        <f t="shared" ref="AN1411:AN1442" si="158">COUNTIF(X1410:X2880,"Yes")/COUNTA(X1410:X2880)*100</f>
        <v>22.58064516129032</v>
      </c>
      <c r="AO1411" t="str">
        <f t="shared" ref="AO1411:AO1472" ca="1" si="159">IF(AND(AA1411&gt;=4,Z1411&lt;AVERAGEIF($F1410:$F2880,F1411,$Z1411:$Z2880)),"Yes","No")</f>
        <v>No</v>
      </c>
      <c r="AP1411" t="str">
        <f t="shared" ref="AP1411:AP1472" si="160">IF(AND(AI1411&lt;2,C1411="Yes"),"High Risk","Low Risk")</f>
        <v>Low Risk</v>
      </c>
    </row>
    <row r="1412" spans="1:42" x14ac:dyDescent="0.3">
      <c r="A1412" s="5">
        <v>40</v>
      </c>
      <c r="B1412" s="5" t="s">
        <v>43</v>
      </c>
      <c r="C1412" s="5" t="str">
        <f t="shared" si="154"/>
        <v>No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 s="5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 s="5">
        <v>5677</v>
      </c>
      <c r="U1412">
        <v>4258</v>
      </c>
      <c r="V1412">
        <v>3</v>
      </c>
      <c r="W1412" t="s">
        <v>42</v>
      </c>
      <c r="X1412" t="s">
        <v>43</v>
      </c>
      <c r="Y1412" t="str">
        <f t="shared" si="155"/>
        <v>No</v>
      </c>
      <c r="Z1412">
        <v>14</v>
      </c>
      <c r="AA1412">
        <v>3</v>
      </c>
      <c r="AB1412">
        <v>3</v>
      </c>
      <c r="AC1412">
        <v>80</v>
      </c>
      <c r="AD1412">
        <v>1</v>
      </c>
      <c r="AE1412" s="5">
        <v>15</v>
      </c>
      <c r="AF1412" t="str">
        <f t="shared" si="156"/>
        <v>6-15</v>
      </c>
      <c r="AG1412">
        <v>4</v>
      </c>
      <c r="AH1412">
        <v>3</v>
      </c>
      <c r="AI1412" s="5">
        <v>11</v>
      </c>
      <c r="AJ1412">
        <v>8</v>
      </c>
      <c r="AK1412">
        <v>5</v>
      </c>
      <c r="AL1412">
        <v>10</v>
      </c>
      <c r="AM1412" t="str">
        <f t="shared" si="157"/>
        <v>Below Avg</v>
      </c>
      <c r="AN1412" s="21">
        <f t="shared" si="158"/>
        <v>22.950819672131146</v>
      </c>
      <c r="AO1412" t="str">
        <f t="shared" ca="1" si="159"/>
        <v>No</v>
      </c>
      <c r="AP1412" t="str">
        <f t="shared" si="160"/>
        <v>Low Risk</v>
      </c>
    </row>
    <row r="1413" spans="1:42" x14ac:dyDescent="0.3">
      <c r="A1413" s="5">
        <v>25</v>
      </c>
      <c r="B1413" s="5" t="s">
        <v>43</v>
      </c>
      <c r="C1413" s="5" t="str">
        <f t="shared" si="154"/>
        <v>No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 s="5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 s="5">
        <v>2187</v>
      </c>
      <c r="U1413">
        <v>19655</v>
      </c>
      <c r="V1413">
        <v>4</v>
      </c>
      <c r="W1413" t="s">
        <v>42</v>
      </c>
      <c r="X1413" t="s">
        <v>43</v>
      </c>
      <c r="Y1413" t="str">
        <f t="shared" si="155"/>
        <v>No</v>
      </c>
      <c r="Z1413">
        <v>14</v>
      </c>
      <c r="AA1413">
        <v>3</v>
      </c>
      <c r="AB1413">
        <v>3</v>
      </c>
      <c r="AC1413">
        <v>80</v>
      </c>
      <c r="AD1413">
        <v>0</v>
      </c>
      <c r="AE1413" s="5">
        <v>6</v>
      </c>
      <c r="AF1413" t="str">
        <f t="shared" si="156"/>
        <v>6-15</v>
      </c>
      <c r="AG1413">
        <v>3</v>
      </c>
      <c r="AH1413">
        <v>3</v>
      </c>
      <c r="AI1413" s="5">
        <v>2</v>
      </c>
      <c r="AJ1413">
        <v>0</v>
      </c>
      <c r="AK1413">
        <v>1</v>
      </c>
      <c r="AL1413">
        <v>2</v>
      </c>
      <c r="AM1413" t="str">
        <f t="shared" si="157"/>
        <v>Below Avg</v>
      </c>
      <c r="AN1413" s="21">
        <f t="shared" si="158"/>
        <v>23.333333333333332</v>
      </c>
      <c r="AO1413" t="str">
        <f t="shared" ca="1" si="159"/>
        <v>No</v>
      </c>
      <c r="AP1413" t="str">
        <f t="shared" si="160"/>
        <v>Low Risk</v>
      </c>
    </row>
    <row r="1414" spans="1:42" x14ac:dyDescent="0.3">
      <c r="A1414" s="5">
        <v>30</v>
      </c>
      <c r="B1414" s="5" t="s">
        <v>43</v>
      </c>
      <c r="C1414" s="5" t="str">
        <f t="shared" si="154"/>
        <v>No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 s="5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 s="5">
        <v>3748</v>
      </c>
      <c r="U1414">
        <v>4077</v>
      </c>
      <c r="V1414">
        <v>1</v>
      </c>
      <c r="W1414" t="s">
        <v>42</v>
      </c>
      <c r="X1414" t="s">
        <v>43</v>
      </c>
      <c r="Y1414" t="str">
        <f t="shared" si="155"/>
        <v>No</v>
      </c>
      <c r="Z1414">
        <v>13</v>
      </c>
      <c r="AA1414">
        <v>3</v>
      </c>
      <c r="AB1414">
        <v>3</v>
      </c>
      <c r="AC1414">
        <v>80</v>
      </c>
      <c r="AD1414">
        <v>0</v>
      </c>
      <c r="AE1414" s="5">
        <v>12</v>
      </c>
      <c r="AF1414" t="str">
        <f t="shared" si="156"/>
        <v>6-15</v>
      </c>
      <c r="AG1414">
        <v>6</v>
      </c>
      <c r="AH1414">
        <v>2</v>
      </c>
      <c r="AI1414" s="5">
        <v>12</v>
      </c>
      <c r="AJ1414">
        <v>8</v>
      </c>
      <c r="AK1414">
        <v>1</v>
      </c>
      <c r="AL1414">
        <v>7</v>
      </c>
      <c r="AM1414" t="str">
        <f t="shared" si="157"/>
        <v>Below Avg</v>
      </c>
      <c r="AN1414" s="21">
        <f t="shared" si="158"/>
        <v>23.728813559322035</v>
      </c>
      <c r="AO1414" t="str">
        <f t="shared" ca="1" si="159"/>
        <v>No</v>
      </c>
      <c r="AP1414" t="str">
        <f t="shared" si="160"/>
        <v>Low Risk</v>
      </c>
    </row>
    <row r="1415" spans="1:42" x14ac:dyDescent="0.3">
      <c r="A1415" s="5">
        <v>25</v>
      </c>
      <c r="B1415" s="5" t="s">
        <v>43</v>
      </c>
      <c r="C1415" s="5" t="str">
        <f t="shared" si="154"/>
        <v>No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 s="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 s="5">
        <v>3977</v>
      </c>
      <c r="U1415">
        <v>7298</v>
      </c>
      <c r="V1415">
        <v>6</v>
      </c>
      <c r="W1415" t="s">
        <v>42</v>
      </c>
      <c r="X1415" t="s">
        <v>35</v>
      </c>
      <c r="Y1415" t="str">
        <f t="shared" si="155"/>
        <v>Yes</v>
      </c>
      <c r="Z1415">
        <v>19</v>
      </c>
      <c r="AA1415">
        <v>3</v>
      </c>
      <c r="AB1415">
        <v>3</v>
      </c>
      <c r="AC1415">
        <v>80</v>
      </c>
      <c r="AD1415">
        <v>1</v>
      </c>
      <c r="AE1415" s="5">
        <v>7</v>
      </c>
      <c r="AF1415" t="str">
        <f t="shared" si="156"/>
        <v>6-15</v>
      </c>
      <c r="AG1415">
        <v>2</v>
      </c>
      <c r="AH1415">
        <v>2</v>
      </c>
      <c r="AI1415" s="5">
        <v>2</v>
      </c>
      <c r="AJ1415">
        <v>2</v>
      </c>
      <c r="AK1415">
        <v>0</v>
      </c>
      <c r="AL1415">
        <v>2</v>
      </c>
      <c r="AM1415" t="str">
        <f t="shared" si="157"/>
        <v>Below Avg</v>
      </c>
      <c r="AN1415" s="21">
        <f t="shared" si="158"/>
        <v>24.137931034482758</v>
      </c>
      <c r="AO1415" t="str">
        <f t="shared" ca="1" si="159"/>
        <v>No</v>
      </c>
      <c r="AP1415" t="str">
        <f t="shared" si="160"/>
        <v>Low Risk</v>
      </c>
    </row>
    <row r="1416" spans="1:42" x14ac:dyDescent="0.3">
      <c r="A1416" s="5">
        <v>47</v>
      </c>
      <c r="B1416" s="5" t="s">
        <v>43</v>
      </c>
      <c r="C1416" s="5" t="str">
        <f t="shared" si="154"/>
        <v>No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 s="5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 s="5">
        <v>8633</v>
      </c>
      <c r="U1416">
        <v>13084</v>
      </c>
      <c r="V1416">
        <v>2</v>
      </c>
      <c r="W1416" t="s">
        <v>42</v>
      </c>
      <c r="X1416" t="s">
        <v>43</v>
      </c>
      <c r="Y1416" t="str">
        <f t="shared" si="155"/>
        <v>No</v>
      </c>
      <c r="Z1416">
        <v>23</v>
      </c>
      <c r="AA1416">
        <v>4</v>
      </c>
      <c r="AB1416">
        <v>2</v>
      </c>
      <c r="AC1416">
        <v>80</v>
      </c>
      <c r="AD1416">
        <v>0</v>
      </c>
      <c r="AE1416" s="5">
        <v>25</v>
      </c>
      <c r="AF1416" t="str">
        <f t="shared" si="156"/>
        <v>&gt;15</v>
      </c>
      <c r="AG1416">
        <v>3</v>
      </c>
      <c r="AH1416">
        <v>3</v>
      </c>
      <c r="AI1416" s="5">
        <v>17</v>
      </c>
      <c r="AJ1416">
        <v>14</v>
      </c>
      <c r="AK1416">
        <v>12</v>
      </c>
      <c r="AL1416">
        <v>11</v>
      </c>
      <c r="AM1416" t="str">
        <f t="shared" si="157"/>
        <v>Ok</v>
      </c>
      <c r="AN1416" s="21">
        <f t="shared" si="158"/>
        <v>24.561403508771928</v>
      </c>
      <c r="AO1416" t="str">
        <f t="shared" ca="1" si="159"/>
        <v>No</v>
      </c>
      <c r="AP1416" t="str">
        <f t="shared" si="160"/>
        <v>Low Risk</v>
      </c>
    </row>
    <row r="1417" spans="1:42" x14ac:dyDescent="0.3">
      <c r="A1417" s="5">
        <v>33</v>
      </c>
      <c r="B1417" s="5" t="s">
        <v>43</v>
      </c>
      <c r="C1417" s="5" t="str">
        <f t="shared" si="154"/>
        <v>No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 s="5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 s="5">
        <v>2008</v>
      </c>
      <c r="U1417">
        <v>20439</v>
      </c>
      <c r="V1417">
        <v>1</v>
      </c>
      <c r="W1417" t="s">
        <v>42</v>
      </c>
      <c r="X1417" t="s">
        <v>43</v>
      </c>
      <c r="Y1417" t="str">
        <f t="shared" si="155"/>
        <v>No</v>
      </c>
      <c r="Z1417">
        <v>12</v>
      </c>
      <c r="AA1417">
        <v>3</v>
      </c>
      <c r="AB1417">
        <v>3</v>
      </c>
      <c r="AC1417">
        <v>80</v>
      </c>
      <c r="AD1417">
        <v>3</v>
      </c>
      <c r="AE1417" s="5">
        <v>1</v>
      </c>
      <c r="AF1417" t="str">
        <f t="shared" si="156"/>
        <v>0-5</v>
      </c>
      <c r="AG1417">
        <v>2</v>
      </c>
      <c r="AH1417">
        <v>2</v>
      </c>
      <c r="AI1417" s="5">
        <v>1</v>
      </c>
      <c r="AJ1417">
        <v>1</v>
      </c>
      <c r="AK1417">
        <v>0</v>
      </c>
      <c r="AL1417">
        <v>0</v>
      </c>
      <c r="AM1417" t="str">
        <f t="shared" si="157"/>
        <v>Below Avg</v>
      </c>
      <c r="AN1417" s="21">
        <f t="shared" si="158"/>
        <v>23.214285714285715</v>
      </c>
      <c r="AO1417" t="str">
        <f t="shared" ca="1" si="159"/>
        <v>No</v>
      </c>
      <c r="AP1417" t="str">
        <f t="shared" si="160"/>
        <v>Low Risk</v>
      </c>
    </row>
    <row r="1418" spans="1:42" x14ac:dyDescent="0.3">
      <c r="A1418" s="5">
        <v>38</v>
      </c>
      <c r="B1418" s="5" t="s">
        <v>43</v>
      </c>
      <c r="C1418" s="5" t="str">
        <f t="shared" si="154"/>
        <v>No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 s="5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 s="5">
        <v>4440</v>
      </c>
      <c r="U1418">
        <v>7636</v>
      </c>
      <c r="V1418">
        <v>0</v>
      </c>
      <c r="W1418" t="s">
        <v>42</v>
      </c>
      <c r="X1418" t="s">
        <v>43</v>
      </c>
      <c r="Y1418" t="str">
        <f t="shared" si="155"/>
        <v>No</v>
      </c>
      <c r="Z1418">
        <v>15</v>
      </c>
      <c r="AA1418">
        <v>3</v>
      </c>
      <c r="AB1418">
        <v>1</v>
      </c>
      <c r="AC1418">
        <v>80</v>
      </c>
      <c r="AD1418">
        <v>2</v>
      </c>
      <c r="AE1418" s="5">
        <v>16</v>
      </c>
      <c r="AF1418" t="str">
        <f t="shared" si="156"/>
        <v>&gt;15</v>
      </c>
      <c r="AG1418">
        <v>3</v>
      </c>
      <c r="AH1418">
        <v>3</v>
      </c>
      <c r="AI1418" s="5">
        <v>15</v>
      </c>
      <c r="AJ1418">
        <v>13</v>
      </c>
      <c r="AK1418">
        <v>5</v>
      </c>
      <c r="AL1418">
        <v>8</v>
      </c>
      <c r="AM1418" t="str">
        <f t="shared" si="157"/>
        <v>Below Avg</v>
      </c>
      <c r="AN1418" s="21">
        <f t="shared" si="158"/>
        <v>23.636363636363637</v>
      </c>
      <c r="AO1418" t="str">
        <f t="shared" ca="1" si="159"/>
        <v>No</v>
      </c>
      <c r="AP1418" t="str">
        <f t="shared" si="160"/>
        <v>Low Risk</v>
      </c>
    </row>
    <row r="1419" spans="1:42" x14ac:dyDescent="0.3">
      <c r="A1419" s="5">
        <v>31</v>
      </c>
      <c r="B1419" s="5" t="s">
        <v>43</v>
      </c>
      <c r="C1419" s="5" t="str">
        <f t="shared" si="154"/>
        <v>No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 s="5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 s="5">
        <v>3067</v>
      </c>
      <c r="U1419">
        <v>6393</v>
      </c>
      <c r="V1419">
        <v>0</v>
      </c>
      <c r="W1419" t="s">
        <v>42</v>
      </c>
      <c r="X1419" t="s">
        <v>43</v>
      </c>
      <c r="Y1419" t="str">
        <f t="shared" si="155"/>
        <v>No</v>
      </c>
      <c r="Z1419">
        <v>19</v>
      </c>
      <c r="AA1419">
        <v>3</v>
      </c>
      <c r="AB1419">
        <v>3</v>
      </c>
      <c r="AC1419">
        <v>80</v>
      </c>
      <c r="AD1419">
        <v>1</v>
      </c>
      <c r="AE1419" s="5">
        <v>3</v>
      </c>
      <c r="AF1419" t="str">
        <f t="shared" si="156"/>
        <v>0-5</v>
      </c>
      <c r="AG1419">
        <v>1</v>
      </c>
      <c r="AH1419">
        <v>3</v>
      </c>
      <c r="AI1419" s="5">
        <v>2</v>
      </c>
      <c r="AJ1419">
        <v>2</v>
      </c>
      <c r="AK1419">
        <v>1</v>
      </c>
      <c r="AL1419">
        <v>2</v>
      </c>
      <c r="AM1419" t="str">
        <f t="shared" si="157"/>
        <v>Below Avg</v>
      </c>
      <c r="AN1419" s="21">
        <f t="shared" si="158"/>
        <v>24.074074074074073</v>
      </c>
      <c r="AO1419" t="str">
        <f t="shared" ca="1" si="159"/>
        <v>No</v>
      </c>
      <c r="AP1419" t="str">
        <f t="shared" si="160"/>
        <v>Low Risk</v>
      </c>
    </row>
    <row r="1420" spans="1:42" x14ac:dyDescent="0.3">
      <c r="A1420" s="5">
        <v>38</v>
      </c>
      <c r="B1420" s="5" t="s">
        <v>43</v>
      </c>
      <c r="C1420" s="5" t="str">
        <f t="shared" si="154"/>
        <v>No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 s="5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 s="5">
        <v>5321</v>
      </c>
      <c r="U1420">
        <v>14284</v>
      </c>
      <c r="V1420">
        <v>2</v>
      </c>
      <c r="W1420" t="s">
        <v>42</v>
      </c>
      <c r="X1420" t="s">
        <v>43</v>
      </c>
      <c r="Y1420" t="str">
        <f t="shared" si="155"/>
        <v>No</v>
      </c>
      <c r="Z1420">
        <v>11</v>
      </c>
      <c r="AA1420">
        <v>3</v>
      </c>
      <c r="AB1420">
        <v>4</v>
      </c>
      <c r="AC1420">
        <v>80</v>
      </c>
      <c r="AD1420">
        <v>1</v>
      </c>
      <c r="AE1420" s="5">
        <v>10</v>
      </c>
      <c r="AF1420" t="str">
        <f t="shared" si="156"/>
        <v>6-15</v>
      </c>
      <c r="AG1420">
        <v>1</v>
      </c>
      <c r="AH1420">
        <v>3</v>
      </c>
      <c r="AI1420" s="5">
        <v>8</v>
      </c>
      <c r="AJ1420">
        <v>3</v>
      </c>
      <c r="AK1420">
        <v>7</v>
      </c>
      <c r="AL1420">
        <v>7</v>
      </c>
      <c r="AM1420" t="str">
        <f t="shared" si="157"/>
        <v>Below Avg</v>
      </c>
      <c r="AN1420" s="21">
        <f t="shared" si="158"/>
        <v>24.528301886792452</v>
      </c>
      <c r="AO1420" t="str">
        <f t="shared" ca="1" si="159"/>
        <v>No</v>
      </c>
      <c r="AP1420" t="str">
        <f t="shared" si="160"/>
        <v>Low Risk</v>
      </c>
    </row>
    <row r="1421" spans="1:42" x14ac:dyDescent="0.3">
      <c r="A1421" s="5">
        <v>42</v>
      </c>
      <c r="B1421" s="5" t="s">
        <v>43</v>
      </c>
      <c r="C1421" s="5" t="str">
        <f t="shared" si="154"/>
        <v>No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 s="5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 s="5">
        <v>5410</v>
      </c>
      <c r="U1421">
        <v>11189</v>
      </c>
      <c r="V1421">
        <v>6</v>
      </c>
      <c r="W1421" t="s">
        <v>42</v>
      </c>
      <c r="X1421" t="s">
        <v>35</v>
      </c>
      <c r="Y1421" t="str">
        <f t="shared" si="155"/>
        <v>Yes</v>
      </c>
      <c r="Z1421">
        <v>17</v>
      </c>
      <c r="AA1421">
        <v>3</v>
      </c>
      <c r="AB1421">
        <v>3</v>
      </c>
      <c r="AC1421">
        <v>80</v>
      </c>
      <c r="AD1421">
        <v>1</v>
      </c>
      <c r="AE1421" s="5">
        <v>9</v>
      </c>
      <c r="AF1421" t="str">
        <f t="shared" si="156"/>
        <v>6-15</v>
      </c>
      <c r="AG1421">
        <v>3</v>
      </c>
      <c r="AH1421">
        <v>2</v>
      </c>
      <c r="AI1421" s="5">
        <v>4</v>
      </c>
      <c r="AJ1421">
        <v>3</v>
      </c>
      <c r="AK1421">
        <v>1</v>
      </c>
      <c r="AL1421">
        <v>2</v>
      </c>
      <c r="AM1421" t="str">
        <f t="shared" si="157"/>
        <v>Below Avg</v>
      </c>
      <c r="AN1421" s="21">
        <f t="shared" si="158"/>
        <v>25</v>
      </c>
      <c r="AO1421" t="str">
        <f t="shared" ca="1" si="159"/>
        <v>No</v>
      </c>
      <c r="AP1421" t="str">
        <f t="shared" si="160"/>
        <v>Low Risk</v>
      </c>
    </row>
    <row r="1422" spans="1:42" x14ac:dyDescent="0.3">
      <c r="A1422" s="5">
        <v>41</v>
      </c>
      <c r="B1422" s="5" t="s">
        <v>43</v>
      </c>
      <c r="C1422" s="5" t="str">
        <f t="shared" si="154"/>
        <v>No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 s="5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 s="5">
        <v>2782</v>
      </c>
      <c r="U1422">
        <v>21412</v>
      </c>
      <c r="V1422">
        <v>3</v>
      </c>
      <c r="W1422" t="s">
        <v>42</v>
      </c>
      <c r="X1422" t="s">
        <v>43</v>
      </c>
      <c r="Y1422" t="str">
        <f t="shared" si="155"/>
        <v>No</v>
      </c>
      <c r="Z1422">
        <v>22</v>
      </c>
      <c r="AA1422">
        <v>4</v>
      </c>
      <c r="AB1422">
        <v>1</v>
      </c>
      <c r="AC1422">
        <v>80</v>
      </c>
      <c r="AD1422">
        <v>1</v>
      </c>
      <c r="AE1422" s="5">
        <v>12</v>
      </c>
      <c r="AF1422" t="str">
        <f t="shared" si="156"/>
        <v>6-15</v>
      </c>
      <c r="AG1422">
        <v>3</v>
      </c>
      <c r="AH1422">
        <v>3</v>
      </c>
      <c r="AI1422" s="5">
        <v>5</v>
      </c>
      <c r="AJ1422">
        <v>3</v>
      </c>
      <c r="AK1422">
        <v>1</v>
      </c>
      <c r="AL1422">
        <v>0</v>
      </c>
      <c r="AM1422" t="str">
        <f t="shared" si="157"/>
        <v>Below Avg</v>
      </c>
      <c r="AN1422" s="21">
        <f t="shared" si="158"/>
        <v>25.490196078431371</v>
      </c>
      <c r="AO1422" t="str">
        <f t="shared" ca="1" si="159"/>
        <v>No</v>
      </c>
      <c r="AP1422" t="str">
        <f t="shared" si="160"/>
        <v>Low Risk</v>
      </c>
    </row>
    <row r="1423" spans="1:42" x14ac:dyDescent="0.3">
      <c r="A1423" s="5">
        <v>47</v>
      </c>
      <c r="B1423" s="5" t="s">
        <v>43</v>
      </c>
      <c r="C1423" s="5" t="str">
        <f t="shared" si="154"/>
        <v>No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 s="5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 s="5">
        <v>11957</v>
      </c>
      <c r="U1423">
        <v>17231</v>
      </c>
      <c r="V1423">
        <v>0</v>
      </c>
      <c r="W1423" t="s">
        <v>42</v>
      </c>
      <c r="X1423" t="s">
        <v>43</v>
      </c>
      <c r="Y1423" t="str">
        <f t="shared" si="155"/>
        <v>No</v>
      </c>
      <c r="Z1423">
        <v>18</v>
      </c>
      <c r="AA1423">
        <v>3</v>
      </c>
      <c r="AB1423">
        <v>1</v>
      </c>
      <c r="AC1423">
        <v>80</v>
      </c>
      <c r="AD1423">
        <v>2</v>
      </c>
      <c r="AE1423" s="5">
        <v>14</v>
      </c>
      <c r="AF1423" t="str">
        <f t="shared" si="156"/>
        <v>6-15</v>
      </c>
      <c r="AG1423">
        <v>3</v>
      </c>
      <c r="AH1423">
        <v>1</v>
      </c>
      <c r="AI1423" s="5">
        <v>13</v>
      </c>
      <c r="AJ1423">
        <v>8</v>
      </c>
      <c r="AK1423">
        <v>5</v>
      </c>
      <c r="AL1423">
        <v>12</v>
      </c>
      <c r="AM1423" t="str">
        <f t="shared" si="157"/>
        <v>Ok</v>
      </c>
      <c r="AN1423" s="21">
        <f t="shared" si="158"/>
        <v>24</v>
      </c>
      <c r="AO1423" t="str">
        <f t="shared" ca="1" si="159"/>
        <v>No</v>
      </c>
      <c r="AP1423" t="str">
        <f t="shared" si="160"/>
        <v>Low Risk</v>
      </c>
    </row>
    <row r="1424" spans="1:42" x14ac:dyDescent="0.3">
      <c r="A1424" s="5">
        <v>35</v>
      </c>
      <c r="B1424" s="5" t="s">
        <v>43</v>
      </c>
      <c r="C1424" s="5" t="str">
        <f t="shared" si="154"/>
        <v>No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 s="5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 s="5">
        <v>2660</v>
      </c>
      <c r="U1424">
        <v>20232</v>
      </c>
      <c r="V1424">
        <v>7</v>
      </c>
      <c r="W1424" t="s">
        <v>42</v>
      </c>
      <c r="X1424" t="s">
        <v>35</v>
      </c>
      <c r="Y1424" t="str">
        <f t="shared" si="155"/>
        <v>Yes</v>
      </c>
      <c r="Z1424">
        <v>11</v>
      </c>
      <c r="AA1424">
        <v>3</v>
      </c>
      <c r="AB1424">
        <v>3</v>
      </c>
      <c r="AC1424">
        <v>80</v>
      </c>
      <c r="AD1424">
        <v>1</v>
      </c>
      <c r="AE1424" s="5">
        <v>5</v>
      </c>
      <c r="AF1424" t="str">
        <f t="shared" si="156"/>
        <v>0-5</v>
      </c>
      <c r="AG1424">
        <v>3</v>
      </c>
      <c r="AH1424">
        <v>3</v>
      </c>
      <c r="AI1424" s="5">
        <v>2</v>
      </c>
      <c r="AJ1424">
        <v>2</v>
      </c>
      <c r="AK1424">
        <v>2</v>
      </c>
      <c r="AL1424">
        <v>2</v>
      </c>
      <c r="AM1424" t="str">
        <f t="shared" si="157"/>
        <v>Below Avg</v>
      </c>
      <c r="AN1424" s="21">
        <f t="shared" si="158"/>
        <v>24.489795918367346</v>
      </c>
      <c r="AO1424" t="str">
        <f t="shared" ca="1" si="159"/>
        <v>No</v>
      </c>
      <c r="AP1424" t="str">
        <f t="shared" si="160"/>
        <v>Low Risk</v>
      </c>
    </row>
    <row r="1425" spans="1:42" x14ac:dyDescent="0.3">
      <c r="A1425" s="5">
        <v>22</v>
      </c>
      <c r="B1425" s="5" t="s">
        <v>43</v>
      </c>
      <c r="C1425" s="5" t="str">
        <f t="shared" si="154"/>
        <v>No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 s="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 s="5">
        <v>3375</v>
      </c>
      <c r="U1425">
        <v>17624</v>
      </c>
      <c r="V1425">
        <v>0</v>
      </c>
      <c r="W1425" t="s">
        <v>42</v>
      </c>
      <c r="X1425" t="s">
        <v>43</v>
      </c>
      <c r="Y1425" t="str">
        <f t="shared" si="155"/>
        <v>No</v>
      </c>
      <c r="Z1425">
        <v>12</v>
      </c>
      <c r="AA1425">
        <v>3</v>
      </c>
      <c r="AB1425">
        <v>4</v>
      </c>
      <c r="AC1425">
        <v>80</v>
      </c>
      <c r="AD1425">
        <v>0</v>
      </c>
      <c r="AE1425" s="5">
        <v>4</v>
      </c>
      <c r="AF1425" t="str">
        <f t="shared" si="156"/>
        <v>0-5</v>
      </c>
      <c r="AG1425">
        <v>2</v>
      </c>
      <c r="AH1425">
        <v>4</v>
      </c>
      <c r="AI1425" s="5">
        <v>3</v>
      </c>
      <c r="AJ1425">
        <v>2</v>
      </c>
      <c r="AK1425">
        <v>1</v>
      </c>
      <c r="AL1425">
        <v>2</v>
      </c>
      <c r="AM1425" t="str">
        <f t="shared" si="157"/>
        <v>Below Avg</v>
      </c>
      <c r="AN1425" s="21">
        <f t="shared" si="158"/>
        <v>25</v>
      </c>
      <c r="AO1425" t="str">
        <f t="shared" ca="1" si="159"/>
        <v>No</v>
      </c>
      <c r="AP1425" t="str">
        <f t="shared" si="160"/>
        <v>Low Risk</v>
      </c>
    </row>
    <row r="1426" spans="1:42" x14ac:dyDescent="0.3">
      <c r="A1426" s="5">
        <v>35</v>
      </c>
      <c r="B1426" s="5" t="s">
        <v>43</v>
      </c>
      <c r="C1426" s="5" t="str">
        <f t="shared" si="154"/>
        <v>No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 s="5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 s="5">
        <v>5098</v>
      </c>
      <c r="U1426">
        <v>18698</v>
      </c>
      <c r="V1426">
        <v>1</v>
      </c>
      <c r="W1426" t="s">
        <v>42</v>
      </c>
      <c r="X1426" t="s">
        <v>43</v>
      </c>
      <c r="Y1426" t="str">
        <f t="shared" si="155"/>
        <v>No</v>
      </c>
      <c r="Z1426">
        <v>19</v>
      </c>
      <c r="AA1426">
        <v>3</v>
      </c>
      <c r="AB1426">
        <v>2</v>
      </c>
      <c r="AC1426">
        <v>80</v>
      </c>
      <c r="AD1426">
        <v>0</v>
      </c>
      <c r="AE1426" s="5">
        <v>10</v>
      </c>
      <c r="AF1426" t="str">
        <f t="shared" si="156"/>
        <v>6-15</v>
      </c>
      <c r="AG1426">
        <v>5</v>
      </c>
      <c r="AH1426">
        <v>3</v>
      </c>
      <c r="AI1426" s="5">
        <v>10</v>
      </c>
      <c r="AJ1426">
        <v>7</v>
      </c>
      <c r="AK1426">
        <v>0</v>
      </c>
      <c r="AL1426">
        <v>8</v>
      </c>
      <c r="AM1426" t="str">
        <f t="shared" si="157"/>
        <v>Below Avg</v>
      </c>
      <c r="AN1426" s="21">
        <f t="shared" si="158"/>
        <v>23.404255319148938</v>
      </c>
      <c r="AO1426" t="str">
        <f t="shared" ca="1" si="159"/>
        <v>No</v>
      </c>
      <c r="AP1426" t="str">
        <f t="shared" si="160"/>
        <v>Low Risk</v>
      </c>
    </row>
    <row r="1427" spans="1:42" x14ac:dyDescent="0.3">
      <c r="A1427" s="5">
        <v>33</v>
      </c>
      <c r="B1427" s="5" t="s">
        <v>43</v>
      </c>
      <c r="C1427" s="5" t="str">
        <f t="shared" si="154"/>
        <v>No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 s="5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 s="5">
        <v>4878</v>
      </c>
      <c r="U1427">
        <v>21653</v>
      </c>
      <c r="V1427">
        <v>0</v>
      </c>
      <c r="W1427" t="s">
        <v>42</v>
      </c>
      <c r="X1427" t="s">
        <v>35</v>
      </c>
      <c r="Y1427" t="str">
        <f t="shared" si="155"/>
        <v>Yes</v>
      </c>
      <c r="Z1427">
        <v>13</v>
      </c>
      <c r="AA1427">
        <v>3</v>
      </c>
      <c r="AB1427">
        <v>1</v>
      </c>
      <c r="AC1427">
        <v>80</v>
      </c>
      <c r="AD1427">
        <v>1</v>
      </c>
      <c r="AE1427" s="5">
        <v>10</v>
      </c>
      <c r="AF1427" t="str">
        <f t="shared" si="156"/>
        <v>6-15</v>
      </c>
      <c r="AG1427">
        <v>6</v>
      </c>
      <c r="AH1427">
        <v>3</v>
      </c>
      <c r="AI1427" s="5">
        <v>9</v>
      </c>
      <c r="AJ1427">
        <v>7</v>
      </c>
      <c r="AK1427">
        <v>8</v>
      </c>
      <c r="AL1427">
        <v>1</v>
      </c>
      <c r="AM1427" t="str">
        <f t="shared" si="157"/>
        <v>Below Avg</v>
      </c>
      <c r="AN1427" s="21">
        <f t="shared" si="158"/>
        <v>23.913043478260871</v>
      </c>
      <c r="AO1427" t="str">
        <f t="shared" ca="1" si="159"/>
        <v>No</v>
      </c>
      <c r="AP1427" t="str">
        <f t="shared" si="160"/>
        <v>Low Risk</v>
      </c>
    </row>
    <row r="1428" spans="1:42" x14ac:dyDescent="0.3">
      <c r="A1428" s="5">
        <v>32</v>
      </c>
      <c r="B1428" s="5" t="s">
        <v>43</v>
      </c>
      <c r="C1428" s="5" t="str">
        <f t="shared" si="154"/>
        <v>No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 s="5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 s="5">
        <v>2837</v>
      </c>
      <c r="U1428">
        <v>15919</v>
      </c>
      <c r="V1428">
        <v>1</v>
      </c>
      <c r="W1428" t="s">
        <v>42</v>
      </c>
      <c r="X1428" t="s">
        <v>43</v>
      </c>
      <c r="Y1428" t="str">
        <f t="shared" si="155"/>
        <v>No</v>
      </c>
      <c r="Z1428">
        <v>13</v>
      </c>
      <c r="AA1428">
        <v>3</v>
      </c>
      <c r="AB1428">
        <v>3</v>
      </c>
      <c r="AC1428">
        <v>80</v>
      </c>
      <c r="AD1428">
        <v>0</v>
      </c>
      <c r="AE1428" s="5">
        <v>6</v>
      </c>
      <c r="AF1428" t="str">
        <f t="shared" si="156"/>
        <v>6-15</v>
      </c>
      <c r="AG1428">
        <v>3</v>
      </c>
      <c r="AH1428">
        <v>3</v>
      </c>
      <c r="AI1428" s="5">
        <v>6</v>
      </c>
      <c r="AJ1428">
        <v>2</v>
      </c>
      <c r="AK1428">
        <v>4</v>
      </c>
      <c r="AL1428">
        <v>1</v>
      </c>
      <c r="AM1428" t="str">
        <f t="shared" si="157"/>
        <v>Below Avg</v>
      </c>
      <c r="AN1428" s="21">
        <f t="shared" si="158"/>
        <v>24.444444444444443</v>
      </c>
      <c r="AO1428" t="str">
        <f t="shared" ca="1" si="159"/>
        <v>No</v>
      </c>
      <c r="AP1428" t="str">
        <f t="shared" si="160"/>
        <v>Low Risk</v>
      </c>
    </row>
    <row r="1429" spans="1:42" x14ac:dyDescent="0.3">
      <c r="A1429" s="5">
        <v>40</v>
      </c>
      <c r="B1429" s="5" t="s">
        <v>43</v>
      </c>
      <c r="C1429" s="5" t="str">
        <f t="shared" si="154"/>
        <v>No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 s="5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 s="5">
        <v>2406</v>
      </c>
      <c r="U1429">
        <v>4060</v>
      </c>
      <c r="V1429">
        <v>8</v>
      </c>
      <c r="W1429" t="s">
        <v>42</v>
      </c>
      <c r="X1429" t="s">
        <v>43</v>
      </c>
      <c r="Y1429" t="str">
        <f t="shared" si="155"/>
        <v>No</v>
      </c>
      <c r="Z1429">
        <v>19</v>
      </c>
      <c r="AA1429">
        <v>3</v>
      </c>
      <c r="AB1429">
        <v>3</v>
      </c>
      <c r="AC1429">
        <v>80</v>
      </c>
      <c r="AD1429">
        <v>2</v>
      </c>
      <c r="AE1429" s="5">
        <v>8</v>
      </c>
      <c r="AF1429" t="str">
        <f t="shared" si="156"/>
        <v>6-15</v>
      </c>
      <c r="AG1429">
        <v>3</v>
      </c>
      <c r="AH1429">
        <v>2</v>
      </c>
      <c r="AI1429" s="5">
        <v>1</v>
      </c>
      <c r="AJ1429">
        <v>0</v>
      </c>
      <c r="AK1429">
        <v>0</v>
      </c>
      <c r="AL1429">
        <v>0</v>
      </c>
      <c r="AM1429" t="str">
        <f t="shared" si="157"/>
        <v>Below Avg</v>
      </c>
      <c r="AN1429" s="21">
        <f t="shared" si="158"/>
        <v>22.727272727272727</v>
      </c>
      <c r="AO1429" t="str">
        <f t="shared" ca="1" si="159"/>
        <v>No</v>
      </c>
      <c r="AP1429" t="str">
        <f t="shared" si="160"/>
        <v>Low Risk</v>
      </c>
    </row>
    <row r="1430" spans="1:42" x14ac:dyDescent="0.3">
      <c r="A1430" s="5">
        <v>32</v>
      </c>
      <c r="B1430" s="5" t="s">
        <v>43</v>
      </c>
      <c r="C1430" s="5" t="str">
        <f t="shared" si="154"/>
        <v>No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 s="5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 s="5">
        <v>2269</v>
      </c>
      <c r="U1430">
        <v>18024</v>
      </c>
      <c r="V1430">
        <v>0</v>
      </c>
      <c r="W1430" t="s">
        <v>42</v>
      </c>
      <c r="X1430" t="s">
        <v>43</v>
      </c>
      <c r="Y1430" t="str">
        <f t="shared" si="155"/>
        <v>No</v>
      </c>
      <c r="Z1430">
        <v>14</v>
      </c>
      <c r="AA1430">
        <v>3</v>
      </c>
      <c r="AB1430">
        <v>2</v>
      </c>
      <c r="AC1430">
        <v>80</v>
      </c>
      <c r="AD1430">
        <v>1</v>
      </c>
      <c r="AE1430" s="5">
        <v>3</v>
      </c>
      <c r="AF1430" t="str">
        <f t="shared" si="156"/>
        <v>0-5</v>
      </c>
      <c r="AG1430">
        <v>2</v>
      </c>
      <c r="AH1430">
        <v>3</v>
      </c>
      <c r="AI1430" s="5">
        <v>2</v>
      </c>
      <c r="AJ1430">
        <v>2</v>
      </c>
      <c r="AK1430">
        <v>2</v>
      </c>
      <c r="AL1430">
        <v>2</v>
      </c>
      <c r="AM1430" t="str">
        <f t="shared" si="157"/>
        <v>Below Avg</v>
      </c>
      <c r="AN1430" s="21">
        <f t="shared" si="158"/>
        <v>23.255813953488371</v>
      </c>
      <c r="AO1430" t="str">
        <f t="shared" ca="1" si="159"/>
        <v>No</v>
      </c>
      <c r="AP1430" t="str">
        <f t="shared" si="160"/>
        <v>Low Risk</v>
      </c>
    </row>
    <row r="1431" spans="1:42" x14ac:dyDescent="0.3">
      <c r="A1431" s="5">
        <v>39</v>
      </c>
      <c r="B1431" s="5" t="s">
        <v>43</v>
      </c>
      <c r="C1431" s="5" t="str">
        <f t="shared" si="154"/>
        <v>No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 s="5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 s="5">
        <v>4108</v>
      </c>
      <c r="U1431">
        <v>5340</v>
      </c>
      <c r="V1431">
        <v>7</v>
      </c>
      <c r="W1431" t="s">
        <v>42</v>
      </c>
      <c r="X1431" t="s">
        <v>43</v>
      </c>
      <c r="Y1431" t="str">
        <f t="shared" si="155"/>
        <v>No</v>
      </c>
      <c r="Z1431">
        <v>13</v>
      </c>
      <c r="AA1431">
        <v>3</v>
      </c>
      <c r="AB1431">
        <v>1</v>
      </c>
      <c r="AC1431">
        <v>80</v>
      </c>
      <c r="AD1431">
        <v>0</v>
      </c>
      <c r="AE1431" s="5">
        <v>18</v>
      </c>
      <c r="AF1431" t="str">
        <f t="shared" si="156"/>
        <v>&gt;15</v>
      </c>
      <c r="AG1431">
        <v>2</v>
      </c>
      <c r="AH1431">
        <v>3</v>
      </c>
      <c r="AI1431" s="5">
        <v>7</v>
      </c>
      <c r="AJ1431">
        <v>7</v>
      </c>
      <c r="AK1431">
        <v>1</v>
      </c>
      <c r="AL1431">
        <v>7</v>
      </c>
      <c r="AM1431" t="str">
        <f t="shared" si="157"/>
        <v>Below Avg</v>
      </c>
      <c r="AN1431" s="21">
        <f t="shared" si="158"/>
        <v>23.809523809523807</v>
      </c>
      <c r="AO1431" t="str">
        <f t="shared" ca="1" si="159"/>
        <v>No</v>
      </c>
      <c r="AP1431" t="str">
        <f t="shared" si="160"/>
        <v>Low Risk</v>
      </c>
    </row>
    <row r="1432" spans="1:42" x14ac:dyDescent="0.3">
      <c r="A1432" s="5">
        <v>38</v>
      </c>
      <c r="B1432" s="5" t="s">
        <v>43</v>
      </c>
      <c r="C1432" s="5" t="str">
        <f t="shared" si="154"/>
        <v>No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 s="5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 s="5">
        <v>13206</v>
      </c>
      <c r="U1432">
        <v>3376</v>
      </c>
      <c r="V1432">
        <v>3</v>
      </c>
      <c r="W1432" t="s">
        <v>42</v>
      </c>
      <c r="X1432" t="s">
        <v>43</v>
      </c>
      <c r="Y1432" t="str">
        <f t="shared" si="155"/>
        <v>No</v>
      </c>
      <c r="Z1432">
        <v>12</v>
      </c>
      <c r="AA1432">
        <v>3</v>
      </c>
      <c r="AB1432">
        <v>1</v>
      </c>
      <c r="AC1432">
        <v>80</v>
      </c>
      <c r="AD1432">
        <v>1</v>
      </c>
      <c r="AE1432" s="5">
        <v>20</v>
      </c>
      <c r="AF1432" t="str">
        <f t="shared" si="156"/>
        <v>&gt;15</v>
      </c>
      <c r="AG1432">
        <v>3</v>
      </c>
      <c r="AH1432">
        <v>3</v>
      </c>
      <c r="AI1432" s="5">
        <v>18</v>
      </c>
      <c r="AJ1432">
        <v>16</v>
      </c>
      <c r="AK1432">
        <v>1</v>
      </c>
      <c r="AL1432">
        <v>11</v>
      </c>
      <c r="AM1432" t="str">
        <f t="shared" si="157"/>
        <v>Ok</v>
      </c>
      <c r="AN1432" s="21">
        <f t="shared" si="158"/>
        <v>24.390243902439025</v>
      </c>
      <c r="AO1432" t="str">
        <f t="shared" ca="1" si="159"/>
        <v>No</v>
      </c>
      <c r="AP1432" t="str">
        <f t="shared" si="160"/>
        <v>Low Risk</v>
      </c>
    </row>
    <row r="1433" spans="1:42" x14ac:dyDescent="0.3">
      <c r="A1433" s="5">
        <v>32</v>
      </c>
      <c r="B1433" s="5" t="s">
        <v>43</v>
      </c>
      <c r="C1433" s="5" t="str">
        <f t="shared" si="154"/>
        <v>No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 s="5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 s="5">
        <v>10422</v>
      </c>
      <c r="U1433">
        <v>24032</v>
      </c>
      <c r="V1433">
        <v>1</v>
      </c>
      <c r="W1433" t="s">
        <v>42</v>
      </c>
      <c r="X1433" t="s">
        <v>43</v>
      </c>
      <c r="Y1433" t="str">
        <f t="shared" si="155"/>
        <v>No</v>
      </c>
      <c r="Z1433">
        <v>19</v>
      </c>
      <c r="AA1433">
        <v>3</v>
      </c>
      <c r="AB1433">
        <v>3</v>
      </c>
      <c r="AC1433">
        <v>80</v>
      </c>
      <c r="AD1433">
        <v>2</v>
      </c>
      <c r="AE1433" s="5">
        <v>14</v>
      </c>
      <c r="AF1433" t="str">
        <f t="shared" si="156"/>
        <v>6-15</v>
      </c>
      <c r="AG1433">
        <v>3</v>
      </c>
      <c r="AH1433">
        <v>3</v>
      </c>
      <c r="AI1433" s="5">
        <v>14</v>
      </c>
      <c r="AJ1433">
        <v>10</v>
      </c>
      <c r="AK1433">
        <v>5</v>
      </c>
      <c r="AL1433">
        <v>7</v>
      </c>
      <c r="AM1433" t="str">
        <f t="shared" si="157"/>
        <v>Ok</v>
      </c>
      <c r="AN1433" s="21">
        <f t="shared" si="158"/>
        <v>25</v>
      </c>
      <c r="AO1433" t="str">
        <f t="shared" ca="1" si="159"/>
        <v>No</v>
      </c>
      <c r="AP1433" t="str">
        <f t="shared" si="160"/>
        <v>Low Risk</v>
      </c>
    </row>
    <row r="1434" spans="1:42" x14ac:dyDescent="0.3">
      <c r="A1434" s="5">
        <v>37</v>
      </c>
      <c r="B1434" s="5" t="s">
        <v>43</v>
      </c>
      <c r="C1434" s="5" t="str">
        <f t="shared" si="154"/>
        <v>No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 s="5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 s="5">
        <v>13744</v>
      </c>
      <c r="U1434">
        <v>15471</v>
      </c>
      <c r="V1434">
        <v>1</v>
      </c>
      <c r="W1434" t="s">
        <v>42</v>
      </c>
      <c r="X1434" t="s">
        <v>35</v>
      </c>
      <c r="Y1434" t="str">
        <f t="shared" si="155"/>
        <v>Yes</v>
      </c>
      <c r="Z1434">
        <v>25</v>
      </c>
      <c r="AA1434">
        <v>4</v>
      </c>
      <c r="AB1434">
        <v>1</v>
      </c>
      <c r="AC1434">
        <v>80</v>
      </c>
      <c r="AD1434">
        <v>1</v>
      </c>
      <c r="AE1434" s="5">
        <v>16</v>
      </c>
      <c r="AF1434" t="str">
        <f t="shared" si="156"/>
        <v>&gt;15</v>
      </c>
      <c r="AG1434">
        <v>2</v>
      </c>
      <c r="AH1434">
        <v>3</v>
      </c>
      <c r="AI1434" s="5">
        <v>16</v>
      </c>
      <c r="AJ1434">
        <v>11</v>
      </c>
      <c r="AK1434">
        <v>6</v>
      </c>
      <c r="AL1434">
        <v>8</v>
      </c>
      <c r="AM1434" t="str">
        <f t="shared" si="157"/>
        <v>Ok</v>
      </c>
      <c r="AN1434" s="21">
        <f t="shared" si="158"/>
        <v>25.641025641025639</v>
      </c>
      <c r="AO1434" t="str">
        <f t="shared" ca="1" si="159"/>
        <v>No</v>
      </c>
      <c r="AP1434" t="str">
        <f t="shared" si="160"/>
        <v>Low Risk</v>
      </c>
    </row>
    <row r="1435" spans="1:42" x14ac:dyDescent="0.3">
      <c r="A1435" s="5">
        <v>25</v>
      </c>
      <c r="B1435" s="5" t="s">
        <v>43</v>
      </c>
      <c r="C1435" s="5" t="str">
        <f t="shared" si="154"/>
        <v>No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 s="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 s="5">
        <v>4907</v>
      </c>
      <c r="U1435">
        <v>13684</v>
      </c>
      <c r="V1435">
        <v>0</v>
      </c>
      <c r="W1435" t="s">
        <v>42</v>
      </c>
      <c r="X1435" t="s">
        <v>35</v>
      </c>
      <c r="Y1435" t="str">
        <f t="shared" si="155"/>
        <v>Yes</v>
      </c>
      <c r="Z1435">
        <v>22</v>
      </c>
      <c r="AA1435">
        <v>4</v>
      </c>
      <c r="AB1435">
        <v>2</v>
      </c>
      <c r="AC1435">
        <v>80</v>
      </c>
      <c r="AD1435">
        <v>1</v>
      </c>
      <c r="AE1435" s="5">
        <v>6</v>
      </c>
      <c r="AF1435" t="str">
        <f t="shared" si="156"/>
        <v>6-15</v>
      </c>
      <c r="AG1435">
        <v>3</v>
      </c>
      <c r="AH1435">
        <v>2</v>
      </c>
      <c r="AI1435" s="5">
        <v>5</v>
      </c>
      <c r="AJ1435">
        <v>3</v>
      </c>
      <c r="AK1435">
        <v>0</v>
      </c>
      <c r="AL1435">
        <v>4</v>
      </c>
      <c r="AM1435" t="str">
        <f t="shared" si="157"/>
        <v>Below Avg</v>
      </c>
      <c r="AN1435" s="21">
        <f t="shared" si="158"/>
        <v>26.315789473684209</v>
      </c>
      <c r="AO1435" t="str">
        <f t="shared" ca="1" si="159"/>
        <v>No</v>
      </c>
      <c r="AP1435" t="str">
        <f t="shared" si="160"/>
        <v>Low Risk</v>
      </c>
    </row>
    <row r="1436" spans="1:42" x14ac:dyDescent="0.3">
      <c r="A1436" s="5">
        <v>52</v>
      </c>
      <c r="B1436" s="5" t="s">
        <v>43</v>
      </c>
      <c r="C1436" s="5" t="str">
        <f t="shared" si="154"/>
        <v>No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 s="5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 s="5">
        <v>3482</v>
      </c>
      <c r="U1436">
        <v>19788</v>
      </c>
      <c r="V1436">
        <v>2</v>
      </c>
      <c r="W1436" t="s">
        <v>42</v>
      </c>
      <c r="X1436" t="s">
        <v>43</v>
      </c>
      <c r="Y1436" t="str">
        <f t="shared" si="155"/>
        <v>No</v>
      </c>
      <c r="Z1436">
        <v>15</v>
      </c>
      <c r="AA1436">
        <v>3</v>
      </c>
      <c r="AB1436">
        <v>2</v>
      </c>
      <c r="AC1436">
        <v>80</v>
      </c>
      <c r="AD1436">
        <v>2</v>
      </c>
      <c r="AE1436" s="5">
        <v>16</v>
      </c>
      <c r="AF1436" t="str">
        <f t="shared" si="156"/>
        <v>&gt;15</v>
      </c>
      <c r="AG1436">
        <v>3</v>
      </c>
      <c r="AH1436">
        <v>2</v>
      </c>
      <c r="AI1436" s="5">
        <v>9</v>
      </c>
      <c r="AJ1436">
        <v>8</v>
      </c>
      <c r="AK1436">
        <v>0</v>
      </c>
      <c r="AL1436">
        <v>0</v>
      </c>
      <c r="AM1436" t="str">
        <f t="shared" si="157"/>
        <v>Below Avg</v>
      </c>
      <c r="AN1436" s="21">
        <f t="shared" si="158"/>
        <v>24.324324324324326</v>
      </c>
      <c r="AO1436" t="str">
        <f t="shared" ca="1" si="159"/>
        <v>No</v>
      </c>
      <c r="AP1436" t="str">
        <f t="shared" si="160"/>
        <v>Low Risk</v>
      </c>
    </row>
    <row r="1437" spans="1:42" x14ac:dyDescent="0.3">
      <c r="A1437" s="5">
        <v>44</v>
      </c>
      <c r="B1437" s="5" t="s">
        <v>43</v>
      </c>
      <c r="C1437" s="5" t="str">
        <f t="shared" si="154"/>
        <v>No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 s="5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 s="5">
        <v>2436</v>
      </c>
      <c r="U1437">
        <v>13422</v>
      </c>
      <c r="V1437">
        <v>6</v>
      </c>
      <c r="W1437" t="s">
        <v>42</v>
      </c>
      <c r="X1437" t="s">
        <v>35</v>
      </c>
      <c r="Y1437" t="str">
        <f t="shared" si="155"/>
        <v>Yes</v>
      </c>
      <c r="Z1437">
        <v>12</v>
      </c>
      <c r="AA1437">
        <v>3</v>
      </c>
      <c r="AB1437">
        <v>3</v>
      </c>
      <c r="AC1437">
        <v>80</v>
      </c>
      <c r="AD1437">
        <v>0</v>
      </c>
      <c r="AE1437" s="5">
        <v>6</v>
      </c>
      <c r="AF1437" t="str">
        <f t="shared" si="156"/>
        <v>6-15</v>
      </c>
      <c r="AG1437">
        <v>2</v>
      </c>
      <c r="AH1437">
        <v>3</v>
      </c>
      <c r="AI1437" s="5">
        <v>4</v>
      </c>
      <c r="AJ1437">
        <v>3</v>
      </c>
      <c r="AK1437">
        <v>1</v>
      </c>
      <c r="AL1437">
        <v>2</v>
      </c>
      <c r="AM1437" t="str">
        <f t="shared" si="157"/>
        <v>Below Avg</v>
      </c>
      <c r="AN1437" s="21">
        <f t="shared" si="158"/>
        <v>22.222222222222221</v>
      </c>
      <c r="AO1437" t="str">
        <f t="shared" ca="1" si="159"/>
        <v>No</v>
      </c>
      <c r="AP1437" t="str">
        <f t="shared" si="160"/>
        <v>Low Risk</v>
      </c>
    </row>
    <row r="1438" spans="1:42" x14ac:dyDescent="0.3">
      <c r="A1438" s="5">
        <v>21</v>
      </c>
      <c r="B1438" s="5" t="s">
        <v>43</v>
      </c>
      <c r="C1438" s="5" t="str">
        <f t="shared" si="154"/>
        <v>No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 s="5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 s="5">
        <v>2380</v>
      </c>
      <c r="U1438">
        <v>25479</v>
      </c>
      <c r="V1438">
        <v>1</v>
      </c>
      <c r="W1438" t="s">
        <v>42</v>
      </c>
      <c r="X1438" t="s">
        <v>35</v>
      </c>
      <c r="Y1438" t="str">
        <f t="shared" si="155"/>
        <v>Yes</v>
      </c>
      <c r="Z1438">
        <v>11</v>
      </c>
      <c r="AA1438">
        <v>3</v>
      </c>
      <c r="AB1438">
        <v>4</v>
      </c>
      <c r="AC1438">
        <v>80</v>
      </c>
      <c r="AD1438">
        <v>0</v>
      </c>
      <c r="AE1438" s="5">
        <v>2</v>
      </c>
      <c r="AF1438" t="str">
        <f t="shared" si="156"/>
        <v>0-5</v>
      </c>
      <c r="AG1438">
        <v>6</v>
      </c>
      <c r="AH1438">
        <v>3</v>
      </c>
      <c r="AI1438" s="5">
        <v>2</v>
      </c>
      <c r="AJ1438">
        <v>2</v>
      </c>
      <c r="AK1438">
        <v>1</v>
      </c>
      <c r="AL1438">
        <v>2</v>
      </c>
      <c r="AM1438" t="str">
        <f t="shared" si="157"/>
        <v>Below Avg</v>
      </c>
      <c r="AN1438" s="21">
        <f t="shared" si="158"/>
        <v>22.857142857142858</v>
      </c>
      <c r="AO1438" t="str">
        <f t="shared" ca="1" si="159"/>
        <v>No</v>
      </c>
      <c r="AP1438" t="str">
        <f t="shared" si="160"/>
        <v>Low Risk</v>
      </c>
    </row>
    <row r="1439" spans="1:42" x14ac:dyDescent="0.3">
      <c r="A1439" s="5">
        <v>39</v>
      </c>
      <c r="B1439" s="5" t="s">
        <v>43</v>
      </c>
      <c r="C1439" s="5" t="str">
        <f t="shared" si="154"/>
        <v>No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 s="5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 s="5">
        <v>19431</v>
      </c>
      <c r="U1439">
        <v>15302</v>
      </c>
      <c r="V1439">
        <v>2</v>
      </c>
      <c r="W1439" t="s">
        <v>42</v>
      </c>
      <c r="X1439" t="s">
        <v>43</v>
      </c>
      <c r="Y1439" t="str">
        <f t="shared" si="155"/>
        <v>No</v>
      </c>
      <c r="Z1439">
        <v>13</v>
      </c>
      <c r="AA1439">
        <v>3</v>
      </c>
      <c r="AB1439">
        <v>3</v>
      </c>
      <c r="AC1439">
        <v>80</v>
      </c>
      <c r="AD1439">
        <v>0</v>
      </c>
      <c r="AE1439" s="5">
        <v>21</v>
      </c>
      <c r="AF1439" t="str">
        <f t="shared" si="156"/>
        <v>&gt;15</v>
      </c>
      <c r="AG1439">
        <v>3</v>
      </c>
      <c r="AH1439">
        <v>2</v>
      </c>
      <c r="AI1439" s="5">
        <v>6</v>
      </c>
      <c r="AJ1439">
        <v>0</v>
      </c>
      <c r="AK1439">
        <v>1</v>
      </c>
      <c r="AL1439">
        <v>3</v>
      </c>
      <c r="AM1439" t="str">
        <f t="shared" si="157"/>
        <v>Ok</v>
      </c>
      <c r="AN1439" s="21">
        <f t="shared" si="158"/>
        <v>20.588235294117645</v>
      </c>
      <c r="AO1439" t="str">
        <f t="shared" ca="1" si="159"/>
        <v>No</v>
      </c>
      <c r="AP1439" t="str">
        <f t="shared" si="160"/>
        <v>Low Risk</v>
      </c>
    </row>
    <row r="1440" spans="1:42" x14ac:dyDescent="0.3">
      <c r="A1440" s="5">
        <v>23</v>
      </c>
      <c r="B1440" s="5" t="s">
        <v>35</v>
      </c>
      <c r="C1440" s="5" t="str">
        <f t="shared" si="154"/>
        <v>Yes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 s="5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 s="5">
        <v>1790</v>
      </c>
      <c r="U1440">
        <v>26956</v>
      </c>
      <c r="V1440">
        <v>1</v>
      </c>
      <c r="W1440" t="s">
        <v>42</v>
      </c>
      <c r="X1440" t="s">
        <v>43</v>
      </c>
      <c r="Y1440" t="str">
        <f t="shared" si="155"/>
        <v>No</v>
      </c>
      <c r="Z1440">
        <v>19</v>
      </c>
      <c r="AA1440">
        <v>3</v>
      </c>
      <c r="AB1440">
        <v>1</v>
      </c>
      <c r="AC1440">
        <v>80</v>
      </c>
      <c r="AD1440">
        <v>1</v>
      </c>
      <c r="AE1440" s="5">
        <v>1</v>
      </c>
      <c r="AF1440" t="str">
        <f t="shared" si="156"/>
        <v>0-5</v>
      </c>
      <c r="AG1440">
        <v>3</v>
      </c>
      <c r="AH1440">
        <v>2</v>
      </c>
      <c r="AI1440" s="5">
        <v>1</v>
      </c>
      <c r="AJ1440">
        <v>0</v>
      </c>
      <c r="AK1440">
        <v>1</v>
      </c>
      <c r="AL1440">
        <v>0</v>
      </c>
      <c r="AM1440" t="str">
        <f t="shared" si="157"/>
        <v>Below Avg</v>
      </c>
      <c r="AN1440" s="21">
        <f t="shared" si="158"/>
        <v>18.181818181818183</v>
      </c>
      <c r="AO1440" t="str">
        <f t="shared" ca="1" si="159"/>
        <v>No</v>
      </c>
      <c r="AP1440" t="str">
        <f t="shared" si="160"/>
        <v>High Risk</v>
      </c>
    </row>
    <row r="1441" spans="1:42" x14ac:dyDescent="0.3">
      <c r="A1441" s="5">
        <v>36</v>
      </c>
      <c r="B1441" s="5" t="s">
        <v>43</v>
      </c>
      <c r="C1441" s="5" t="str">
        <f t="shared" si="154"/>
        <v>No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 s="5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 s="5">
        <v>7644</v>
      </c>
      <c r="U1441">
        <v>12695</v>
      </c>
      <c r="V1441">
        <v>0</v>
      </c>
      <c r="W1441" t="s">
        <v>42</v>
      </c>
      <c r="X1441" t="s">
        <v>43</v>
      </c>
      <c r="Y1441" t="str">
        <f t="shared" si="155"/>
        <v>No</v>
      </c>
      <c r="Z1441">
        <v>19</v>
      </c>
      <c r="AA1441">
        <v>3</v>
      </c>
      <c r="AB1441">
        <v>3</v>
      </c>
      <c r="AC1441">
        <v>80</v>
      </c>
      <c r="AD1441">
        <v>2</v>
      </c>
      <c r="AE1441" s="5">
        <v>10</v>
      </c>
      <c r="AF1441" t="str">
        <f t="shared" si="156"/>
        <v>6-15</v>
      </c>
      <c r="AG1441">
        <v>2</v>
      </c>
      <c r="AH1441">
        <v>3</v>
      </c>
      <c r="AI1441" s="5">
        <v>9</v>
      </c>
      <c r="AJ1441">
        <v>7</v>
      </c>
      <c r="AK1441">
        <v>3</v>
      </c>
      <c r="AL1441">
        <v>4</v>
      </c>
      <c r="AM1441" t="str">
        <f t="shared" si="157"/>
        <v>Ok</v>
      </c>
      <c r="AN1441" s="21">
        <f t="shared" si="158"/>
        <v>18.75</v>
      </c>
      <c r="AO1441" t="str">
        <f t="shared" ca="1" si="159"/>
        <v>No</v>
      </c>
      <c r="AP1441" t="str">
        <f t="shared" si="160"/>
        <v>Low Risk</v>
      </c>
    </row>
    <row r="1442" spans="1:42" x14ac:dyDescent="0.3">
      <c r="A1442" s="5">
        <v>36</v>
      </c>
      <c r="B1442" s="5" t="s">
        <v>43</v>
      </c>
      <c r="C1442" s="5" t="str">
        <f t="shared" si="154"/>
        <v>No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 s="5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 s="5">
        <v>5131</v>
      </c>
      <c r="U1442">
        <v>9192</v>
      </c>
      <c r="V1442">
        <v>7</v>
      </c>
      <c r="W1442" t="s">
        <v>42</v>
      </c>
      <c r="X1442" t="s">
        <v>43</v>
      </c>
      <c r="Y1442" t="str">
        <f t="shared" si="155"/>
        <v>No</v>
      </c>
      <c r="Z1442">
        <v>13</v>
      </c>
      <c r="AA1442">
        <v>3</v>
      </c>
      <c r="AB1442">
        <v>2</v>
      </c>
      <c r="AC1442">
        <v>80</v>
      </c>
      <c r="AD1442">
        <v>3</v>
      </c>
      <c r="AE1442" s="5">
        <v>18</v>
      </c>
      <c r="AF1442" t="str">
        <f t="shared" si="156"/>
        <v>&gt;15</v>
      </c>
      <c r="AG1442">
        <v>3</v>
      </c>
      <c r="AH1442">
        <v>3</v>
      </c>
      <c r="AI1442" s="5">
        <v>4</v>
      </c>
      <c r="AJ1442">
        <v>2</v>
      </c>
      <c r="AK1442">
        <v>0</v>
      </c>
      <c r="AL1442">
        <v>2</v>
      </c>
      <c r="AM1442" t="str">
        <f t="shared" si="157"/>
        <v>Below Avg</v>
      </c>
      <c r="AN1442" s="21">
        <f t="shared" si="158"/>
        <v>19.35483870967742</v>
      </c>
      <c r="AO1442" t="str">
        <f t="shared" ca="1" si="159"/>
        <v>No</v>
      </c>
      <c r="AP1442" t="str">
        <f t="shared" si="160"/>
        <v>Low Risk</v>
      </c>
    </row>
    <row r="1443" spans="1:42" x14ac:dyDescent="0.3">
      <c r="A1443" s="5">
        <v>56</v>
      </c>
      <c r="B1443" s="5" t="s">
        <v>43</v>
      </c>
      <c r="C1443" s="5" t="str">
        <f t="shared" si="154"/>
        <v>No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 s="5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 s="5">
        <v>6306</v>
      </c>
      <c r="U1443">
        <v>26236</v>
      </c>
      <c r="V1443">
        <v>1</v>
      </c>
      <c r="W1443" t="s">
        <v>42</v>
      </c>
      <c r="X1443" t="s">
        <v>43</v>
      </c>
      <c r="Y1443" t="str">
        <f t="shared" si="155"/>
        <v>No</v>
      </c>
      <c r="Z1443">
        <v>21</v>
      </c>
      <c r="AA1443">
        <v>4</v>
      </c>
      <c r="AB1443">
        <v>1</v>
      </c>
      <c r="AC1443">
        <v>80</v>
      </c>
      <c r="AD1443">
        <v>1</v>
      </c>
      <c r="AE1443" s="5">
        <v>13</v>
      </c>
      <c r="AF1443" t="str">
        <f t="shared" si="156"/>
        <v>6-15</v>
      </c>
      <c r="AG1443">
        <v>2</v>
      </c>
      <c r="AH1443">
        <v>2</v>
      </c>
      <c r="AI1443" s="5">
        <v>13</v>
      </c>
      <c r="AJ1443">
        <v>12</v>
      </c>
      <c r="AK1443">
        <v>1</v>
      </c>
      <c r="AL1443">
        <v>9</v>
      </c>
      <c r="AM1443" t="str">
        <f t="shared" si="157"/>
        <v>Ok</v>
      </c>
      <c r="AN1443">
        <f>COUNTBLANK(A2:AL1471)</f>
        <v>0</v>
      </c>
      <c r="AO1443" t="str">
        <f t="shared" ca="1" si="159"/>
        <v>No</v>
      </c>
      <c r="AP1443" t="str">
        <f t="shared" si="160"/>
        <v>Low Risk</v>
      </c>
    </row>
    <row r="1444" spans="1:42" x14ac:dyDescent="0.3">
      <c r="A1444" s="5">
        <v>29</v>
      </c>
      <c r="B1444" s="5" t="s">
        <v>35</v>
      </c>
      <c r="C1444" s="5" t="str">
        <f t="shared" si="154"/>
        <v>Yes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 s="5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 s="5">
        <v>4787</v>
      </c>
      <c r="U1444">
        <v>26124</v>
      </c>
      <c r="V1444">
        <v>9</v>
      </c>
      <c r="W1444" t="s">
        <v>42</v>
      </c>
      <c r="X1444" t="s">
        <v>35</v>
      </c>
      <c r="Y1444" t="str">
        <f t="shared" si="155"/>
        <v>Yes</v>
      </c>
      <c r="Z1444">
        <v>14</v>
      </c>
      <c r="AA1444">
        <v>3</v>
      </c>
      <c r="AB1444">
        <v>2</v>
      </c>
      <c r="AC1444">
        <v>80</v>
      </c>
      <c r="AD1444">
        <v>3</v>
      </c>
      <c r="AE1444" s="5">
        <v>4</v>
      </c>
      <c r="AF1444" t="str">
        <f t="shared" si="156"/>
        <v>0-5</v>
      </c>
      <c r="AG1444">
        <v>3</v>
      </c>
      <c r="AH1444">
        <v>4</v>
      </c>
      <c r="AI1444" s="5">
        <v>2</v>
      </c>
      <c r="AJ1444">
        <v>2</v>
      </c>
      <c r="AK1444">
        <v>2</v>
      </c>
      <c r="AL1444">
        <v>2</v>
      </c>
      <c r="AM1444" t="str">
        <f t="shared" si="157"/>
        <v>Below Avg</v>
      </c>
      <c r="AO1444" t="str">
        <f t="shared" ca="1" si="159"/>
        <v>No</v>
      </c>
      <c r="AP1444" t="str">
        <f t="shared" si="160"/>
        <v>Low Risk</v>
      </c>
    </row>
    <row r="1445" spans="1:42" x14ac:dyDescent="0.3">
      <c r="A1445" s="5">
        <v>42</v>
      </c>
      <c r="B1445" s="5" t="s">
        <v>43</v>
      </c>
      <c r="C1445" s="5" t="str">
        <f t="shared" si="154"/>
        <v>No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 s="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 s="5">
        <v>18880</v>
      </c>
      <c r="U1445">
        <v>17312</v>
      </c>
      <c r="V1445">
        <v>5</v>
      </c>
      <c r="W1445" t="s">
        <v>42</v>
      </c>
      <c r="X1445" t="s">
        <v>43</v>
      </c>
      <c r="Y1445" t="str">
        <f t="shared" si="155"/>
        <v>No</v>
      </c>
      <c r="Z1445">
        <v>11</v>
      </c>
      <c r="AA1445">
        <v>3</v>
      </c>
      <c r="AB1445">
        <v>1</v>
      </c>
      <c r="AC1445">
        <v>80</v>
      </c>
      <c r="AD1445">
        <v>0</v>
      </c>
      <c r="AE1445" s="5">
        <v>24</v>
      </c>
      <c r="AF1445" t="str">
        <f t="shared" si="156"/>
        <v>&gt;15</v>
      </c>
      <c r="AG1445">
        <v>2</v>
      </c>
      <c r="AH1445">
        <v>2</v>
      </c>
      <c r="AI1445" s="5">
        <v>22</v>
      </c>
      <c r="AJ1445">
        <v>6</v>
      </c>
      <c r="AK1445">
        <v>4</v>
      </c>
      <c r="AL1445">
        <v>14</v>
      </c>
      <c r="AM1445" t="str">
        <f t="shared" si="157"/>
        <v>Ok</v>
      </c>
      <c r="AO1445" t="str">
        <f t="shared" ca="1" si="159"/>
        <v>No</v>
      </c>
      <c r="AP1445" t="str">
        <f t="shared" si="160"/>
        <v>Low Risk</v>
      </c>
    </row>
    <row r="1446" spans="1:42" x14ac:dyDescent="0.3">
      <c r="A1446" s="5">
        <v>56</v>
      </c>
      <c r="B1446" s="5" t="s">
        <v>35</v>
      </c>
      <c r="C1446" s="5" t="str">
        <f t="shared" si="154"/>
        <v>Yes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 s="5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 s="5">
        <v>2339</v>
      </c>
      <c r="U1446">
        <v>3666</v>
      </c>
      <c r="V1446">
        <v>8</v>
      </c>
      <c r="W1446" t="s">
        <v>42</v>
      </c>
      <c r="X1446" t="s">
        <v>43</v>
      </c>
      <c r="Y1446" t="str">
        <f t="shared" si="155"/>
        <v>No</v>
      </c>
      <c r="Z1446">
        <v>11</v>
      </c>
      <c r="AA1446">
        <v>3</v>
      </c>
      <c r="AB1446">
        <v>4</v>
      </c>
      <c r="AC1446">
        <v>80</v>
      </c>
      <c r="AD1446">
        <v>1</v>
      </c>
      <c r="AE1446" s="5">
        <v>14</v>
      </c>
      <c r="AF1446" t="str">
        <f t="shared" si="156"/>
        <v>6-15</v>
      </c>
      <c r="AG1446">
        <v>4</v>
      </c>
      <c r="AH1446">
        <v>1</v>
      </c>
      <c r="AI1446" s="5">
        <v>10</v>
      </c>
      <c r="AJ1446">
        <v>9</v>
      </c>
      <c r="AK1446">
        <v>9</v>
      </c>
      <c r="AL1446">
        <v>8</v>
      </c>
      <c r="AM1446" t="str">
        <f t="shared" si="157"/>
        <v>Below Avg</v>
      </c>
      <c r="AO1446" t="str">
        <f t="shared" ca="1" si="159"/>
        <v>No</v>
      </c>
      <c r="AP1446" t="str">
        <f t="shared" si="160"/>
        <v>Low Risk</v>
      </c>
    </row>
    <row r="1447" spans="1:42" x14ac:dyDescent="0.3">
      <c r="A1447" s="5">
        <v>41</v>
      </c>
      <c r="B1447" s="5" t="s">
        <v>43</v>
      </c>
      <c r="C1447" s="5" t="str">
        <f t="shared" si="154"/>
        <v>No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 s="5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 s="5">
        <v>13570</v>
      </c>
      <c r="U1447">
        <v>5640</v>
      </c>
      <c r="V1447">
        <v>0</v>
      </c>
      <c r="W1447" t="s">
        <v>42</v>
      </c>
      <c r="X1447" t="s">
        <v>43</v>
      </c>
      <c r="Y1447" t="str">
        <f t="shared" si="155"/>
        <v>No</v>
      </c>
      <c r="Z1447">
        <v>23</v>
      </c>
      <c r="AA1447">
        <v>4</v>
      </c>
      <c r="AB1447">
        <v>3</v>
      </c>
      <c r="AC1447">
        <v>80</v>
      </c>
      <c r="AD1447">
        <v>1</v>
      </c>
      <c r="AE1447" s="5">
        <v>21</v>
      </c>
      <c r="AF1447" t="str">
        <f t="shared" si="156"/>
        <v>&gt;15</v>
      </c>
      <c r="AG1447">
        <v>3</v>
      </c>
      <c r="AH1447">
        <v>3</v>
      </c>
      <c r="AI1447" s="5">
        <v>20</v>
      </c>
      <c r="AJ1447">
        <v>7</v>
      </c>
      <c r="AK1447">
        <v>0</v>
      </c>
      <c r="AL1447">
        <v>10</v>
      </c>
      <c r="AM1447" t="str">
        <f t="shared" si="157"/>
        <v>Ok</v>
      </c>
      <c r="AO1447" t="str">
        <f t="shared" ca="1" si="159"/>
        <v>No</v>
      </c>
      <c r="AP1447" t="str">
        <f t="shared" si="160"/>
        <v>Low Risk</v>
      </c>
    </row>
    <row r="1448" spans="1:42" x14ac:dyDescent="0.3">
      <c r="A1448" s="5">
        <v>34</v>
      </c>
      <c r="B1448" s="5" t="s">
        <v>43</v>
      </c>
      <c r="C1448" s="5" t="str">
        <f t="shared" si="154"/>
        <v>No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 s="5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 s="5">
        <v>6712</v>
      </c>
      <c r="U1448">
        <v>8978</v>
      </c>
      <c r="V1448">
        <v>1</v>
      </c>
      <c r="W1448" t="s">
        <v>42</v>
      </c>
      <c r="X1448" t="s">
        <v>43</v>
      </c>
      <c r="Y1448" t="str">
        <f t="shared" si="155"/>
        <v>No</v>
      </c>
      <c r="Z1448">
        <v>21</v>
      </c>
      <c r="AA1448">
        <v>4</v>
      </c>
      <c r="AB1448">
        <v>4</v>
      </c>
      <c r="AC1448">
        <v>80</v>
      </c>
      <c r="AD1448">
        <v>2</v>
      </c>
      <c r="AE1448" s="5">
        <v>8</v>
      </c>
      <c r="AF1448" t="str">
        <f t="shared" si="156"/>
        <v>6-15</v>
      </c>
      <c r="AG1448">
        <v>2</v>
      </c>
      <c r="AH1448">
        <v>3</v>
      </c>
      <c r="AI1448" s="5">
        <v>8</v>
      </c>
      <c r="AJ1448">
        <v>7</v>
      </c>
      <c r="AK1448">
        <v>1</v>
      </c>
      <c r="AL1448">
        <v>7</v>
      </c>
      <c r="AM1448" t="str">
        <f t="shared" si="157"/>
        <v>Below Avg</v>
      </c>
      <c r="AO1448" t="str">
        <f t="shared" ca="1" si="159"/>
        <v>No</v>
      </c>
      <c r="AP1448" t="str">
        <f t="shared" si="160"/>
        <v>Low Risk</v>
      </c>
    </row>
    <row r="1449" spans="1:42" x14ac:dyDescent="0.3">
      <c r="A1449" s="5">
        <v>36</v>
      </c>
      <c r="B1449" s="5" t="s">
        <v>43</v>
      </c>
      <c r="C1449" s="5" t="str">
        <f t="shared" si="154"/>
        <v>No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 s="5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 s="5">
        <v>5406</v>
      </c>
      <c r="U1449">
        <v>10436</v>
      </c>
      <c r="V1449">
        <v>1</v>
      </c>
      <c r="W1449" t="s">
        <v>42</v>
      </c>
      <c r="X1449" t="s">
        <v>43</v>
      </c>
      <c r="Y1449" t="str">
        <f t="shared" si="155"/>
        <v>No</v>
      </c>
      <c r="Z1449">
        <v>24</v>
      </c>
      <c r="AA1449">
        <v>4</v>
      </c>
      <c r="AB1449">
        <v>1</v>
      </c>
      <c r="AC1449">
        <v>80</v>
      </c>
      <c r="AD1449">
        <v>1</v>
      </c>
      <c r="AE1449" s="5">
        <v>15</v>
      </c>
      <c r="AF1449" t="str">
        <f t="shared" si="156"/>
        <v>6-15</v>
      </c>
      <c r="AG1449">
        <v>4</v>
      </c>
      <c r="AH1449">
        <v>2</v>
      </c>
      <c r="AI1449" s="5">
        <v>15</v>
      </c>
      <c r="AJ1449">
        <v>12</v>
      </c>
      <c r="AK1449">
        <v>11</v>
      </c>
      <c r="AL1449">
        <v>11</v>
      </c>
      <c r="AM1449" t="str">
        <f t="shared" si="157"/>
        <v>Below Avg</v>
      </c>
      <c r="AO1449" t="str">
        <f t="shared" ca="1" si="159"/>
        <v>No</v>
      </c>
      <c r="AP1449" t="str">
        <f t="shared" si="160"/>
        <v>Low Risk</v>
      </c>
    </row>
    <row r="1450" spans="1:42" x14ac:dyDescent="0.3">
      <c r="A1450" s="5">
        <v>41</v>
      </c>
      <c r="B1450" s="5" t="s">
        <v>43</v>
      </c>
      <c r="C1450" s="5" t="str">
        <f t="shared" si="154"/>
        <v>No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 s="5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 s="5">
        <v>8938</v>
      </c>
      <c r="U1450">
        <v>12227</v>
      </c>
      <c r="V1450">
        <v>2</v>
      </c>
      <c r="W1450" t="s">
        <v>42</v>
      </c>
      <c r="X1450" t="s">
        <v>43</v>
      </c>
      <c r="Y1450" t="str">
        <f t="shared" si="155"/>
        <v>No</v>
      </c>
      <c r="Z1450">
        <v>11</v>
      </c>
      <c r="AA1450">
        <v>3</v>
      </c>
      <c r="AB1450">
        <v>3</v>
      </c>
      <c r="AC1450">
        <v>80</v>
      </c>
      <c r="AD1450">
        <v>1</v>
      </c>
      <c r="AE1450" s="5">
        <v>14</v>
      </c>
      <c r="AF1450" t="str">
        <f t="shared" si="156"/>
        <v>6-15</v>
      </c>
      <c r="AG1450">
        <v>5</v>
      </c>
      <c r="AH1450">
        <v>3</v>
      </c>
      <c r="AI1450" s="5">
        <v>5</v>
      </c>
      <c r="AJ1450">
        <v>4</v>
      </c>
      <c r="AK1450">
        <v>0</v>
      </c>
      <c r="AL1450">
        <v>4</v>
      </c>
      <c r="AM1450" t="str">
        <f t="shared" si="157"/>
        <v>Ok</v>
      </c>
      <c r="AO1450" t="str">
        <f t="shared" ca="1" si="159"/>
        <v>No</v>
      </c>
      <c r="AP1450" t="str">
        <f t="shared" si="160"/>
        <v>Low Risk</v>
      </c>
    </row>
    <row r="1451" spans="1:42" x14ac:dyDescent="0.3">
      <c r="A1451" s="5">
        <v>32</v>
      </c>
      <c r="B1451" s="5" t="s">
        <v>43</v>
      </c>
      <c r="C1451" s="5" t="str">
        <f t="shared" si="154"/>
        <v>No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 s="5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 s="5">
        <v>2439</v>
      </c>
      <c r="U1451">
        <v>11288</v>
      </c>
      <c r="V1451">
        <v>1</v>
      </c>
      <c r="W1451" t="s">
        <v>42</v>
      </c>
      <c r="X1451" t="s">
        <v>43</v>
      </c>
      <c r="Y1451" t="str">
        <f t="shared" si="155"/>
        <v>No</v>
      </c>
      <c r="Z1451">
        <v>14</v>
      </c>
      <c r="AA1451">
        <v>3</v>
      </c>
      <c r="AB1451">
        <v>4</v>
      </c>
      <c r="AC1451">
        <v>80</v>
      </c>
      <c r="AD1451">
        <v>0</v>
      </c>
      <c r="AE1451" s="5">
        <v>4</v>
      </c>
      <c r="AF1451" t="str">
        <f t="shared" si="156"/>
        <v>0-5</v>
      </c>
      <c r="AG1451">
        <v>4</v>
      </c>
      <c r="AH1451">
        <v>3</v>
      </c>
      <c r="AI1451" s="5">
        <v>4</v>
      </c>
      <c r="AJ1451">
        <v>2</v>
      </c>
      <c r="AK1451">
        <v>1</v>
      </c>
      <c r="AL1451">
        <v>2</v>
      </c>
      <c r="AM1451" t="str">
        <f t="shared" si="157"/>
        <v>Below Avg</v>
      </c>
      <c r="AO1451" t="str">
        <f t="shared" ca="1" si="159"/>
        <v>No</v>
      </c>
      <c r="AP1451" t="str">
        <f t="shared" si="160"/>
        <v>Low Risk</v>
      </c>
    </row>
    <row r="1452" spans="1:42" x14ac:dyDescent="0.3">
      <c r="A1452" s="5">
        <v>35</v>
      </c>
      <c r="B1452" s="5" t="s">
        <v>43</v>
      </c>
      <c r="C1452" s="5" t="str">
        <f t="shared" si="154"/>
        <v>No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 s="5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 s="5">
        <v>8837</v>
      </c>
      <c r="U1452">
        <v>16642</v>
      </c>
      <c r="V1452">
        <v>1</v>
      </c>
      <c r="W1452" t="s">
        <v>42</v>
      </c>
      <c r="X1452" t="s">
        <v>35</v>
      </c>
      <c r="Y1452" t="str">
        <f t="shared" si="155"/>
        <v>Yes</v>
      </c>
      <c r="Z1452">
        <v>16</v>
      </c>
      <c r="AA1452">
        <v>3</v>
      </c>
      <c r="AB1452">
        <v>3</v>
      </c>
      <c r="AC1452">
        <v>80</v>
      </c>
      <c r="AD1452">
        <v>0</v>
      </c>
      <c r="AE1452" s="5">
        <v>9</v>
      </c>
      <c r="AF1452" t="str">
        <f t="shared" si="156"/>
        <v>6-15</v>
      </c>
      <c r="AG1452">
        <v>2</v>
      </c>
      <c r="AH1452">
        <v>3</v>
      </c>
      <c r="AI1452" s="5">
        <v>9</v>
      </c>
      <c r="AJ1452">
        <v>0</v>
      </c>
      <c r="AK1452">
        <v>1</v>
      </c>
      <c r="AL1452">
        <v>7</v>
      </c>
      <c r="AM1452" t="str">
        <f t="shared" si="157"/>
        <v>Ok</v>
      </c>
      <c r="AO1452" t="str">
        <f t="shared" ca="1" si="159"/>
        <v>No</v>
      </c>
      <c r="AP1452" t="str">
        <f t="shared" si="160"/>
        <v>Low Risk</v>
      </c>
    </row>
    <row r="1453" spans="1:42" x14ac:dyDescent="0.3">
      <c r="A1453" s="5">
        <v>38</v>
      </c>
      <c r="B1453" s="5" t="s">
        <v>43</v>
      </c>
      <c r="C1453" s="5" t="str">
        <f t="shared" si="154"/>
        <v>No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 s="5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 s="5">
        <v>5343</v>
      </c>
      <c r="U1453">
        <v>5982</v>
      </c>
      <c r="V1453">
        <v>1</v>
      </c>
      <c r="W1453" t="s">
        <v>42</v>
      </c>
      <c r="X1453" t="s">
        <v>43</v>
      </c>
      <c r="Y1453" t="str">
        <f t="shared" si="155"/>
        <v>No</v>
      </c>
      <c r="Z1453">
        <v>11</v>
      </c>
      <c r="AA1453">
        <v>3</v>
      </c>
      <c r="AB1453">
        <v>3</v>
      </c>
      <c r="AC1453">
        <v>80</v>
      </c>
      <c r="AD1453">
        <v>1</v>
      </c>
      <c r="AE1453" s="5">
        <v>10</v>
      </c>
      <c r="AF1453" t="str">
        <f t="shared" si="156"/>
        <v>6-15</v>
      </c>
      <c r="AG1453">
        <v>1</v>
      </c>
      <c r="AH1453">
        <v>3</v>
      </c>
      <c r="AI1453" s="5">
        <v>10</v>
      </c>
      <c r="AJ1453">
        <v>7</v>
      </c>
      <c r="AK1453">
        <v>1</v>
      </c>
      <c r="AL1453">
        <v>9</v>
      </c>
      <c r="AM1453" t="str">
        <f t="shared" si="157"/>
        <v>Below Avg</v>
      </c>
      <c r="AO1453" t="str">
        <f t="shared" ca="1" si="159"/>
        <v>No</v>
      </c>
      <c r="AP1453" t="str">
        <f t="shared" si="160"/>
        <v>Low Risk</v>
      </c>
    </row>
    <row r="1454" spans="1:42" x14ac:dyDescent="0.3">
      <c r="A1454" s="5">
        <v>50</v>
      </c>
      <c r="B1454" s="5" t="s">
        <v>35</v>
      </c>
      <c r="C1454" s="5" t="str">
        <f t="shared" si="154"/>
        <v>Yes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 s="5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 s="5">
        <v>6728</v>
      </c>
      <c r="U1454">
        <v>14255</v>
      </c>
      <c r="V1454">
        <v>7</v>
      </c>
      <c r="W1454" t="s">
        <v>42</v>
      </c>
      <c r="X1454" t="s">
        <v>43</v>
      </c>
      <c r="Y1454" t="str">
        <f t="shared" si="155"/>
        <v>No</v>
      </c>
      <c r="Z1454">
        <v>12</v>
      </c>
      <c r="AA1454">
        <v>3</v>
      </c>
      <c r="AB1454">
        <v>4</v>
      </c>
      <c r="AC1454">
        <v>80</v>
      </c>
      <c r="AD1454">
        <v>2</v>
      </c>
      <c r="AE1454" s="5">
        <v>12</v>
      </c>
      <c r="AF1454" t="str">
        <f t="shared" si="156"/>
        <v>6-15</v>
      </c>
      <c r="AG1454">
        <v>3</v>
      </c>
      <c r="AH1454">
        <v>3</v>
      </c>
      <c r="AI1454" s="5">
        <v>6</v>
      </c>
      <c r="AJ1454">
        <v>3</v>
      </c>
      <c r="AK1454">
        <v>0</v>
      </c>
      <c r="AL1454">
        <v>1</v>
      </c>
      <c r="AM1454" t="str">
        <f t="shared" si="157"/>
        <v>Below Avg</v>
      </c>
      <c r="AO1454" t="str">
        <f t="shared" ca="1" si="159"/>
        <v>No</v>
      </c>
      <c r="AP1454" t="str">
        <f t="shared" si="160"/>
        <v>Low Risk</v>
      </c>
    </row>
    <row r="1455" spans="1:42" x14ac:dyDescent="0.3">
      <c r="A1455" s="5">
        <v>36</v>
      </c>
      <c r="B1455" s="5" t="s">
        <v>43</v>
      </c>
      <c r="C1455" s="5" t="str">
        <f t="shared" si="154"/>
        <v>No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 s="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 s="5">
        <v>6652</v>
      </c>
      <c r="U1455">
        <v>14369</v>
      </c>
      <c r="V1455">
        <v>4</v>
      </c>
      <c r="W1455" t="s">
        <v>42</v>
      </c>
      <c r="X1455" t="s">
        <v>43</v>
      </c>
      <c r="Y1455" t="str">
        <f t="shared" si="155"/>
        <v>No</v>
      </c>
      <c r="Z1455">
        <v>13</v>
      </c>
      <c r="AA1455">
        <v>3</v>
      </c>
      <c r="AB1455">
        <v>1</v>
      </c>
      <c r="AC1455">
        <v>80</v>
      </c>
      <c r="AD1455">
        <v>1</v>
      </c>
      <c r="AE1455" s="5">
        <v>8</v>
      </c>
      <c r="AF1455" t="str">
        <f t="shared" si="156"/>
        <v>6-15</v>
      </c>
      <c r="AG1455">
        <v>2</v>
      </c>
      <c r="AH1455">
        <v>2</v>
      </c>
      <c r="AI1455" s="5">
        <v>6</v>
      </c>
      <c r="AJ1455">
        <v>3</v>
      </c>
      <c r="AK1455">
        <v>0</v>
      </c>
      <c r="AL1455">
        <v>0</v>
      </c>
      <c r="AM1455" t="str">
        <f t="shared" si="157"/>
        <v>Below Avg</v>
      </c>
      <c r="AO1455" t="str">
        <f t="shared" ca="1" si="159"/>
        <v>No</v>
      </c>
      <c r="AP1455" t="str">
        <f t="shared" si="160"/>
        <v>Low Risk</v>
      </c>
    </row>
    <row r="1456" spans="1:42" x14ac:dyDescent="0.3">
      <c r="A1456" s="5">
        <v>45</v>
      </c>
      <c r="B1456" s="5" t="s">
        <v>43</v>
      </c>
      <c r="C1456" s="5" t="str">
        <f t="shared" si="154"/>
        <v>No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 s="5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 s="5">
        <v>4850</v>
      </c>
      <c r="U1456">
        <v>23333</v>
      </c>
      <c r="V1456">
        <v>8</v>
      </c>
      <c r="W1456" t="s">
        <v>42</v>
      </c>
      <c r="X1456" t="s">
        <v>43</v>
      </c>
      <c r="Y1456" t="str">
        <f t="shared" si="155"/>
        <v>No</v>
      </c>
      <c r="Z1456">
        <v>15</v>
      </c>
      <c r="AA1456">
        <v>3</v>
      </c>
      <c r="AB1456">
        <v>3</v>
      </c>
      <c r="AC1456">
        <v>80</v>
      </c>
      <c r="AD1456">
        <v>0</v>
      </c>
      <c r="AE1456" s="5">
        <v>8</v>
      </c>
      <c r="AF1456" t="str">
        <f t="shared" si="156"/>
        <v>6-15</v>
      </c>
      <c r="AG1456">
        <v>3</v>
      </c>
      <c r="AH1456">
        <v>3</v>
      </c>
      <c r="AI1456" s="5">
        <v>5</v>
      </c>
      <c r="AJ1456">
        <v>3</v>
      </c>
      <c r="AK1456">
        <v>0</v>
      </c>
      <c r="AL1456">
        <v>1</v>
      </c>
      <c r="AM1456" t="str">
        <f t="shared" si="157"/>
        <v>Below Avg</v>
      </c>
      <c r="AO1456" t="str">
        <f t="shared" ca="1" si="159"/>
        <v>No</v>
      </c>
      <c r="AP1456" t="str">
        <f t="shared" si="160"/>
        <v>Low Risk</v>
      </c>
    </row>
    <row r="1457" spans="1:42" x14ac:dyDescent="0.3">
      <c r="A1457" s="5">
        <v>40</v>
      </c>
      <c r="B1457" s="5" t="s">
        <v>43</v>
      </c>
      <c r="C1457" s="5" t="str">
        <f t="shared" si="154"/>
        <v>No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 s="5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 s="5">
        <v>2809</v>
      </c>
      <c r="U1457">
        <v>2725</v>
      </c>
      <c r="V1457">
        <v>2</v>
      </c>
      <c r="W1457" t="s">
        <v>42</v>
      </c>
      <c r="X1457" t="s">
        <v>43</v>
      </c>
      <c r="Y1457" t="str">
        <f t="shared" si="155"/>
        <v>No</v>
      </c>
      <c r="Z1457">
        <v>14</v>
      </c>
      <c r="AA1457">
        <v>3</v>
      </c>
      <c r="AB1457">
        <v>4</v>
      </c>
      <c r="AC1457">
        <v>80</v>
      </c>
      <c r="AD1457">
        <v>0</v>
      </c>
      <c r="AE1457" s="5">
        <v>8</v>
      </c>
      <c r="AF1457" t="str">
        <f t="shared" si="156"/>
        <v>6-15</v>
      </c>
      <c r="AG1457">
        <v>2</v>
      </c>
      <c r="AH1457">
        <v>3</v>
      </c>
      <c r="AI1457" s="5">
        <v>2</v>
      </c>
      <c r="AJ1457">
        <v>2</v>
      </c>
      <c r="AK1457">
        <v>2</v>
      </c>
      <c r="AL1457">
        <v>2</v>
      </c>
      <c r="AM1457" t="str">
        <f t="shared" si="157"/>
        <v>Below Avg</v>
      </c>
      <c r="AO1457" t="str">
        <f t="shared" ca="1" si="159"/>
        <v>No</v>
      </c>
      <c r="AP1457" t="str">
        <f t="shared" si="160"/>
        <v>Low Risk</v>
      </c>
    </row>
    <row r="1458" spans="1:42" x14ac:dyDescent="0.3">
      <c r="A1458" s="5">
        <v>35</v>
      </c>
      <c r="B1458" s="5" t="s">
        <v>43</v>
      </c>
      <c r="C1458" s="5" t="str">
        <f t="shared" si="154"/>
        <v>No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 s="5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 s="5">
        <v>5689</v>
      </c>
      <c r="U1458">
        <v>24594</v>
      </c>
      <c r="V1458">
        <v>1</v>
      </c>
      <c r="W1458" t="s">
        <v>42</v>
      </c>
      <c r="X1458" t="s">
        <v>35</v>
      </c>
      <c r="Y1458" t="str">
        <f t="shared" si="155"/>
        <v>Yes</v>
      </c>
      <c r="Z1458">
        <v>14</v>
      </c>
      <c r="AA1458">
        <v>3</v>
      </c>
      <c r="AB1458">
        <v>4</v>
      </c>
      <c r="AC1458">
        <v>80</v>
      </c>
      <c r="AD1458">
        <v>2</v>
      </c>
      <c r="AE1458" s="5">
        <v>10</v>
      </c>
      <c r="AF1458" t="str">
        <f t="shared" si="156"/>
        <v>6-15</v>
      </c>
      <c r="AG1458">
        <v>2</v>
      </c>
      <c r="AH1458">
        <v>4</v>
      </c>
      <c r="AI1458" s="5">
        <v>10</v>
      </c>
      <c r="AJ1458">
        <v>2</v>
      </c>
      <c r="AK1458">
        <v>0</v>
      </c>
      <c r="AL1458">
        <v>2</v>
      </c>
      <c r="AM1458" t="str">
        <f t="shared" si="157"/>
        <v>Ok</v>
      </c>
      <c r="AO1458" t="str">
        <f t="shared" ca="1" si="159"/>
        <v>No</v>
      </c>
      <c r="AP1458" t="str">
        <f t="shared" si="160"/>
        <v>Low Risk</v>
      </c>
    </row>
    <row r="1459" spans="1:42" x14ac:dyDescent="0.3">
      <c r="A1459" s="5">
        <v>40</v>
      </c>
      <c r="B1459" s="5" t="s">
        <v>43</v>
      </c>
      <c r="C1459" s="5" t="str">
        <f t="shared" si="154"/>
        <v>No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 s="5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 s="5">
        <v>2001</v>
      </c>
      <c r="U1459">
        <v>12549</v>
      </c>
      <c r="V1459">
        <v>2</v>
      </c>
      <c r="W1459" t="s">
        <v>42</v>
      </c>
      <c r="X1459" t="s">
        <v>43</v>
      </c>
      <c r="Y1459" t="str">
        <f t="shared" si="155"/>
        <v>No</v>
      </c>
      <c r="Z1459">
        <v>14</v>
      </c>
      <c r="AA1459">
        <v>3</v>
      </c>
      <c r="AB1459">
        <v>2</v>
      </c>
      <c r="AC1459">
        <v>80</v>
      </c>
      <c r="AD1459">
        <v>3</v>
      </c>
      <c r="AE1459" s="5">
        <v>20</v>
      </c>
      <c r="AF1459" t="str">
        <f t="shared" si="156"/>
        <v>&gt;15</v>
      </c>
      <c r="AG1459">
        <v>2</v>
      </c>
      <c r="AH1459">
        <v>3</v>
      </c>
      <c r="AI1459" s="5">
        <v>5</v>
      </c>
      <c r="AJ1459">
        <v>3</v>
      </c>
      <c r="AK1459">
        <v>0</v>
      </c>
      <c r="AL1459">
        <v>2</v>
      </c>
      <c r="AM1459" t="str">
        <f t="shared" si="157"/>
        <v>Below Avg</v>
      </c>
      <c r="AO1459" t="str">
        <f t="shared" ca="1" si="159"/>
        <v>No</v>
      </c>
      <c r="AP1459" t="str">
        <f t="shared" si="160"/>
        <v>Low Risk</v>
      </c>
    </row>
    <row r="1460" spans="1:42" x14ac:dyDescent="0.3">
      <c r="A1460" s="5">
        <v>35</v>
      </c>
      <c r="B1460" s="5" t="s">
        <v>43</v>
      </c>
      <c r="C1460" s="5" t="str">
        <f t="shared" si="154"/>
        <v>No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 s="5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 s="5">
        <v>2977</v>
      </c>
      <c r="U1460">
        <v>8952</v>
      </c>
      <c r="V1460">
        <v>1</v>
      </c>
      <c r="W1460" t="s">
        <v>42</v>
      </c>
      <c r="X1460" t="s">
        <v>43</v>
      </c>
      <c r="Y1460" t="str">
        <f t="shared" si="155"/>
        <v>No</v>
      </c>
      <c r="Z1460">
        <v>12</v>
      </c>
      <c r="AA1460">
        <v>3</v>
      </c>
      <c r="AB1460">
        <v>4</v>
      </c>
      <c r="AC1460">
        <v>80</v>
      </c>
      <c r="AD1460">
        <v>1</v>
      </c>
      <c r="AE1460" s="5">
        <v>4</v>
      </c>
      <c r="AF1460" t="str">
        <f t="shared" si="156"/>
        <v>0-5</v>
      </c>
      <c r="AG1460">
        <v>5</v>
      </c>
      <c r="AH1460">
        <v>3</v>
      </c>
      <c r="AI1460" s="5">
        <v>4</v>
      </c>
      <c r="AJ1460">
        <v>3</v>
      </c>
      <c r="AK1460">
        <v>1</v>
      </c>
      <c r="AL1460">
        <v>1</v>
      </c>
      <c r="AM1460" t="str">
        <f t="shared" si="157"/>
        <v>Below Avg</v>
      </c>
      <c r="AO1460" t="str">
        <f t="shared" ca="1" si="159"/>
        <v>No</v>
      </c>
      <c r="AP1460" t="str">
        <f t="shared" si="160"/>
        <v>Low Risk</v>
      </c>
    </row>
    <row r="1461" spans="1:42" x14ac:dyDescent="0.3">
      <c r="A1461" s="5">
        <v>29</v>
      </c>
      <c r="B1461" s="5" t="s">
        <v>43</v>
      </c>
      <c r="C1461" s="5" t="str">
        <f t="shared" si="154"/>
        <v>No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 s="5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 s="5">
        <v>4025</v>
      </c>
      <c r="U1461">
        <v>23679</v>
      </c>
      <c r="V1461">
        <v>4</v>
      </c>
      <c r="W1461" t="s">
        <v>42</v>
      </c>
      <c r="X1461" t="s">
        <v>35</v>
      </c>
      <c r="Y1461" t="str">
        <f t="shared" si="155"/>
        <v>Yes</v>
      </c>
      <c r="Z1461">
        <v>13</v>
      </c>
      <c r="AA1461">
        <v>3</v>
      </c>
      <c r="AB1461">
        <v>1</v>
      </c>
      <c r="AC1461">
        <v>80</v>
      </c>
      <c r="AD1461">
        <v>1</v>
      </c>
      <c r="AE1461" s="5">
        <v>10</v>
      </c>
      <c r="AF1461" t="str">
        <f t="shared" si="156"/>
        <v>6-15</v>
      </c>
      <c r="AG1461">
        <v>2</v>
      </c>
      <c r="AH1461">
        <v>3</v>
      </c>
      <c r="AI1461" s="5">
        <v>4</v>
      </c>
      <c r="AJ1461">
        <v>3</v>
      </c>
      <c r="AK1461">
        <v>0</v>
      </c>
      <c r="AL1461">
        <v>3</v>
      </c>
      <c r="AM1461" t="str">
        <f t="shared" si="157"/>
        <v>Below Avg</v>
      </c>
      <c r="AO1461" t="str">
        <f t="shared" ca="1" si="159"/>
        <v>No</v>
      </c>
      <c r="AP1461" t="str">
        <f t="shared" si="160"/>
        <v>Low Risk</v>
      </c>
    </row>
    <row r="1462" spans="1:42" x14ac:dyDescent="0.3">
      <c r="A1462" s="5">
        <v>29</v>
      </c>
      <c r="B1462" s="5" t="s">
        <v>43</v>
      </c>
      <c r="C1462" s="5" t="str">
        <f t="shared" si="154"/>
        <v>No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 s="5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 s="5">
        <v>3785</v>
      </c>
      <c r="U1462">
        <v>8489</v>
      </c>
      <c r="V1462">
        <v>1</v>
      </c>
      <c r="W1462" t="s">
        <v>42</v>
      </c>
      <c r="X1462" t="s">
        <v>43</v>
      </c>
      <c r="Y1462" t="str">
        <f t="shared" si="155"/>
        <v>No</v>
      </c>
      <c r="Z1462">
        <v>14</v>
      </c>
      <c r="AA1462">
        <v>3</v>
      </c>
      <c r="AB1462">
        <v>2</v>
      </c>
      <c r="AC1462">
        <v>80</v>
      </c>
      <c r="AD1462">
        <v>0</v>
      </c>
      <c r="AE1462" s="5">
        <v>5</v>
      </c>
      <c r="AF1462" t="str">
        <f t="shared" si="156"/>
        <v>0-5</v>
      </c>
      <c r="AG1462">
        <v>3</v>
      </c>
      <c r="AH1462">
        <v>1</v>
      </c>
      <c r="AI1462" s="5">
        <v>5</v>
      </c>
      <c r="AJ1462">
        <v>4</v>
      </c>
      <c r="AK1462">
        <v>0</v>
      </c>
      <c r="AL1462">
        <v>4</v>
      </c>
      <c r="AM1462" t="str">
        <f t="shared" si="157"/>
        <v>Below Avg</v>
      </c>
      <c r="AO1462" t="str">
        <f t="shared" ca="1" si="159"/>
        <v>No</v>
      </c>
      <c r="AP1462" t="str">
        <f t="shared" si="160"/>
        <v>Low Risk</v>
      </c>
    </row>
    <row r="1463" spans="1:42" x14ac:dyDescent="0.3">
      <c r="A1463" s="5">
        <v>50</v>
      </c>
      <c r="B1463" s="5" t="s">
        <v>35</v>
      </c>
      <c r="C1463" s="5" t="str">
        <f t="shared" si="154"/>
        <v>Yes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 s="5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 s="5">
        <v>10854</v>
      </c>
      <c r="U1463">
        <v>16586</v>
      </c>
      <c r="V1463">
        <v>4</v>
      </c>
      <c r="W1463" t="s">
        <v>42</v>
      </c>
      <c r="X1463" t="s">
        <v>35</v>
      </c>
      <c r="Y1463" t="str">
        <f t="shared" si="155"/>
        <v>Yes</v>
      </c>
      <c r="Z1463">
        <v>13</v>
      </c>
      <c r="AA1463">
        <v>3</v>
      </c>
      <c r="AB1463">
        <v>2</v>
      </c>
      <c r="AC1463">
        <v>80</v>
      </c>
      <c r="AD1463">
        <v>1</v>
      </c>
      <c r="AE1463" s="5">
        <v>20</v>
      </c>
      <c r="AF1463" t="str">
        <f t="shared" si="156"/>
        <v>&gt;15</v>
      </c>
      <c r="AG1463">
        <v>3</v>
      </c>
      <c r="AH1463">
        <v>3</v>
      </c>
      <c r="AI1463" s="5">
        <v>3</v>
      </c>
      <c r="AJ1463">
        <v>2</v>
      </c>
      <c r="AK1463">
        <v>2</v>
      </c>
      <c r="AL1463">
        <v>0</v>
      </c>
      <c r="AM1463" t="str">
        <f t="shared" si="157"/>
        <v>Ok</v>
      </c>
      <c r="AO1463" t="str">
        <f t="shared" ca="1" si="159"/>
        <v>No</v>
      </c>
      <c r="AP1463" t="str">
        <f t="shared" si="160"/>
        <v>Low Risk</v>
      </c>
    </row>
    <row r="1464" spans="1:42" x14ac:dyDescent="0.3">
      <c r="A1464" s="5">
        <v>39</v>
      </c>
      <c r="B1464" s="5" t="s">
        <v>43</v>
      </c>
      <c r="C1464" s="5" t="str">
        <f t="shared" si="154"/>
        <v>No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 s="5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 s="5">
        <v>12031</v>
      </c>
      <c r="U1464">
        <v>8828</v>
      </c>
      <c r="V1464">
        <v>0</v>
      </c>
      <c r="W1464" t="s">
        <v>42</v>
      </c>
      <c r="X1464" t="s">
        <v>43</v>
      </c>
      <c r="Y1464" t="str">
        <f t="shared" si="155"/>
        <v>No</v>
      </c>
      <c r="Z1464">
        <v>11</v>
      </c>
      <c r="AA1464">
        <v>3</v>
      </c>
      <c r="AB1464">
        <v>1</v>
      </c>
      <c r="AC1464">
        <v>80</v>
      </c>
      <c r="AD1464">
        <v>1</v>
      </c>
      <c r="AE1464" s="5">
        <v>21</v>
      </c>
      <c r="AF1464" t="str">
        <f t="shared" si="156"/>
        <v>&gt;15</v>
      </c>
      <c r="AG1464">
        <v>2</v>
      </c>
      <c r="AH1464">
        <v>2</v>
      </c>
      <c r="AI1464" s="5">
        <v>20</v>
      </c>
      <c r="AJ1464">
        <v>9</v>
      </c>
      <c r="AK1464">
        <v>9</v>
      </c>
      <c r="AL1464">
        <v>6</v>
      </c>
      <c r="AM1464" t="str">
        <f t="shared" si="157"/>
        <v>Ok</v>
      </c>
      <c r="AO1464" t="str">
        <f t="shared" ca="1" si="159"/>
        <v>No</v>
      </c>
      <c r="AP1464" t="str">
        <f t="shared" si="160"/>
        <v>Low Risk</v>
      </c>
    </row>
    <row r="1465" spans="1:42" x14ac:dyDescent="0.3">
      <c r="A1465" s="5">
        <v>31</v>
      </c>
      <c r="B1465" s="5" t="s">
        <v>43</v>
      </c>
      <c r="C1465" s="5" t="str">
        <f t="shared" si="154"/>
        <v>No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 s="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 s="5">
        <v>9936</v>
      </c>
      <c r="U1465">
        <v>3787</v>
      </c>
      <c r="V1465">
        <v>0</v>
      </c>
      <c r="W1465" t="s">
        <v>42</v>
      </c>
      <c r="X1465" t="s">
        <v>43</v>
      </c>
      <c r="Y1465" t="str">
        <f t="shared" si="155"/>
        <v>No</v>
      </c>
      <c r="Z1465">
        <v>19</v>
      </c>
      <c r="AA1465">
        <v>3</v>
      </c>
      <c r="AB1465">
        <v>2</v>
      </c>
      <c r="AC1465">
        <v>80</v>
      </c>
      <c r="AD1465">
        <v>0</v>
      </c>
      <c r="AE1465" s="5">
        <v>10</v>
      </c>
      <c r="AF1465" t="str">
        <f t="shared" si="156"/>
        <v>6-15</v>
      </c>
      <c r="AG1465">
        <v>2</v>
      </c>
      <c r="AH1465">
        <v>3</v>
      </c>
      <c r="AI1465" s="5">
        <v>9</v>
      </c>
      <c r="AJ1465">
        <v>4</v>
      </c>
      <c r="AK1465">
        <v>1</v>
      </c>
      <c r="AL1465">
        <v>7</v>
      </c>
      <c r="AM1465" t="str">
        <f t="shared" si="157"/>
        <v>Ok</v>
      </c>
      <c r="AO1465" t="str">
        <f t="shared" ca="1" si="159"/>
        <v>No</v>
      </c>
      <c r="AP1465" t="str">
        <f t="shared" si="160"/>
        <v>Low Risk</v>
      </c>
    </row>
    <row r="1466" spans="1:42" x14ac:dyDescent="0.3">
      <c r="A1466" s="5">
        <v>26</v>
      </c>
      <c r="B1466" s="5" t="s">
        <v>43</v>
      </c>
      <c r="C1466" s="5" t="str">
        <f t="shared" si="154"/>
        <v>No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 s="5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 s="5">
        <v>2966</v>
      </c>
      <c r="U1466">
        <v>21378</v>
      </c>
      <c r="V1466">
        <v>0</v>
      </c>
      <c r="W1466" t="s">
        <v>42</v>
      </c>
      <c r="X1466" t="s">
        <v>43</v>
      </c>
      <c r="Y1466" t="str">
        <f t="shared" si="155"/>
        <v>No</v>
      </c>
      <c r="Z1466">
        <v>18</v>
      </c>
      <c r="AA1466">
        <v>3</v>
      </c>
      <c r="AB1466">
        <v>4</v>
      </c>
      <c r="AC1466">
        <v>80</v>
      </c>
      <c r="AD1466">
        <v>0</v>
      </c>
      <c r="AE1466" s="5">
        <v>5</v>
      </c>
      <c r="AF1466" t="str">
        <f t="shared" si="156"/>
        <v>0-5</v>
      </c>
      <c r="AG1466">
        <v>2</v>
      </c>
      <c r="AH1466">
        <v>3</v>
      </c>
      <c r="AI1466" s="5">
        <v>4</v>
      </c>
      <c r="AJ1466">
        <v>2</v>
      </c>
      <c r="AK1466">
        <v>0</v>
      </c>
      <c r="AL1466">
        <v>0</v>
      </c>
      <c r="AM1466" t="str">
        <f t="shared" si="157"/>
        <v>Below Avg</v>
      </c>
      <c r="AO1466" t="str">
        <f t="shared" ca="1" si="159"/>
        <v>No</v>
      </c>
      <c r="AP1466" t="str">
        <f t="shared" si="160"/>
        <v>Low Risk</v>
      </c>
    </row>
    <row r="1467" spans="1:42" x14ac:dyDescent="0.3">
      <c r="A1467" s="5">
        <v>36</v>
      </c>
      <c r="B1467" s="5" t="s">
        <v>43</v>
      </c>
      <c r="C1467" s="5" t="str">
        <f t="shared" si="154"/>
        <v>No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 s="5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 s="5">
        <v>2571</v>
      </c>
      <c r="U1467">
        <v>12290</v>
      </c>
      <c r="V1467">
        <v>4</v>
      </c>
      <c r="W1467" t="s">
        <v>42</v>
      </c>
      <c r="X1467" t="s">
        <v>43</v>
      </c>
      <c r="Y1467" t="str">
        <f t="shared" si="155"/>
        <v>No</v>
      </c>
      <c r="Z1467">
        <v>17</v>
      </c>
      <c r="AA1467">
        <v>3</v>
      </c>
      <c r="AB1467">
        <v>3</v>
      </c>
      <c r="AC1467">
        <v>80</v>
      </c>
      <c r="AD1467">
        <v>1</v>
      </c>
      <c r="AE1467" s="5">
        <v>17</v>
      </c>
      <c r="AF1467" t="str">
        <f t="shared" si="156"/>
        <v>&gt;15</v>
      </c>
      <c r="AG1467">
        <v>3</v>
      </c>
      <c r="AH1467">
        <v>3</v>
      </c>
      <c r="AI1467" s="5">
        <v>5</v>
      </c>
      <c r="AJ1467">
        <v>2</v>
      </c>
      <c r="AK1467">
        <v>0</v>
      </c>
      <c r="AL1467">
        <v>3</v>
      </c>
      <c r="AM1467" t="str">
        <f t="shared" si="157"/>
        <v>Below Avg</v>
      </c>
      <c r="AO1467" t="str">
        <f t="shared" ca="1" si="159"/>
        <v>No</v>
      </c>
      <c r="AP1467" t="str">
        <f t="shared" si="160"/>
        <v>Low Risk</v>
      </c>
    </row>
    <row r="1468" spans="1:42" x14ac:dyDescent="0.3">
      <c r="A1468" s="5">
        <v>39</v>
      </c>
      <c r="B1468" s="5" t="s">
        <v>43</v>
      </c>
      <c r="C1468" s="5" t="str">
        <f t="shared" si="154"/>
        <v>No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 s="5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 s="5">
        <v>9991</v>
      </c>
      <c r="U1468">
        <v>21457</v>
      </c>
      <c r="V1468">
        <v>4</v>
      </c>
      <c r="W1468" t="s">
        <v>42</v>
      </c>
      <c r="X1468" t="s">
        <v>43</v>
      </c>
      <c r="Y1468" t="str">
        <f t="shared" si="155"/>
        <v>No</v>
      </c>
      <c r="Z1468">
        <v>15</v>
      </c>
      <c r="AA1468">
        <v>3</v>
      </c>
      <c r="AB1468">
        <v>1</v>
      </c>
      <c r="AC1468">
        <v>80</v>
      </c>
      <c r="AD1468">
        <v>1</v>
      </c>
      <c r="AE1468" s="5">
        <v>9</v>
      </c>
      <c r="AF1468" t="str">
        <f t="shared" si="156"/>
        <v>6-15</v>
      </c>
      <c r="AG1468">
        <v>5</v>
      </c>
      <c r="AH1468">
        <v>3</v>
      </c>
      <c r="AI1468" s="5">
        <v>7</v>
      </c>
      <c r="AJ1468">
        <v>7</v>
      </c>
      <c r="AK1468">
        <v>1</v>
      </c>
      <c r="AL1468">
        <v>7</v>
      </c>
      <c r="AM1468" t="str">
        <f t="shared" si="157"/>
        <v>Ok</v>
      </c>
      <c r="AO1468" t="str">
        <f t="shared" ca="1" si="159"/>
        <v>No</v>
      </c>
      <c r="AP1468" t="str">
        <f t="shared" si="160"/>
        <v>Low Risk</v>
      </c>
    </row>
    <row r="1469" spans="1:42" x14ac:dyDescent="0.3">
      <c r="A1469" s="5">
        <v>27</v>
      </c>
      <c r="B1469" s="5" t="s">
        <v>43</v>
      </c>
      <c r="C1469" s="5" t="str">
        <f t="shared" si="154"/>
        <v>No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 s="5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 s="5">
        <v>6142</v>
      </c>
      <c r="U1469">
        <v>5174</v>
      </c>
      <c r="V1469">
        <v>1</v>
      </c>
      <c r="W1469" t="s">
        <v>42</v>
      </c>
      <c r="X1469" t="s">
        <v>35</v>
      </c>
      <c r="Y1469" t="str">
        <f t="shared" si="155"/>
        <v>Yes</v>
      </c>
      <c r="Z1469">
        <v>20</v>
      </c>
      <c r="AA1469">
        <v>4</v>
      </c>
      <c r="AB1469">
        <v>2</v>
      </c>
      <c r="AC1469">
        <v>80</v>
      </c>
      <c r="AD1469">
        <v>1</v>
      </c>
      <c r="AE1469" s="5">
        <v>6</v>
      </c>
      <c r="AF1469" t="str">
        <f t="shared" si="156"/>
        <v>6-15</v>
      </c>
      <c r="AG1469">
        <v>0</v>
      </c>
      <c r="AH1469">
        <v>3</v>
      </c>
      <c r="AI1469" s="5">
        <v>6</v>
      </c>
      <c r="AJ1469">
        <v>2</v>
      </c>
      <c r="AK1469">
        <v>0</v>
      </c>
      <c r="AL1469">
        <v>3</v>
      </c>
      <c r="AM1469" t="str">
        <f t="shared" si="157"/>
        <v>Below Avg</v>
      </c>
      <c r="AO1469" t="str">
        <f t="shared" ca="1" si="159"/>
        <v>No</v>
      </c>
      <c r="AP1469" t="str">
        <f t="shared" si="160"/>
        <v>Low Risk</v>
      </c>
    </row>
    <row r="1470" spans="1:42" x14ac:dyDescent="0.3">
      <c r="A1470" s="5">
        <v>49</v>
      </c>
      <c r="B1470" s="5" t="s">
        <v>43</v>
      </c>
      <c r="C1470" s="5" t="str">
        <f t="shared" si="154"/>
        <v>No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 s="5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 s="5">
        <v>5390</v>
      </c>
      <c r="U1470">
        <v>13243</v>
      </c>
      <c r="V1470">
        <v>2</v>
      </c>
      <c r="W1470" t="s">
        <v>42</v>
      </c>
      <c r="X1470" t="s">
        <v>43</v>
      </c>
      <c r="Y1470" t="str">
        <f t="shared" si="155"/>
        <v>No</v>
      </c>
      <c r="Z1470">
        <v>14</v>
      </c>
      <c r="AA1470">
        <v>3</v>
      </c>
      <c r="AB1470">
        <v>4</v>
      </c>
      <c r="AC1470">
        <v>80</v>
      </c>
      <c r="AD1470">
        <v>0</v>
      </c>
      <c r="AE1470" s="5">
        <v>17</v>
      </c>
      <c r="AF1470" t="str">
        <f t="shared" si="156"/>
        <v>&gt;15</v>
      </c>
      <c r="AG1470">
        <v>3</v>
      </c>
      <c r="AH1470">
        <v>2</v>
      </c>
      <c r="AI1470" s="5">
        <v>9</v>
      </c>
      <c r="AJ1470">
        <v>6</v>
      </c>
      <c r="AK1470">
        <v>0</v>
      </c>
      <c r="AL1470">
        <v>8</v>
      </c>
      <c r="AM1470" t="str">
        <f t="shared" si="157"/>
        <v>Ok</v>
      </c>
      <c r="AO1470" t="str">
        <f t="shared" ca="1" si="159"/>
        <v>No</v>
      </c>
      <c r="AP1470" t="str">
        <f t="shared" si="160"/>
        <v>Low Risk</v>
      </c>
    </row>
    <row r="1471" spans="1:42" x14ac:dyDescent="0.3">
      <c r="A1471" s="5">
        <v>34</v>
      </c>
      <c r="B1471" s="5" t="s">
        <v>43</v>
      </c>
      <c r="C1471" s="5" t="str">
        <f t="shared" si="154"/>
        <v>No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 s="5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 s="5">
        <v>4404</v>
      </c>
      <c r="U1471">
        <v>10228</v>
      </c>
      <c r="V1471">
        <v>2</v>
      </c>
      <c r="W1471" t="s">
        <v>42</v>
      </c>
      <c r="X1471" t="s">
        <v>43</v>
      </c>
      <c r="Y1471" t="str">
        <f t="shared" si="155"/>
        <v>No</v>
      </c>
      <c r="Z1471">
        <v>12</v>
      </c>
      <c r="AA1471">
        <v>3</v>
      </c>
      <c r="AB1471">
        <v>1</v>
      </c>
      <c r="AC1471">
        <v>80</v>
      </c>
      <c r="AD1471">
        <v>0</v>
      </c>
      <c r="AE1471" s="5">
        <v>6</v>
      </c>
      <c r="AF1471" t="str">
        <f t="shared" si="156"/>
        <v>6-15</v>
      </c>
      <c r="AG1471">
        <v>3</v>
      </c>
      <c r="AH1471">
        <v>4</v>
      </c>
      <c r="AI1471" s="5">
        <v>4</v>
      </c>
      <c r="AJ1471">
        <v>3</v>
      </c>
      <c r="AK1471">
        <v>1</v>
      </c>
      <c r="AL1471">
        <v>2</v>
      </c>
      <c r="AM1471" t="str">
        <f t="shared" si="157"/>
        <v>Ok</v>
      </c>
      <c r="AO1471" t="e">
        <f t="shared" ca="1" si="159"/>
        <v>#DIV/0!</v>
      </c>
      <c r="AP1471" t="str">
        <f t="shared" si="160"/>
        <v>Low Risk</v>
      </c>
    </row>
    <row r="1472" spans="1:42" x14ac:dyDescent="0.3">
      <c r="A1472" s="5"/>
      <c r="B1472" s="26" t="s">
        <v>85</v>
      </c>
      <c r="C1472" s="26"/>
      <c r="T1472" s="5"/>
      <c r="AE1472" s="5"/>
      <c r="AI1472" s="5"/>
      <c r="AM1472" t="e">
        <f t="shared" si="157"/>
        <v>#DIV/0!</v>
      </c>
      <c r="AO1472" t="e">
        <f t="shared" ca="1" si="159"/>
        <v>#DIV/0!</v>
      </c>
      <c r="AP1472" t="str">
        <f t="shared" si="160"/>
        <v>Low Risk</v>
      </c>
    </row>
  </sheetData>
  <autoFilter ref="F1:F1471" xr:uid="{7D5E0FC5-E4F0-420A-80EE-3DBE4E3E0CC2}"/>
  <mergeCells count="3">
    <mergeCell ref="B1472:C1472"/>
    <mergeCell ref="AU6:AW6"/>
    <mergeCell ref="AU11:AV11"/>
  </mergeCells>
  <conditionalFormatting sqref="A1:AP1471">
    <cfRule type="expression" dxfId="7" priority="4">
      <formula>"AND($B$2:$C$1472=""Yes"",$AI$2:$AI$1471&lt;3)"</formula>
    </cfRule>
  </conditionalFormatting>
  <conditionalFormatting sqref="B1:B1471">
    <cfRule type="cellIs" dxfId="6" priority="3" operator="equal">
      <formula>"Yes"</formula>
    </cfRule>
  </conditionalFormatting>
  <conditionalFormatting sqref="K1:K1471">
    <cfRule type="expression" dxfId="5" priority="7">
      <formula>$B$1:$B$1471="Yes"</formula>
    </cfRule>
  </conditionalFormatting>
  <conditionalFormatting sqref="K2:K1471">
    <cfRule type="containsText" dxfId="4" priority="1" operator="containsText" text="Yes">
      <formula>NOT(ISERROR(SEARCH("Yes",K2)))</formula>
    </cfRule>
    <cfRule type="cellIs" dxfId="3" priority="5" operator="equal">
      <formula>"Yes"</formula>
    </cfRule>
    <cfRule type="expression" dxfId="2" priority="6">
      <formula>"AND($B$1:$B$1471=""Yes"",$AI$2:$AI$1471&lt;3)"</formula>
    </cfRule>
  </conditionalFormatting>
  <conditionalFormatting sqref="L9">
    <cfRule type="expression" dxfId="1" priority="10" stopIfTrue="1">
      <formula>"AND($B$2:$B$1471=""Yes"",$AI$2:$AI$1471&lt;3)"</formula>
    </cfRule>
  </conditionalFormatting>
  <conditionalFormatting sqref="AI1:AI1471">
    <cfRule type="cellIs" dxfId="0" priority="2" operator="less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05E7-4FF1-40D1-9783-E0C1379022A8}">
  <dimension ref="A1:K44"/>
  <sheetViews>
    <sheetView zoomScale="105" workbookViewId="0">
      <selection activeCell="M21" sqref="M21"/>
    </sheetView>
  </sheetViews>
  <sheetFormatPr defaultRowHeight="14.4" x14ac:dyDescent="0.3"/>
  <cols>
    <col min="4" max="4" width="24.33203125" customWidth="1"/>
    <col min="8" max="8" width="23.5546875" bestFit="1" customWidth="1"/>
    <col min="9" max="9" width="15.6640625" bestFit="1" customWidth="1"/>
    <col min="10" max="10" width="23.44140625" bestFit="1" customWidth="1"/>
  </cols>
  <sheetData>
    <row r="1" spans="1:11" ht="23.4" x14ac:dyDescent="0.4">
      <c r="A1" s="31" t="s">
        <v>62</v>
      </c>
      <c r="B1" s="31"/>
      <c r="C1" s="31"/>
      <c r="D1" s="31"/>
      <c r="H1" s="33" t="s">
        <v>82</v>
      </c>
      <c r="I1" s="33"/>
      <c r="J1" s="33"/>
      <c r="K1" s="33"/>
    </row>
    <row r="2" spans="1:11" ht="15.6" x14ac:dyDescent="0.3">
      <c r="A2" s="27" t="s">
        <v>63</v>
      </c>
      <c r="B2" s="27"/>
      <c r="C2" s="27"/>
      <c r="D2" s="27"/>
    </row>
    <row r="3" spans="1:11" ht="18" x14ac:dyDescent="0.3">
      <c r="A3" t="s">
        <v>64</v>
      </c>
      <c r="H3" s="1" t="s">
        <v>83</v>
      </c>
    </row>
    <row r="4" spans="1:11" x14ac:dyDescent="0.3">
      <c r="H4" t="s">
        <v>84</v>
      </c>
    </row>
    <row r="6" spans="1:11" ht="15.6" x14ac:dyDescent="0.3">
      <c r="A6" s="32" t="s">
        <v>68</v>
      </c>
      <c r="B6" s="32"/>
      <c r="C6" s="32"/>
    </row>
    <row r="7" spans="1:11" x14ac:dyDescent="0.3">
      <c r="A7" s="28" t="s">
        <v>69</v>
      </c>
      <c r="B7" s="28"/>
      <c r="C7" s="28"/>
      <c r="D7" s="28"/>
      <c r="E7" s="28"/>
      <c r="F7" s="28"/>
    </row>
    <row r="8" spans="1:11" ht="21" x14ac:dyDescent="0.4">
      <c r="B8">
        <f ca="1">COUNTBLANK(A2:AL1471)</f>
        <v>0</v>
      </c>
      <c r="H8" s="16" t="s">
        <v>87</v>
      </c>
      <c r="I8" s="16"/>
      <c r="J8" s="17"/>
    </row>
    <row r="9" spans="1:11" ht="25.8" x14ac:dyDescent="0.5">
      <c r="H9" s="9"/>
      <c r="I9" s="9"/>
      <c r="J9" s="9"/>
    </row>
    <row r="10" spans="1:11" ht="25.8" x14ac:dyDescent="0.5">
      <c r="H10" s="10" t="s">
        <v>1</v>
      </c>
      <c r="I10" s="9" t="s">
        <v>35</v>
      </c>
      <c r="J10" s="9"/>
    </row>
    <row r="11" spans="1:11" ht="25.8" x14ac:dyDescent="0.5">
      <c r="A11" s="3" t="s">
        <v>72</v>
      </c>
      <c r="B11" s="3"/>
      <c r="C11" s="3"/>
      <c r="D11" s="3"/>
      <c r="H11" s="9"/>
      <c r="I11" s="9"/>
      <c r="J11" s="9"/>
    </row>
    <row r="12" spans="1:11" ht="77.400000000000006" x14ac:dyDescent="0.5">
      <c r="A12" t="s">
        <v>73</v>
      </c>
      <c r="H12" s="10" t="s">
        <v>65</v>
      </c>
      <c r="I12" s="13" t="s">
        <v>86</v>
      </c>
      <c r="J12" s="13" t="s">
        <v>67</v>
      </c>
    </row>
    <row r="13" spans="1:11" ht="25.8" x14ac:dyDescent="0.5">
      <c r="H13" s="18" t="s">
        <v>61</v>
      </c>
      <c r="I13" s="12">
        <v>5.0632911392405063E-2</v>
      </c>
      <c r="J13" s="12">
        <v>5.0632911392405063E-2</v>
      </c>
    </row>
    <row r="14" spans="1:11" ht="25.8" x14ac:dyDescent="0.5">
      <c r="H14" s="18" t="s">
        <v>45</v>
      </c>
      <c r="I14" s="12">
        <v>0.56118143459915615</v>
      </c>
      <c r="J14" s="12">
        <v>0.56118143459915615</v>
      </c>
    </row>
    <row r="15" spans="1:11" ht="25.8" x14ac:dyDescent="0.5">
      <c r="H15" s="11" t="s">
        <v>37</v>
      </c>
      <c r="I15" s="12">
        <v>0.3881856540084388</v>
      </c>
      <c r="J15" s="12">
        <v>0.3881856540084388</v>
      </c>
    </row>
    <row r="16" spans="1:11" ht="25.8" x14ac:dyDescent="0.5">
      <c r="A16" s="1" t="s">
        <v>74</v>
      </c>
      <c r="H16" s="11" t="s">
        <v>66</v>
      </c>
      <c r="I16" s="12">
        <v>1</v>
      </c>
      <c r="J16" s="12">
        <v>1</v>
      </c>
    </row>
    <row r="18" spans="1:10" x14ac:dyDescent="0.3">
      <c r="A18" t="s">
        <v>75</v>
      </c>
    </row>
    <row r="19" spans="1:10" ht="21" x14ac:dyDescent="0.4">
      <c r="A19" s="6"/>
      <c r="H19" s="16" t="s">
        <v>88</v>
      </c>
      <c r="I19" s="16"/>
      <c r="J19" s="2"/>
    </row>
    <row r="20" spans="1:10" x14ac:dyDescent="0.3">
      <c r="A20" s="6" t="s">
        <v>0</v>
      </c>
    </row>
    <row r="21" spans="1:10" x14ac:dyDescent="0.3">
      <c r="A21" s="6"/>
      <c r="H21" s="14" t="s">
        <v>1</v>
      </c>
      <c r="I21" t="s">
        <v>35</v>
      </c>
    </row>
    <row r="22" spans="1:10" x14ac:dyDescent="0.3">
      <c r="A22" s="6" t="s">
        <v>18</v>
      </c>
    </row>
    <row r="23" spans="1:10" x14ac:dyDescent="0.3">
      <c r="A23" s="6"/>
      <c r="H23" s="14" t="s">
        <v>65</v>
      </c>
      <c r="I23" t="s">
        <v>86</v>
      </c>
    </row>
    <row r="24" spans="1:10" x14ac:dyDescent="0.3">
      <c r="A24" s="6" t="s">
        <v>28</v>
      </c>
      <c r="H24" s="15" t="s">
        <v>54</v>
      </c>
      <c r="I24">
        <v>9</v>
      </c>
    </row>
    <row r="25" spans="1:10" x14ac:dyDescent="0.3">
      <c r="A25" s="6"/>
      <c r="H25" s="15" t="s">
        <v>61</v>
      </c>
      <c r="I25">
        <v>12</v>
      </c>
    </row>
    <row r="26" spans="1:10" x14ac:dyDescent="0.3">
      <c r="A26" s="6" t="s">
        <v>31</v>
      </c>
      <c r="H26" s="15" t="s">
        <v>50</v>
      </c>
      <c r="I26">
        <v>62</v>
      </c>
    </row>
    <row r="27" spans="1:10" x14ac:dyDescent="0.3">
      <c r="H27" s="15" t="s">
        <v>56</v>
      </c>
      <c r="I27">
        <v>5</v>
      </c>
    </row>
    <row r="28" spans="1:10" x14ac:dyDescent="0.3">
      <c r="A28" s="2" t="s">
        <v>76</v>
      </c>
      <c r="H28" s="15" t="s">
        <v>53</v>
      </c>
      <c r="I28">
        <v>10</v>
      </c>
    </row>
    <row r="29" spans="1:10" x14ac:dyDescent="0.3">
      <c r="A29" s="6"/>
      <c r="H29" s="15" t="s">
        <v>58</v>
      </c>
      <c r="I29">
        <v>2</v>
      </c>
    </row>
    <row r="30" spans="1:10" x14ac:dyDescent="0.3">
      <c r="A30" s="6" t="s">
        <v>77</v>
      </c>
      <c r="H30" s="15" t="s">
        <v>47</v>
      </c>
      <c r="I30">
        <v>47</v>
      </c>
    </row>
    <row r="31" spans="1:10" x14ac:dyDescent="0.3">
      <c r="A31" s="6"/>
      <c r="H31" s="15" t="s">
        <v>40</v>
      </c>
      <c r="I31">
        <v>57</v>
      </c>
    </row>
    <row r="32" spans="1:10" x14ac:dyDescent="0.3">
      <c r="A32" s="6" t="s">
        <v>78</v>
      </c>
      <c r="H32" s="15" t="s">
        <v>57</v>
      </c>
      <c r="I32">
        <v>33</v>
      </c>
    </row>
    <row r="33" spans="1:10" x14ac:dyDescent="0.3">
      <c r="D33" s="7"/>
      <c r="H33" s="15" t="s">
        <v>66</v>
      </c>
      <c r="I33">
        <v>237</v>
      </c>
    </row>
    <row r="35" spans="1:10" ht="15.6" x14ac:dyDescent="0.3">
      <c r="A35" s="3" t="s">
        <v>80</v>
      </c>
      <c r="B35" s="3"/>
      <c r="C35" s="3"/>
    </row>
    <row r="36" spans="1:10" ht="100.8" x14ac:dyDescent="0.3">
      <c r="A36" s="8" t="s">
        <v>81</v>
      </c>
    </row>
    <row r="37" spans="1:10" ht="21" x14ac:dyDescent="0.4">
      <c r="H37" s="29" t="s">
        <v>89</v>
      </c>
      <c r="I37" s="29"/>
      <c r="J37" s="29"/>
    </row>
    <row r="39" spans="1:10" x14ac:dyDescent="0.3">
      <c r="H39" s="2"/>
      <c r="I39" s="2"/>
    </row>
    <row r="40" spans="1:10" x14ac:dyDescent="0.3">
      <c r="H40" s="30" t="s">
        <v>90</v>
      </c>
      <c r="I40" s="30"/>
    </row>
    <row r="41" spans="1:10" x14ac:dyDescent="0.3">
      <c r="H41">
        <f>AVERAGEIF('GALI SHIVAKRISHNA_EXCEL'!B1:B1471,"Yes",'GALI SHIVAKRISHNA_EXCEL'!T1:T1471)</f>
        <v>4787.0928270042195</v>
      </c>
    </row>
    <row r="43" spans="1:10" x14ac:dyDescent="0.3">
      <c r="H43" t="s">
        <v>91</v>
      </c>
    </row>
    <row r="44" spans="1:10" x14ac:dyDescent="0.3">
      <c r="H44">
        <f>AVERAGEIF('GALI SHIVAKRISHNA_EXCEL'!B1:B1471,"No",'GALI SHIVAKRISHNA_EXCEL'!T1:T1471)</f>
        <v>6832.7396593673966</v>
      </c>
    </row>
  </sheetData>
  <mergeCells count="7">
    <mergeCell ref="H37:J37"/>
    <mergeCell ref="H40:I40"/>
    <mergeCell ref="A1:D1"/>
    <mergeCell ref="A2:D2"/>
    <mergeCell ref="A6:C6"/>
    <mergeCell ref="A7:F7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B232-C6C5-4A90-B9A5-B8012FC54E9E}">
  <dimension ref="B2:M23"/>
  <sheetViews>
    <sheetView topLeftCell="A7" zoomScale="122" workbookViewId="0">
      <selection activeCell="P16" sqref="P16"/>
    </sheetView>
  </sheetViews>
  <sheetFormatPr defaultRowHeight="14.4" x14ac:dyDescent="0.3"/>
  <cols>
    <col min="3" max="3" width="12.44140625" bestFit="1" customWidth="1"/>
    <col min="4" max="4" width="23.109375" bestFit="1" customWidth="1"/>
    <col min="5" max="5" width="4" bestFit="1" customWidth="1"/>
    <col min="6" max="6" width="10.5546875" bestFit="1" customWidth="1"/>
    <col min="11" max="11" width="12.44140625" bestFit="1" customWidth="1"/>
    <col min="12" max="12" width="21.44140625" bestFit="1" customWidth="1"/>
    <col min="13" max="13" width="22.88671875" bestFit="1" customWidth="1"/>
  </cols>
  <sheetData>
    <row r="2" spans="2:13" ht="21" x14ac:dyDescent="0.4">
      <c r="B2" s="16" t="s">
        <v>92</v>
      </c>
      <c r="C2" s="16"/>
      <c r="D2" s="16"/>
      <c r="J2" s="19" t="s">
        <v>99</v>
      </c>
      <c r="K2" s="19"/>
      <c r="L2" s="19"/>
      <c r="M2" s="19"/>
    </row>
    <row r="5" spans="2:13" x14ac:dyDescent="0.3">
      <c r="C5" s="14" t="s">
        <v>67</v>
      </c>
      <c r="D5" s="14" t="s">
        <v>93</v>
      </c>
      <c r="K5" s="14" t="s">
        <v>1</v>
      </c>
      <c r="L5" t="s">
        <v>35</v>
      </c>
    </row>
    <row r="6" spans="2:13" x14ac:dyDescent="0.3">
      <c r="C6" s="14" t="s">
        <v>65</v>
      </c>
      <c r="D6" t="s">
        <v>43</v>
      </c>
      <c r="E6" t="s">
        <v>35</v>
      </c>
      <c r="F6" t="s">
        <v>66</v>
      </c>
    </row>
    <row r="7" spans="2:13" x14ac:dyDescent="0.3">
      <c r="C7" s="15" t="s">
        <v>61</v>
      </c>
      <c r="D7">
        <v>51</v>
      </c>
      <c r="E7">
        <v>12</v>
      </c>
      <c r="F7">
        <v>63</v>
      </c>
      <c r="K7" s="14" t="s">
        <v>65</v>
      </c>
      <c r="L7" t="s">
        <v>86</v>
      </c>
      <c r="M7" t="s">
        <v>67</v>
      </c>
    </row>
    <row r="8" spans="2:13" x14ac:dyDescent="0.3">
      <c r="C8" s="15" t="s">
        <v>45</v>
      </c>
      <c r="D8">
        <v>828</v>
      </c>
      <c r="E8">
        <v>133</v>
      </c>
      <c r="F8">
        <v>961</v>
      </c>
      <c r="K8" s="15" t="s">
        <v>43</v>
      </c>
      <c r="L8">
        <v>110</v>
      </c>
      <c r="M8">
        <v>110</v>
      </c>
    </row>
    <row r="9" spans="2:13" x14ac:dyDescent="0.3">
      <c r="C9" s="15" t="s">
        <v>37</v>
      </c>
      <c r="D9">
        <v>354</v>
      </c>
      <c r="E9">
        <v>92</v>
      </c>
      <c r="F9">
        <v>446</v>
      </c>
      <c r="K9" s="15" t="s">
        <v>35</v>
      </c>
      <c r="L9">
        <v>127</v>
      </c>
      <c r="M9">
        <v>127</v>
      </c>
    </row>
    <row r="10" spans="2:13" x14ac:dyDescent="0.3">
      <c r="C10" s="15" t="s">
        <v>66</v>
      </c>
      <c r="D10">
        <v>1233</v>
      </c>
      <c r="E10">
        <v>237</v>
      </c>
      <c r="F10">
        <v>1470</v>
      </c>
      <c r="K10" s="15" t="s">
        <v>66</v>
      </c>
      <c r="L10">
        <v>237</v>
      </c>
      <c r="M10">
        <v>237</v>
      </c>
    </row>
    <row r="14" spans="2:13" ht="21" x14ac:dyDescent="0.4">
      <c r="B14" s="16" t="s">
        <v>94</v>
      </c>
      <c r="C14" s="16"/>
      <c r="K14" s="19" t="s">
        <v>100</v>
      </c>
      <c r="L14" s="19"/>
      <c r="M14" s="19"/>
    </row>
    <row r="16" spans="2:13" x14ac:dyDescent="0.3">
      <c r="L16" s="14" t="s">
        <v>65</v>
      </c>
      <c r="M16" t="s">
        <v>101</v>
      </c>
    </row>
    <row r="17" spans="3:13" x14ac:dyDescent="0.3">
      <c r="C17" s="14" t="s">
        <v>65</v>
      </c>
      <c r="D17" t="s">
        <v>95</v>
      </c>
      <c r="L17" s="15" t="s">
        <v>61</v>
      </c>
      <c r="M17" s="4">
        <v>2.6031746031746033</v>
      </c>
    </row>
    <row r="18" spans="3:13" x14ac:dyDescent="0.3">
      <c r="C18" s="15">
        <v>1</v>
      </c>
      <c r="D18" s="5">
        <v>2786.9152854511972</v>
      </c>
      <c r="L18" s="15" t="s">
        <v>45</v>
      </c>
      <c r="M18" s="4">
        <v>2.7263267429760667</v>
      </c>
    </row>
    <row r="19" spans="3:13" x14ac:dyDescent="0.3">
      <c r="C19" s="15">
        <v>2</v>
      </c>
      <c r="D19" s="5">
        <v>5502.2771535580523</v>
      </c>
      <c r="L19" s="15" t="s">
        <v>37</v>
      </c>
      <c r="M19" s="4">
        <v>2.7511210762331837</v>
      </c>
    </row>
    <row r="20" spans="3:13" x14ac:dyDescent="0.3">
      <c r="C20" s="15">
        <v>3</v>
      </c>
      <c r="D20" s="5">
        <v>9817.2522935779816</v>
      </c>
      <c r="L20" s="15" t="s">
        <v>66</v>
      </c>
      <c r="M20" s="4">
        <v>2.7285714285714286</v>
      </c>
    </row>
    <row r="21" spans="3:13" x14ac:dyDescent="0.3">
      <c r="C21" s="15">
        <v>4</v>
      </c>
      <c r="D21" s="5">
        <v>15503.783018867925</v>
      </c>
    </row>
    <row r="22" spans="3:13" x14ac:dyDescent="0.3">
      <c r="C22" s="15">
        <v>5</v>
      </c>
      <c r="D22" s="5">
        <v>19191.82608695652</v>
      </c>
    </row>
    <row r="23" spans="3:13" x14ac:dyDescent="0.3">
      <c r="C23" s="15" t="s">
        <v>66</v>
      </c>
      <c r="D23" s="5">
        <v>6502.931292517007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4C0D-C7FC-4B77-A30B-B22C3E073D3A}">
  <dimension ref="B1:K40"/>
  <sheetViews>
    <sheetView workbookViewId="0">
      <selection activeCell="O4" sqref="O4"/>
    </sheetView>
  </sheetViews>
  <sheetFormatPr defaultRowHeight="14.4" x14ac:dyDescent="0.3"/>
  <cols>
    <col min="2" max="2" width="12.44140625" bestFit="1" customWidth="1"/>
    <col min="3" max="3" width="22.88671875" bestFit="1" customWidth="1"/>
  </cols>
  <sheetData>
    <row r="1" spans="2:10" ht="23.4" x14ac:dyDescent="0.45">
      <c r="B1" s="23" t="s">
        <v>104</v>
      </c>
      <c r="C1" s="23"/>
      <c r="D1" s="23"/>
      <c r="E1" s="24"/>
      <c r="F1" s="24"/>
    </row>
    <row r="3" spans="2:10" x14ac:dyDescent="0.3">
      <c r="B3" s="14" t="s">
        <v>1</v>
      </c>
      <c r="C3" t="s">
        <v>35</v>
      </c>
    </row>
    <row r="4" spans="2:10" ht="21" x14ac:dyDescent="0.4">
      <c r="F4" s="16" t="s">
        <v>105</v>
      </c>
      <c r="G4" s="16"/>
      <c r="H4" s="16"/>
      <c r="I4" s="16"/>
      <c r="J4" s="16"/>
    </row>
    <row r="5" spans="2:10" x14ac:dyDescent="0.3">
      <c r="B5" s="14" t="s">
        <v>65</v>
      </c>
      <c r="C5" t="s">
        <v>86</v>
      </c>
    </row>
    <row r="6" spans="2:10" x14ac:dyDescent="0.3">
      <c r="B6" s="15" t="s">
        <v>61</v>
      </c>
      <c r="C6">
        <v>12</v>
      </c>
    </row>
    <row r="7" spans="2:10" x14ac:dyDescent="0.3">
      <c r="B7" s="15" t="s">
        <v>45</v>
      </c>
      <c r="C7">
        <v>133</v>
      </c>
    </row>
    <row r="8" spans="2:10" x14ac:dyDescent="0.3">
      <c r="B8" s="15" t="s">
        <v>37</v>
      </c>
      <c r="C8">
        <v>92</v>
      </c>
    </row>
    <row r="9" spans="2:10" x14ac:dyDescent="0.3">
      <c r="B9" s="15" t="s">
        <v>66</v>
      </c>
      <c r="C9">
        <v>237</v>
      </c>
    </row>
    <row r="30" spans="6:11" ht="21" x14ac:dyDescent="0.4">
      <c r="F30" s="25" t="s">
        <v>106</v>
      </c>
      <c r="G30" s="17"/>
      <c r="H30" s="17"/>
      <c r="I30" s="17"/>
      <c r="J30" s="17"/>
      <c r="K30" s="17"/>
    </row>
    <row r="34" spans="2:3" x14ac:dyDescent="0.3">
      <c r="B34" s="14" t="s">
        <v>65</v>
      </c>
      <c r="C34" t="s">
        <v>95</v>
      </c>
    </row>
    <row r="35" spans="2:3" x14ac:dyDescent="0.3">
      <c r="B35" s="15">
        <v>1</v>
      </c>
      <c r="C35" s="5">
        <v>2786.9152854511972</v>
      </c>
    </row>
    <row r="36" spans="2:3" x14ac:dyDescent="0.3">
      <c r="B36" s="15">
        <v>2</v>
      </c>
      <c r="C36" s="5">
        <v>5502.2771535580523</v>
      </c>
    </row>
    <row r="37" spans="2:3" x14ac:dyDescent="0.3">
      <c r="B37" s="15">
        <v>3</v>
      </c>
      <c r="C37" s="5">
        <v>9817.2522935779816</v>
      </c>
    </row>
    <row r="38" spans="2:3" x14ac:dyDescent="0.3">
      <c r="B38" s="15">
        <v>4</v>
      </c>
      <c r="C38" s="5">
        <v>15503.783018867925</v>
      </c>
    </row>
    <row r="39" spans="2:3" x14ac:dyDescent="0.3">
      <c r="B39" s="15">
        <v>5</v>
      </c>
      <c r="C39" s="5">
        <v>19191.82608695652</v>
      </c>
    </row>
    <row r="40" spans="2:3" x14ac:dyDescent="0.3">
      <c r="B40" s="15" t="s">
        <v>66</v>
      </c>
      <c r="C40" s="5">
        <v>6502.931292517007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GALI SHIVAKRISHNA_EXCEL</vt:lpstr>
      <vt:lpstr>TASK-1</vt:lpstr>
      <vt:lpstr>PIVOT TABLE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shivakrishna gali</cp:lastModifiedBy>
  <dcterms:created xsi:type="dcterms:W3CDTF">2025-12-20T08:54:19Z</dcterms:created>
  <dcterms:modified xsi:type="dcterms:W3CDTF">2026-07-02T16:51:30Z</dcterms:modified>
</cp:coreProperties>
</file>